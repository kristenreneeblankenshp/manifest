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Override PartName="/xl/tables/table2.xml" ContentType="application/vnd.openxmlformats-officedocument.spreadsheetml.table+xml"/>
  <Override PartName="/xl/worksheets/sheet27.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1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e731e00c924fd8" /></Relationships>
</file>

<file path=xl/workbook.xml><?xml version="1.0" encoding="utf-8"?>
<x:workbook xmlns:x="http://schemas.openxmlformats.org/spreadsheetml/2006/main">
  <x:sheets>
    <x:sheet xmlns:r="http://schemas.openxmlformats.org/officeDocument/2006/relationships" name="00 CISC Dashboard" sheetId="1" r:id="R54c7f75fcc71433a"/>
    <x:sheet xmlns:r="http://schemas.openxmlformats.org/officeDocument/2006/relationships" name="01 Dashboard Controls" sheetId="2" r:id="R2e9edb15db2e4ad9"/>
    <x:sheet xmlns:r="http://schemas.openxmlformats.org/officeDocument/2006/relationships" name="02 Decision Center" sheetId="3" r:id="R98a53fe435564b1e"/>
    <x:sheet xmlns:r="http://schemas.openxmlformats.org/officeDocument/2006/relationships" name="03 Research Intelligence" sheetId="4" r:id="R1e70496fe34b4c0e"/>
    <x:sheet xmlns:r="http://schemas.openxmlformats.org/officeDocument/2006/relationships" name="04 Committee Operations" sheetId="5" r:id="R62c9d9003dfd4c5e"/>
    <x:sheet xmlns:r="http://schemas.openxmlformats.org/officeDocument/2006/relationships" name="05 Workbench Guide" sheetId="6" r:id="Re38c01b46f14490f"/>
    <x:sheet xmlns:r="http://schemas.openxmlformats.org/officeDocument/2006/relationships" name="Executive Summary" sheetId="7" r:id="Rc31dc986f1344ddb"/>
    <x:sheet xmlns:r="http://schemas.openxmlformats.org/officeDocument/2006/relationships" name="Certified Allocation" sheetId="8" r:id="R172da5d25b974c49"/>
    <x:sheet xmlns:r="http://schemas.openxmlformats.org/officeDocument/2006/relationships" name="Sleeve Summary" sheetId="9" r:id="R6cfc3b0321224d3d"/>
    <x:sheet xmlns:r="http://schemas.openxmlformats.org/officeDocument/2006/relationships" name="Rebalancing" sheetId="10" r:id="R891aaabecd3149f1"/>
    <x:sheet xmlns:r="http://schemas.openxmlformats.org/officeDocument/2006/relationships" name="Sources &amp; Certification" sheetId="11" r:id="Rc862436d58d746d3"/>
    <x:sheet xmlns:r="http://schemas.openxmlformats.org/officeDocument/2006/relationships" name="99 Dashboard Data" sheetId="12" r:id="R16ff356609fe422a"/>
    <x:sheet xmlns:r="http://schemas.openxmlformats.org/officeDocument/2006/relationships" name="06 PEW Control Center" sheetId="13" r:id="R1afc9174913143d6"/>
    <x:sheet xmlns:r="http://schemas.openxmlformats.org/officeDocument/2006/relationships" name="07 Mandate &amp; Constraints" sheetId="14" r:id="R25b7474b9f394fb7"/>
    <x:sheet xmlns:r="http://schemas.openxmlformats.org/officeDocument/2006/relationships" name="08 Sleeve Architecture" sheetId="15" r:id="R506220ba69d14d1e"/>
    <x:sheet xmlns:r="http://schemas.openxmlformats.org/officeDocument/2006/relationships" name="09 Role Assignment" sheetId="16" r:id="Rfb9709f677814832"/>
    <x:sheet xmlns:r="http://schemas.openxmlformats.org/officeDocument/2006/relationships" name="10 Candidate Comparison" sheetId="17" r:id="Ree50f0b92ba94f9b"/>
    <x:sheet xmlns:r="http://schemas.openxmlformats.org/officeDocument/2006/relationships" name="11 Conviction" sheetId="18" r:id="Ra5bab21a99fd4a26"/>
    <x:sheet xmlns:r="http://schemas.openxmlformats.org/officeDocument/2006/relationships" name="12 Allocation Lab" sheetId="19" r:id="R20fcfad6a74f4875"/>
    <x:sheet xmlns:r="http://schemas.openxmlformats.org/officeDocument/2006/relationships" name="13 Validation &amp; Cert" sheetId="20" r:id="Rfd1a6d2772514c95"/>
    <x:sheet xmlns:r="http://schemas.openxmlformats.org/officeDocument/2006/relationships" name="14 PEW Guide" sheetId="21" r:id="Rdc0d4d06512f423f"/>
    <x:sheet xmlns:r="http://schemas.openxmlformats.org/officeDocument/2006/relationships" name="98 PEW Lists" sheetId="22" r:id="R2edac2fbab324195"/>
    <x:sheet xmlns:r="http://schemas.openxmlformats.org/officeDocument/2006/relationships" name="15 MOPS-002 Freeze Record" sheetId="23" r:id="R55e2cbf680764b45"/>
    <x:sheet xmlns:r="http://schemas.openxmlformats.org/officeDocument/2006/relationships" name="16 RCC-001 Control Center" sheetId="24" r:id="Rd3d4ee7012b2486c"/>
    <x:sheet xmlns:r="http://schemas.openxmlformats.org/officeDocument/2006/relationships" name="97 RCC Lists" sheetId="25" r:id="Rd61f1e9946e04be5"/>
    <x:sheet xmlns:r="http://schemas.openxmlformats.org/officeDocument/2006/relationships" name="18 RCC-002 Evidence Ledger" sheetId="26" r:id="Rd17f85c52ad24509"/>
    <x:sheet xmlns:r="http://schemas.openxmlformats.org/officeDocument/2006/relationships" name="17 RCC-002 Control Center" sheetId="27" r:id="R2ee03eb3fc944a42"/>
    <x:sheet xmlns:r="http://schemas.openxmlformats.org/officeDocument/2006/relationships" name="19 RCC-003 Control Center" sheetId="28" r:id="Rc5d6d485d6264eae"/>
    <x:sheet xmlns:r="http://schemas.openxmlformats.org/officeDocument/2006/relationships" name="20 RCC-003 MIAR Registry" sheetId="29" r:id="Rec849952bbd24599"/>
    <x:sheet xmlns:r="http://schemas.openxmlformats.org/officeDocument/2006/relationships" name="21 RCC-003 MIAR Review Log" sheetId="30" r:id="R88d4f90b0ffd4471"/>
    <x:sheet xmlns:r="http://schemas.openxmlformats.org/officeDocument/2006/relationships" name="22 RCC-004 Control Center" sheetId="31" r:id="Raff855d563f64bd2"/>
    <x:sheet xmlns:r="http://schemas.openxmlformats.org/officeDocument/2006/relationships" name="23 RCC-004 MASR Registry" sheetId="32" r:id="Ra223e216ccb74606"/>
    <x:sheet xmlns:r="http://schemas.openxmlformats.org/officeDocument/2006/relationships" name="24 RCC-004 Candidate Pipeline" sheetId="33" r:id="Rf82a3d55e3ca4a69"/>
    <x:sheet xmlns:r="http://schemas.openxmlformats.org/officeDocument/2006/relationships" name="25 App Audit Log" sheetId="34" r:id="RappAudit34"/>
  </x:sheets>
  <x:calcPr fullCalcOnLoad="1"/>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0.00%;[Red](0.00%);-"/>
    <x:numFmt numFmtId="201" formatCode="0.00%"/>
    <x:numFmt numFmtId="202" formatCode="yyyy-mm-dd"/>
    <x:numFmt numFmtId="203" formatCode="+0.00%;[Red](0.00%);-"/>
    <x:numFmt numFmtId="204" formatCode="mmm d, yyyy"/>
    <x:numFmt numFmtId="205" formatCode="+0.00;[Red](0.00);-"/>
    <x:numFmt numFmtId="206" formatCode="0;[Red](0);-"/>
    <x:numFmt numFmtId="207" formatCode="dddd, mmm d, yyyy"/>
    <x:numFmt numFmtId="208" formatCode="0.0%;[Red](0.0%);-"/>
    <x:numFmt numFmtId="209" formatCode="0.0&quot;x&quot;"/>
    <x:numFmt numFmtId="210" formatCode="0.0"/>
    <x:numFmt numFmtId="211" formatCode="0"/>
    <x:numFmt numFmtId="212" formatCode="mm/dd/yyyy"/>
    <x:numFmt numFmtId="213" formatCode="0.0;[Red](0.0);-"/>
    <x:numFmt numFmtId="214" formatCode="m/d/yyyy"/>
  </x:numFmts>
  <x:fonts count="103">
    <x:font>
      <x:sz val="11"/>
      <x:name val="Carlito"/>
    </x:font>
    <x:font>
      <x:b/>
      <x:sz val="16"/>
      <x:color rgb="FFFFFFFF"/>
      <x:name val="Carlito"/>
    </x:font>
    <x:font>
      <x:i/>
      <x:sz val="10"/>
      <x:color rgb="FFFFFFFF"/>
      <x:name val="Carlito"/>
    </x:font>
    <x:font>
      <x:b/>
      <x:sz val="11"/>
      <x:color rgb="FFFFFFFF"/>
      <x:name val="Carlito"/>
    </x:font>
    <x:font>
      <x:sz val="9"/>
      <x:name val="Carlito"/>
    </x:font>
    <x:font>
      <x:sz val="9"/>
      <x:color rgb="FF0000FF"/>
      <x:name val="Carlito"/>
    </x:font>
    <x:font>
      <x:sz val="9"/>
      <x:color rgb="FF000000"/>
      <x:name val="Carlito"/>
    </x:font>
    <x:font>
      <x:b/>
      <x:sz val="18"/>
      <x:color rgb="FFFFFFFF"/>
      <x:name val="Carlito"/>
    </x:font>
    <x:font>
      <x:b/>
      <x:sz val="11"/>
      <x:color rgb="FF000000"/>
      <x:name val="Carlito"/>
    </x:font>
    <x:font>
      <x:b/>
      <x:sz val="9"/>
      <x:color rgb="FF071D3A"/>
      <x:name val="Carlito"/>
    </x:font>
    <x:font>
      <x:b/>
      <x:sz val="14"/>
      <x:color rgb="FFFFFFFF"/>
      <x:name val="Carlito"/>
    </x:font>
    <x:font>
      <x:b/>
      <x:sz val="10"/>
      <x:color rgb="FF071D3A"/>
      <x:name val="Carlito"/>
    </x:font>
    <x:font>
      <x:i/>
      <x:sz val="9"/>
      <x:color rgb="FF071D3A"/>
      <x:name val="Carlito"/>
    </x:font>
    <x:font>
      <x:b/>
      <x:sz val="10"/>
      <x:color rgb="FFFFFFFF"/>
      <x:name val="Carlito"/>
    </x:font>
    <x:font>
      <x:b/>
      <x:sz val="12"/>
      <x:color rgb="FF071D3A"/>
      <x:name val="Carlito"/>
    </x:font>
    <x:font>
      <x:b/>
      <x:sz val="11"/>
      <x:color rgb="FF071D3A"/>
      <x:name val="Carlito"/>
    </x:font>
    <x:font>
      <x:sz val="9"/>
      <x:color rgb="FF10233F"/>
      <x:name val="Carlito"/>
    </x:font>
    <x:font>
      <x:b/>
      <x:sz val="24"/>
      <x:color rgb="FFD89B0D"/>
      <x:name val="Carlito"/>
    </x:font>
    <x:font>
      <x:b/>
      <x:sz val="10"/>
      <x:color rgb="FFD89B0D"/>
      <x:name val="Carlito"/>
    </x:font>
    <x:font>
      <x:b/>
      <x:sz val="20"/>
      <x:color rgb="FF138A4B"/>
      <x:name val="Carlito"/>
    </x:font>
    <x:font>
      <x:b/>
      <x:sz val="8"/>
      <x:color rgb="FF071D3A"/>
      <x:name val="Carlito"/>
    </x:font>
    <x:font>
      <x:b/>
      <x:sz val="9"/>
      <x:color rgb="FF10233F"/>
      <x:name val="Carlito"/>
    </x:font>
    <x:font>
      <x:b/>
      <x:sz val="38"/>
      <x:color rgb="FF138A4B"/>
      <x:name val="Carlito"/>
    </x:font>
    <x:font>
      <x:b/>
      <x:sz val="9"/>
      <x:color rgb="FF5E6B7A"/>
      <x:name val="Carlito"/>
    </x:font>
    <x:font>
      <x:b/>
      <x:sz val="14"/>
      <x:color rgb="FF138A4B"/>
      <x:name val="Carlito"/>
    </x:font>
    <x:font>
      <x:b/>
      <x:sz val="15"/>
      <x:color rgb="FF138A4B"/>
      <x:name val="Carlito"/>
    </x:font>
    <x:font>
      <x:sz val="10"/>
      <x:color rgb="FF10233F"/>
      <x:name val="Carlito"/>
    </x:font>
    <x:font>
      <x:sz val="8"/>
      <x:color rgb="FF10233F"/>
      <x:name val="Carlito"/>
    </x:font>
    <x:font>
      <x:i/>
      <x:sz val="8"/>
      <x:color rgb="FF071D3A"/>
      <x:name val="Carlito"/>
    </x:font>
    <x:font>
      <x:b/>
      <x:sz val="9"/>
      <x:color rgb="FFE67E22"/>
      <x:name val="Carlito"/>
    </x:font>
    <x:font>
      <x:b/>
      <x:sz val="8"/>
      <x:color rgb="FFFFFFFF"/>
      <x:name val="Carlito"/>
    </x:font>
    <x:font>
      <x:b/>
      <x:sz val="8"/>
      <x:color rgb="FF10233F"/>
      <x:name val="Carlito"/>
    </x:font>
    <x:font>
      <x:b/>
      <x:sz val="14"/>
      <x:color rgb="FF071D3A"/>
      <x:name val="Carlito"/>
    </x:font>
    <x:font>
      <x:b/>
      <x:sz val="20"/>
      <x:color rgb="FF071D3A"/>
      <x:name val="Carlito"/>
    </x:font>
    <x:font>
      <x:b/>
      <x:sz val="10"/>
      <x:color rgb="FF10233F"/>
      <x:name val="Carlito"/>
    </x:font>
    <x:font>
      <x:b/>
      <x:sz val="9"/>
      <x:color rgb="FFFFFFFF"/>
      <x:name val="Carlito"/>
    </x:font>
    <x:font>
      <x:b/>
      <x:sz val="7"/>
      <x:color rgb="FF10233F"/>
      <x:name val="Carlito"/>
    </x:font>
    <x:font>
      <x:i/>
      <x:sz val="9"/>
      <x:color rgb="FFFFFFFF"/>
      <x:name val="Carlito"/>
    </x:font>
    <x:font>
      <x:sz val="9"/>
      <x:color rgb="FF101828"/>
      <x:name val="Carlito"/>
    </x:font>
    <x:font>
      <x:sz val="9"/>
      <x:color rgb="FF008000"/>
      <x:name val="Carlito"/>
    </x:font>
    <x:font>
      <x:b/>
      <x:sz val="10"/>
      <x:color rgb="FF9A6700"/>
      <x:name val="Carlito"/>
    </x:font>
    <x:font>
      <x:sz val="9"/>
      <x:color rgb="FF071D3A"/>
      <x:name val="Carlito"/>
    </x:font>
    <x:font>
      <x:b/>
      <x:sz val="9"/>
      <x:color rgb="FF9A6700"/>
      <x:name val="Carlito"/>
    </x:font>
    <x:font>
      <x:b/>
      <x:sz val="18"/>
      <x:color rgb="FF9A6700"/>
      <x:name val="Carlito"/>
    </x:font>
    <x:font>
      <x:b/>
      <x:sz val="10"/>
      <x:color rgb="FF1B7F3A"/>
      <x:name val="Carlito"/>
    </x:font>
    <x:font>
      <x:b/>
      <x:sz val="16"/>
      <x:color rgb="FF071D3A"/>
      <x:name val="Carlito"/>
    </x:font>
    <x:font>
      <x:i/>
      <x:sz val="8"/>
      <x:color rgb="FF667085"/>
      <x:name val="Carlito"/>
    </x:font>
    <x:font>
      <x:b/>
      <x:sz val="12"/>
      <x:color rgb="FFD7A928"/>
      <x:name val="Carlito"/>
    </x:font>
    <x:font>
      <x:sz val="11"/>
      <x:color rgb="FF1F2937"/>
      <x:name val="Carlito"/>
    </x:font>
    <x:font>
      <x:sz val="10"/>
      <x:color rgb="FF1F2937"/>
      <x:name val="Carlito"/>
    </x:font>
    <x:font>
      <x:b/>
      <x:sz val="10"/>
      <x:color rgb="FF08264A"/>
      <x:name val="Carlito"/>
    </x:font>
    <x:font>
      <x:b/>
      <x:sz val="10"/>
      <x:color rgb="FF1F6D3A"/>
      <x:name val="Carlito"/>
    </x:font>
    <x:font>
      <x:b/>
      <x:sz val="9"/>
      <x:color rgb="FFD7A928"/>
      <x:name val="Carlito"/>
    </x:font>
    <x:font>
      <x:sz val="9"/>
      <x:color rgb="FF1F2937"/>
      <x:name val="Carlito"/>
    </x:font>
    <x:font>
      <x:b/>
      <x:sz val="11"/>
      <x:color rgb="FFD89B0D"/>
      <x:name val="Carlito"/>
    </x:font>
    <x:font>
      <x:b/>
      <x:sz val="16"/>
      <x:color rgb="FF9A6700"/>
      <x:name val="Carlito"/>
    </x:font>
    <x:font>
      <x:b/>
      <x:sz val="24"/>
      <x:color rgb="FF1B7F3A"/>
      <x:name val="Carlito"/>
    </x:font>
    <x:font>
      <x:b/>
      <x:sz val="15"/>
      <x:color rgb="FF1B7F3A"/>
      <x:name val="Carlito"/>
    </x:font>
    <x:font>
      <x:b/>
      <x:sz val="24"/>
      <x:color rgb="FFB42318"/>
      <x:name val="Carlito"/>
    </x:font>
    <x:font>
      <x:b/>
      <x:sz val="10"/>
      <x:color rgb="FF17365D"/>
      <x:name val="Carlito"/>
    </x:font>
    <x:font>
      <x:b/>
      <x:sz val="9"/>
      <x:color rgb="FF475467"/>
      <x:name val="Carlito"/>
    </x:font>
    <x:font>
      <x:b/>
      <x:sz val="14"/>
      <x:color rgb="FF17365D"/>
      <x:name val="Carlito"/>
    </x:font>
    <x:font>
      <x:b/>
      <x:sz val="24"/>
      <x:color rgb="FF008000"/>
      <x:name val="Carlito"/>
    </x:font>
    <x:font>
      <x:b/>
      <x:sz val="15"/>
      <x:color rgb="FF008000"/>
      <x:name val="Carlito"/>
    </x:font>
    <x:font>
      <x:b/>
      <x:sz val="10"/>
      <x:color rgb="FF008000"/>
      <x:name val="Carlito"/>
    </x:font>
    <x:font>
      <x:b/>
      <x:sz val="9"/>
      <x:color rgb="FF1B7F3A"/>
      <x:name val="Carlito"/>
    </x:font>
    <x:font>
      <x:i/>
      <x:sz val="9"/>
      <x:color rgb="FF101828"/>
      <x:name val="Carlito"/>
    </x:font>
    <x:font>
      <x:b/>
      <x:sz val="10"/>
      <x:color rgb="FFF2C14E"/>
      <x:name val="Carlito"/>
    </x:font>
    <x:font>
      <x:b/>
      <x:sz val="9"/>
      <x:color rgb="FF101828"/>
      <x:name val="Carlito"/>
    </x:font>
    <x:font>
      <x:b/>
      <x:sz val="12"/>
      <x:color rgb="FF1B7F3A"/>
      <x:name val="Carlito"/>
    </x:font>
    <x:font>
      <x:b/>
      <x:sz val="20"/>
      <x:color rgb="FF1B7F3A"/>
      <x:name val="Carlito"/>
    </x:font>
    <x:font>
      <x:b/>
      <x:sz val="13"/>
      <x:color rgb="FF9A6700"/>
      <x:name val="Carlito"/>
    </x:font>
    <x:font>
      <x:b/>
      <x:sz val="18"/>
      <x:color rgb="FF1B7F3A"/>
      <x:name val="Carlito"/>
    </x:font>
    <x:font>
      <x:sz val="8"/>
      <x:color rgb="FF101828"/>
      <x:name val="Carlito"/>
    </x:font>
    <x:font>
      <x:sz val="11"/>
      <x:color rgb="FFFFFFFF"/>
      <x:name val="Carlito"/>
    </x:font>
    <x:font>
      <x:sz val="11"/>
      <x:color rgb="FF101828"/>
      <x:name val="Carlito"/>
    </x:font>
    <x:font>
      <x:b/>
      <x:sz val="11"/>
      <x:color rgb="FFF2C14E"/>
      <x:name val="Carlito"/>
    </x:font>
    <x:font>
      <x:i/>
      <x:sz val="11"/>
      <x:color rgb="FF101828"/>
      <x:name val="Carlito"/>
    </x:font>
    <x:font>
      <x:b/>
      <x:sz val="11"/>
      <x:color rgb="FF1B7F3A"/>
      <x:name val="Carlito"/>
    </x:font>
    <x:font>
      <x:b/>
      <x:sz val="11"/>
      <x:color rgb="FFC88700"/>
      <x:name val="Carlito"/>
    </x:font>
    <x:font>
      <x:b/>
      <x:sz val="11"/>
      <x:color rgb="FFC00000"/>
      <x:name val="Carlito"/>
    </x:font>
    <x:font>
      <x:b/>
      <x:sz val="11"/>
      <x:color rgb="FF101828"/>
      <x:name val="Carlito"/>
    </x:font>
    <x:font>
      <x:b/>
      <x:sz val="11"/>
      <x:color rgb="FF006100"/>
      <x:name val="Carlito"/>
    </x:font>
    <x:font>
      <x:sz val="11"/>
      <x:color rgb="FF006100"/>
      <x:name val="Carlito"/>
    </x:font>
    <x:font>
      <x:b/>
      <x:sz val="11"/>
      <x:color rgb="FF0B274B"/>
      <x:name val="Carlito"/>
    </x:font>
    <x:font>
      <x:sz val="11"/>
      <x:color rgb="FF0000FF"/>
      <x:name val="Carlito"/>
    </x:font>
    <x:font>
      <x:sz val="11"/>
      <x:color rgb="FF008000"/>
      <x:name val="Carlito"/>
    </x:font>
    <x:font>
      <x:sz val="10"/>
      <x:color rgb="FF101828"/>
      <x:name val="Carlito"/>
    </x:font>
    <x:font>
      <x:b/>
      <x:sz val="12"/>
      <x:color rgb="FFFFFFFF"/>
      <x:name val="Carlito"/>
    </x:font>
    <x:font>
      <x:i/>
      <x:sz val="10"/>
      <x:color rgb="FF667085"/>
      <x:name val="Carlito"/>
    </x:font>
    <x:font>
      <x:b/>
      <x:sz val="14"/>
      <x:color rgb="FF1B7F3A"/>
      <x:name val="Carlito"/>
    </x:font>
    <x:font>
      <x:b/>
      <x:sz val="14"/>
      <x:color rgb="FFC00000"/>
      <x:name val="Carlito"/>
    </x:font>
    <x:font>
      <x:b/>
      <x:sz val="11"/>
      <x:color rgb="FFC27C0E"/>
      <x:name val="Carlito"/>
    </x:font>
    <x:font>
      <x:b/>
      <x:sz val="11"/>
      <x:color rgb="FFE2F0D9"/>
      <x:name val="Carlito"/>
    </x:font>
    <x:font>
      <x:b/>
      <x:sz val="10"/>
      <x:color rgb="FF101828"/>
      <x:name val="Carlito"/>
    </x:font>
    <x:font>
      <x:i/>
      <x:sz val="10"/>
      <x:color rgb="FF101828"/>
      <x:name val="Carlito"/>
    </x:font>
    <x:font>
      <x:b/>
      <x:sz val="10"/>
      <x:color rgb="FFE2F0D9"/>
      <x:name val="Carlito"/>
    </x:font>
    <x:font>
      <x:i/>
      <x:sz val="11"/>
      <x:color rgb="FF667085"/>
      <x:name val="Carlito"/>
    </x:font>
    <x:font>
      <x:sz val="10"/>
      <x:color rgb="FF0000FF"/>
      <x:name val="Carlito"/>
    </x:font>
    <x:font>
      <x:sz val="10"/>
      <x:color rgb="FF008000"/>
      <x:name val="Carlito"/>
    </x:font>
    <x:font>
      <x:b/>
      <x:sz val="9"/>
      <x:color rgb="FFC27C0E"/>
      <x:name val="Carlito"/>
    </x:font>
    <x:font>
      <x:b/>
      <x:sz val="9"/>
      <x:color rgb="FF006100"/>
      <x:name val="Carlito"/>
    </x:font>
    <x:font>
      <x:b/>
      <x:sz val="10"/>
      <x:color rgb="FFC27C0E"/>
      <x:name val="Carlito"/>
    </x:font>
  </x:fonts>
  <x:fills count="64">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C9A227"/>
      </x:patternFill>
    </x:fill>
    <x:fill>
      <x:patternFill patternType="solid">
        <x:fgColor rgb="FFD9EAF7"/>
      </x:patternFill>
    </x:fill>
    <x:fill>
      <x:patternFill patternType="solid">
        <x:fgColor rgb="FFEAF1F8"/>
      </x:patternFill>
    </x:fill>
    <x:fill>
      <x:patternFill patternType="solid">
        <x:fgColor rgb="FFFFF6D6"/>
      </x:patternFill>
    </x:fill>
    <x:fill>
      <x:patternFill patternType="solid">
        <x:fgColor rgb="FF071D3A"/>
      </x:patternFill>
    </x:fill>
    <x:fill>
      <x:patternFill patternType="solid">
        <x:fgColor rgb="FFD89B0D"/>
      </x:patternFill>
    </x:fill>
    <x:fill>
      <x:patternFill patternType="solid">
        <x:fgColor rgb="FFF4F7FB"/>
      </x:patternFill>
    </x:fill>
    <x:fill>
      <x:patternFill patternType="solid">
        <x:fgColor rgb="FF0D2B52"/>
      </x:patternFill>
    </x:fill>
    <x:fill>
      <x:patternFill patternType="solid">
        <x:fgColor rgb="FFFFFFFF"/>
      </x:patternFill>
    </x:fill>
    <x:fill>
      <x:patternFill patternType="solid">
        <x:fgColor rgb="FFE9F7EF"/>
      </x:patternFill>
    </x:fill>
    <x:fill>
      <x:patternFill patternType="solid">
        <x:fgColor rgb="FFFCEAD8"/>
      </x:patternFill>
    </x:fill>
    <x:fill>
      <x:patternFill patternType="solid">
        <x:fgColor rgb="FF071D3A"/>
      </x:patternFill>
    </x:fill>
    <x:fill>
      <x:patternFill patternType="solid">
        <x:fgColor rgb="FF0B274B"/>
      </x:patternFill>
    </x:fill>
    <x:fill>
      <x:patternFill patternType="solid">
        <x:fgColor rgb="FF17365D"/>
      </x:patternFill>
    </x:fill>
    <x:fill>
      <x:patternFill patternType="solid">
        <x:fgColor rgb="FFFFF2CC"/>
      </x:patternFill>
    </x:fill>
    <x:fill>
      <x:patternFill patternType="solid">
        <x:fgColor rgb="FFD9E6F2"/>
      </x:patternFill>
    </x:fill>
    <x:fill>
      <x:patternFill patternType="solid">
        <x:fgColor rgb="FFFFF4D6"/>
      </x:patternFill>
    </x:fill>
    <x:fill>
      <x:patternFill patternType="solid">
        <x:fgColor rgb="FFEAF1F8"/>
      </x:patternFill>
    </x:fill>
    <x:fill>
      <x:patternFill patternType="solid">
        <x:fgColor rgb="FFF4F8FC"/>
      </x:patternFill>
    </x:fill>
    <x:fill>
      <x:patternFill patternType="solid">
        <x:fgColor rgb="FFEAF6EE"/>
      </x:patternFill>
    </x:fill>
    <x:fill>
      <x:patternFill patternType="solid">
        <x:fgColor rgb="FFFFFFFF"/>
      </x:patternFill>
    </x:fill>
    <x:fill>
      <x:patternFill patternType="solid">
        <x:fgColor rgb="FFF2F4F7"/>
      </x:patternFill>
    </x:fill>
    <x:fill>
      <x:patternFill patternType="solid">
        <x:fgColor rgb="FF08264A"/>
      </x:patternFill>
    </x:fill>
    <x:fill>
      <x:patternFill patternType="solid">
        <x:fgColor rgb="FF173F6D"/>
      </x:patternFill>
    </x:fill>
    <x:fill>
      <x:patternFill patternType="solid">
        <x:fgColor rgb="FFEAF1F8"/>
      </x:patternFill>
    </x:fill>
    <x:fill>
      <x:patternFill patternType="solid">
        <x:fgColor rgb="FFFFFFFF"/>
      </x:patternFill>
    </x:fill>
    <x:fill>
      <x:patternFill patternType="solid">
        <x:fgColor rgb="FFF3F5F7"/>
      </x:patternFill>
    </x:fill>
    <x:fill>
      <x:patternFill patternType="solid">
        <x:fgColor rgb="FFFFF4CC"/>
      </x:patternFill>
    </x:fill>
    <x:fill>
      <x:patternFill patternType="solid">
        <x:fgColor rgb="FFE8F5E9"/>
      </x:patternFill>
    </x:fill>
    <x:fill>
      <x:patternFill patternType="solid">
        <x:fgColor rgb="FFD9EAF7"/>
      </x:patternFill>
    </x:fill>
    <x:fill>
      <x:patternFill patternType="solid">
        <x:fgColor rgb="FFFFFFFF"/>
      </x:patternFill>
    </x:fill>
    <x:fill>
      <x:patternFill patternType="solid">
        <x:fgColor rgb="FF071D3A"/>
      </x:patternFill>
    </x:fill>
    <x:fill>
      <x:patternFill patternType="solid">
        <x:fgColor rgb="FF0B274B"/>
      </x:patternFill>
    </x:fill>
    <x:fill>
      <x:patternFill patternType="solid">
        <x:fgColor rgb="FF17365D"/>
      </x:patternFill>
    </x:fill>
    <x:fill>
      <x:patternFill patternType="solid">
        <x:fgColor rgb="FFFFF4D6"/>
      </x:patternFill>
    </x:fill>
    <x:fill>
      <x:patternFill patternType="solid">
        <x:fgColor rgb="FFF3F6F9"/>
      </x:patternFill>
    </x:fill>
    <x:fill>
      <x:patternFill patternType="solid">
        <x:fgColor rgb="FFEAF6EE"/>
      </x:patternFill>
    </x:fill>
    <x:fill>
      <x:patternFill patternType="solid">
        <x:fgColor rgb="FFFDECEC"/>
      </x:patternFill>
    </x:fill>
    <x:fill>
      <x:patternFill patternType="solid">
        <x:fgColor rgb="FFEAF2F8"/>
      </x:patternFill>
    </x:fill>
    <x:fill>
      <x:patternFill patternType="solid">
        <x:fgColor rgb="FF0B274B"/>
      </x:patternFill>
    </x:fill>
    <x:fill>
      <x:patternFill patternType="solid">
        <x:fgColor rgb="FFEAF2F8"/>
      </x:patternFill>
    </x:fill>
    <x:fill>
      <x:patternFill patternType="solid">
        <x:fgColor rgb="FF17365D"/>
      </x:patternFill>
    </x:fill>
    <x:fill>
      <x:patternFill patternType="solid">
        <x:fgColor rgb="FFF3F6F9"/>
      </x:patternFill>
    </x:fill>
    <x:fill>
      <x:patternFill patternType="solid">
        <x:fgColor rgb="FFEAF6EE"/>
      </x:patternFill>
    </x:fill>
    <x:fill>
      <x:patternFill patternType="solid">
        <x:fgColor rgb="FFFFF4D6"/>
      </x:patternFill>
    </x:fill>
    <x:fill>
      <x:patternFill patternType="solid">
        <x:fgColor rgb="FFFFFFFF"/>
      </x:patternFill>
    </x:fill>
    <x:fill>
      <x:patternFill patternType="solid">
        <x:fgColor rgb="FFFFF9D6"/>
      </x:patternFill>
    </x:fill>
    <x:fill>
      <x:patternFill patternType="solid">
        <x:fgColor rgb="FF0B274B"/>
      </x:patternFill>
    </x:fill>
    <x:fill>
      <x:patternFill patternType="solid">
        <x:fgColor rgb="FFF3F6F9"/>
      </x:patternFill>
    </x:fill>
    <x:fill>
      <x:patternFill patternType="solid">
        <x:fgColor rgb="FF17365D"/>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0B274B"/>
      </x:patternFill>
    </x:fill>
    <x:fill>
      <x:patternFill patternType="solid">
        <x:fgColor rgb="FF17365D"/>
      </x:patternFill>
    </x:fill>
    <x:fill>
      <x:patternFill patternType="solid">
        <x:fgColor rgb="FFEAF2F8"/>
      </x:patternFill>
    </x:fill>
    <x:fill>
      <x:patternFill patternType="solid">
        <x:fgColor rgb="FFF3F6F9"/>
      </x:patternFill>
    </x:fill>
    <x:fill>
      <x:patternFill patternType="solid">
        <x:fgColor rgb="FFFFF2CC"/>
      </x:patternFill>
    </x:fill>
    <x:fill>
      <x:patternFill patternType="solid">
        <x:fgColor rgb="FFE2F0D9"/>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12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x:xf numFmtId="0" fontId="4"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0" fillId="0" borderId="0" xfId="0" applyNumberFormat="1" applyFont="1" applyFill="1" applyBorder="1"/>
    <x:xf numFmtId="200" fontId="4" fillId="0" borderId="1" xfId="0" applyNumberFormat="1" applyFont="1" applyFill="1" applyBorder="1" applyAlignment="1">
      <x:alignment vertical="center"/>
    </x:xf>
    <x:xf numFmtId="200" fontId="0" fillId="0" borderId="1" xfId="0" applyNumberFormat="1" applyFont="1" applyFill="1" applyBorder="1"/>
    <x:xf numFmtId="200" fontId="4"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4" fillId="4" borderId="1" xfId="0" applyNumberFormat="1" applyFont="1" applyFill="1" applyBorder="1" applyAlignment="1">
      <x:alignment vertical="center"/>
    </x:xf>
    <x:xf numFmtId="200" fontId="5" fillId="4" borderId="1" xfId="0" applyNumberFormat="1" applyFont="1" applyFill="1" applyBorder="1" applyAlignment="1">
      <x:alignment vertical="center"/>
    </x:xf>
    <x:xf numFmtId="200" fontId="6" fillId="0" borderId="0" xfId="0" applyNumberFormat="1" applyFont="1" applyFill="1" applyBorder="1" applyAlignment="1">
      <x:alignment vertical="center"/>
    </x:xf>
    <x:xf numFmtId="200" fontId="6" fillId="0" borderId="1" xfId="0" applyNumberFormat="1" applyFont="1" applyFill="1" applyBorder="1" applyAlignment="1">
      <x:alignment vertical="center"/>
    </x:xf>
    <x:xf numFmtId="200" fontId="0" fillId="2" borderId="0" xfId="0" applyNumberFormat="1" applyFont="1" applyFill="1" applyBorder="1"/>
    <x:xf numFmtId="200" fontId="3" fillId="2" borderId="0" xfId="0" applyNumberFormat="1" applyFont="1" applyFill="1" applyBorder="1"/>
    <x:xf numFmtId="200" fontId="0" fillId="2" borderId="1" xfId="0" applyNumberFormat="1" applyFont="1" applyFill="1" applyBorder="1"/>
    <x:xf numFmtId="200" fontId="3" fillId="2" borderId="1"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3" fillId="2"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200" fontId="6" fillId="0" borderId="1" xfId="0" applyNumberFormat="1" applyFont="1" applyFill="1" applyBorder="1" applyAlignment="1">
      <x:alignment vertical="center" wrapText="1"/>
    </x:xf>
    <x:xf numFmtId="200" fontId="5" fillId="4"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0" fillId="0" borderId="1" xfId="0" applyNumberFormat="1" applyFont="1" applyFill="1" applyBorder="1" applyAlignment="1">
      <x:alignment wrapText="1"/>
    </x:xf>
    <x:xf numFmtId="200" fontId="3" fillId="2" borderId="1" xfId="0" applyNumberFormat="1" applyFont="1" applyFill="1" applyBorder="1" applyAlignment="1">
      <x:alignment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x:xf numFmtId="0" fontId="3" fillId="3" borderId="1" xfId="0" applyNumberFormat="1" applyFont="1" applyFill="1" applyBorder="1" applyAlignment="1">
      <x:alignment horizontal="center"/>
    </x:xf>
    <x:xf numFmtId="201" fontId="0" fillId="0" borderId="0" xfId="0" applyNumberFormat="1" applyFont="1" applyFill="1" applyBorder="1"/>
    <x:xf numFmtId="201" fontId="3" fillId="2" borderId="0" xfId="0" applyNumberFormat="1" applyFont="1" applyFill="1" applyBorder="1"/>
    <x:xf numFmtId="201" fontId="0" fillId="0" borderId="1" xfId="0" applyNumberFormat="1" applyFont="1" applyFill="1" applyBorder="1"/>
    <x:xf numFmtId="201" fontId="3" fillId="2" borderId="1"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horizontal="center"/>
    </x:xf>
    <x:xf numFmtId="0" fontId="0"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horizont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horizontal="center" wrapText="1"/>
    </x:xf>
    <x:xf numFmtId="0" fontId="9" fillId="7"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3" fillId="7" borderId="0" xfId="0" applyNumberFormat="1" applyFont="1" applyFill="1" applyBorder="1" applyAlignment="1">
      <x:alignment horizontal="center" wrapText="1"/>
    </x:xf>
    <x:xf numFmtId="200" fontId="5" fillId="8" borderId="0" xfId="0" applyNumberFormat="1" applyFont="1" applyFill="1" applyBorder="1" applyAlignment="1">
      <x:alignment vertical="center" wrapText="1"/>
    </x:xf>
    <x:xf numFmtId="203" fontId="4" fillId="0"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3" fillId="2" borderId="0" xfId="0" applyNumberFormat="1" applyFont="1" applyFill="1" applyBorder="1" applyAlignment="1">
      <x:alignment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left"/>
    </x:xf>
    <x:xf numFmtId="0" fontId="10" fillId="9" borderId="0" xfId="0" applyNumberFormat="1" applyFont="1" applyFill="1" applyBorder="1" applyAlignment="1">
      <x:alignment horizontal="lef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horizontal="left"/>
    </x:xf>
    <x:xf numFmtId="0" fontId="11" fillId="10" borderId="0" xfId="0" applyNumberFormat="1" applyFont="1" applyFill="1" applyBorder="1" applyAlignment="1">
      <x:alignment horizontal="left" vertical="center"/>
    </x:xf>
    <x:xf numFmtId="0" fontId="0" fillId="11" borderId="0" xfId="0" applyNumberFormat="1" applyFont="1" applyFill="1" applyBorder="1"/>
    <x:xf numFmtId="0" fontId="9" fillId="11" borderId="0" xfId="0" applyNumberFormat="1" applyFont="1" applyFill="1" applyBorder="1"/>
    <x:xf numFmtId="204" fontId="5" fillId="8" borderId="0" xfId="0" applyNumberFormat="1" applyFont="1" applyFill="1" applyBorder="1" applyAlignment="1">
      <x:alignment vertical="center"/>
    </x:xf>
    <x:xf numFmtId="205" fontId="5" fillId="8" borderId="0" xfId="0" applyNumberFormat="1" applyFont="1" applyFill="1" applyBorder="1" applyAlignment="1">
      <x:alignment vertical="center"/>
    </x:xf>
    <x:xf numFmtId="200" fontId="5" fillId="8"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vertical="center"/>
    </x:xf>
    <x:xf numFmtId="205" fontId="6" fillId="0" borderId="0" xfId="0" applyNumberFormat="1" applyFont="1" applyFill="1" applyBorder="1" applyAlignment="1">
      <x:alignment vertical="center"/>
    </x:xf>
    <x:xf numFmtId="200" fontId="9" fillId="7" borderId="0" xfId="0" applyNumberFormat="1" applyFont="1" applyFill="1" applyBorder="1"/>
    <x:xf numFmtId="205" fontId="9" fillId="7" borderId="0" xfId="0" applyNumberFormat="1" applyFont="1" applyFill="1" applyBorder="1"/>
    <x:xf numFmtId="0" fontId="5" fillId="8" borderId="0" xfId="0" applyNumberFormat="1" applyFont="1" applyFill="1" applyBorder="1" applyAlignment="1">
      <x:alignment vertical="center" wrapText="1"/>
    </x:xf>
    <x:xf numFmtId="205" fontId="0" fillId="0" borderId="0" xfId="0" applyNumberFormat="1" applyFont="1" applyFill="1" applyBorder="1"/>
    <x:xf numFmtId="205" fontId="0" fillId="8" borderId="0" xfId="0" applyNumberFormat="1" applyFont="1" applyFill="1" applyBorder="1"/>
    <x:xf numFmtId="205" fontId="5"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horizontal="center"/>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horizontal="left"/>
    </x:xf>
    <x:xf numFmtId="0" fontId="13" fillId="12" borderId="0" xfId="0" applyNumberFormat="1" applyFont="1" applyFill="1" applyBorder="1" applyAlignment="1">
      <x:alignment horizontal="left" vertical="center"/>
    </x:xf>
    <x:xf numFmtId="0" fontId="10" fillId="9" borderId="0" xfId="0" applyNumberFormat="1" applyFont="1" applyFill="1" applyBorder="1" applyAlignment="1">
      <x:alignment horizontal="left" vertical="center" wrapText="1"/>
    </x:xf>
    <x:xf numFmtId="0" fontId="11" fillId="10" borderId="0" xfId="0" applyNumberFormat="1" applyFont="1" applyFill="1" applyBorder="1" applyAlignment="1">
      <x:alignment horizontal="left" vertical="center" wrapText="1"/>
    </x:xf>
    <x:xf numFmtId="0" fontId="13" fillId="12" borderId="0" xfId="0" applyNumberFormat="1" applyFont="1" applyFill="1" applyBorder="1" applyAlignment="1">
      <x:alignment horizontal="left" vertical="center" wrapText="1"/>
    </x:xf>
    <x:xf numFmtId="204" fontId="5" fillId="8" borderId="0" xfId="0" applyNumberFormat="1" applyFont="1" applyFill="1" applyBorder="1" applyAlignment="1">
      <x:alignment vertical="center" wrapText="1"/>
    </x:xf>
    <x:xf numFmtId="0" fontId="14" fillId="10" borderId="0" xfId="0" applyNumberFormat="1" applyFont="1" applyFill="1" applyBorder="1"/>
    <x:xf numFmtId="0" fontId="14" fillId="10" borderId="0" xfId="0" applyNumberFormat="1" applyFont="1" applyFill="1" applyBorder="1" applyAlignment="1">
      <x:alignment horizontal="center"/>
    </x:xf>
    <x:xf numFmtId="0" fontId="14" fillId="10" borderId="0" xfId="0" applyNumberFormat="1" applyFont="1" applyFill="1" applyBorder="1" applyAlignment="1">
      <x:alignment horizontal="center" vertical="center"/>
    </x:xf>
    <x:xf numFmtId="206" fontId="0" fillId="0" borderId="0" xfId="0" applyNumberFormat="1" applyFont="1" applyFill="1" applyBorder="1"/>
    <x:xf numFmtId="200" fontId="6" fillId="0" borderId="0" xfId="0" applyNumberFormat="1" applyFont="1" applyFill="1" applyBorder="1"/>
    <x:xf numFmtId="206" fontId="6" fillId="0" borderId="0" xfId="0" applyNumberFormat="1" applyFont="1" applyFill="1" applyBorder="1"/>
    <x:xf numFmtId="206"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6" fontId="6" fillId="0" borderId="0" xfId="0" applyNumberFormat="1" applyFont="1" applyFill="1" applyBorder="1" applyAlignment="1">
      <x:alignment vertical="center" wrapText="1"/>
    </x:xf>
    <x:xf numFmtId="204" fontId="0" fillId="0" borderId="0" xfId="0" applyNumberFormat="1" applyFont="1" applyFill="1" applyBorder="1"/>
    <x:xf numFmtId="204" fontId="0" fillId="0" borderId="0" xfId="0" applyNumberFormat="1" applyFont="1" applyFill="1" applyBorder="1" applyAlignment="1">
      <x:alignment wrapText="1"/>
    </x:xf>
    <x:xf numFmtId="0" fontId="14" fillId="10" borderId="0" xfId="0" applyNumberFormat="1" applyFont="1" applyFill="1" applyBorder="1" applyAlignment="1">
      <x:alignment horizontal="center" vertical="center" wrapText="1"/>
    </x:xf>
    <x:xf numFmtId="0" fontId="9" fillId="11" borderId="0" xfId="0" applyNumberFormat="1" applyFont="1" applyFill="1" applyBorder="1" applyAlignment="1">
      <x:alignment wrapText="1"/>
    </x:xf>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13" borderId="0" xfId="0" applyNumberFormat="1" applyFont="1" applyFill="1" applyBorder="1"/>
    <x:xf numFmtId="0" fontId="16" fillId="13" borderId="0" xfId="0" applyNumberFormat="1" applyFont="1" applyFill="1" applyBorder="1"/>
    <x:xf numFmtId="0" fontId="16" fillId="13" borderId="0" xfId="0" applyNumberFormat="1" applyFont="1" applyFill="1" applyBorder="1" applyAlignment="1">
      <x:alignment vertical="center"/>
    </x:xf>
    <x:xf numFmtId="0" fontId="16" fillId="9" borderId="0" xfId="0" applyNumberFormat="1" applyFont="1" applyFill="1" applyBorder="1" applyAlignment="1">
      <x:alignment vertical="center"/>
    </x:xf>
    <x:xf numFmtId="0" fontId="17" fillId="9" borderId="0" xfId="0" applyNumberFormat="1" applyFont="1" applyFill="1" applyBorder="1" applyAlignment="1">
      <x:alignment vertical="center"/>
    </x:xf>
    <x:xf numFmtId="0" fontId="17" fillId="9" borderId="0" xfId="0" applyNumberFormat="1" applyFont="1" applyFill="1" applyBorder="1" applyAlignment="1">
      <x:alignment horizontal="center" vertical="center"/>
    </x:xf>
    <x:xf numFmtId="0" fontId="7" fillId="9" borderId="0" xfId="0" applyNumberFormat="1" applyFont="1" applyFill="1" applyBorder="1" applyAlignment="1">
      <x:alignment vertical="center"/>
    </x:xf>
    <x:xf numFmtId="0" fontId="7" fillId="9" borderId="0" xfId="0" applyNumberFormat="1" applyFont="1" applyFill="1" applyBorder="1" applyAlignment="1">
      <x:alignment horizontal="left" vertical="center"/>
    </x:xf>
    <x:xf numFmtId="0" fontId="18" fillId="9" borderId="0" xfId="0" applyNumberFormat="1" applyFont="1" applyFill="1" applyBorder="1" applyAlignment="1">
      <x:alignment vertical="center"/>
    </x:xf>
    <x:xf numFmtId="0" fontId="18" fillId="9" borderId="0" xfId="0" applyNumberFormat="1" applyFont="1" applyFill="1" applyBorder="1" applyAlignment="1">
      <x:alignment horizontal="left" vertical="center"/>
    </x:xf>
    <x:xf numFmtId="0" fontId="13" fillId="9" borderId="0" xfId="0" applyNumberFormat="1" applyFont="1" applyFill="1" applyBorder="1" applyAlignment="1">
      <x:alignment vertical="center"/>
    </x:xf>
    <x:xf numFmtId="0" fontId="13" fillId="9" borderId="0" xfId="0" applyNumberFormat="1" applyFont="1" applyFill="1" applyBorder="1" applyAlignment="1">
      <x:alignment horizontal="center" vertical="center"/>
    </x:xf>
    <x:xf numFmtId="207" fontId="13" fillId="9" borderId="0" xfId="0" applyNumberFormat="1" applyFont="1" applyFill="1" applyBorder="1" applyAlignment="1">
      <x:alignment horizontal="center" vertical="center"/>
    </x:xf>
    <x:xf numFmtId="0" fontId="13" fillId="9" borderId="0" xfId="0" applyNumberFormat="1" applyFont="1" applyFill="1" applyBorder="1" applyAlignment="1">
      <x:alignment vertical="center" wrapText="1"/>
    </x:xf>
    <x:xf numFmtId="0" fontId="13" fillId="9" borderId="0" xfId="0" applyNumberFormat="1" applyFont="1" applyFill="1" applyBorder="1" applyAlignment="1">
      <x:alignment horizontal="center" vertical="center" wrapText="1"/>
    </x:xf>
    <x:xf numFmtId="0" fontId="11" fillId="13" borderId="0" xfId="0" applyNumberFormat="1" applyFont="1" applyFill="1" applyBorder="1" applyAlignment="1">
      <x:alignment vertical="center"/>
    </x:xf>
    <x:xf numFmtId="0" fontId="11" fillId="13" borderId="0" xfId="0" applyNumberFormat="1" applyFont="1" applyFill="1" applyBorder="1" applyAlignment="1">
      <x:alignment horizontal="center" vertical="center"/>
    </x:xf>
    <x:xf numFmtId="0" fontId="16" fillId="11" borderId="0" xfId="0" applyNumberFormat="1" applyFont="1" applyFill="1" applyBorder="1" applyAlignment="1">
      <x:alignment vertical="center"/>
    </x:xf>
    <x:xf numFmtId="0" fontId="19" fillId="11" borderId="0" xfId="0" applyNumberFormat="1" applyFont="1" applyFill="1" applyBorder="1" applyAlignment="1">
      <x:alignment vertical="center"/>
    </x:xf>
    <x:xf numFmtId="0" fontId="19" fillId="11" borderId="0" xfId="0" applyNumberFormat="1" applyFont="1" applyFill="1" applyBorder="1" applyAlignment="1">
      <x:alignment horizontal="center" vertical="center"/>
    </x:xf>
    <x:xf numFmtId="205" fontId="19" fillId="11" borderId="0" xfId="0" applyNumberFormat="1" applyFont="1" applyFill="1" applyBorder="1" applyAlignment="1">
      <x:alignment horizontal="center" vertical="center"/>
    </x:xf>
    <x:xf numFmtId="0" fontId="16" fillId="7" borderId="0" xfId="0" applyNumberFormat="1" applyFont="1" applyFill="1" applyBorder="1" applyAlignment="1">
      <x:alignment vertical="center"/>
    </x:xf>
    <x:xf numFmtId="0" fontId="20" fillId="7" borderId="0" xfId="0" applyNumberFormat="1" applyFont="1" applyFill="1" applyBorder="1" applyAlignment="1">
      <x:alignment vertical="center"/>
    </x:xf>
    <x:xf numFmtId="0" fontId="21" fillId="13" borderId="0" xfId="0" applyNumberFormat="1" applyFont="1" applyFill="1" applyBorder="1" applyAlignment="1">
      <x:alignment vertical="center"/>
    </x:xf>
    <x:xf numFmtId="0" fontId="21" fillId="13" borderId="0" xfId="0" applyNumberFormat="1" applyFont="1" applyFill="1" applyBorder="1" applyAlignment="1">
      <x:alignment horizontal="center" vertical="center"/>
    </x:xf>
    <x:xf numFmtId="205" fontId="21" fillId="13" borderId="0" xfId="0" applyNumberFormat="1" applyFont="1" applyFill="1" applyBorder="1" applyAlignment="1">
      <x:alignment horizontal="center" vertical="center"/>
    </x:xf>
    <x:xf numFmtId="200" fontId="21" fillId="13" borderId="0" xfId="0" applyNumberFormat="1" applyFont="1" applyFill="1" applyBorder="1" applyAlignment="1">
      <x:alignment horizontal="center" vertical="center"/>
    </x:xf>
    <x:xf numFmtId="0" fontId="22" fillId="11" borderId="0" xfId="0" applyNumberFormat="1" applyFont="1" applyFill="1" applyBorder="1" applyAlignment="1">
      <x:alignment vertical="center"/>
    </x:xf>
    <x:xf numFmtId="0" fontId="22" fillId="11" borderId="0" xfId="0" applyNumberFormat="1" applyFont="1" applyFill="1" applyBorder="1" applyAlignment="1">
      <x:alignment horizontal="center" vertical="center"/>
    </x:xf>
    <x:xf numFmtId="0" fontId="23" fillId="13" borderId="0" xfId="0" applyNumberFormat="1" applyFont="1" applyFill="1" applyBorder="1" applyAlignment="1">
      <x:alignment vertical="center"/>
    </x:xf>
    <x:xf numFmtId="0" fontId="23" fillId="13" borderId="0" xfId="0" applyNumberFormat="1" applyFont="1" applyFill="1" applyBorder="1" applyAlignment="1">
      <x:alignment horizontal="center" vertical="center"/>
    </x:xf>
    <x:xf numFmtId="0" fontId="24" fillId="13" borderId="0" xfId="0" applyNumberFormat="1" applyFont="1" applyFill="1" applyBorder="1" applyAlignment="1">
      <x:alignment vertical="center"/>
    </x:xf>
    <x:xf numFmtId="0" fontId="24" fillId="13" borderId="0" xfId="0" applyNumberFormat="1" applyFont="1" applyFill="1" applyBorder="1" applyAlignment="1">
      <x:alignment vertical="center" wrapText="1"/>
    </x:xf>
    <x:xf numFmtId="0" fontId="24" fillId="13" borderId="0" xfId="0" applyNumberFormat="1" applyFont="1" applyFill="1" applyBorder="1" applyAlignment="1">
      <x:alignment horizontal="center" vertical="center" wrapText="1"/>
    </x:xf>
    <x:xf numFmtId="0" fontId="9" fillId="13" borderId="0" xfId="0" applyNumberFormat="1" applyFont="1" applyFill="1" applyBorder="1" applyAlignment="1">
      <x:alignment vertical="center"/>
    </x:xf>
    <x:xf numFmtId="0" fontId="9" fillId="13" borderId="0" xfId="0" applyNumberFormat="1" applyFont="1" applyFill="1" applyBorder="1" applyAlignment="1">
      <x:alignment horizontal="center" vertical="center"/>
    </x:xf>
    <x:xf numFmtId="0" fontId="16" fillId="14" borderId="0" xfId="0" applyNumberFormat="1" applyFont="1" applyFill="1" applyBorder="1" applyAlignment="1">
      <x:alignment vertical="center"/>
    </x:xf>
    <x:xf numFmtId="0" fontId="25" fillId="14" borderId="0" xfId="0" applyNumberFormat="1" applyFont="1" applyFill="1" applyBorder="1" applyAlignment="1">
      <x:alignment vertical="center"/>
    </x:xf>
    <x:xf numFmtId="0" fontId="25" fillId="14" borderId="0" xfId="0" applyNumberFormat="1" applyFont="1" applyFill="1" applyBorder="1" applyAlignment="1">
      <x:alignment vertical="center" wrapText="1"/>
    </x:xf>
    <x:xf numFmtId="0" fontId="25" fillId="14" borderId="0" xfId="0" applyNumberFormat="1" applyFont="1" applyFill="1" applyBorder="1" applyAlignment="1">
      <x:alignment horizontal="center" vertical="center" wrapText="1"/>
    </x:xf>
    <x:xf numFmtId="0" fontId="26" fillId="13" borderId="0" xfId="0" applyNumberFormat="1" applyFont="1" applyFill="1" applyBorder="1" applyAlignment="1">
      <x:alignment vertical="center"/>
    </x:xf>
    <x:xf numFmtId="0" fontId="26" fillId="13" borderId="0" xfId="0" applyNumberFormat="1" applyFont="1" applyFill="1" applyBorder="1" applyAlignment="1">
      <x:alignment vertical="center" wrapText="1"/>
    </x:xf>
    <x:xf numFmtId="0" fontId="26" fillId="13" borderId="0" xfId="0" applyNumberFormat="1" applyFont="1" applyFill="1" applyBorder="1" applyAlignment="1">
      <x:alignment horizontal="center" vertical="center" wrapText="1"/>
    </x:xf>
    <x:xf numFmtId="0" fontId="9" fillId="11" borderId="0" xfId="0" applyNumberFormat="1" applyFont="1" applyFill="1" applyBorder="1" applyAlignment="1">
      <x:alignment vertical="center"/>
    </x:xf>
    <x:xf numFmtId="0" fontId="9" fillId="11" borderId="0" xfId="0" applyNumberFormat="1" applyFont="1" applyFill="1" applyBorder="1" applyAlignment="1">
      <x:alignment horizontal="center" vertical="center"/>
    </x:xf>
    <x:xf numFmtId="0" fontId="9" fillId="7" borderId="0" xfId="0" applyNumberFormat="1" applyFont="1" applyFill="1" applyBorder="1" applyAlignment="1">
      <x:alignment vertical="center"/>
    </x:xf>
    <x:xf numFmtId="0" fontId="9" fillId="7" borderId="0" xfId="0" applyNumberFormat="1" applyFont="1" applyFill="1" applyBorder="1" applyAlignment="1">
      <x:alignment vertical="center" wrapText="1"/>
    </x:xf>
    <x:xf numFmtId="200" fontId="16" fillId="13" borderId="0" xfId="0" applyNumberFormat="1" applyFont="1" applyFill="1" applyBorder="1" applyAlignment="1">
      <x:alignment vertical="center"/>
    </x:xf>
    <x:xf numFmtId="0" fontId="27" fillId="13" borderId="0" xfId="0" applyNumberFormat="1" applyFont="1" applyFill="1" applyBorder="1" applyAlignment="1">
      <x:alignment vertical="center"/>
    </x:xf>
    <x:xf numFmtId="200" fontId="27" fillId="13" borderId="0" xfId="0" applyNumberFormat="1" applyFont="1" applyFill="1" applyBorder="1" applyAlignment="1">
      <x:alignment vertical="center"/>
    </x:xf>
    <x:xf numFmtId="0" fontId="27" fillId="13" borderId="0" xfId="0" applyNumberFormat="1" applyFont="1" applyFill="1" applyBorder="1" applyAlignment="1">
      <x:alignment vertical="center" wrapText="1"/>
    </x:xf>
    <x:xf numFmtId="200" fontId="27" fillId="13" borderId="0" xfId="0" applyNumberFormat="1" applyFont="1" applyFill="1" applyBorder="1" applyAlignment="1">
      <x:alignment vertical="center" wrapText="1"/>
    </x:xf>
    <x:xf numFmtId="0" fontId="20" fillId="11" borderId="0" xfId="0" applyNumberFormat="1" applyFont="1" applyFill="1" applyBorder="1" applyAlignment="1">
      <x:alignment vertical="center"/>
    </x:xf>
    <x:xf numFmtId="0" fontId="20" fillId="11" borderId="0" xfId="0" applyNumberFormat="1" applyFont="1" applyFill="1" applyBorder="1" applyAlignment="1">
      <x:alignment horizontal="center" vertical="center"/>
    </x:xf>
    <x:xf numFmtId="0" fontId="16" fillId="8" borderId="0" xfId="0" applyNumberFormat="1" applyFont="1" applyFill="1" applyBorder="1" applyAlignment="1">
      <x:alignment vertical="center"/>
    </x:xf>
    <x:xf numFmtId="0" fontId="28" fillId="8" borderId="0" xfId="0" applyNumberFormat="1" applyFont="1" applyFill="1" applyBorder="1" applyAlignment="1">
      <x:alignment vertical="center"/>
    </x:xf>
    <x:xf numFmtId="0" fontId="28" fillId="8" borderId="0" xfId="0" applyNumberFormat="1" applyFont="1" applyFill="1" applyBorder="1" applyAlignment="1">
      <x:alignment vertical="center" wrapText="1"/>
    </x:xf>
    <x:xf numFmtId="0" fontId="28" fillId="8" borderId="0" xfId="0" applyNumberFormat="1" applyFont="1" applyFill="1" applyBorder="1" applyAlignment="1">
      <x:alignment horizontal="center" vertical="center" wrapText="1"/>
    </x:xf>
    <x:xf numFmtId="0" fontId="9" fillId="8" borderId="0" xfId="0" applyNumberFormat="1" applyFont="1" applyFill="1" applyBorder="1" applyAlignment="1">
      <x:alignment vertical="center"/>
    </x:xf>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horizontal="center" vertical="center" wrapText="1"/>
    </x:xf>
    <x:xf numFmtId="0" fontId="16" fillId="15" borderId="0" xfId="0" applyNumberFormat="1" applyFont="1" applyFill="1" applyBorder="1" applyAlignment="1">
      <x:alignment vertical="center"/>
    </x:xf>
    <x:xf numFmtId="0" fontId="29" fillId="15" borderId="0" xfId="0" applyNumberFormat="1" applyFont="1" applyFill="1" applyBorder="1" applyAlignment="1">
      <x:alignment vertical="center"/>
    </x:xf>
    <x:xf numFmtId="0" fontId="29" fillId="15" borderId="0" xfId="0" applyNumberFormat="1" applyFont="1" applyFill="1" applyBorder="1" applyAlignment="1">
      <x:alignment vertical="center" wrapText="1"/>
    </x:xf>
    <x:xf numFmtId="0" fontId="29" fillId="15" borderId="0" xfId="0" applyNumberFormat="1" applyFont="1" applyFill="1" applyBorder="1" applyAlignment="1">
      <x:alignment horizontal="center" vertical="center" wrapText="1"/>
    </x:xf>
    <x:xf numFmtId="0" fontId="16" fillId="12" borderId="0" xfId="0" applyNumberFormat="1" applyFont="1" applyFill="1" applyBorder="1" applyAlignment="1">
      <x:alignment vertical="center"/>
    </x:xf>
    <x:xf numFmtId="0" fontId="30" fillId="12" borderId="0" xfId="0" applyNumberFormat="1" applyFont="1" applyFill="1" applyBorder="1" applyAlignment="1">
      <x:alignment vertical="center"/>
    </x:xf>
    <x:xf numFmtId="0" fontId="30" fillId="12" borderId="0" xfId="0" applyNumberFormat="1" applyFont="1" applyFill="1" applyBorder="1" applyAlignment="1">
      <x:alignment vertical="center" wrapText="1"/>
    </x:xf>
    <x:xf numFmtId="0" fontId="30" fillId="12" borderId="0" xfId="0" applyNumberFormat="1" applyFont="1" applyFill="1" applyBorder="1" applyAlignment="1">
      <x:alignment horizontal="center" vertical="center" wrapText="1"/>
    </x:xf>
    <x:xf numFmtId="0" fontId="31" fillId="11" borderId="0" xfId="0" applyNumberFormat="1" applyFont="1" applyFill="1" applyBorder="1" applyAlignment="1">
      <x:alignment vertical="center"/>
    </x:xf>
    <x:xf numFmtId="0" fontId="31" fillId="11" borderId="0" xfId="0" applyNumberFormat="1" applyFont="1" applyFill="1" applyBorder="1" applyAlignment="1">
      <x:alignment horizontal="center" vertical="center"/>
    </x:xf>
    <x:xf numFmtId="0" fontId="20" fillId="13" borderId="0" xfId="0" applyNumberFormat="1" applyFont="1" applyFill="1" applyBorder="1" applyAlignment="1">
      <x:alignment vertical="center"/>
    </x:xf>
    <x:xf numFmtId="0" fontId="31" fillId="13" borderId="0" xfId="0" applyNumberFormat="1" applyFont="1" applyFill="1" applyBorder="1" applyAlignment="1">
      <x:alignment vertical="center"/>
    </x:xf>
    <x:xf numFmtId="0" fontId="31" fillId="13" borderId="0" xfId="0" applyNumberFormat="1" applyFont="1" applyFill="1" applyBorder="1" applyAlignment="1">
      <x:alignment horizontal="center" vertical="center"/>
    </x:xf>
    <x:xf numFmtId="200" fontId="31" fillId="13" borderId="0" xfId="0" applyNumberFormat="1" applyFont="1" applyFill="1" applyBorder="1" applyAlignment="1">
      <x:alignment horizontal="center" vertical="center"/>
    </x:xf>
    <x:xf numFmtId="0" fontId="32" fillId="11" borderId="0" xfId="0" applyNumberFormat="1" applyFont="1" applyFill="1" applyBorder="1" applyAlignment="1">
      <x:alignment vertical="center"/>
    </x:xf>
    <x:xf numFmtId="0" fontId="32" fillId="11" borderId="0" xfId="0" applyNumberFormat="1" applyFont="1" applyFill="1" applyBorder="1" applyAlignment="1">
      <x:alignment horizontal="center" vertical="center"/>
    </x:xf>
    <x:xf numFmtId="0" fontId="31" fillId="13" borderId="0" xfId="0" applyNumberFormat="1" applyFont="1" applyFill="1" applyBorder="1" applyAlignment="1">
      <x:alignment vertical="center" wrapText="1"/>
    </x:xf>
    <x:xf numFmtId="0" fontId="31" fillId="13" borderId="0" xfId="0" applyNumberFormat="1" applyFont="1" applyFill="1" applyBorder="1" applyAlignment="1">
      <x:alignment horizontal="center" vertical="center" wrapText="1"/>
    </x:xf>
    <x:xf numFmtId="0" fontId="3" fillId="12" borderId="0" xfId="0" applyNumberFormat="1" applyFont="1" applyFill="1" applyBorder="1" applyAlignment="1">
      <x:alignment vertical="center"/>
    </x:xf>
    <x:xf numFmtId="0" fontId="3" fillId="12" borderId="0" xfId="0" applyNumberFormat="1" applyFont="1" applyFill="1" applyBorder="1" applyAlignment="1">
      <x:alignment horizontal="center" vertical="center"/>
    </x:xf>
    <x:xf numFmtId="0" fontId="33" fillId="8" borderId="0" xfId="0" applyNumberFormat="1" applyFont="1" applyFill="1" applyBorder="1" applyAlignment="1">
      <x:alignment vertical="center"/>
    </x:xf>
    <x:xf numFmtId="0" fontId="33" fillId="8" borderId="0" xfId="0" applyNumberFormat="1" applyFont="1" applyFill="1" applyBorder="1" applyAlignment="1">
      <x:alignment horizontal="center" vertical="center"/>
    </x:xf>
    <x:xf numFmtId="0" fontId="11"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1" fillId="11" borderId="0" xfId="0" applyNumberFormat="1" applyFont="1" applyFill="1" applyBorder="1" applyAlignment="1">
      <x:alignment horizontal="center" vertical="center" wrapText="1"/>
    </x:xf>
    <x:xf numFmtId="200" fontId="11" fillId="11" borderId="0" xfId="0" applyNumberFormat="1" applyFont="1" applyFill="1" applyBorder="1" applyAlignment="1">
      <x:alignment horizontal="center" vertical="center" wrapText="1"/>
    </x:xf>
    <x:xf numFmtId="0" fontId="34" fillId="13" borderId="0" xfId="0" applyNumberFormat="1" applyFont="1" applyFill="1" applyBorder="1" applyAlignment="1">
      <x:alignment vertical="center"/>
    </x:xf>
    <x:xf numFmtId="0" fontId="34" fillId="13" borderId="0" xfId="0" applyNumberFormat="1" applyFont="1" applyFill="1" applyBorder="1" applyAlignment="1">
      <x:alignment vertical="center" wrapText="1"/>
    </x:xf>
    <x:xf numFmtId="0" fontId="34" fillId="13" borderId="0" xfId="0" applyNumberFormat="1" applyFont="1" applyFill="1" applyBorder="1" applyAlignment="1">
      <x:alignment horizontal="center" vertical="center" wrapText="1"/>
    </x:xf>
    <x:xf numFmtId="0" fontId="35" fillId="9" borderId="0" xfId="0" applyNumberFormat="1" applyFont="1" applyFill="1" applyBorder="1" applyAlignment="1">
      <x:alignment vertical="center"/>
    </x:xf>
    <x:xf numFmtId="0" fontId="35" fillId="9" borderId="0" xfId="0" applyNumberFormat="1" applyFont="1" applyFill="1" applyBorder="1" applyAlignment="1">
      <x:alignment horizontal="center" vertical="center"/>
    </x:xf>
    <x:xf numFmtId="0" fontId="36" fillId="11" borderId="0" xfId="0" applyNumberFormat="1" applyFont="1" applyFill="1" applyBorder="1" applyAlignment="1">
      <x:alignment horizontal="center" vertical="center"/>
    </x:xf>
    <x:xf numFmtId="0" fontId="36" fillId="11" borderId="0" xfId="0" applyNumberFormat="1" applyFont="1" applyFill="1" applyBorder="1" applyAlignment="1">
      <x:alignment vertical="center"/>
    </x:xf>
    <x:xf numFmtId="0" fontId="36" fillId="11" borderId="0" xfId="0" applyNumberFormat="1" applyFont="1" applyFill="1" applyBorder="1" applyAlignment="1">
      <x:alignment horizontal="center" vertical="center" wrapText="1"/>
    </x:xf>
    <x:xf numFmtId="0" fontId="36" fillId="11"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left"/>
    </x:xf>
    <x:xf numFmtId="0" fontId="1" fillId="16" borderId="0" xfId="0" applyNumberFormat="1" applyFont="1" applyFill="1" applyBorder="1" applyAlignment="1">
      <x:alignment horizontal="left" vertical="center"/>
    </x:xf>
    <x:xf numFmtId="0" fontId="18" fillId="16" borderId="0" xfId="0" applyNumberFormat="1" applyFont="1" applyFill="1" applyBorder="1"/>
    <x:xf numFmtId="0" fontId="18" fillId="16" borderId="0" xfId="0" applyNumberFormat="1" applyFont="1" applyFill="1" applyBorder="1" applyAlignment="1">
      <x:alignment horizontal="left"/>
    </x:xf>
    <x:xf numFmtId="0" fontId="18" fillId="16" borderId="0" xfId="0" applyNumberFormat="1" applyFont="1" applyFill="1" applyBorder="1" applyAlignment="1">
      <x:alignment horizontal="left" vertical="center"/>
    </x:xf>
    <x:xf numFmtId="0" fontId="0" fillId="17" borderId="0" xfId="0" applyNumberFormat="1" applyFont="1" applyFill="1" applyBorder="1"/>
    <x:xf numFmtId="0" fontId="37" fillId="17" borderId="0" xfId="0" applyNumberFormat="1" applyFont="1" applyFill="1" applyBorder="1"/>
    <x:xf numFmtId="0" fontId="37" fillId="17" borderId="0" xfId="0" applyNumberFormat="1" applyFont="1" applyFill="1" applyBorder="1" applyAlignment="1">
      <x:alignment horizontal="left"/>
    </x:xf>
    <x:xf numFmtId="0" fontId="37" fillId="17" borderId="0" xfId="0" applyNumberFormat="1" applyFont="1" applyFill="1" applyBorder="1" applyAlignment="1">
      <x:alignment horizontal="left" vertical="center"/>
    </x:xf>
    <x:xf numFmtId="0" fontId="0" fillId="18" borderId="0" xfId="0" applyNumberFormat="1" applyFont="1" applyFill="1" applyBorder="1"/>
    <x:xf numFmtId="0" fontId="35" fillId="18" borderId="0" xfId="0" applyNumberFormat="1" applyFont="1" applyFill="1" applyBorder="1"/>
    <x:xf numFmtId="0" fontId="35" fillId="18" borderId="0" xfId="0" applyNumberFormat="1" applyFont="1" applyFill="1" applyBorder="1" applyAlignment="1">
      <x:alignment horizontal="center"/>
    </x:xf>
    <x:xf numFmtId="0" fontId="38" fillId="0" borderId="0" xfId="0" applyNumberFormat="1" applyFont="1" applyFill="1" applyBorder="1"/>
    <x:xf numFmtId="0" fontId="38" fillId="0" borderId="0" xfId="0" applyNumberFormat="1" applyFont="1" applyFill="1" applyBorder="1" applyAlignment="1">
      <x:alignment wrapText="1"/>
    </x:xf>
    <x:xf numFmtId="0" fontId="38" fillId="0" borderId="0" xfId="0" applyNumberFormat="1" applyFont="1" applyFill="1" applyBorder="1" applyAlignment="1">
      <x:alignment horizontal="left" wrapText="1"/>
    </x:xf>
    <x:xf numFmtId="0" fontId="38" fillId="0" borderId="0" xfId="0" applyNumberFormat="1" applyFont="1" applyFill="1" applyBorder="1" applyAlignment="1">
      <x:alignment horizontal="left" vertical="center" wrapText="1"/>
    </x:xf>
    <x:xf numFmtId="0" fontId="13" fillId="18" borderId="0" xfId="0" applyNumberFormat="1" applyFont="1" applyFill="1" applyBorder="1"/>
    <x:xf numFmtId="0" fontId="13" fillId="18" borderId="0" xfId="0" applyNumberFormat="1" applyFont="1" applyFill="1" applyBorder="1" applyAlignment="1">
      <x:alignment horizontal="left"/>
    </x:xf>
    <x:xf numFmtId="0" fontId="13" fillId="18" borderId="0" xfId="0" applyNumberFormat="1" applyFont="1" applyFill="1" applyBorder="1" applyAlignment="1">
      <x:alignment horizontal="left" vertical="center"/>
    </x:xf>
    <x:xf numFmtId="0" fontId="35" fillId="18" borderId="0" xfId="0" applyNumberFormat="1" applyFont="1" applyFill="1" applyBorder="1" applyAlignment="1">
      <x:alignment wrapText="1"/>
    </x:xf>
    <x:xf numFmtId="0" fontId="35" fillId="18" borderId="0" xfId="0" applyNumberFormat="1" applyFont="1" applyFill="1" applyBorder="1" applyAlignment="1">
      <x:alignment horizontal="center" wrapText="1"/>
    </x:xf>
    <x:xf numFmtId="0" fontId="35" fillId="18" borderId="0" xfId="0" applyNumberFormat="1" applyFont="1" applyFill="1" applyBorder="1" applyAlignment="1">
      <x:alignment horizontal="center" vertical="center" wrapText="1"/>
    </x:xf>
    <x:xf numFmtId="0" fontId="39" fillId="0" borderId="0" xfId="0" applyNumberFormat="1" applyFont="1" applyFill="1" applyBorder="1" applyAlignment="1">
      <x:alignment horizontal="left" vertical="center" wrapText="1"/>
    </x:xf>
    <x:xf numFmtId="0" fontId="6" fillId="0" borderId="0" xfId="0" applyNumberFormat="1" applyFont="1" applyFill="1" applyBorder="1" applyAlignment="1">
      <x:alignment horizontal="left" vertical="center" wrapText="1"/>
    </x:xf>
    <x:xf numFmtId="0" fontId="38" fillId="19" borderId="0" xfId="0" applyNumberFormat="1" applyFont="1" applyFill="1" applyBorder="1" applyAlignment="1">
      <x:alignment horizontal="left" vertical="center" wrapText="1"/>
    </x:xf>
    <x:xf numFmtId="0" fontId="5" fillId="19" borderId="0" xfId="0" applyNumberFormat="1" applyFont="1" applyFill="1" applyBorder="1" applyAlignment="1">
      <x:alignment horizontal="left" vertical="center" wrapText="1"/>
    </x:xf>
    <x:xf numFmtId="208" fontId="5" fillId="19" borderId="0" xfId="0" applyNumberFormat="1" applyFont="1" applyFill="1" applyBorder="1" applyAlignment="1">
      <x:alignment horizontal="left" vertical="center" wrapText="1"/>
    </x:xf>
    <x:xf numFmtId="209" fontId="5" fillId="19" borderId="0" xfId="0" applyNumberFormat="1" applyFont="1" applyFill="1" applyBorder="1" applyAlignment="1">
      <x:alignment horizontal="left" vertical="center" wrapText="1"/>
    </x:xf>
    <x:xf numFmtId="210" fontId="5" fillId="19" borderId="0" xfId="0" applyNumberFormat="1" applyFont="1" applyFill="1" applyBorder="1" applyAlignment="1">
      <x:alignment horizontal="left" vertical="center" wrapText="1"/>
    </x:xf>
    <x:xf numFmtId="200" fontId="39" fillId="0" borderId="0" xfId="0" applyNumberFormat="1" applyFont="1" applyFill="1" applyBorder="1" applyAlignment="1">
      <x:alignment horizontal="left" vertical="center" wrapText="1"/>
    </x:xf>
    <x:xf numFmtId="0" fontId="0" fillId="20" borderId="0" xfId="0" applyNumberFormat="1" applyFont="1" applyFill="1" applyBorder="1"/>
    <x:xf numFmtId="0" fontId="9" fillId="20" borderId="0" xfId="0" applyNumberFormat="1" applyFont="1" applyFill="1" applyBorder="1"/>
    <x:xf numFmtId="0" fontId="9" fillId="20" borderId="0" xfId="0" applyNumberFormat="1" applyFont="1" applyFill="1" applyBorder="1" applyAlignment="1">
      <x:alignment wrapText="1"/>
    </x:xf>
    <x:xf numFmtId="0" fontId="9" fillId="20" borderId="0" xfId="0" applyNumberFormat="1" applyFont="1" applyFill="1" applyBorder="1" applyAlignment="1">
      <x:alignment horizontal="left" wrapText="1"/>
    </x:xf>
    <x:xf numFmtId="0" fontId="9" fillId="20" borderId="0" xfId="0" applyNumberFormat="1" applyFont="1" applyFill="1" applyBorder="1" applyAlignment="1">
      <x:alignment horizontal="lef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204" fontId="5" fillId="19" borderId="0" xfId="0" applyNumberFormat="1" applyFont="1" applyFill="1" applyBorder="1" applyAlignment="1">
      <x:alignment vertical="center" wrapText="1"/>
    </x:xf>
    <x:xf numFmtId="0" fontId="6" fillId="0" borderId="0" xfId="0" applyNumberFormat="1" applyFont="1" applyFill="1" applyBorder="1" applyAlignment="1">
      <x:alignment wrapText="1"/>
    </x:xf>
    <x:xf numFmtId="0" fontId="6" fillId="21" borderId="0" xfId="0" applyNumberFormat="1" applyFont="1" applyFill="1" applyBorder="1" applyAlignment="1">
      <x:alignment vertical="center" wrapText="1"/>
    </x:xf>
    <x:xf numFmtId="0" fontId="40" fillId="21" borderId="0" xfId="0" applyNumberFormat="1" applyFont="1" applyFill="1" applyBorder="1" applyAlignment="1">
      <x:alignment vertical="center" wrapText="1"/>
    </x:xf>
    <x:xf numFmtId="0" fontId="40" fillId="21" borderId="0" xfId="0" applyNumberFormat="1" applyFont="1" applyFill="1" applyBorder="1" applyAlignment="1">
      <x:alignment horizontal="center" vertical="center" wrapText="1"/>
    </x:xf>
    <x:xf numFmtId="200" fontId="5" fillId="19" borderId="0" xfId="0" applyNumberFormat="1" applyFont="1" applyFill="1" applyBorder="1" applyAlignment="1">
      <x:alignment horizontal="left" vertical="center" wrapText="1"/>
    </x:xf>
    <x:xf numFmtId="200" fontId="6" fillId="0" borderId="0" xfId="0" applyNumberFormat="1" applyFont="1" applyFill="1" applyBorder="1" applyAlignment="1">
      <x:alignment horizontal="left" vertical="center" wrapText="1"/>
    </x:xf>
    <x:xf numFmtId="0" fontId="35" fillId="18" borderId="0" xfId="0" applyNumberFormat="1" applyFont="1" applyFill="1" applyBorder="1" applyAlignment="1">
      <x:alignment vertical="center"/>
    </x:xf>
    <x:xf numFmtId="200" fontId="35" fillId="18" borderId="0" xfId="0" applyNumberFormat="1" applyFont="1" applyFill="1" applyBorder="1" applyAlignment="1">
      <x:alignment vertical="center"/>
    </x:xf>
    <x:xf numFmtId="204" fontId="5" fillId="19"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206" fontId="5" fillId="19" borderId="0" xfId="0" applyNumberFormat="1" applyFont="1" applyFill="1" applyBorder="1" applyAlignment="1">
      <x:alignment horizontal="left" vertical="center" wrapText="1"/>
    </x:xf>
    <x:xf numFmtId="0" fontId="38" fillId="22" borderId="0" xfId="0" applyNumberFormat="1" applyFont="1" applyFill="1" applyBorder="1" applyAlignment="1">
      <x:alignment horizontal="left" vertical="center" wrapText="1"/>
    </x:xf>
    <x:xf numFmtId="200" fontId="6" fillId="22" borderId="0" xfId="0" applyNumberFormat="1" applyFont="1" applyFill="1" applyBorder="1" applyAlignment="1">
      <x:alignment horizontal="left" vertical="center" wrapText="1"/>
    </x:xf>
    <x:xf numFmtId="0" fontId="9" fillId="22" borderId="0" xfId="0" applyNumberFormat="1" applyFont="1" applyFill="1" applyBorder="1" applyAlignment="1">
      <x:alignment horizontal="left" vertical="center" wrapText="1"/>
    </x:xf>
    <x:xf numFmtId="200" fontId="9" fillId="22" borderId="0" xfId="0" applyNumberFormat="1" applyFont="1" applyFill="1" applyBorder="1" applyAlignment="1">
      <x:alignment horizontal="left" vertical="center" wrapText="1"/>
    </x:xf>
    <x:xf numFmtId="0" fontId="38" fillId="20" borderId="0" xfId="0" applyNumberFormat="1" applyFont="1" applyFill="1" applyBorder="1" applyAlignment="1">
      <x:alignment horizontal="left" vertical="center" wrapText="1"/>
    </x:xf>
    <x:xf numFmtId="0" fontId="0" fillId="23" borderId="0" xfId="0" applyNumberFormat="1" applyFont="1" applyFill="1" applyBorder="1"/>
    <x:xf numFmtId="0" fontId="41" fillId="23" borderId="0" xfId="0" applyNumberFormat="1" applyFont="1" applyFill="1" applyBorder="1"/>
    <x:xf numFmtId="0" fontId="41" fillId="23" borderId="0" xfId="0" applyNumberFormat="1" applyFont="1" applyFill="1" applyBorder="1" applyAlignment="1">
      <x:alignment wrapText="1"/>
    </x:xf>
    <x:xf numFmtId="0" fontId="41" fillId="23" borderId="0" xfId="0" applyNumberFormat="1" applyFont="1" applyFill="1" applyBorder="1" applyAlignment="1">
      <x:alignment horizontal="left" wrapText="1"/>
    </x:xf>
    <x:xf numFmtId="0" fontId="41" fillId="23" borderId="0" xfId="0" applyNumberFormat="1" applyFont="1" applyFill="1" applyBorder="1" applyAlignment="1">
      <x:alignment horizontal="left" vertical="top" wrapText="1"/>
    </x:xf>
    <x:xf numFmtId="210" fontId="6" fillId="0" borderId="0" xfId="0" applyNumberFormat="1" applyFont="1" applyFill="1" applyBorder="1" applyAlignment="1">
      <x:alignment horizontal="left" vertical="center"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center" wrapText="1"/>
    </x:xf>
    <x:xf numFmtId="200" fontId="39" fillId="0" borderId="0" xfId="0" applyNumberFormat="1" applyFont="1" applyFill="1" applyBorder="1" applyAlignment="1">
      <x:alignment vertical="center" wrapText="1"/>
    </x:xf>
    <x:xf numFmtId="0" fontId="38" fillId="21" borderId="0" xfId="0" applyNumberFormat="1" applyFont="1" applyFill="1" applyBorder="1" applyAlignment="1">
      <x:alignment horizontal="left" vertical="center" wrapText="1"/>
    </x:xf>
    <x:xf numFmtId="0" fontId="42" fillId="21" borderId="0" xfId="0" applyNumberFormat="1" applyFont="1" applyFill="1" applyBorder="1" applyAlignment="1">
      <x:alignment horizontal="left" vertical="center" wrapText="1"/>
    </x:xf>
    <x:xf numFmtId="0" fontId="13" fillId="18" borderId="0" xfId="0" applyNumberFormat="1" applyFont="1" applyFill="1" applyBorder="1" applyAlignment="1">
      <x:alignment horizontal="center"/>
    </x:xf>
    <x:xf numFmtId="0" fontId="0" fillId="21" borderId="0" xfId="0" applyNumberFormat="1" applyFont="1" applyFill="1" applyBorder="1"/>
    <x:xf numFmtId="0" fontId="43" fillId="21" borderId="0" xfId="0" applyNumberFormat="1" applyFont="1" applyFill="1" applyBorder="1"/>
    <x:xf numFmtId="0" fontId="43" fillId="21" borderId="0" xfId="0" applyNumberFormat="1" applyFont="1" applyFill="1" applyBorder="1" applyAlignment="1">
      <x:alignment wrapText="1"/>
    </x:xf>
    <x:xf numFmtId="0" fontId="43" fillId="21" borderId="0" xfId="0" applyNumberFormat="1" applyFont="1" applyFill="1" applyBorder="1" applyAlignment="1">
      <x:alignment horizontal="center" wrapText="1"/>
    </x:xf>
    <x:xf numFmtId="0" fontId="43" fillId="21" borderId="0" xfId="0" applyNumberFormat="1" applyFont="1" applyFill="1" applyBorder="1" applyAlignment="1">
      <x:alignment horizontal="center" vertical="center" wrapText="1"/>
    </x:xf>
    <x:xf numFmtId="0" fontId="14" fillId="23" borderId="0" xfId="0" applyNumberFormat="1" applyFont="1" applyFill="1" applyBorder="1"/>
    <x:xf numFmtId="0" fontId="14" fillId="23" borderId="0" xfId="0" applyNumberFormat="1" applyFont="1" applyFill="1" applyBorder="1" applyAlignment="1">
      <x:alignment wrapText="1"/>
    </x:xf>
    <x:xf numFmtId="0" fontId="14" fillId="23"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center" wrapText="1"/>
    </x:xf>
    <x:xf numFmtId="0" fontId="0" fillId="24" borderId="0" xfId="0" applyNumberFormat="1" applyFont="1" applyFill="1" applyBorder="1"/>
    <x:xf numFmtId="0" fontId="44" fillId="24" borderId="0" xfId="0" applyNumberFormat="1" applyFont="1" applyFill="1" applyBorder="1"/>
    <x:xf numFmtId="0" fontId="44" fillId="24" borderId="0" xfId="0" applyNumberFormat="1" applyFont="1" applyFill="1" applyBorder="1" applyAlignment="1">
      <x:alignment wrapText="1"/>
    </x:xf>
    <x:xf numFmtId="0" fontId="44" fillId="24" borderId="0" xfId="0" applyNumberFormat="1" applyFont="1" applyFill="1" applyBorder="1" applyAlignment="1">
      <x:alignment horizontal="center" wrapText="1"/>
    </x:xf>
    <x:xf numFmtId="0" fontId="44" fillId="24" borderId="0" xfId="0" applyNumberFormat="1" applyFont="1" applyFill="1" applyBorder="1" applyAlignment="1">
      <x:alignment horizontal="center" vertical="center" wrapText="1"/>
    </x:xf>
    <x:xf numFmtId="0" fontId="35" fillId="18" borderId="0" xfId="0" applyNumberFormat="1" applyFont="1" applyFill="1" applyBorder="1" applyAlignment="1">
      <x:alignment horizontal="center" vertical="center"/>
    </x:xf>
    <x:xf numFmtId="0" fontId="0" fillId="25" borderId="0" xfId="0" applyNumberFormat="1" applyFont="1" applyFill="1" applyBorder="1"/>
    <x:xf numFmtId="0" fontId="45" fillId="25" borderId="0" xfId="0" applyNumberFormat="1" applyFont="1" applyFill="1" applyBorder="1"/>
    <x:xf numFmtId="0" fontId="45" fillId="25" borderId="0" xfId="0" applyNumberFormat="1" applyFont="1" applyFill="1" applyBorder="1" applyAlignment="1">
      <x:alignment wrapText="1"/>
    </x:xf>
    <x:xf numFmtId="0" fontId="45" fillId="25" borderId="0" xfId="0" applyNumberFormat="1" applyFont="1" applyFill="1" applyBorder="1" applyAlignment="1">
      <x:alignment horizontal="center" wrapText="1"/>
    </x:xf>
    <x:xf numFmtId="0" fontId="45" fillId="25" borderId="0" xfId="0" applyNumberFormat="1" applyFont="1" applyFill="1" applyBorder="1" applyAlignment="1">
      <x:alignment horizontal="center" vertical="center" wrapText="1"/>
    </x:xf>
    <x:xf numFmtId="0" fontId="0" fillId="26" borderId="0" xfId="0" applyNumberFormat="1" applyFont="1" applyFill="1" applyBorder="1"/>
    <x:xf numFmtId="0" fontId="46" fillId="26" borderId="0" xfId="0" applyNumberFormat="1" applyFont="1" applyFill="1" applyBorder="1"/>
    <x:xf numFmtId="0" fontId="46" fillId="26" borderId="0" xfId="0" applyNumberFormat="1" applyFont="1" applyFill="1" applyBorder="1" applyAlignment="1">
      <x:alignment wrapText="1"/>
    </x:xf>
    <x:xf numFmtId="0" fontId="46" fillId="26" borderId="0" xfId="0" applyNumberFormat="1" applyFont="1" applyFill="1" applyBorder="1" applyAlignment="1">
      <x:alignment horizontal="center" wrapText="1"/>
    </x:xf>
    <x:xf numFmtId="208" fontId="0" fillId="0"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13" fillId="16" borderId="0" xfId="0" applyNumberFormat="1" applyFont="1" applyFill="1" applyBorder="1"/>
    <x:xf numFmtId="0" fontId="13" fillId="16" borderId="0" xfId="0" applyNumberFormat="1" applyFont="1" applyFill="1" applyBorder="1" applyAlignment="1">
      <x:alignment wrapText="1"/>
    </x:xf>
    <x:xf numFmtId="0" fontId="13" fillId="16" borderId="0" xfId="0" applyNumberFormat="1" applyFont="1" applyFill="1" applyBorder="1" applyAlignment="1">
      <x:alignment horizontal="center" wrapText="1"/>
    </x:xf>
    <x:xf numFmtId="0" fontId="13" fillId="16" borderId="0" xfId="0" applyNumberFormat="1" applyFont="1" applyFill="1" applyBorder="1" applyAlignment="1">
      <x:alignment horizontal="center" vertical="center" wrapText="1"/>
    </x:xf>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18" fillId="9" borderId="0" xfId="0" applyNumberFormat="1" applyFont="1" applyFill="1" applyBorder="1"/>
    <x:xf numFmtId="0" fontId="18" fillId="9" borderId="0" xfId="0" applyNumberFormat="1" applyFont="1" applyFill="1" applyBorder="1" applyAlignment="1">
      <x:alignment horizontal="left"/>
    </x:xf>
    <x:xf numFmtId="0" fontId="35" fillId="2" borderId="0" xfId="0" applyNumberFormat="1" applyFont="1" applyFill="1" applyBorder="1"/>
    <x:xf numFmtId="0" fontId="35" fillId="2" borderId="0" xfId="0" applyNumberFormat="1" applyFont="1" applyFill="1" applyBorder="1" applyAlignment="1">
      <x:alignment horizontal="center"/>
    </x:xf>
    <x:xf numFmtId="0" fontId="13" fillId="2" borderId="0" xfId="0" applyNumberFormat="1" applyFont="1" applyFill="1" applyBorder="1"/>
    <x:xf numFmtId="0" fontId="13" fillId="2" borderId="0" xfId="0" applyNumberFormat="1" applyFont="1" applyFill="1" applyBorder="1" applyAlignment="1">
      <x:alignment horizontal="left"/>
    </x:xf>
    <x:xf numFmtId="0" fontId="13" fillId="2" borderId="0" xfId="0" applyNumberFormat="1" applyFont="1" applyFill="1" applyBorder="1" applyAlignment="1">
      <x:alignment horizontal="left" vertical="center"/>
    </x:xf>
    <x:xf numFmtId="0" fontId="35" fillId="2" borderId="0" xfId="0" applyNumberFormat="1" applyFont="1" applyFill="1" applyBorder="1" applyAlignment="1">
      <x:alignment wrapText="1"/>
    </x:xf>
    <x:xf numFmtId="0" fontId="35" fillId="2" borderId="0" xfId="0" applyNumberFormat="1" applyFont="1" applyFill="1" applyBorder="1" applyAlignment="1">
      <x:alignment horizontal="center" wrapText="1"/>
    </x:xf>
    <x:xf numFmtId="0" fontId="35" fillId="2" borderId="0" xfId="0" applyNumberFormat="1" applyFont="1" applyFill="1" applyBorder="1" applyAlignment="1">
      <x:alignment horizontal="center" vertical="center" wrapText="1"/>
    </x:xf>
    <x:xf numFmtId="0" fontId="38" fillId="4" borderId="0" xfId="0" applyNumberFormat="1" applyFont="1" applyFill="1" applyBorder="1" applyAlignment="1">
      <x:alignment horizontal="left" vertical="center" wrapText="1"/>
    </x:xf>
    <x:xf numFmtId="0" fontId="5" fillId="4" borderId="0" xfId="0" applyNumberFormat="1" applyFont="1" applyFill="1" applyBorder="1" applyAlignment="1">
      <x:alignment horizontal="left" vertical="center" wrapText="1"/>
    </x:xf>
    <x:xf numFmtId="208" fontId="5" fillId="4" borderId="0" xfId="0" applyNumberFormat="1" applyFont="1" applyFill="1" applyBorder="1" applyAlignment="1">
      <x:alignment horizontal="left" vertical="center" wrapText="1"/>
    </x:xf>
    <x:xf numFmtId="209" fontId="5" fillId="4" borderId="0" xfId="0" applyNumberFormat="1" applyFont="1" applyFill="1" applyBorder="1" applyAlignment="1">
      <x:alignment horizontal="left" vertical="center" wrapText="1"/>
    </x:xf>
    <x:xf numFmtId="210" fontId="5" fillId="4" borderId="0" xfId="0" applyNumberFormat="1" applyFont="1" applyFill="1" applyBorder="1" applyAlignment="1">
      <x:alignment horizontal="left"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4" fontId="5" fillId="4" borderId="0" xfId="0" applyNumberFormat="1" applyFont="1" applyFill="1" applyBorder="1" applyAlignment="1">
      <x:alignment vertical="center" wrapText="1"/>
    </x:xf>
    <x:xf numFmtId="200" fontId="5" fillId="4" borderId="0" xfId="0" applyNumberFormat="1" applyFont="1" applyFill="1" applyBorder="1" applyAlignment="1">
      <x:alignment horizontal="left" vertical="center" wrapText="1"/>
    </x:xf>
    <x:xf numFmtId="0" fontId="35" fillId="2" borderId="0" xfId="0" applyNumberFormat="1" applyFont="1" applyFill="1" applyBorder="1" applyAlignment="1">
      <x:alignment vertical="center"/>
    </x:xf>
    <x:xf numFmtId="200" fontId="35" fillId="2" borderId="0" xfId="0" applyNumberFormat="1" applyFont="1" applyFill="1" applyBorder="1" applyAlignment="1">
      <x:alignment vertical="center"/>
    </x:xf>
    <x:xf numFmtId="204" fontId="5" fillId="4" borderId="0" xfId="0" applyNumberFormat="1" applyFont="1" applyFill="1" applyBorder="1" applyAlignment="1">
      <x:alignment horizontal="left" vertical="center" wrapText="1"/>
    </x:xf>
    <x:xf numFmtId="206" fontId="5" fillId="4" borderId="0" xfId="0" applyNumberFormat="1" applyFont="1" applyFill="1" applyBorder="1" applyAlignment="1">
      <x:alignment horizontal="left" vertical="center" wrapText="1"/>
    </x:xf>
    <x:xf numFmtId="0" fontId="38" fillId="7" borderId="0" xfId="0" applyNumberFormat="1" applyFont="1" applyFill="1" applyBorder="1" applyAlignment="1">
      <x:alignment horizontal="left" vertical="center" wrapText="1"/>
    </x:xf>
    <x:xf numFmtId="200" fontId="6" fillId="7" borderId="0" xfId="0" applyNumberFormat="1" applyFont="1" applyFill="1" applyBorder="1" applyAlignment="1">
      <x:alignment horizontal="left" vertical="center" wrapText="1"/>
    </x:xf>
    <x:xf numFmtId="0" fontId="9" fillId="7" borderId="0" xfId="0" applyNumberFormat="1" applyFont="1" applyFill="1" applyBorder="1" applyAlignment="1">
      <x:alignment horizontal="left" vertical="center" wrapText="1"/>
    </x:xf>
    <x:xf numFmtId="200" fontId="9" fillId="7"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center"/>
    </x:xf>
    <x:xf numFmtId="0" fontId="35" fillId="2" borderId="0" xfId="0" applyNumberFormat="1" applyFont="1" applyFill="1" applyBorder="1" applyAlignment="1">
      <x:alignment horizontal="center" vertical="center"/>
    </x:xf>
    <x:xf numFmtId="0" fontId="45" fillId="13" borderId="0" xfId="0" applyNumberFormat="1" applyFont="1" applyFill="1" applyBorder="1"/>
    <x:xf numFmtId="0" fontId="45" fillId="13" borderId="0" xfId="0" applyNumberFormat="1" applyFont="1" applyFill="1" applyBorder="1" applyAlignment="1">
      <x:alignment wrapText="1"/>
    </x:xf>
    <x:xf numFmtId="0" fontId="45" fillId="13" borderId="0" xfId="0" applyNumberFormat="1" applyFont="1" applyFill="1" applyBorder="1" applyAlignment="1">
      <x:alignment horizontal="center" wrapText="1"/>
    </x:xf>
    <x:xf numFmtId="0" fontId="45" fillId="13" borderId="0" xfId="0" applyNumberFormat="1" applyFont="1" applyFill="1" applyBorder="1" applyAlignment="1">
      <x:alignment horizontal="center" vertical="center" wrapText="1"/>
    </x:xf>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7" fillId="27" borderId="0" xfId="0" applyNumberFormat="1" applyFont="1" applyFill="1" applyBorder="1" applyAlignment="1">
      <x:alignment horizontal="left"/>
    </x:xf>
    <x:xf numFmtId="0" fontId="7" fillId="27" borderId="0" xfId="0" applyNumberFormat="1" applyFont="1" applyFill="1" applyBorder="1" applyAlignment="1">
      <x:alignment horizontal="left" vertical="center"/>
    </x:xf>
    <x:xf numFmtId="0" fontId="47" fillId="27" borderId="0" xfId="0" applyNumberFormat="1" applyFont="1" applyFill="1" applyBorder="1"/>
    <x:xf numFmtId="0" fontId="47" fillId="27" borderId="0" xfId="0" applyNumberFormat="1" applyFont="1" applyFill="1" applyBorder="1" applyAlignment="1">
      <x:alignment horizontal="left"/>
    </x:xf>
    <x:xf numFmtId="0" fontId="47" fillId="27" borderId="0" xfId="0" applyNumberFormat="1" applyFont="1" applyFill="1" applyBorder="1" applyAlignment="1">
      <x:alignment horizontal="left" vertical="center"/>
    </x:xf>
    <x:xf numFmtId="0" fontId="0"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horizontal="left"/>
    </x:xf>
    <x:xf numFmtId="0" fontId="13" fillId="28" borderId="0" xfId="0" applyNumberFormat="1" applyFont="1" applyFill="1" applyBorder="1" applyAlignment="1">
      <x:alignment horizontal="left" vertical="center"/>
    </x:xf>
    <x:xf numFmtId="0" fontId="3" fillId="28" borderId="0" xfId="0" applyNumberFormat="1" applyFont="1" applyFill="1" applyBorder="1"/>
    <x:xf numFmtId="0" fontId="3" fillId="28" borderId="0" xfId="0" applyNumberFormat="1" applyFont="1" applyFill="1" applyBorder="1" applyAlignment="1">
      <x:alignment horizontal="left"/>
    </x:xf>
    <x:xf numFmtId="0" fontId="3" fillId="28" borderId="0" xfId="0" applyNumberFormat="1" applyFont="1" applyFill="1" applyBorder="1" applyAlignment="1">
      <x:alignment horizontal="left" vertical="center"/>
    </x:xf>
    <x:xf numFmtId="0" fontId="0" fillId="29" borderId="0" xfId="0" applyNumberFormat="1" applyFont="1" applyFill="1" applyBorder="1"/>
    <x:xf numFmtId="0" fontId="48" fillId="29" borderId="0" xfId="0" applyNumberFormat="1" applyFont="1" applyFill="1" applyBorder="1"/>
    <x:xf numFmtId="0" fontId="48" fillId="29" borderId="2" xfId="0" applyNumberFormat="1" applyFont="1" applyFill="1" applyBorder="1"/>
    <x:xf numFmtId="0" fontId="48" fillId="29" borderId="3" xfId="0" applyNumberFormat="1" applyFont="1" applyFill="1" applyBorder="1"/>
    <x:xf numFmtId="0" fontId="48" fillId="29" borderId="4" xfId="0" applyNumberFormat="1" applyFont="1" applyFill="1" applyBorder="1"/>
    <x:xf numFmtId="0" fontId="48" fillId="29" borderId="5" xfId="0" applyNumberFormat="1" applyFont="1" applyFill="1" applyBorder="1"/>
    <x:xf numFmtId="0" fontId="48" fillId="29" xfId="0" applyNumberFormat="1" applyFont="1" applyFill="1" applyBorder="0"/>
    <x:xf numFmtId="0" fontId="48" fillId="29" borderId="6" xfId="0" applyNumberFormat="1" applyFont="1" applyFill="1" applyBorder="1"/>
    <x:xf numFmtId="0" fontId="48" fillId="29" borderId="7" xfId="0" applyNumberFormat="1" applyFont="1" applyFill="1" applyBorder="1"/>
    <x:xf numFmtId="0" fontId="48" fillId="29" borderId="8" xfId="0" applyNumberFormat="1" applyFont="1" applyFill="1" applyBorder="1"/>
    <x:xf numFmtId="0" fontId="48" fillId="29" borderId="9" xfId="0" applyNumberFormat="1" applyFont="1" applyFill="1" applyBorder="1"/>
    <x:xf numFmtId="0" fontId="48" fillId="29" borderId="2" xfId="0" applyNumberFormat="1" applyFont="1" applyFill="1" applyBorder="1" applyAlignment="1">
      <x:alignment wrapText="1"/>
    </x:xf>
    <x:xf numFmtId="0" fontId="48" fillId="29" borderId="3" xfId="0" applyNumberFormat="1" applyFont="1" applyFill="1" applyBorder="1" applyAlignment="1">
      <x:alignment wrapText="1"/>
    </x:xf>
    <x:xf numFmtId="0" fontId="48" fillId="29" borderId="4" xfId="0" applyNumberFormat="1" applyFont="1" applyFill="1" applyBorder="1" applyAlignment="1">
      <x:alignment wrapText="1"/>
    </x:xf>
    <x:xf numFmtId="0" fontId="48" fillId="29" borderId="5" xfId="0" applyNumberFormat="1" applyFont="1" applyFill="1" applyBorder="1" applyAlignment="1">
      <x:alignment wrapText="1"/>
    </x:xf>
    <x:xf numFmtId="0" fontId="48" fillId="29" xfId="0" applyNumberFormat="1" applyFont="1" applyFill="1" applyBorder="0" applyAlignment="1">
      <x:alignment wrapText="1"/>
    </x:xf>
    <x:xf numFmtId="0" fontId="48" fillId="29" borderId="6" xfId="0" applyNumberFormat="1" applyFont="1" applyFill="1" applyBorder="1" applyAlignment="1">
      <x:alignment wrapText="1"/>
    </x:xf>
    <x:xf numFmtId="0" fontId="48" fillId="29" borderId="7" xfId="0" applyNumberFormat="1" applyFont="1" applyFill="1" applyBorder="1" applyAlignment="1">
      <x:alignment wrapText="1"/>
    </x:xf>
    <x:xf numFmtId="0" fontId="48" fillId="29" borderId="8" xfId="0" applyNumberFormat="1" applyFont="1" applyFill="1" applyBorder="1" applyAlignment="1">
      <x:alignment wrapText="1"/>
    </x:xf>
    <x:xf numFmtId="0" fontId="48" fillId="29" borderId="9" xfId="0" applyNumberFormat="1" applyFont="1" applyFill="1" applyBorder="1" applyAlignment="1">
      <x:alignment wrapText="1"/>
    </x:xf>
    <x:xf numFmtId="0" fontId="48" fillId="29" borderId="2" xfId="0" applyNumberFormat="1" applyFont="1" applyFill="1" applyBorder="1" applyAlignment="1">
      <x:alignment horizontal="left" wrapText="1"/>
    </x:xf>
    <x:xf numFmtId="0" fontId="48" fillId="29" borderId="3" xfId="0" applyNumberFormat="1" applyFont="1" applyFill="1" applyBorder="1" applyAlignment="1">
      <x:alignment horizontal="left" wrapText="1"/>
    </x:xf>
    <x:xf numFmtId="0" fontId="48" fillId="29" borderId="4" xfId="0" applyNumberFormat="1" applyFont="1" applyFill="1" applyBorder="1" applyAlignment="1">
      <x:alignment horizontal="left" wrapText="1"/>
    </x:xf>
    <x:xf numFmtId="0" fontId="48" fillId="29" borderId="5" xfId="0" applyNumberFormat="1" applyFont="1" applyFill="1" applyBorder="1" applyAlignment="1">
      <x:alignment horizontal="left" wrapText="1"/>
    </x:xf>
    <x:xf numFmtId="0" fontId="48" fillId="29" xfId="0" applyNumberFormat="1" applyFont="1" applyFill="1" applyBorder="0" applyAlignment="1">
      <x:alignment horizontal="left" wrapText="1"/>
    </x:xf>
    <x:xf numFmtId="0" fontId="48" fillId="29" borderId="6" xfId="0" applyNumberFormat="1" applyFont="1" applyFill="1" applyBorder="1" applyAlignment="1">
      <x:alignment horizontal="left" wrapText="1"/>
    </x:xf>
    <x:xf numFmtId="0" fontId="48" fillId="29" borderId="7" xfId="0" applyNumberFormat="1" applyFont="1" applyFill="1" applyBorder="1" applyAlignment="1">
      <x:alignment horizontal="left" wrapText="1"/>
    </x:xf>
    <x:xf numFmtId="0" fontId="48" fillId="29" borderId="8" xfId="0" applyNumberFormat="1" applyFont="1" applyFill="1" applyBorder="1" applyAlignment="1">
      <x:alignment horizontal="left" wrapText="1"/>
    </x:xf>
    <x:xf numFmtId="0" fontId="48" fillId="29" borderId="9" xfId="0" applyNumberFormat="1" applyFont="1" applyFill="1" applyBorder="1" applyAlignment="1">
      <x:alignment horizontal="left" wrapText="1"/>
    </x:xf>
    <x:xf numFmtId="0" fontId="48" fillId="29" borderId="2" xfId="0" applyNumberFormat="1" applyFont="1" applyFill="1" applyBorder="1" applyAlignment="1">
      <x:alignment horizontal="left" vertical="top" wrapText="1"/>
    </x:xf>
    <x:xf numFmtId="0" fontId="48" fillId="29" borderId="3" xfId="0" applyNumberFormat="1" applyFont="1" applyFill="1" applyBorder="1" applyAlignment="1">
      <x:alignment horizontal="left" vertical="top" wrapText="1"/>
    </x:xf>
    <x:xf numFmtId="0" fontId="48" fillId="29" borderId="4" xfId="0" applyNumberFormat="1" applyFont="1" applyFill="1" applyBorder="1" applyAlignment="1">
      <x:alignment horizontal="left" vertical="top" wrapText="1"/>
    </x:xf>
    <x:xf numFmtId="0" fontId="48" fillId="29" borderId="5" xfId="0" applyNumberFormat="1" applyFont="1" applyFill="1" applyBorder="1" applyAlignment="1">
      <x:alignment horizontal="left" vertical="top" wrapText="1"/>
    </x:xf>
    <x:xf numFmtId="0" fontId="48" fillId="29" xfId="0" applyNumberFormat="1" applyFont="1" applyFill="1" applyBorder="0" applyAlignment="1">
      <x:alignment horizontal="left" vertical="top" wrapText="1"/>
    </x:xf>
    <x:xf numFmtId="0" fontId="48" fillId="29" borderId="6" xfId="0" applyNumberFormat="1" applyFont="1" applyFill="1" applyBorder="1" applyAlignment="1">
      <x:alignment horizontal="left" vertical="top" wrapText="1"/>
    </x:xf>
    <x:xf numFmtId="0" fontId="48" fillId="29" borderId="7" xfId="0" applyNumberFormat="1" applyFont="1" applyFill="1" applyBorder="1" applyAlignment="1">
      <x:alignment horizontal="left" vertical="top" wrapText="1"/>
    </x:xf>
    <x:xf numFmtId="0" fontId="48" fillId="29" borderId="8" xfId="0" applyNumberFormat="1" applyFont="1" applyFill="1" applyBorder="1" applyAlignment="1">
      <x:alignment horizontal="left" vertical="top" wrapText="1"/>
    </x:xf>
    <x:xf numFmtId="0" fontId="48" fillId="29" borderId="9" xfId="0" applyNumberFormat="1" applyFont="1" applyFill="1" applyBorder="1" applyAlignment="1">
      <x:alignment horizontal="left" vertical="top" wrapText="1"/>
    </x:xf>
    <x:xf numFmtId="0" fontId="3" fillId="27" borderId="0" xfId="0" applyNumberFormat="1" applyFont="1" applyFill="1" applyBorder="1"/>
    <x:xf numFmtId="0" fontId="3" fillId="27" borderId="10" xfId="0" applyNumberFormat="1" applyFont="1" applyFill="1" applyBorder="1"/>
    <x:xf numFmtId="0" fontId="3" fillId="27" borderId="10" xfId="0" applyNumberFormat="1" applyFont="1" applyFill="1" applyBorder="1" applyAlignment="1">
      <x:alignment horizontal="center"/>
    </x:xf>
    <x:xf numFmtId="0" fontId="3" fillId="27" borderId="10" xfId="0" applyNumberFormat="1" applyFont="1" applyFill="1" applyBorder="1" applyAlignment="1">
      <x:alignment horizontal="center" vertical="center"/>
    </x:xf>
    <x:xf numFmtId="0" fontId="0" fillId="30" borderId="0" xfId="0" applyNumberFormat="1" applyFont="1" applyFill="1" applyBorder="1"/>
    <x:xf numFmtId="0" fontId="49" fillId="30" borderId="0" xfId="0" applyNumberFormat="1" applyFont="1" applyFill="1" applyBorder="1"/>
    <x:xf numFmtId="0" fontId="49" fillId="30" borderId="7" xfId="0" applyNumberFormat="1" applyFont="1" applyFill="1" applyBorder="1"/>
    <x:xf numFmtId="0" fontId="49" fillId="30" borderId="8" xfId="0" applyNumberFormat="1" applyFont="1" applyFill="1" applyBorder="1"/>
    <x:xf numFmtId="0" fontId="49" fillId="30" borderId="9" xfId="0" applyNumberFormat="1" applyFont="1" applyFill="1" applyBorder="1"/>
    <x:xf numFmtId="0" fontId="49" fillId="30" borderId="7" xfId="0" applyNumberFormat="1" applyFont="1" applyFill="1" applyBorder="1" applyAlignment="1">
      <x:alignment wrapText="1"/>
    </x:xf>
    <x:xf numFmtId="0" fontId="49" fillId="30" borderId="8" xfId="0" applyNumberFormat="1" applyFont="1" applyFill="1" applyBorder="1" applyAlignment="1">
      <x:alignment wrapText="1"/>
    </x:xf>
    <x:xf numFmtId="0" fontId="49" fillId="30" borderId="9" xfId="0" applyNumberFormat="1" applyFont="1" applyFill="1" applyBorder="1" applyAlignment="1">
      <x:alignment wrapText="1"/>
    </x:xf>
    <x:xf numFmtId="0" fontId="49" fillId="30" borderId="7" xfId="0" applyNumberFormat="1" applyFont="1" applyFill="1" applyBorder="1" applyAlignment="1">
      <x:alignment vertical="center" wrapText="1"/>
    </x:xf>
    <x:xf numFmtId="0" fontId="49" fillId="30" borderId="8" xfId="0" applyNumberFormat="1" applyFont="1" applyFill="1" applyBorder="1" applyAlignment="1">
      <x:alignment vertical="center" wrapText="1"/>
    </x:xf>
    <x:xf numFmtId="0" fontId="49" fillId="30" borderId="9" xfId="0" applyNumberFormat="1" applyFont="1" applyFill="1" applyBorder="1" applyAlignment="1">
      <x:alignment vertical="center" wrapText="1"/>
    </x:xf>
    <x:xf numFmtId="0" fontId="50" fillId="30" borderId="7" xfId="0" applyNumberFormat="1" applyFont="1" applyFill="1" applyBorder="1" applyAlignment="1">
      <x:alignment vertical="center" wrapText="1"/>
    </x:xf>
    <x:xf numFmtId="0" fontId="50" fillId="30" borderId="8" xfId="0" applyNumberFormat="1" applyFont="1" applyFill="1" applyBorder="1" applyAlignment="1">
      <x:alignment vertical="center" wrapText="1"/>
    </x:xf>
    <x:xf numFmtId="0" fontId="51" fillId="30" borderId="8" xfId="0" applyNumberFormat="1" applyFont="1" applyFill="1" applyBorder="1" applyAlignment="1">
      <x:alignment vertical="center" wrapText="1"/>
    </x:xf>
    <x:xf numFmtId="0" fontId="51" fillId="30" borderId="9" xfId="0" applyNumberFormat="1" applyFont="1" applyFill="1" applyBorder="1" applyAlignment="1">
      <x:alignment vertical="center" wrapText="1"/>
    </x:xf>
    <x:xf numFmtId="0" fontId="0" fillId="31" borderId="0" xfId="0" applyNumberFormat="1" applyFont="1" applyFill="1" applyBorder="1"/>
    <x:xf numFmtId="0" fontId="49" fillId="31" borderId="0" xfId="0" applyNumberFormat="1" applyFont="1" applyFill="1" applyBorder="1"/>
    <x:xf numFmtId="0" fontId="49" fillId="31" borderId="7" xfId="0" applyNumberFormat="1" applyFont="1" applyFill="1" applyBorder="1"/>
    <x:xf numFmtId="0" fontId="49" fillId="31" borderId="8" xfId="0" applyNumberFormat="1" applyFont="1" applyFill="1" applyBorder="1"/>
    <x:xf numFmtId="0" fontId="49" fillId="31" borderId="9" xfId="0" applyNumberFormat="1" applyFont="1" applyFill="1" applyBorder="1"/>
    <x:xf numFmtId="0" fontId="49" fillId="31" borderId="7" xfId="0" applyNumberFormat="1" applyFont="1" applyFill="1" applyBorder="1" applyAlignment="1">
      <x:alignment wrapText="1"/>
    </x:xf>
    <x:xf numFmtId="0" fontId="49" fillId="31" borderId="8" xfId="0" applyNumberFormat="1" applyFont="1" applyFill="1" applyBorder="1" applyAlignment="1">
      <x:alignment wrapText="1"/>
    </x:xf>
    <x:xf numFmtId="0" fontId="49" fillId="31" borderId="9" xfId="0" applyNumberFormat="1" applyFont="1" applyFill="1" applyBorder="1" applyAlignment="1">
      <x:alignment wrapText="1"/>
    </x:xf>
    <x:xf numFmtId="0" fontId="49" fillId="31" borderId="7" xfId="0" applyNumberFormat="1" applyFont="1" applyFill="1" applyBorder="1" applyAlignment="1">
      <x:alignment vertical="center" wrapText="1"/>
    </x:xf>
    <x:xf numFmtId="0" fontId="49" fillId="31" borderId="8" xfId="0" applyNumberFormat="1" applyFont="1" applyFill="1" applyBorder="1" applyAlignment="1">
      <x:alignment vertical="center" wrapText="1"/>
    </x:xf>
    <x:xf numFmtId="0" fontId="49" fillId="31" borderId="9" xfId="0" applyNumberFormat="1" applyFont="1" applyFill="1" applyBorder="1" applyAlignment="1">
      <x:alignment vertical="center" wrapText="1"/>
    </x:xf>
    <x:xf numFmtId="0" fontId="50" fillId="31" borderId="7" xfId="0" applyNumberFormat="1" applyFont="1" applyFill="1" applyBorder="1" applyAlignment="1">
      <x:alignment vertical="center" wrapText="1"/>
    </x:xf>
    <x:xf numFmtId="0" fontId="50" fillId="31" borderId="8" xfId="0" applyNumberFormat="1" applyFont="1" applyFill="1" applyBorder="1" applyAlignment="1">
      <x:alignment vertical="center" wrapText="1"/>
    </x:xf>
    <x:xf numFmtId="0" fontId="51" fillId="31" borderId="8" xfId="0" applyNumberFormat="1" applyFont="1" applyFill="1" applyBorder="1" applyAlignment="1">
      <x:alignment vertical="center" wrapText="1"/>
    </x:xf>
    <x:xf numFmtId="0" fontId="51" fillId="31" borderId="9" xfId="0" applyNumberFormat="1" applyFont="1" applyFill="1" applyBorder="1" applyAlignment="1">
      <x:alignment vertical="center" wrapText="1"/>
    </x:xf>
    <x:xf numFmtId="0" fontId="49" fillId="30" borderId="8" xfId="0" applyNumberFormat="1" applyFont="1" applyFill="1" applyBorder="1" applyAlignment="1">
      <x:alignment horizontal="left" wrapText="1"/>
    </x:xf>
    <x:xf numFmtId="0" fontId="49" fillId="30" borderId="8" xfId="0" applyNumberFormat="1" applyFont="1" applyFill="1" applyBorder="1" applyAlignment="1">
      <x:alignment horizontal="left" vertical="center" wrapText="1"/>
    </x:xf>
    <x:xf numFmtId="0" fontId="49" fillId="31" borderId="8" xfId="0" applyNumberFormat="1" applyFont="1" applyFill="1" applyBorder="1" applyAlignment="1">
      <x:alignment horizontal="left" wrapText="1"/>
    </x:xf>
    <x:xf numFmtId="0" fontId="49" fillId="31" borderId="8" xfId="0" applyNumberFormat="1" applyFont="1" applyFill="1" applyBorder="1" applyAlignment="1">
      <x:alignment horizontal="left" vertical="center" wrapText="1"/>
    </x:xf>
    <x:xf numFmtId="0" fontId="0" fillId="32" borderId="0" xfId="0" applyNumberFormat="1" applyFont="1" applyFill="1" applyBorder="1"/>
    <x:xf numFmtId="0" fontId="49" fillId="32" borderId="0" xfId="0" applyNumberFormat="1" applyFont="1" applyFill="1" applyBorder="1"/>
    <x:xf numFmtId="0" fontId="49" fillId="32" borderId="11" xfId="0" applyNumberFormat="1" applyFont="1" applyFill="1" applyBorder="1"/>
    <x:xf numFmtId="0" fontId="49" fillId="32" borderId="12" xfId="0" applyNumberFormat="1" applyFont="1" applyFill="1" applyBorder="1"/>
    <x:xf numFmtId="0" fontId="49" fillId="32" borderId="13" xfId="0" applyNumberFormat="1" applyFont="1" applyFill="1" applyBorder="1"/>
    <x:xf numFmtId="0" fontId="49" fillId="32" borderId="14" xfId="0" applyNumberFormat="1" applyFont="1" applyFill="1" applyBorder="1"/>
    <x:xf numFmtId="0" fontId="49" fillId="32" xfId="0" applyNumberFormat="1" applyFont="1" applyFill="1" applyBorder="0"/>
    <x:xf numFmtId="0" fontId="49" fillId="32" borderId="15" xfId="0" applyNumberFormat="1" applyFont="1" applyFill="1" applyBorder="1"/>
    <x:xf numFmtId="0" fontId="49" fillId="32" borderId="16" xfId="0" applyNumberFormat="1" applyFont="1" applyFill="1" applyBorder="1"/>
    <x:xf numFmtId="0" fontId="49" fillId="32" borderId="10" xfId="0" applyNumberFormat="1" applyFont="1" applyFill="1" applyBorder="1"/>
    <x:xf numFmtId="0" fontId="49" fillId="32" borderId="17" xfId="0" applyNumberFormat="1" applyFont="1" applyFill="1" applyBorder="1"/>
    <x:xf numFmtId="0" fontId="49" fillId="32" borderId="11" xfId="0" applyNumberFormat="1" applyFont="1" applyFill="1" applyBorder="1" applyAlignment="1">
      <x:alignment wrapText="1"/>
    </x:xf>
    <x:xf numFmtId="0" fontId="49" fillId="32" borderId="12" xfId="0" applyNumberFormat="1" applyFont="1" applyFill="1" applyBorder="1" applyAlignment="1">
      <x:alignment wrapText="1"/>
    </x:xf>
    <x:xf numFmtId="0" fontId="49" fillId="32" borderId="13" xfId="0" applyNumberFormat="1" applyFont="1" applyFill="1" applyBorder="1" applyAlignment="1">
      <x:alignment wrapText="1"/>
    </x:xf>
    <x:xf numFmtId="0" fontId="49" fillId="32" borderId="14" xfId="0" applyNumberFormat="1" applyFont="1" applyFill="1" applyBorder="1" applyAlignment="1">
      <x:alignment wrapText="1"/>
    </x:xf>
    <x:xf numFmtId="0" fontId="49" fillId="32" xfId="0" applyNumberFormat="1" applyFont="1" applyFill="1" applyBorder="0" applyAlignment="1">
      <x:alignment wrapText="1"/>
    </x:xf>
    <x:xf numFmtId="0" fontId="49" fillId="32" borderId="15" xfId="0" applyNumberFormat="1" applyFont="1" applyFill="1" applyBorder="1" applyAlignment="1">
      <x:alignment wrapText="1"/>
    </x:xf>
    <x:xf numFmtId="0" fontId="49" fillId="32" borderId="16" xfId="0" applyNumberFormat="1" applyFont="1" applyFill="1" applyBorder="1" applyAlignment="1">
      <x:alignment wrapText="1"/>
    </x:xf>
    <x:xf numFmtId="0" fontId="49" fillId="32" borderId="10" xfId="0" applyNumberFormat="1" applyFont="1" applyFill="1" applyBorder="1" applyAlignment="1">
      <x:alignment wrapText="1"/>
    </x:xf>
    <x:xf numFmtId="0" fontId="49" fillId="32" borderId="17" xfId="0" applyNumberFormat="1" applyFont="1" applyFill="1" applyBorder="1" applyAlignment="1">
      <x:alignment wrapText="1"/>
    </x:xf>
    <x:xf numFmtId="0" fontId="49" fillId="32" borderId="11" xfId="0" applyNumberFormat="1" applyFont="1" applyFill="1" applyBorder="1" applyAlignment="1">
      <x:alignment horizontal="left" wrapText="1"/>
    </x:xf>
    <x:xf numFmtId="0" fontId="49" fillId="32" borderId="12" xfId="0" applyNumberFormat="1" applyFont="1" applyFill="1" applyBorder="1" applyAlignment="1">
      <x:alignment horizontal="left" wrapText="1"/>
    </x:xf>
    <x:xf numFmtId="0" fontId="49" fillId="32" borderId="13" xfId="0" applyNumberFormat="1" applyFont="1" applyFill="1" applyBorder="1" applyAlignment="1">
      <x:alignment horizontal="left" wrapText="1"/>
    </x:xf>
    <x:xf numFmtId="0" fontId="49" fillId="32" borderId="14" xfId="0" applyNumberFormat="1" applyFont="1" applyFill="1" applyBorder="1" applyAlignment="1">
      <x:alignment horizontal="left" wrapText="1"/>
    </x:xf>
    <x:xf numFmtId="0" fontId="49" fillId="32" xfId="0" applyNumberFormat="1" applyFont="1" applyFill="1" applyBorder="0" applyAlignment="1">
      <x:alignment horizontal="left" wrapText="1"/>
    </x:xf>
    <x:xf numFmtId="0" fontId="49" fillId="32" borderId="15" xfId="0" applyNumberFormat="1" applyFont="1" applyFill="1" applyBorder="1" applyAlignment="1">
      <x:alignment horizontal="left" wrapText="1"/>
    </x:xf>
    <x:xf numFmtId="0" fontId="49" fillId="32" borderId="16" xfId="0" applyNumberFormat="1" applyFont="1" applyFill="1" applyBorder="1" applyAlignment="1">
      <x:alignment horizontal="left" wrapText="1"/>
    </x:xf>
    <x:xf numFmtId="0" fontId="49" fillId="32" borderId="10" xfId="0" applyNumberFormat="1" applyFont="1" applyFill="1" applyBorder="1" applyAlignment="1">
      <x:alignment horizontal="left" wrapText="1"/>
    </x:xf>
    <x:xf numFmtId="0" fontId="49" fillId="32" borderId="17" xfId="0" applyNumberFormat="1" applyFont="1" applyFill="1" applyBorder="1" applyAlignment="1">
      <x:alignment horizontal="left" wrapText="1"/>
    </x:xf>
    <x:xf numFmtId="0" fontId="49" fillId="32" borderId="11" xfId="0" applyNumberFormat="1" applyFont="1" applyFill="1" applyBorder="1" applyAlignment="1">
      <x:alignment horizontal="left" vertical="top" wrapText="1"/>
    </x:xf>
    <x:xf numFmtId="0" fontId="49" fillId="32" borderId="12" xfId="0" applyNumberFormat="1" applyFont="1" applyFill="1" applyBorder="1" applyAlignment="1">
      <x:alignment horizontal="left" vertical="top" wrapText="1"/>
    </x:xf>
    <x:xf numFmtId="0" fontId="49" fillId="32" borderId="13" xfId="0" applyNumberFormat="1" applyFont="1" applyFill="1" applyBorder="1" applyAlignment="1">
      <x:alignment horizontal="left" vertical="top" wrapText="1"/>
    </x:xf>
    <x:xf numFmtId="0" fontId="49" fillId="32" borderId="14" xfId="0" applyNumberFormat="1" applyFont="1" applyFill="1" applyBorder="1" applyAlignment="1">
      <x:alignment horizontal="left" vertical="top" wrapText="1"/>
    </x:xf>
    <x:xf numFmtId="0" fontId="49" fillId="32" xfId="0" applyNumberFormat="1" applyFont="1" applyFill="1" applyBorder="0" applyAlignment="1">
      <x:alignment horizontal="left" vertical="top" wrapText="1"/>
    </x:xf>
    <x:xf numFmtId="0" fontId="49" fillId="32" borderId="15" xfId="0" applyNumberFormat="1" applyFont="1" applyFill="1" applyBorder="1" applyAlignment="1">
      <x:alignment horizontal="left" vertical="top" wrapText="1"/>
    </x:xf>
    <x:xf numFmtId="0" fontId="49" fillId="32" borderId="16" xfId="0" applyNumberFormat="1" applyFont="1" applyFill="1" applyBorder="1" applyAlignment="1">
      <x:alignment horizontal="left" vertical="top" wrapText="1"/>
    </x:xf>
    <x:xf numFmtId="0" fontId="49" fillId="32" borderId="10" xfId="0" applyNumberFormat="1" applyFont="1" applyFill="1" applyBorder="1" applyAlignment="1">
      <x:alignment horizontal="left" vertical="top" wrapText="1"/>
    </x:xf>
    <x:xf numFmtId="0" fontId="49" fillId="32" borderId="17" xfId="0" applyNumberFormat="1" applyFont="1" applyFill="1" applyBorder="1" applyAlignment="1">
      <x:alignment horizontal="left" vertical="top" wrapText="1"/>
    </x:xf>
    <x:xf numFmtId="0" fontId="49" fillId="29" borderId="0" xfId="0" applyNumberFormat="1" applyFont="1" applyFill="1" applyBorder="1"/>
    <x:xf numFmtId="0" fontId="49" fillId="29" borderId="2" xfId="0" applyNumberFormat="1" applyFont="1" applyFill="1" applyBorder="1"/>
    <x:xf numFmtId="0" fontId="49" fillId="29" borderId="3" xfId="0" applyNumberFormat="1" applyFont="1" applyFill="1" applyBorder="1"/>
    <x:xf numFmtId="0" fontId="49" fillId="29" borderId="4" xfId="0" applyNumberFormat="1" applyFont="1" applyFill="1" applyBorder="1"/>
    <x:xf numFmtId="0" fontId="49" fillId="29" borderId="5" xfId="0" applyNumberFormat="1" applyFont="1" applyFill="1" applyBorder="1"/>
    <x:xf numFmtId="0" fontId="49" fillId="29" xfId="0" applyNumberFormat="1" applyFont="1" applyFill="1" applyBorder="0"/>
    <x:xf numFmtId="0" fontId="49" fillId="29" borderId="6" xfId="0" applyNumberFormat="1" applyFont="1" applyFill="1" applyBorder="1"/>
    <x:xf numFmtId="0" fontId="49" fillId="29" borderId="7" xfId="0" applyNumberFormat="1" applyFont="1" applyFill="1" applyBorder="1"/>
    <x:xf numFmtId="0" fontId="49" fillId="29" borderId="8" xfId="0" applyNumberFormat="1" applyFont="1" applyFill="1" applyBorder="1"/>
    <x:xf numFmtId="0" fontId="49" fillId="29" borderId="9" xfId="0" applyNumberFormat="1" applyFont="1" applyFill="1" applyBorder="1"/>
    <x:xf numFmtId="0" fontId="49" fillId="29" borderId="2" xfId="0" applyNumberFormat="1" applyFont="1" applyFill="1" applyBorder="1" applyAlignment="1">
      <x:alignment wrapText="1"/>
    </x:xf>
    <x:xf numFmtId="0" fontId="49" fillId="29" borderId="3" xfId="0" applyNumberFormat="1" applyFont="1" applyFill="1" applyBorder="1" applyAlignment="1">
      <x:alignment wrapText="1"/>
    </x:xf>
    <x:xf numFmtId="0" fontId="49" fillId="29" borderId="4" xfId="0" applyNumberFormat="1" applyFont="1" applyFill="1" applyBorder="1" applyAlignment="1">
      <x:alignment wrapText="1"/>
    </x:xf>
    <x:xf numFmtId="0" fontId="49" fillId="29" borderId="5" xfId="0" applyNumberFormat="1" applyFont="1" applyFill="1" applyBorder="1" applyAlignment="1">
      <x:alignment wrapText="1"/>
    </x:xf>
    <x:xf numFmtId="0" fontId="49" fillId="29" xfId="0" applyNumberFormat="1" applyFont="1" applyFill="1" applyBorder="0" applyAlignment="1">
      <x:alignment wrapText="1"/>
    </x:xf>
    <x:xf numFmtId="0" fontId="49" fillId="29" borderId="6" xfId="0" applyNumberFormat="1" applyFont="1" applyFill="1" applyBorder="1" applyAlignment="1">
      <x:alignment wrapText="1"/>
    </x:xf>
    <x:xf numFmtId="0" fontId="49" fillId="29" borderId="7" xfId="0" applyNumberFormat="1" applyFont="1" applyFill="1" applyBorder="1" applyAlignment="1">
      <x:alignment wrapText="1"/>
    </x:xf>
    <x:xf numFmtId="0" fontId="49" fillId="29" borderId="8" xfId="0" applyNumberFormat="1" applyFont="1" applyFill="1" applyBorder="1" applyAlignment="1">
      <x:alignment wrapText="1"/>
    </x:xf>
    <x:xf numFmtId="0" fontId="49" fillId="29" borderId="9" xfId="0" applyNumberFormat="1" applyFont="1" applyFill="1" applyBorder="1" applyAlignment="1">
      <x:alignment wrapText="1"/>
    </x:xf>
    <x:xf numFmtId="0" fontId="49" fillId="29" borderId="2" xfId="0" applyNumberFormat="1" applyFont="1" applyFill="1" applyBorder="1" applyAlignment="1">
      <x:alignment horizontal="left" wrapText="1"/>
    </x:xf>
    <x:xf numFmtId="0" fontId="49" fillId="29" borderId="3" xfId="0" applyNumberFormat="1" applyFont="1" applyFill="1" applyBorder="1" applyAlignment="1">
      <x:alignment horizontal="left" wrapText="1"/>
    </x:xf>
    <x:xf numFmtId="0" fontId="49" fillId="29" borderId="4" xfId="0" applyNumberFormat="1" applyFont="1" applyFill="1" applyBorder="1" applyAlignment="1">
      <x:alignment horizontal="left" wrapText="1"/>
    </x:xf>
    <x:xf numFmtId="0" fontId="49" fillId="29" borderId="5" xfId="0" applyNumberFormat="1" applyFont="1" applyFill="1" applyBorder="1" applyAlignment="1">
      <x:alignment horizontal="left" wrapText="1"/>
    </x:xf>
    <x:xf numFmtId="0" fontId="49" fillId="29" xfId="0" applyNumberFormat="1" applyFont="1" applyFill="1" applyBorder="0" applyAlignment="1">
      <x:alignment horizontal="left" wrapText="1"/>
    </x:xf>
    <x:xf numFmtId="0" fontId="49" fillId="29" borderId="6" xfId="0" applyNumberFormat="1" applyFont="1" applyFill="1" applyBorder="1" applyAlignment="1">
      <x:alignment horizontal="left" wrapText="1"/>
    </x:xf>
    <x:xf numFmtId="0" fontId="49" fillId="29" borderId="7" xfId="0" applyNumberFormat="1" applyFont="1" applyFill="1" applyBorder="1" applyAlignment="1">
      <x:alignment horizontal="left" wrapText="1"/>
    </x:xf>
    <x:xf numFmtId="0" fontId="49" fillId="29" borderId="8" xfId="0" applyNumberFormat="1" applyFont="1" applyFill="1" applyBorder="1" applyAlignment="1">
      <x:alignment horizontal="left" wrapText="1"/>
    </x:xf>
    <x:xf numFmtId="0" fontId="49" fillId="29" borderId="9" xfId="0" applyNumberFormat="1" applyFont="1" applyFill="1" applyBorder="1" applyAlignment="1">
      <x:alignment horizontal="left" wrapText="1"/>
    </x:xf>
    <x:xf numFmtId="0" fontId="49" fillId="29" borderId="2" xfId="0" applyNumberFormat="1" applyFont="1" applyFill="1" applyBorder="1" applyAlignment="1">
      <x:alignment horizontal="left" vertical="top" wrapText="1"/>
    </x:xf>
    <x:xf numFmtId="0" fontId="49" fillId="29" borderId="3" xfId="0" applyNumberFormat="1" applyFont="1" applyFill="1" applyBorder="1" applyAlignment="1">
      <x:alignment horizontal="left" vertical="top" wrapText="1"/>
    </x:xf>
    <x:xf numFmtId="0" fontId="49" fillId="29" borderId="4" xfId="0" applyNumberFormat="1" applyFont="1" applyFill="1" applyBorder="1" applyAlignment="1">
      <x:alignment horizontal="left" vertical="top" wrapText="1"/>
    </x:xf>
    <x:xf numFmtId="0" fontId="49" fillId="29" borderId="5" xfId="0" applyNumberFormat="1" applyFont="1" applyFill="1" applyBorder="1" applyAlignment="1">
      <x:alignment horizontal="left" vertical="top" wrapText="1"/>
    </x:xf>
    <x:xf numFmtId="0" fontId="49" fillId="29" xfId="0" applyNumberFormat="1" applyFont="1" applyFill="1" applyBorder="0" applyAlignment="1">
      <x:alignment horizontal="left" vertical="top" wrapText="1"/>
    </x:xf>
    <x:xf numFmtId="0" fontId="49" fillId="29" borderId="6" xfId="0" applyNumberFormat="1" applyFont="1" applyFill="1" applyBorder="1" applyAlignment="1">
      <x:alignment horizontal="left" vertical="top" wrapText="1"/>
    </x:xf>
    <x:xf numFmtId="0" fontId="49" fillId="29" borderId="7" xfId="0" applyNumberFormat="1" applyFont="1" applyFill="1" applyBorder="1" applyAlignment="1">
      <x:alignment horizontal="left" vertical="top" wrapText="1"/>
    </x:xf>
    <x:xf numFmtId="0" fontId="49" fillId="29" borderId="8" xfId="0" applyNumberFormat="1" applyFont="1" applyFill="1" applyBorder="1" applyAlignment="1">
      <x:alignment horizontal="left" vertical="top" wrapText="1"/>
    </x:xf>
    <x:xf numFmtId="0" fontId="49" fillId="29" borderId="9" xfId="0" applyNumberFormat="1" applyFont="1" applyFill="1" applyBorder="1" applyAlignment="1">
      <x:alignment horizontal="left" vertical="top" wrapText="1"/>
    </x:xf>
    <x:xf numFmtId="0" fontId="13" fillId="27" borderId="0" xfId="0" applyNumberFormat="1" applyFont="1" applyFill="1" applyBorder="1"/>
    <x:xf numFmtId="0" fontId="13" fillId="27" borderId="0" xfId="0" applyNumberFormat="1" applyFont="1" applyFill="1" applyBorder="1" applyAlignment="1">
      <x:alignment horizontal="center"/>
    </x:xf>
    <x:xf numFmtId="0" fontId="13" fillId="27" borderId="0" xfId="0" applyNumberFormat="1" applyFont="1" applyFill="1" applyBorder="1" applyAlignment="1">
      <x:alignment horizontal="center" vertical="center"/>
    </x:xf>
    <x:xf numFmtId="0" fontId="52" fillId="28" borderId="0" xfId="0" applyNumberFormat="1" applyFont="1" applyFill="1" applyBorder="1"/>
    <x:xf numFmtId="0" fontId="52" fillId="28" borderId="0" xfId="0" applyNumberFormat="1" applyFont="1" applyFill="1" applyBorder="1" applyAlignment="1">
      <x:alignment horizontal="center"/>
    </x:xf>
    <x:xf numFmtId="0" fontId="52" fillId="28" borderId="0" xfId="0" applyNumberFormat="1" applyFont="1" applyFill="1" applyBorder="1" applyAlignment="1">
      <x:alignment horizontal="center" vertical="center"/>
    </x:xf>
    <x:xf numFmtId="0" fontId="0" fillId="28" borderId="0" xfId="0" applyNumberFormat="1" applyFont="1" applyFill="1" applyBorder="1" applyAlignment="1">
      <x:alignment vertical="center" wrapText="1"/>
    </x:xf>
    <x:xf numFmtId="0" fontId="3" fillId="28" borderId="0" xfId="0" applyNumberFormat="1" applyFont="1" applyFill="1" applyBorder="1" applyAlignment="1">
      <x:alignment vertical="center" wrapText="1"/>
    </x:xf>
    <x:xf numFmtId="0" fontId="3" fillId="28" borderId="0" xfId="0" applyNumberFormat="1" applyFont="1" applyFill="1" applyBorder="1" applyAlignment="1">
      <x:alignment horizontal="left" vertical="center" wrapText="1"/>
    </x:xf>
    <x:xf numFmtId="0" fontId="0" fillId="27" borderId="0" xfId="0" applyNumberFormat="1" applyFont="1" applyFill="1" applyBorder="1" applyAlignment="1">
      <x:alignment vertical="center" wrapText="1"/>
    </x:xf>
    <x:xf numFmtId="0" fontId="3" fillId="27" borderId="0" xfId="0" applyNumberFormat="1" applyFont="1" applyFill="1" applyBorder="1" applyAlignment="1">
      <x:alignment vertical="center" wrapText="1"/>
    </x:xf>
    <x:xf numFmtId="0" fontId="3" fillId="27" borderId="0" xfId="0" applyNumberFormat="1" applyFont="1" applyFill="1" applyBorder="1" applyAlignment="1">
      <x:alignment horizontal="center" vertical="center" wrapText="1"/>
    </x:xf>
    <x:xf numFmtId="0" fontId="0" fillId="33" borderId="0" xfId="0" applyNumberFormat="1" applyFont="1" applyFill="1" applyBorder="1"/>
    <x:xf numFmtId="0" fontId="53" fillId="33" borderId="0" xfId="0" applyNumberFormat="1" applyFont="1" applyFill="1" applyBorder="1"/>
    <x:xf numFmtId="0" fontId="53" fillId="33" borderId="8" xfId="0" applyNumberFormat="1" applyFont="1" applyFill="1" applyBorder="1"/>
    <x:xf numFmtId="0" fontId="53" fillId="33" borderId="8" xfId="0" applyNumberFormat="1" applyFont="1" applyFill="1" applyBorder="1" applyAlignment="1">
      <x:alignment wrapText="1"/>
    </x:xf>
    <x:xf numFmtId="0" fontId="53" fillId="33" borderId="8" xfId="0" applyNumberFormat="1" applyFont="1" applyFill="1" applyBorder="1" applyAlignment="1">
      <x:alignment vertical="center" wrapText="1"/>
    </x:xf>
    <x:xf numFmtId="0" fontId="53" fillId="32" borderId="0" xfId="0" applyNumberFormat="1" applyFont="1" applyFill="1" applyBorder="1"/>
    <x:xf numFmtId="0" fontId="53" fillId="32" borderId="12" xfId="0" applyNumberFormat="1" applyFont="1" applyFill="1" applyBorder="1"/>
    <x:xf numFmtId="0" fontId="53" fillId="32" borderId="10" xfId="0" applyNumberFormat="1" applyFont="1" applyFill="1" applyBorder="1"/>
    <x:xf numFmtId="0" fontId="53" fillId="32" borderId="12" xfId="0" applyNumberFormat="1" applyFont="1" applyFill="1" applyBorder="1" applyAlignment="1">
      <x:alignment wrapText="1"/>
    </x:xf>
    <x:xf numFmtId="0" fontId="53" fillId="32" borderId="10" xfId="0" applyNumberFormat="1" applyFont="1" applyFill="1" applyBorder="1" applyAlignment="1">
      <x:alignment wrapText="1"/>
    </x:xf>
    <x:xf numFmtId="0" fontId="53" fillId="32" borderId="12" xfId="0" applyNumberFormat="1" applyFont="1" applyFill="1" applyBorder="1" applyAlignment="1">
      <x:alignment vertical="center" wrapText="1"/>
    </x:xf>
    <x:xf numFmtId="0" fontId="53" fillId="32" borderId="10" xfId="0" applyNumberFormat="1" applyFont="1" applyFill="1" applyBorder="1" applyAlignment="1">
      <x:alignment vertical="center" wrapText="1"/>
    </x:xf>
    <x:xf numFmtId="0" fontId="0" fillId="34" borderId="0" xfId="0" applyNumberFormat="1" applyFont="1" applyFill="1" applyBorder="1" applyAlignment="1">
      <x:alignment vertical="center" wrapText="1"/>
    </x:xf>
    <x:xf numFmtId="0" fontId="49" fillId="34" borderId="0" xfId="0" applyNumberFormat="1" applyFont="1" applyFill="1" applyBorder="1" applyAlignment="1">
      <x:alignment vertical="center" wrapText="1"/>
    </x:xf>
    <x:xf numFmtId="0" fontId="49" fillId="34" borderId="0" xfId="0" applyNumberFormat="1" applyFont="1" applyFill="1" applyBorder="1" applyAlignment="1">
      <x:alignment horizontal="left" vertical="center" wrapText="1"/>
    </x:xf>
    <x:xf numFmtId="0" fontId="3" fillId="28" borderId="0" xfId="0" applyNumberFormat="1" applyFont="1" applyFill="1" applyBorder="1" applyAlignment="1">
      <x:alignment horizontal="center" vertical="center" wrapText="1"/>
    </x:xf>
    <x:xf numFmtId="0" fontId="53" fillId="27" borderId="8" xfId="0" applyNumberFormat="1" applyFont="1" applyFill="1" applyBorder="1" applyAlignment="1">
      <x:alignment vertical="center" wrapText="1"/>
    </x:xf>
    <x:xf numFmtId="0" fontId="35" fillId="27" borderId="8" xfId="0" applyNumberFormat="1" applyFont="1" applyFill="1" applyBorder="1" applyAlignment="1">
      <x:alignment vertical="center" wrapText="1"/>
    </x:xf>
    <x:xf numFmtId="0" fontId="35" fillId="27" borderId="8" xfId="0" applyNumberFormat="1" applyFont="1" applyFill="1" applyBorder="1" applyAlignment="1">
      <x:alignment horizontal="center" vertical="center" wrapText="1"/>
    </x:xf>
    <x:xf numFmtId="0" fontId="53" fillId="32" borderId="18" xfId="0" applyNumberFormat="1" applyFont="1" applyFill="1" applyBorder="1" applyAlignment="1">
      <x:alignment vertical="center" wrapText="1"/>
    </x:xf>
    <x:xf numFmtId="0" fontId="53" fillId="32" borderId="18" xfId="0" applyNumberFormat="1" applyFont="1" applyFill="1" applyBorder="1" applyAlignment="1">
      <x:alignment horizontal="left" vertical="center" wrapText="1"/>
    </x:xf>
    <x:xf numFmtId="0" fontId="53" fillId="32" borderId="10" xfId="0" applyNumberFormat="1" applyFont="1" applyFill="1" applyBorder="1" applyAlignment="1">
      <x:alignment horizontal="left" wrapText="1"/>
    </x:xf>
    <x:xf numFmtId="0" fontId="53" fillId="32" borderId="10" xfId="0" applyNumberFormat="1" applyFont="1" applyFill="1" applyBorder="1" applyAlignment="1">
      <x:alignment horizontal="left" vertical="center" wrapText="1"/>
    </x:xf>
    <x:xf numFmtId="0" fontId="48" fillId="7" borderId="0" xfId="0" applyNumberFormat="1" applyFont="1" applyFill="1" applyBorder="1"/>
    <x:xf numFmtId="0" fontId="48" fillId="7" xfId="0" applyNumberFormat="1" applyFont="1" applyFill="1" applyBorder="0"/>
    <x:xf numFmtId="0" fontId="48" fillId="7" borderId="0" xfId="0" applyNumberFormat="1" applyFont="1" applyFill="1" applyBorder="1" applyAlignment="1">
      <x:alignment wrapText="1"/>
    </x:xf>
    <x:xf numFmtId="0" fontId="48" fillId="7" xfId="0" applyNumberFormat="1" applyFont="1" applyFill="1" applyBorder="0" applyAlignment="1">
      <x:alignment wrapText="1"/>
    </x:xf>
    <x:xf numFmtId="0" fontId="48" fillId="7" borderId="0" xfId="0" applyNumberFormat="1" applyFont="1" applyFill="1" applyBorder="1" applyAlignment="1">
      <x:alignment horizontal="left" wrapText="1"/>
    </x:xf>
    <x:xf numFmtId="0" fontId="48" fillId="7" xfId="0" applyNumberFormat="1" applyFont="1" applyFill="1" applyBorder="0" applyAlignment="1">
      <x:alignment horizontal="left" wrapText="1"/>
    </x:xf>
    <x:xf numFmtId="0" fontId="48" fillId="7" borderId="0" xfId="0" applyNumberFormat="1" applyFont="1" applyFill="1" applyBorder="1" applyAlignment="1">
      <x:alignment horizontal="left" vertical="top" wrapText="1"/>
    </x:xf>
    <x:xf numFmtId="0" fontId="48" fillId="7" xfId="0" applyNumberFormat="1" applyFont="1" applyFill="1" applyBorder="0" applyAlignment="1">
      <x:alignment horizontal="left" vertical="top" wrapText="1"/>
    </x:xf>
    <x:xf numFmtId="0" fontId="3" fillId="27" borderId="0" xfId="0" applyNumberFormat="1" applyFont="1" applyFill="1" applyBorder="1" applyAlignment="1">
      <x:alignment horizontal="center"/>
    </x:xf>
    <x:xf numFmtId="0" fontId="3" fillId="27" borderId="0" xfId="0" applyNumberFormat="1" applyFont="1" applyFill="1" applyBorder="1" applyAlignment="1">
      <x:alignment horizontal="center" vertical="center"/>
    </x:xf>
    <x:xf numFmtId="0" fontId="49" fillId="13" borderId="0" xfId="0" applyNumberFormat="1" applyFont="1" applyFill="1" applyBorder="1"/>
    <x:xf numFmtId="0" fontId="49" fillId="13" borderId="0" xfId="0" applyNumberFormat="1" applyFont="1" applyFill="1" applyBorder="1" applyAlignment="1">
      <x:alignment wrapText="1"/>
    </x:xf>
    <x:xf numFmtId="0" fontId="49" fillId="13" borderId="0" xfId="0" applyNumberFormat="1" applyFont="1" applyFill="1" applyBorder="1" applyAlignment="1">
      <x:alignment vertical="center" wrapText="1"/>
    </x:xf>
    <x:xf numFmtId="0" fontId="50" fillId="13" borderId="0" xfId="0" applyNumberFormat="1" applyFont="1" applyFill="1" applyBorder="1" applyAlignment="1">
      <x:alignment vertical="center" wrapText="1"/>
    </x:xf>
    <x:xf numFmtId="0" fontId="51" fillId="13" borderId="0" xfId="0" applyNumberFormat="1" applyFont="1" applyFill="1" applyBorder="1" applyAlignment="1">
      <x:alignment vertical="center" wrapText="1"/>
    </x:xf>
    <x:xf numFmtId="0" fontId="49" fillId="31" borderId="0" xfId="0" applyNumberFormat="1" applyFont="1" applyFill="1" applyBorder="1" applyAlignment="1">
      <x:alignment wrapText="1"/>
    </x:xf>
    <x:xf numFmtId="0" fontId="49" fillId="31" borderId="0" xfId="0" applyNumberFormat="1" applyFont="1" applyFill="1" applyBorder="1" applyAlignment="1">
      <x:alignment vertical="center" wrapText="1"/>
    </x:xf>
    <x:xf numFmtId="0" fontId="50" fillId="31" borderId="0" xfId="0" applyNumberFormat="1" applyFont="1" applyFill="1" applyBorder="1" applyAlignment="1">
      <x:alignment vertical="center" wrapText="1"/>
    </x:xf>
    <x:xf numFmtId="0" fontId="51" fillId="31" borderId="0" xfId="0" applyNumberFormat="1" applyFont="1" applyFill="1" applyBorder="1" applyAlignment="1">
      <x:alignment vertical="center" wrapText="1"/>
    </x:xf>
    <x:xf numFmtId="0" fontId="49" fillId="13" borderId="0" xfId="0" applyNumberFormat="1" applyFont="1" applyFill="1" applyBorder="1" applyAlignment="1">
      <x:alignment horizontal="left" wrapText="1"/>
    </x:xf>
    <x:xf numFmtId="0" fontId="49" fillId="13" borderId="0" xfId="0" applyNumberFormat="1" applyFont="1" applyFill="1" applyBorder="1" applyAlignment="1">
      <x:alignment horizontal="left" vertical="center" wrapText="1"/>
    </x:xf>
    <x:xf numFmtId="0" fontId="49" fillId="31" borderId="0" xfId="0" applyNumberFormat="1" applyFont="1" applyFill="1" applyBorder="1" applyAlignment="1">
      <x:alignment horizontal="left" wrapText="1"/>
    </x:xf>
    <x:xf numFmtId="0" fontId="49" fillId="31" borderId="0" xfId="0" applyNumberFormat="1" applyFont="1" applyFill="1" applyBorder="1" applyAlignment="1">
      <x:alignment horizontal="left" vertical="center" wrapText="1"/>
    </x:xf>
    <x:xf numFmtId="0" fontId="49" fillId="32" borderId="0" xfId="0" applyNumberFormat="1" applyFont="1" applyFill="1" applyBorder="1" applyAlignment="1">
      <x:alignment wrapText="1"/>
    </x:xf>
    <x:xf numFmtId="0" fontId="49" fillId="32" borderId="0" xfId="0" applyNumberFormat="1" applyFont="1" applyFill="1" applyBorder="1" applyAlignment="1">
      <x:alignment horizontal="left" wrapText="1"/>
    </x:xf>
    <x:xf numFmtId="0" fontId="49" fillId="32" borderId="0" xfId="0" applyNumberFormat="1" applyFont="1" applyFill="1" applyBorder="1" applyAlignment="1">
      <x:alignment horizontal="left" vertical="top" wrapText="1"/>
    </x:xf>
    <x:xf numFmtId="0" fontId="49" fillId="7" borderId="0" xfId="0" applyNumberFormat="1" applyFont="1" applyFill="1" applyBorder="1"/>
    <x:xf numFmtId="0" fontId="49" fillId="7" xfId="0" applyNumberFormat="1" applyFont="1" applyFill="1" applyBorder="0"/>
    <x:xf numFmtId="0" fontId="49" fillId="7" borderId="0" xfId="0" applyNumberFormat="1" applyFont="1" applyFill="1" applyBorder="1" applyAlignment="1">
      <x:alignment wrapText="1"/>
    </x:xf>
    <x:xf numFmtId="0" fontId="49" fillId="7" xfId="0" applyNumberFormat="1" applyFont="1" applyFill="1" applyBorder="0" applyAlignment="1">
      <x:alignment wrapText="1"/>
    </x:xf>
    <x:xf numFmtId="0" fontId="49" fillId="7" borderId="0" xfId="0" applyNumberFormat="1" applyFont="1" applyFill="1" applyBorder="1" applyAlignment="1">
      <x:alignment horizontal="left" wrapText="1"/>
    </x:xf>
    <x:xf numFmtId="0" fontId="49" fillId="7" xfId="0" applyNumberFormat="1" applyFont="1" applyFill="1" applyBorder="0" applyAlignment="1">
      <x:alignment horizontal="left" wrapText="1"/>
    </x:xf>
    <x:xf numFmtId="0" fontId="49" fillId="7" borderId="0" xfId="0" applyNumberFormat="1" applyFont="1" applyFill="1" applyBorder="1" applyAlignment="1">
      <x:alignment horizontal="left" vertical="top" wrapText="1"/>
    </x:xf>
    <x:xf numFmtId="0" fontId="49" fillId="7" xfId="0" applyNumberFormat="1" applyFont="1" applyFill="1" applyBorder="0" applyAlignment="1">
      <x:alignment horizontal="left" vertical="top" wrapText="1"/>
    </x:xf>
    <x:xf numFmtId="0" fontId="53" fillId="33" borderId="0" xfId="0" applyNumberFormat="1" applyFont="1" applyFill="1" applyBorder="1" applyAlignment="1">
      <x:alignment wrapText="1"/>
    </x:xf>
    <x:xf numFmtId="0" fontId="53" fillId="33" borderId="0" xfId="0" applyNumberFormat="1" applyFont="1" applyFill="1" applyBorder="1" applyAlignment="1">
      <x:alignment vertical="center" wrapText="1"/>
    </x:xf>
    <x:xf numFmtId="0" fontId="53" fillId="32" borderId="0" xfId="0" applyNumberFormat="1" applyFont="1" applyFill="1" applyBorder="1" applyAlignment="1">
      <x:alignment wrapText="1"/>
    </x:xf>
    <x:xf numFmtId="0" fontId="53" fillId="32" borderId="0" xfId="0" applyNumberFormat="1" applyFont="1" applyFill="1" applyBorder="1" applyAlignment="1">
      <x:alignment vertical="center" wrapText="1"/>
    </x:xf>
    <x:xf numFmtId="0" fontId="49" fillId="6" borderId="0" xfId="0" applyNumberFormat="1" applyFont="1" applyFill="1" applyBorder="1" applyAlignment="1">
      <x:alignment vertical="center" wrapText="1"/>
    </x:xf>
    <x:xf numFmtId="0" fontId="49" fillId="6" borderId="0" xfId="0" applyNumberFormat="1" applyFont="1" applyFill="1" applyBorder="1" applyAlignment="1">
      <x:alignment horizontal="left" vertical="center" wrapText="1"/>
    </x:xf>
    <x:xf numFmtId="0" fontId="53" fillId="27" borderId="0" xfId="0" applyNumberFormat="1" applyFont="1" applyFill="1" applyBorder="1" applyAlignment="1">
      <x:alignment vertical="center" wrapText="1"/>
    </x:xf>
    <x:xf numFmtId="0" fontId="35" fillId="27" borderId="0" xfId="0" applyNumberFormat="1" applyFont="1" applyFill="1" applyBorder="1" applyAlignment="1">
      <x:alignment vertical="center" wrapText="1"/>
    </x:xf>
    <x:xf numFmtId="0" fontId="35" fillId="27" borderId="0" xfId="0" applyNumberFormat="1" applyFont="1" applyFill="1" applyBorder="1" applyAlignment="1">
      <x:alignment horizontal="center" vertical="center" wrapText="1"/>
    </x:xf>
    <x:xf numFmtId="0" fontId="53" fillId="32" borderId="0" xfId="0" applyNumberFormat="1" applyFont="1" applyFill="1" applyBorder="1" applyAlignment="1">
      <x:alignment horizontal="left" vertical="center" wrapText="1"/>
    </x:xf>
    <x:xf numFmtId="0" fontId="53" fillId="32" borderId="0" xfId="0" applyNumberFormat="1" applyFont="1" applyFill="1" applyBorder="1" applyAlignment="1">
      <x:alignment horizontal="left" wrapText="1"/>
    </x:xf>
    <x:xf numFmtId="0" fontId="0" fillId="35" borderId="0" xfId="0" applyNumberFormat="1" applyFont="1" applyFill="1" applyBorder="1"/>
    <x:xf numFmtId="0" fontId="38" fillId="35" borderId="0" xfId="0" applyNumberFormat="1" applyFont="1" applyFill="1" applyBorder="1"/>
    <x:xf numFmtId="0" fontId="38" fillId="35" borderId="0" xfId="0" applyNumberFormat="1" applyFont="1" applyFill="1" applyBorder="1" applyAlignment="1">
      <x:alignment vertical="center"/>
    </x:xf>
    <x:xf numFmtId="0" fontId="38" fillId="36" borderId="0" xfId="0" applyNumberFormat="1" applyFont="1" applyFill="1" applyBorder="1" applyAlignment="1">
      <x:alignment vertical="center"/>
    </x:xf>
    <x:xf numFmtId="0" fontId="7" fillId="36" borderId="0" xfId="0" applyNumberFormat="1" applyFont="1" applyFill="1" applyBorder="1" applyAlignment="1">
      <x:alignment vertical="center"/>
    </x:xf>
    <x:xf numFmtId="0" fontId="7" fillId="36" borderId="0" xfId="0" applyNumberFormat="1" applyFont="1" applyFill="1" applyBorder="1" applyAlignment="1">
      <x:alignment horizontal="left" vertical="center"/>
    </x:xf>
    <x:xf numFmtId="0" fontId="54" fillId="36" borderId="0" xfId="0" applyNumberFormat="1" applyFont="1" applyFill="1" applyBorder="1" applyAlignment="1">
      <x:alignment vertical="center"/>
    </x:xf>
    <x:xf numFmtId="0" fontId="54" fillId="36" borderId="0" xfId="0" applyNumberFormat="1" applyFont="1" applyFill="1" applyBorder="1" applyAlignment="1">
      <x:alignment horizontal="left" vertical="center"/>
    </x:xf>
    <x:xf numFmtId="0" fontId="38" fillId="37" borderId="0" xfId="0" applyNumberFormat="1" applyFont="1" applyFill="1" applyBorder="1" applyAlignment="1">
      <x:alignment vertical="center"/>
    </x:xf>
    <x:xf numFmtId="0" fontId="37" fillId="37" borderId="0" xfId="0" applyNumberFormat="1" applyFont="1" applyFill="1" applyBorder="1" applyAlignment="1">
      <x:alignment vertical="center"/>
    </x:xf>
    <x:xf numFmtId="0" fontId="37" fillId="37" borderId="0" xfId="0" applyNumberFormat="1" applyFont="1" applyFill="1" applyBorder="1" applyAlignment="1">
      <x:alignment horizontal="left" vertical="center"/>
    </x:xf>
    <x:xf numFmtId="0" fontId="38" fillId="38" borderId="0" xfId="0" applyNumberFormat="1" applyFont="1" applyFill="1" applyBorder="1" applyAlignment="1">
      <x:alignment vertical="center"/>
    </x:xf>
    <x:xf numFmtId="0" fontId="3" fillId="38" borderId="0" xfId="0" applyNumberFormat="1" applyFont="1" applyFill="1" applyBorder="1" applyAlignment="1">
      <x:alignment vertical="center"/>
    </x:xf>
    <x:xf numFmtId="0" fontId="3" fillId="38" borderId="0" xfId="0" applyNumberFormat="1" applyFont="1" applyFill="1" applyBorder="1" applyAlignment="1">
      <x:alignment horizontal="left" vertical="center"/>
    </x:xf>
    <x:xf numFmtId="0" fontId="35" fillId="38" borderId="0" xfId="0" applyNumberFormat="1" applyFont="1" applyFill="1" applyBorder="1" applyAlignment="1">
      <x:alignment vertical="center"/>
    </x:xf>
    <x:xf numFmtId="0" fontId="35" fillId="38" borderId="0" xfId="0" applyNumberFormat="1" applyFont="1" applyFill="1" applyBorder="1" applyAlignment="1">
      <x:alignment horizontal="center" vertical="center"/>
    </x:xf>
    <x:xf numFmtId="0" fontId="38" fillId="39" borderId="0" xfId="0" applyNumberFormat="1" applyFont="1" applyFill="1" applyBorder="1" applyAlignment="1">
      <x:alignment vertical="center"/>
    </x:xf>
    <x:xf numFmtId="0" fontId="55" fillId="39" borderId="0" xfId="0" applyNumberFormat="1" applyFont="1" applyFill="1" applyBorder="1" applyAlignment="1">
      <x:alignment vertical="center"/>
    </x:xf>
    <x:xf numFmtId="0" fontId="55" fillId="39" borderId="0" xfId="0" applyNumberFormat="1" applyFont="1" applyFill="1" applyBorder="1" applyAlignment="1">
      <x:alignment vertical="center" wrapText="1"/>
    </x:xf>
    <x:xf numFmtId="0" fontId="55" fillId="39" borderId="0" xfId="0" applyNumberFormat="1" applyFont="1" applyFill="1" applyBorder="1" applyAlignment="1">
      <x:alignment horizontal="center" vertical="center" wrapText="1"/>
    </x:xf>
    <x:xf numFmtId="0" fontId="38" fillId="40" borderId="0" xfId="0" applyNumberFormat="1" applyFont="1" applyFill="1" applyBorder="1" applyAlignment="1">
      <x:alignment vertical="center"/>
    </x:xf>
    <x:xf numFmtId="0" fontId="56" fillId="40" borderId="0" xfId="0" applyNumberFormat="1" applyFont="1" applyFill="1" applyBorder="1" applyAlignment="1">
      <x:alignment vertical="center"/>
    </x:xf>
    <x:xf numFmtId="211" fontId="56" fillId="40" borderId="0" xfId="0" applyNumberFormat="1" applyFont="1" applyFill="1" applyBorder="1" applyAlignment="1">
      <x:alignment vertical="center"/>
    </x:xf>
    <x:xf numFmtId="211" fontId="56" fillId="40" borderId="0" xfId="0" applyNumberFormat="1" applyFont="1" applyFill="1" applyBorder="1" applyAlignment="1">
      <x:alignment horizontal="center" vertical="center"/>
    </x:xf>
    <x:xf numFmtId="0" fontId="40" fillId="39" borderId="0" xfId="0" applyNumberFormat="1" applyFont="1" applyFill="1" applyBorder="1" applyAlignment="1">
      <x:alignment vertical="center"/>
    </x:xf>
    <x:xf numFmtId="0" fontId="40" fillId="39" borderId="0" xfId="0" applyNumberFormat="1" applyFont="1" applyFill="1" applyBorder="1" applyAlignment="1">
      <x:alignment vertical="center" wrapText="1"/>
    </x:xf>
    <x:xf numFmtId="0" fontId="40" fillId="39" borderId="0" xfId="0" applyNumberFormat="1" applyFont="1" applyFill="1" applyBorder="1" applyAlignment="1">
      <x:alignment horizontal="left" vertical="center" wrapText="1"/>
    </x:xf>
    <x:xf numFmtId="0" fontId="38" fillId="41" borderId="0" xfId="0" applyNumberFormat="1" applyFont="1" applyFill="1" applyBorder="1" applyAlignment="1">
      <x:alignment vertical="center"/>
    </x:xf>
    <x:xf numFmtId="0" fontId="57" fillId="41" borderId="0" xfId="0" applyNumberFormat="1" applyFont="1" applyFill="1" applyBorder="1" applyAlignment="1">
      <x:alignment vertical="center"/>
    </x:xf>
    <x:xf numFmtId="0" fontId="57" fillId="41" borderId="0" xfId="0" applyNumberFormat="1" applyFont="1" applyFill="1" applyBorder="1" applyAlignment="1">
      <x:alignment vertical="center" wrapText="1"/>
    </x:xf>
    <x:xf numFmtId="0" fontId="57" fillId="41" borderId="0" xfId="0" applyNumberFormat="1" applyFont="1" applyFill="1" applyBorder="1" applyAlignment="1">
      <x:alignment horizontal="center" vertical="center" wrapText="1"/>
    </x:xf>
    <x:xf numFmtId="0" fontId="38" fillId="42" borderId="0" xfId="0" applyNumberFormat="1" applyFont="1" applyFill="1" applyBorder="1" applyAlignment="1">
      <x:alignment vertical="center"/>
    </x:xf>
    <x:xf numFmtId="0" fontId="58" fillId="42" borderId="0" xfId="0" applyNumberFormat="1" applyFont="1" applyFill="1" applyBorder="1" applyAlignment="1">
      <x:alignment vertical="center"/>
    </x:xf>
    <x:xf numFmtId="211" fontId="58" fillId="42" borderId="0" xfId="0" applyNumberFormat="1" applyFont="1" applyFill="1" applyBorder="1" applyAlignment="1">
      <x:alignment vertical="center"/>
    </x:xf>
    <x:xf numFmtId="211" fontId="58" fillId="42" borderId="0" xfId="0" applyNumberFormat="1" applyFont="1" applyFill="1" applyBorder="1" applyAlignment="1">
      <x:alignment horizontal="center" vertical="center"/>
    </x:xf>
    <x:xf numFmtId="0" fontId="38" fillId="43" borderId="0" xfId="0" applyNumberFormat="1" applyFont="1" applyFill="1" applyBorder="1" applyAlignment="1">
      <x:alignment vertical="center"/>
    </x:xf>
    <x:xf numFmtId="0" fontId="59" fillId="43" borderId="0" xfId="0" applyNumberFormat="1" applyFont="1" applyFill="1" applyBorder="1" applyAlignment="1">
      <x:alignment vertical="center"/>
    </x:xf>
    <x:xf numFmtId="0" fontId="59" fillId="43" borderId="0" xfId="0" applyNumberFormat="1" applyFont="1" applyFill="1" applyBorder="1" applyAlignment="1">
      <x:alignment vertical="center" wrapText="1"/>
    </x:xf>
    <x:xf numFmtId="0" fontId="59" fillId="43" borderId="0" xfId="0" applyNumberFormat="1" applyFont="1" applyFill="1" applyBorder="1" applyAlignment="1">
      <x:alignment horizontal="left" vertical="center" wrapText="1"/>
    </x:xf>
    <x:xf numFmtId="0" fontId="13" fillId="38" borderId="0" xfId="0" applyNumberFormat="1" applyFont="1" applyFill="1" applyBorder="1" applyAlignment="1">
      <x:alignment vertical="center"/>
    </x:xf>
    <x:xf numFmtId="0" fontId="13" fillId="38" borderId="0" xfId="0" applyNumberFormat="1" applyFont="1" applyFill="1" applyBorder="1" applyAlignment="1">
      <x:alignment horizontal="left" vertical="center"/>
    </x:xf>
    <x:xf numFmtId="0" fontId="35" fillId="37" borderId="0" xfId="0" applyNumberFormat="1" applyFont="1" applyFill="1" applyBorder="1" applyAlignment="1">
      <x:alignment vertical="center"/>
    </x:xf>
    <x:xf numFmtId="0" fontId="35" fillId="37" borderId="0" xfId="0" applyNumberFormat="1" applyFont="1" applyFill="1" applyBorder="1" applyAlignment="1">
      <x:alignment vertical="center" wrapText="1"/>
    </x:xf>
    <x:xf numFmtId="0" fontId="35" fillId="37" borderId="0" xfId="0" applyNumberFormat="1" applyFont="1" applyFill="1" applyBorder="1" applyAlignment="1">
      <x:alignment horizontal="center" vertical="center" wrapText="1"/>
    </x:xf>
    <x:xf numFmtId="0" fontId="38" fillId="35" borderId="0" xfId="0" applyNumberFormat="1" applyFont="1" applyFill="1" applyBorder="1" applyAlignment="1">
      <x:alignment vertical="center" wrapText="1"/>
    </x:xf>
    <x:xf numFmtId="0" fontId="38" fillId="35" borderId="0" xfId="0" applyNumberFormat="1" applyFont="1" applyFill="1" applyBorder="1" applyAlignment="1">
      <x:alignment horizontal="center" vertical="center" wrapText="1"/>
    </x:xf>
    <x:xf numFmtId="0" fontId="38" fillId="40" borderId="0" xfId="0" applyNumberFormat="1" applyFont="1" applyFill="1" applyBorder="1" applyAlignment="1">
      <x:alignment vertical="center" wrapText="1"/>
    </x:xf>
    <x:xf numFmtId="0" fontId="44" fillId="40" borderId="0" xfId="0" applyNumberFormat="1" applyFont="1" applyFill="1" applyBorder="1" applyAlignment="1">
      <x:alignment vertical="center" wrapText="1"/>
    </x:xf>
    <x:xf numFmtId="211" fontId="44" fillId="40" borderId="0" xfId="0" applyNumberFormat="1" applyFont="1" applyFill="1" applyBorder="1" applyAlignment="1">
      <x:alignment vertical="center" wrapText="1"/>
    </x:xf>
    <x:xf numFmtId="211" fontId="44" fillId="40" borderId="0" xfId="0" applyNumberFormat="1" applyFont="1" applyFill="1" applyBorder="1" applyAlignment="1">
      <x:alignment horizontal="center" vertical="center" wrapText="1"/>
    </x:xf>
    <x:xf numFmtId="0" fontId="60" fillId="40" borderId="0" xfId="0" applyNumberFormat="1" applyFont="1" applyFill="1" applyBorder="1" applyAlignment="1">
      <x:alignment vertical="center" wrapText="1"/>
    </x:xf>
    <x:xf numFmtId="0" fontId="60" fillId="40" borderId="0" xfId="0" applyNumberFormat="1" applyFont="1" applyFill="1" applyBorder="1" applyAlignment="1">
      <x:alignment horizontal="center" vertical="center" wrapText="1"/>
    </x:xf>
    <x:xf numFmtId="0" fontId="38" fillId="40" borderId="0" xfId="0" applyNumberFormat="1" applyFont="1" applyFill="1" applyBorder="1" applyAlignment="1">
      <x:alignment horizontal="center" vertical="center" wrapText="1"/>
    </x:xf>
    <x:xf numFmtId="0" fontId="35" fillId="37" borderId="0" xfId="0" applyNumberFormat="1" applyFont="1" applyFill="1" applyBorder="1" applyAlignment="1">
      <x:alignment horizontal="center" vertical="center"/>
    </x:xf>
    <x:xf numFmtId="0" fontId="44" fillId="40" borderId="0" xfId="0" applyNumberFormat="1" applyFont="1" applyFill="1" applyBorder="1" applyAlignment="1">
      <x:alignment vertical="center"/>
    </x:xf>
    <x:xf numFmtId="211" fontId="44" fillId="40" borderId="0" xfId="0" applyNumberFormat="1" applyFont="1" applyFill="1" applyBorder="1" applyAlignment="1">
      <x:alignment vertical="center"/>
    </x:xf>
    <x:xf numFmtId="211" fontId="44" fillId="40" borderId="0" xfId="0" applyNumberFormat="1" applyFont="1" applyFill="1" applyBorder="1" applyAlignment="1">
      <x:alignment horizontal="center" vertical="center"/>
    </x:xf>
    <x:xf numFmtId="0" fontId="61" fillId="43" borderId="0" xfId="0" applyNumberFormat="1" applyFont="1" applyFill="1" applyBorder="1" applyAlignment="1">
      <x:alignment vertical="center"/>
    </x:xf>
    <x:xf numFmtId="0" fontId="61" fillId="43" borderId="0" xfId="0" applyNumberFormat="1" applyFont="1" applyFill="1" applyBorder="1" applyAlignment="1">
      <x:alignment vertical="center" wrapText="1"/>
    </x:xf>
    <x:xf numFmtId="0" fontId="61" fillId="43" borderId="0" xfId="0" applyNumberFormat="1" applyFont="1" applyFill="1" applyBorder="1" applyAlignment="1">
      <x:alignment horizontal="center" vertical="center" wrapText="1"/>
    </x:xf>
    <x:xf numFmtId="0" fontId="13" fillId="36" borderId="0" xfId="0" applyNumberFormat="1" applyFont="1" applyFill="1" applyBorder="1" applyAlignment="1">
      <x:alignment vertical="center"/>
    </x:xf>
    <x:xf numFmtId="0" fontId="13" fillId="36" borderId="0" xfId="0" applyNumberFormat="1" applyFont="1" applyFill="1" applyBorder="1" applyAlignment="1">
      <x:alignment vertical="center" wrapText="1"/>
    </x:xf>
    <x:xf numFmtId="0" fontId="13" fillId="36" borderId="0" xfId="0" applyNumberFormat="1" applyFont="1" applyFill="1" applyBorder="1" applyAlignment="1">
      <x:alignment horizontal="left" vertical="center" wrapText="1"/>
    </x:xf>
    <x:xf numFmtId="211" fontId="62" fillId="40" borderId="0" xfId="0" applyNumberFormat="1" applyFont="1" applyFill="1" applyBorder="1" applyAlignment="1">
      <x:alignment horizontal="center" vertical="center"/>
    </x:xf>
    <x:xf numFmtId="0" fontId="63" fillId="41" borderId="0" xfId="0" applyNumberFormat="1" applyFont="1" applyFill="1" applyBorder="1" applyAlignment="1">
      <x:alignment horizontal="center" vertical="center" wrapText="1"/>
    </x:xf>
    <x:xf numFmtId="211" fontId="62" fillId="42" borderId="0" xfId="0" applyNumberFormat="1" applyFont="1" applyFill="1" applyBorder="1" applyAlignment="1">
      <x:alignment horizontal="center" vertical="center"/>
    </x:xf>
    <x:xf numFmtId="211" fontId="64" fillId="40" borderId="0" xfId="0" applyNumberFormat="1" applyFont="1" applyFill="1" applyBorder="1" applyAlignment="1">
      <x:alignment horizontal="center" vertical="center" wrapText="1"/>
    </x:xf>
    <x:xf numFmtId="211" fontId="64" fillId="40" borderId="0" xfId="0" applyNumberFormat="1" applyFont="1" applyFill="1" applyBorder="1" applyAlignment="1">
      <x:alignment horizontal="center" vertical="center"/>
    </x:xf>
    <x:xf numFmtId="0" fontId="38" fillId="40" borderId="0" xfId="0" applyNumberFormat="1" applyFont="1" applyFill="1" applyBorder="1" applyAlignment="1">
      <x:alignment horizontal="left" vertical="center" wrapText="1"/>
    </x:xf>
    <x:xf numFmtId="0" fontId="38" fillId="40" borderId="0" xfId="0" applyNumberFormat="1" applyFont="1" applyFill="1" applyBorder="1" applyAlignment="1">
      <x:alignment horizontal="left" vertical="top" wrapText="1"/>
    </x:xf>
    <x:xf numFmtId="0" fontId="42" fillId="39" borderId="0" xfId="0" applyNumberFormat="1" applyFont="1" applyFill="1" applyBorder="1" applyAlignment="1">
      <x:alignment vertical="center"/>
    </x:xf>
    <x:xf numFmtId="0" fontId="42" fillId="39" borderId="0" xfId="0" applyNumberFormat="1" applyFont="1" applyFill="1" applyBorder="1" applyAlignment="1">
      <x:alignment vertical="center" wrapText="1"/>
    </x:xf>
    <x:xf numFmtId="0" fontId="42"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top" wrapText="1"/>
    </x:xf>
    <x:xf numFmtId="0" fontId="65" fillId="41" borderId="0" xfId="0" applyNumberFormat="1" applyFont="1" applyFill="1" applyBorder="1" applyAlignment="1">
      <x:alignment vertical="center"/>
    </x:xf>
    <x:xf numFmtId="0" fontId="65" fillId="41" borderId="0" xfId="0" applyNumberFormat="1" applyFont="1" applyFill="1" applyBorder="1" applyAlignment="1">
      <x:alignment vertical="center" wrapText="1"/>
    </x:xf>
    <x:xf numFmtId="0" fontId="65" fillId="41" borderId="0" xfId="0" applyNumberFormat="1" applyFont="1" applyFill="1" applyBorder="1" applyAlignment="1">
      <x:alignment horizontal="left" vertical="center" wrapText="1"/>
    </x:xf>
    <x:xf numFmtId="0" fontId="65" fillId="41" borderId="0" xfId="0" applyNumberFormat="1" applyFont="1" applyFill="1" applyBorder="1" applyAlignment="1">
      <x:alignment horizontal="left" vertical="top" wrapText="1"/>
    </x:xf>
    <x:xf numFmtId="0" fontId="38" fillId="13" borderId="0" xfId="0" applyNumberFormat="1" applyFont="1" applyFill="1" applyBorder="1"/>
    <x:xf numFmtId="0" fontId="38" fillId="13" borderId="0" xfId="0" applyNumberFormat="1" applyFont="1" applyFill="1" applyBorder="1" applyAlignment="1">
      <x:alignment vertical="center"/>
    </x:xf>
    <x:xf numFmtId="0" fontId="38" fillId="9" borderId="0" xfId="0" applyNumberFormat="1" applyFont="1" applyFill="1" applyBorder="1" applyAlignment="1">
      <x:alignment vertical="center"/>
    </x:xf>
    <x:xf numFmtId="0" fontId="54" fillId="9" borderId="0" xfId="0" applyNumberFormat="1" applyFont="1" applyFill="1" applyBorder="1" applyAlignment="1">
      <x:alignment vertical="center"/>
    </x:xf>
    <x:xf numFmtId="0" fontId="54" fillId="9" borderId="0" xfId="0" applyNumberFormat="1" applyFont="1" applyFill="1" applyBorder="1" applyAlignment="1">
      <x:alignment horizontal="left" vertical="center"/>
    </x:xf>
    <x:xf numFmtId="0" fontId="38" fillId="17" borderId="0" xfId="0" applyNumberFormat="1" applyFont="1" applyFill="1" applyBorder="1" applyAlignment="1">
      <x:alignment vertical="center"/>
    </x:xf>
    <x:xf numFmtId="0" fontId="37" fillId="17" borderId="0" xfId="0" applyNumberFormat="1" applyFont="1" applyFill="1" applyBorder="1" applyAlignment="1">
      <x:alignment vertical="center"/>
    </x:xf>
    <x:xf numFmtId="0" fontId="38"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left" vertical="center"/>
    </x:xf>
    <x:xf numFmtId="0" fontId="38" fillId="21" borderId="0" xfId="0" applyNumberFormat="1" applyFont="1" applyFill="1" applyBorder="1" applyAlignment="1">
      <x:alignment vertical="center"/>
    </x:xf>
    <x:xf numFmtId="0" fontId="55" fillId="21" borderId="0" xfId="0" applyNumberFormat="1" applyFont="1" applyFill="1" applyBorder="1" applyAlignment="1">
      <x:alignment vertical="center"/>
    </x:xf>
    <x:xf numFmtId="0" fontId="55" fillId="21" borderId="0" xfId="0" applyNumberFormat="1" applyFont="1" applyFill="1" applyBorder="1" applyAlignment="1">
      <x:alignment vertical="center" wrapText="1"/>
    </x:xf>
    <x:xf numFmtId="0" fontId="55" fillId="21" borderId="0" xfId="0" applyNumberFormat="1" applyFont="1" applyFill="1" applyBorder="1" applyAlignment="1">
      <x:alignment horizontal="center" vertical="center" wrapText="1"/>
    </x:xf>
    <x:xf numFmtId="0" fontId="40" fillId="21" borderId="0" xfId="0" applyNumberFormat="1" applyFont="1" applyFill="1" applyBorder="1" applyAlignment="1">
      <x:alignment vertical="center"/>
    </x:xf>
    <x:xf numFmtId="0" fontId="40" fillId="21" borderId="0" xfId="0" applyNumberFormat="1" applyFont="1" applyFill="1" applyBorder="1" applyAlignment="1">
      <x:alignment horizontal="left" vertical="center" wrapText="1"/>
    </x:xf>
    <x:xf numFmtId="0" fontId="38" fillId="24" borderId="0" xfId="0" applyNumberFormat="1" applyFont="1" applyFill="1" applyBorder="1" applyAlignment="1">
      <x:alignment vertical="center"/>
    </x:xf>
    <x:xf numFmtId="0" fontId="57" fillId="24" borderId="0" xfId="0" applyNumberFormat="1" applyFont="1" applyFill="1" applyBorder="1" applyAlignment="1">
      <x:alignment vertical="center"/>
    </x:xf>
    <x:xf numFmtId="0" fontId="57" fillId="24" borderId="0" xfId="0" applyNumberFormat="1" applyFont="1" applyFill="1" applyBorder="1" applyAlignment="1">
      <x:alignment vertical="center" wrapText="1"/>
    </x:xf>
    <x:xf numFmtId="0" fontId="57" fillId="24" borderId="0" xfId="0" applyNumberFormat="1" applyFont="1" applyFill="1" applyBorder="1" applyAlignment="1">
      <x:alignment horizontal="center" vertical="center" wrapText="1"/>
    </x:xf>
    <x:xf numFmtId="0" fontId="13" fillId="2" borderId="0" xfId="0" applyNumberFormat="1" applyFont="1" applyFill="1" applyBorder="1" applyAlignment="1">
      <x:alignment vertical="center"/>
    </x:xf>
    <x:xf numFmtId="0" fontId="35" fillId="17" borderId="0" xfId="0" applyNumberFormat="1" applyFont="1" applyFill="1" applyBorder="1" applyAlignment="1">
      <x:alignment vertical="center"/>
    </x:xf>
    <x:xf numFmtId="0" fontId="35" fillId="17" borderId="0" xfId="0" applyNumberFormat="1" applyFont="1" applyFill="1" applyBorder="1" applyAlignment="1">
      <x:alignment vertical="center" wrapText="1"/>
    </x:xf>
    <x:xf numFmtId="0" fontId="35" fillId="17" borderId="0" xfId="0" applyNumberFormat="1" applyFont="1" applyFill="1" applyBorder="1" applyAlignment="1">
      <x:alignment horizontal="center" vertical="center" wrapText="1"/>
    </x:xf>
    <x:xf numFmtId="0" fontId="38" fillId="13" borderId="0" xfId="0" applyNumberFormat="1" applyFont="1" applyFill="1" applyBorder="1" applyAlignment="1">
      <x:alignment vertical="center" wrapText="1"/>
    </x:xf>
    <x:xf numFmtId="0" fontId="38" fillId="13" borderId="0" xfId="0" applyNumberFormat="1" applyFont="1" applyFill="1" applyBorder="1" applyAlignment="1">
      <x:alignment horizontal="center" vertical="center" wrapText="1"/>
    </x:xf>
    <x:xf numFmtId="0" fontId="35" fillId="17" borderId="0" xfId="0" applyNumberFormat="1" applyFont="1" applyFill="1" applyBorder="1" applyAlignment="1">
      <x:alignment horizontal="center" vertical="center"/>
    </x:xf>
    <x:xf numFmtId="0" fontId="13" fillId="9" borderId="0" xfId="0" applyNumberFormat="1" applyFont="1" applyFill="1" applyBorder="1" applyAlignment="1">
      <x:alignment horizontal="left" vertical="center" wrapText="1"/>
    </x:xf>
    <x:xf numFmtId="0" fontId="63" fillId="24" borderId="0" xfId="0" applyNumberFormat="1" applyFont="1" applyFill="1" applyBorder="1" applyAlignment="1">
      <x:alignment horizontal="center" vertical="center" wrapText="1"/>
    </x:xf>
    <x:xf numFmtId="0" fontId="42" fillId="21" borderId="0" xfId="0" applyNumberFormat="1" applyFont="1" applyFill="1" applyBorder="1" applyAlignment="1">
      <x:alignment vertical="center"/>
    </x:xf>
    <x:xf numFmtId="0" fontId="42" fillId="21" borderId="0" xfId="0" applyNumberFormat="1" applyFont="1" applyFill="1" applyBorder="1" applyAlignment="1">
      <x:alignment vertical="center" wrapText="1"/>
    </x:xf>
    <x:xf numFmtId="0" fontId="42" fillId="21" borderId="0" xfId="0" applyNumberFormat="1" applyFont="1" applyFill="1" applyBorder="1" applyAlignment="1">
      <x:alignment horizontal="left" vertical="top" wrapText="1"/>
    </x:xf>
    <x:xf numFmtId="0" fontId="65" fillId="24" borderId="0" xfId="0" applyNumberFormat="1" applyFont="1" applyFill="1" applyBorder="1" applyAlignment="1">
      <x:alignment vertical="center"/>
    </x:xf>
    <x:xf numFmtId="0" fontId="65" fillId="24" borderId="0" xfId="0" applyNumberFormat="1" applyFont="1" applyFill="1" applyBorder="1" applyAlignment="1">
      <x:alignment vertical="center" wrapText="1"/>
    </x:xf>
    <x:xf numFmtId="0" fontId="65" fillId="24" borderId="0" xfId="0" applyNumberFormat="1" applyFont="1" applyFill="1" applyBorder="1" applyAlignment="1">
      <x:alignment horizontal="left" vertical="center" wrapText="1"/>
    </x:xf>
    <x:xf numFmtId="0" fontId="65" fillId="24" borderId="0" xfId="0" applyNumberFormat="1" applyFont="1" applyFill="1" applyBorder="1" applyAlignment="1">
      <x:alignment horizontal="left" vertical="top" wrapText="1"/>
    </x:xf>
    <x:xf numFmtId="0" fontId="0" fillId="44" borderId="0" xfId="0" applyNumberFormat="1" applyFont="1" applyFill="1" applyBorder="1"/>
    <x:xf numFmtId="0" fontId="10" fillId="44" borderId="0" xfId="0" applyNumberFormat="1" applyFont="1" applyFill="1" applyBorder="1"/>
    <x:xf numFmtId="0" fontId="10" fillId="44" borderId="0" xfId="0" applyNumberFormat="1" applyFont="1" applyFill="1" applyBorder="1" applyAlignment="1">
      <x:alignment horizontal="left"/>
    </x:xf>
    <x:xf numFmtId="0" fontId="10" fillId="44" borderId="0" xfId="0" applyNumberFormat="1" applyFont="1" applyFill="1" applyBorder="1" applyAlignment="1">
      <x:alignment horizontal="left" vertical="center"/>
    </x:xf>
    <x:xf numFmtId="0" fontId="0" fillId="45" borderId="0" xfId="0" applyNumberFormat="1" applyFont="1" applyFill="1" applyBorder="1"/>
    <x:xf numFmtId="0" fontId="66" fillId="45" borderId="0" xfId="0" applyNumberFormat="1" applyFont="1" applyFill="1" applyBorder="1"/>
    <x:xf numFmtId="0" fontId="66" fillId="45" borderId="0" xfId="0" applyNumberFormat="1" applyFont="1" applyFill="1" applyBorder="1" applyAlignment="1">
      <x:alignment wrapText="1"/>
    </x:xf>
    <x:xf numFmtId="0" fontId="0" fillId="46" borderId="0" xfId="0" applyNumberFormat="1" applyFont="1" applyFill="1" applyBorder="1"/>
    <x:xf numFmtId="0" fontId="35" fillId="46" borderId="0" xfId="0" applyNumberFormat="1" applyFont="1" applyFill="1" applyBorder="1"/>
    <x:xf numFmtId="0" fontId="35" fillId="46" borderId="0" xfId="0" applyNumberFormat="1" applyFont="1" applyFill="1" applyBorder="1" applyAlignment="1">
      <x:alignment wrapText="1"/>
    </x:xf>
    <x:xf numFmtId="0" fontId="35" fillId="46" borderId="0" xfId="0" applyNumberFormat="1" applyFont="1" applyFill="1" applyBorder="1" applyAlignment="1">
      <x:alignment horizontal="center" wrapText="1"/>
    </x:xf>
    <x:xf numFmtId="0" fontId="35" fillId="46" borderId="0" xfId="0" applyNumberFormat="1" applyFont="1" applyFill="1" applyBorder="1" applyAlignment="1">
      <x:alignment horizontal="center" vertical="center" wrapText="1"/>
    </x:xf>
    <x:xf numFmtId="0" fontId="0" fillId="47" borderId="0" xfId="0" applyNumberFormat="1" applyFont="1" applyFill="1" applyBorder="1"/>
    <x:xf numFmtId="0" fontId="38" fillId="47" borderId="0" xfId="0" applyNumberFormat="1" applyFont="1" applyFill="1" applyBorder="1"/>
    <x:xf numFmtId="0" fontId="38" fillId="47" borderId="0" xfId="0" applyNumberFormat="1" applyFont="1" applyFill="1" applyBorder="1" applyAlignment="1">
      <x:alignment wrapText="1"/>
    </x:xf>
    <x:xf numFmtId="0" fontId="1" fillId="44" borderId="0" xfId="0" applyNumberFormat="1" applyFont="1" applyFill="1" applyBorder="1"/>
    <x:xf numFmtId="0" fontId="1" fillId="44" borderId="0" xfId="0" applyNumberFormat="1" applyFont="1" applyFill="1" applyBorder="1" applyAlignment="1">
      <x:alignment horizontal="left"/>
    </x:xf>
    <x:xf numFmtId="0" fontId="1" fillId="44" borderId="0" xfId="0" applyNumberFormat="1" applyFont="1" applyFill="1" applyBorder="1" applyAlignment="1">
      <x:alignment horizontal="left" vertical="center"/>
    </x:xf>
    <x:xf numFmtId="0" fontId="67" fillId="46" borderId="0" xfId="0" applyNumberFormat="1" applyFont="1" applyFill="1" applyBorder="1"/>
    <x:xf numFmtId="0" fontId="67" fillId="46" borderId="0" xfId="0" applyNumberFormat="1" applyFont="1" applyFill="1" applyBorder="1" applyAlignment="1">
      <x:alignment horizontal="left"/>
    </x:xf>
    <x:xf numFmtId="0" fontId="67" fillId="46" borderId="0" xfId="0" applyNumberFormat="1" applyFont="1" applyFill="1" applyBorder="1" applyAlignment="1">
      <x:alignment horizontal="left" vertical="center"/>
    </x:xf>
    <x:xf numFmtId="0" fontId="66" fillId="45" borderId="0" xfId="0" applyNumberFormat="1" applyFont="1" applyFill="1" applyBorder="1" applyAlignment="1">
      <x:alignment vertical="center" wrapText="1"/>
    </x:xf>
    <x:xf numFmtId="0" fontId="13" fillId="46" borderId="0" xfId="0" applyNumberFormat="1" applyFont="1" applyFill="1" applyBorder="1"/>
    <x:xf numFmtId="0" fontId="38" fillId="47" borderId="0" xfId="0" applyNumberFormat="1" applyFont="1" applyFill="1" applyBorder="1" applyAlignment="1">
      <x:alignment vertical="top" wrapText="1"/>
    </x:xf>
    <x:xf numFmtId="0" fontId="0" fillId="48" borderId="0" xfId="0" applyNumberFormat="1" applyFont="1" applyFill="1" applyBorder="1"/>
    <x:xf numFmtId="0" fontId="38" fillId="48" borderId="0" xfId="0" applyNumberFormat="1" applyFont="1" applyFill="1" applyBorder="1"/>
    <x:xf numFmtId="0" fontId="38" fillId="48" borderId="0" xfId="0" applyNumberFormat="1" applyFont="1" applyFill="1" applyBorder="1" applyAlignment="1">
      <x:alignment wrapText="1"/>
    </x:xf>
    <x:xf numFmtId="0" fontId="38" fillId="48" borderId="0" xfId="0" applyNumberFormat="1" applyFont="1" applyFill="1" applyBorder="1" applyAlignment="1">
      <x:alignment vertical="top" wrapText="1"/>
    </x:xf>
    <x:xf numFmtId="0" fontId="0" fillId="49" borderId="0" xfId="0" applyNumberFormat="1" applyFont="1" applyFill="1" applyBorder="1"/>
    <x:xf numFmtId="0" fontId="42" fillId="49" borderId="0" xfId="0" applyNumberFormat="1" applyFont="1" applyFill="1" applyBorder="1"/>
    <x:xf numFmtId="0" fontId="42" fillId="49" borderId="0" xfId="0" applyNumberFormat="1" applyFont="1" applyFill="1" applyBorder="1" applyAlignment="1">
      <x:alignment wrapText="1"/>
    </x:xf>
    <x:xf numFmtId="0" fontId="42" fillId="49" borderId="0" xfId="0" applyNumberFormat="1" applyFont="1" applyFill="1" applyBorder="1" applyAlignment="1">
      <x:alignment vertical="top" wrapText="1"/>
    </x:xf>
    <x:xf numFmtId="0" fontId="68" fillId="47" borderId="0" xfId="0" applyNumberFormat="1" applyFont="1" applyFill="1" applyBorder="1"/>
    <x:xf numFmtId="0" fontId="68" fillId="47" borderId="0" xfId="0" applyNumberFormat="1" applyFont="1" applyFill="1" applyBorder="1" applyAlignment="1">
      <x:alignment wrapText="1"/>
    </x:xf>
    <x:xf numFmtId="0" fontId="0" fillId="50" borderId="0" xfId="0" applyNumberFormat="1" applyFont="1" applyFill="1" applyBorder="1"/>
    <x:xf numFmtId="0" fontId="69" fillId="50" borderId="0" xfId="0" applyNumberFormat="1" applyFont="1" applyFill="1" applyBorder="1"/>
    <x:xf numFmtId="0" fontId="69" fillId="50" borderId="0" xfId="0" applyNumberFormat="1" applyFont="1" applyFill="1" applyBorder="1" applyAlignment="1">
      <x:alignment horizontal="center"/>
    </x:xf>
    <x:xf numFmtId="0" fontId="69" fillId="50" borderId="0" xfId="0" applyNumberFormat="1" applyFont="1" applyFill="1" applyBorder="1" applyAlignment="1">
      <x:alignment horizontal="center" vertical="center"/>
    </x:xf>
    <x:xf numFmtId="206" fontId="69" fillId="50" borderId="0" xfId="0" applyNumberFormat="1" applyFont="1" applyFill="1" applyBorder="1" applyAlignment="1">
      <x:alignment horizontal="center" vertical="center"/>
    </x:xf>
    <x:xf numFmtId="0" fontId="13" fillId="46" borderId="0" xfId="0" applyNumberFormat="1" applyFont="1" applyFill="1" applyBorder="1" applyAlignment="1">
      <x:alignment horizontal="left"/>
    </x:xf>
    <x:xf numFmtId="0" fontId="13" fillId="46" borderId="0" xfId="0" applyNumberFormat="1" applyFont="1" applyFill="1" applyBorder="1" applyAlignment="1">
      <x:alignment horizontal="left" vertical="center"/>
    </x:xf>
    <x:xf numFmtId="0" fontId="30" fillId="44" borderId="0" xfId="0" applyNumberFormat="1" applyFont="1" applyFill="1" applyBorder="1"/>
    <x:xf numFmtId="0" fontId="30" fillId="44" borderId="0" xfId="0" applyNumberFormat="1" applyFont="1" applyFill="1" applyBorder="1" applyAlignment="1">
      <x:alignment wrapText="1"/>
    </x:xf>
    <x:xf numFmtId="0" fontId="30" fillId="44" borderId="0" xfId="0" applyNumberFormat="1" applyFont="1" applyFill="1" applyBorder="1" applyAlignment="1">
      <x:alignment horizontal="center" wrapText="1"/>
    </x:xf>
    <x:xf numFmtId="0" fontId="30" fillId="44" borderId="0" xfId="0" applyNumberFormat="1" applyFont="1" applyFill="1" applyBorder="1" applyAlignment="1">
      <x:alignment horizontal="center" vertical="center" wrapText="1"/>
    </x:xf>
    <x:xf numFmtId="0" fontId="0" fillId="51" borderId="0" xfId="0" applyNumberFormat="1" applyFont="1" applyFill="1" applyBorder="1"/>
    <x:xf numFmtId="0" fontId="5" fillId="51" borderId="0" xfId="0" applyNumberFormat="1" applyFont="1" applyFill="1" applyBorder="1"/>
    <x:xf numFmtId="0" fontId="5" fillId="51" borderId="0" xfId="0" applyNumberFormat="1" applyFont="1" applyFill="1" applyBorder="1" applyAlignment="1">
      <x:alignment wrapText="1"/>
    </x:xf>
    <x:xf numFmtId="0" fontId="5" fillId="51" borderId="0" xfId="0" applyNumberFormat="1" applyFont="1" applyFill="1" applyBorder="1" applyAlignment="1">
      <x:alignment vertical="top" wrapText="1"/>
    </x:xf>
    <x:xf numFmtId="0" fontId="5" fillId="48" borderId="0" xfId="0" applyNumberFormat="1" applyFont="1" applyFill="1" applyBorder="1" applyAlignment="1">
      <x:alignment vertical="top" wrapText="1"/>
    </x:xf>
    <x:xf numFmtId="0" fontId="39" fillId="48" borderId="0" xfId="0" applyNumberFormat="1" applyFont="1" applyFill="1" applyBorder="1" applyAlignment="1">
      <x:alignment vertical="top" wrapText="1"/>
    </x:xf>
    <x:xf numFmtId="0" fontId="5" fillId="47" borderId="0" xfId="0" applyNumberFormat="1" applyFont="1" applyFill="1" applyBorder="1" applyAlignment="1">
      <x:alignment vertical="top" wrapText="1"/>
    </x:xf>
    <x:xf numFmtId="212" fontId="5" fillId="51" borderId="0" xfId="0" applyNumberFormat="1" applyFont="1" applyFill="1" applyBorder="1" applyAlignment="1">
      <x:alignment vertical="top" wrapText="1"/>
    </x:xf>
    <x:xf numFmtId="206" fontId="38" fillId="47" borderId="0" xfId="0" applyNumberFormat="1" applyFont="1" applyFill="1" applyBorder="1" applyAlignment="1">
      <x:alignment vertical="top" wrapText="1"/>
    </x:xf>
    <x:xf numFmtId="0" fontId="35" fillId="44" borderId="0" xfId="0" applyNumberFormat="1" applyFont="1" applyFill="1" applyBorder="1"/>
    <x:xf numFmtId="0" fontId="35" fillId="44" borderId="0" xfId="0" applyNumberFormat="1" applyFont="1" applyFill="1" applyBorder="1" applyAlignment="1">
      <x:alignment wrapText="1"/>
    </x:xf>
    <x:xf numFmtId="0" fontId="35" fillId="44" borderId="0" xfId="0" applyNumberFormat="1" applyFont="1" applyFill="1" applyBorder="1" applyAlignment="1">
      <x:alignment horizontal="center" wrapText="1"/>
    </x:xf>
    <x:xf numFmtId="0" fontId="35" fillId="44" borderId="0" xfId="0" applyNumberFormat="1" applyFont="1" applyFill="1" applyBorder="1" applyAlignment="1">
      <x:alignment horizontal="center" vertical="center" wrapText="1"/>
    </x:xf>
    <x:xf numFmtId="0" fontId="70" fillId="47" borderId="0" xfId="0" applyNumberFormat="1" applyFont="1" applyFill="1" applyBorder="1"/>
    <x:xf numFmtId="0" fontId="70" fillId="47" borderId="0" xfId="0" applyNumberFormat="1" applyFont="1" applyFill="1" applyBorder="1" applyAlignment="1">
      <x:alignment horizontal="center"/>
    </x:xf>
    <x:xf numFmtId="0" fontId="70" fillId="47" borderId="0" xfId="0" applyNumberFormat="1" applyFont="1" applyFill="1" applyBorder="1" applyAlignment="1">
      <x:alignment horizontal="center" vertical="center"/>
    </x:xf>
    <x:xf numFmtId="206" fontId="70" fillId="47" borderId="0" xfId="0" applyNumberFormat="1" applyFont="1" applyFill="1" applyBorder="1" applyAlignment="1">
      <x:alignment horizontal="center" vertical="center"/>
    </x:xf>
    <x:xf numFmtId="0" fontId="71" fillId="49" borderId="0" xfId="0" applyNumberFormat="1" applyFont="1" applyFill="1" applyBorder="1"/>
    <x:xf numFmtId="0" fontId="71" fillId="49" borderId="0" xfId="0" applyNumberFormat="1" applyFont="1" applyFill="1" applyBorder="1" applyAlignment="1">
      <x:alignment wrapText="1"/>
    </x:xf>
    <x:xf numFmtId="0" fontId="71" fillId="49" borderId="0" xfId="0" applyNumberFormat="1" applyFont="1" applyFill="1" applyBorder="1" applyAlignment="1">
      <x:alignment horizontal="center" wrapText="1"/>
    </x:xf>
    <x:xf numFmtId="0" fontId="71" fillId="49" borderId="0" xfId="0" applyNumberFormat="1" applyFont="1" applyFill="1" applyBorder="1" applyAlignment="1">
      <x:alignment horizontal="center" vertical="center" wrapText="1"/>
    </x:xf>
    <x:xf numFmtId="0" fontId="72" fillId="48" borderId="0" xfId="0" applyNumberFormat="1" applyFont="1" applyFill="1" applyBorder="1"/>
    <x:xf numFmtId="0" fontId="72" fillId="48" borderId="0" xfId="0" applyNumberFormat="1" applyFont="1" applyFill="1" applyBorder="1" applyAlignment="1">
      <x:alignment wrapText="1"/>
    </x:xf>
    <x:xf numFmtId="0" fontId="72" fillId="48" borderId="0" xfId="0" applyNumberFormat="1" applyFont="1" applyFill="1" applyBorder="1" applyAlignment="1">
      <x:alignment horizontal="center" wrapText="1"/>
    </x:xf>
    <x:xf numFmtId="0" fontId="72" fillId="48" borderId="0" xfId="0" applyNumberFormat="1" applyFont="1" applyFill="1" applyBorder="1" applyAlignment="1">
      <x:alignment horizontal="center" vertical="center" wrapText="1"/>
    </x:xf>
    <x:xf numFmtId="206" fontId="72" fillId="48" borderId="0" xfId="0" applyNumberFormat="1" applyFont="1" applyFill="1" applyBorder="1" applyAlignment="1">
      <x:alignment horizontal="center" vertical="center" wrapText="1"/>
    </x:xf>
    <x:xf numFmtId="0" fontId="73" fillId="0" borderId="0" xfId="0" applyNumberFormat="1" applyFont="1" applyFill="1" applyBorder="1"/>
    <x:xf numFmtId="0" fontId="73" fillId="0" borderId="0" xfId="0" applyNumberFormat="1" applyFont="1" applyFill="1" applyBorder="1" applyAlignment="1">
      <x:alignment wrapText="1"/>
    </x:xf>
    <x:xf numFmtId="0" fontId="73" fillId="0" borderId="0" xfId="0" applyNumberFormat="1" applyFont="1" applyFill="1" applyBorder="1" applyAlignment="1">
      <x:alignment vertical="center" wrapText="1"/>
    </x:xf>
    <x:xf numFmtId="0" fontId="73" fillId="50" borderId="0" xfId="0" applyNumberFormat="1" applyFont="1" applyFill="1" applyBorder="1" applyAlignment="1">
      <x:alignment vertical="center" wrapText="1"/>
    </x:xf>
    <x:xf numFmtId="0" fontId="73" fillId="47" borderId="0" xfId="0" applyNumberFormat="1" applyFont="1" applyFill="1" applyBorder="1" applyAlignment="1">
      <x:alignment vertical="center" wrapText="1"/>
    </x:xf>
    <x:xf numFmtId="206" fontId="73" fillId="50" borderId="0" xfId="0" applyNumberFormat="1" applyFont="1" applyFill="1" applyBorder="1" applyAlignment="1">
      <x:alignment vertical="center" wrapText="1"/>
    </x:xf>
    <x:xf numFmtId="206" fontId="73" fillId="47" borderId="0" xfId="0" applyNumberFormat="1" applyFont="1" applyFill="1" applyBorder="1" applyAlignment="1">
      <x:alignment vertical="center" wrapText="1"/>
    </x:xf>
    <x:xf numFmtId="206" fontId="73" fillId="50" borderId="0" xfId="0" applyNumberFormat="1" applyFont="1" applyFill="1" applyBorder="1" applyAlignment="1">
      <x:alignment horizontal="center" vertical="center" wrapText="1"/>
    </x:xf>
    <x:xf numFmtId="206" fontId="73" fillId="47" borderId="0" xfId="0" applyNumberFormat="1" applyFont="1" applyFill="1" applyBorder="1" applyAlignment="1">
      <x:alignment horizontal="center" vertical="center" wrapText="1"/>
    </x:xf>
    <x:xf numFmtId="0" fontId="73" fillId="50" borderId="0" xfId="0" applyNumberFormat="1" applyFont="1" applyFill="1" applyBorder="1"/>
    <x:xf numFmtId="0" fontId="73" fillId="50" borderId="0" xfId="0" applyNumberFormat="1" applyFont="1" applyFill="1" applyBorder="1" applyAlignment="1">
      <x:alignment wrapText="1"/>
    </x:xf>
    <x:xf numFmtId="0" fontId="44" fillId="50" borderId="0" xfId="0" applyNumberFormat="1" applyFont="1" applyFill="1" applyBorder="1" applyAlignment="1">
      <x:alignment vertical="center" wrapText="1"/>
    </x:xf>
    <x:xf numFmtId="206" fontId="44" fillId="50" borderId="0" xfId="0" applyNumberFormat="1" applyFont="1" applyFill="1" applyBorder="1" applyAlignment="1">
      <x:alignment vertical="center" wrapText="1"/>
    </x:xf>
    <x:xf numFmtId="206" fontId="44" fillId="50" borderId="0" xfId="0" applyNumberFormat="1" applyFont="1" applyFill="1" applyBorder="1" applyAlignment="1">
      <x:alignment horizontal="center" vertical="center" wrapText="1"/>
    </x:xf>
    <x:xf numFmtId="0" fontId="73" fillId="47" borderId="0" xfId="0" applyNumberFormat="1" applyFont="1" applyFill="1" applyBorder="1"/>
    <x:xf numFmtId="0" fontId="73" fillId="47" borderId="0" xfId="0" applyNumberFormat="1" applyFont="1" applyFill="1" applyBorder="1" applyAlignment="1">
      <x:alignment wrapText="1"/>
    </x:xf>
    <x:xf numFmtId="0" fontId="44" fillId="47" borderId="0" xfId="0" applyNumberFormat="1" applyFont="1" applyFill="1" applyBorder="1" applyAlignment="1">
      <x:alignment vertical="center" wrapText="1"/>
    </x:xf>
    <x:xf numFmtId="206" fontId="44" fillId="47" borderId="0" xfId="0" applyNumberFormat="1" applyFont="1" applyFill="1" applyBorder="1" applyAlignment="1">
      <x:alignment vertical="center" wrapText="1"/>
    </x:xf>
    <x:xf numFmtId="206" fontId="44" fillId="47" borderId="0" xfId="0" applyNumberFormat="1" applyFont="1" applyFill="1" applyBorder="1" applyAlignment="1">
      <x:alignment horizontal="center" vertical="center" wrapText="1"/>
    </x:xf>
    <x:xf numFmtId="0" fontId="30" fillId="44" borderId="0" xfId="0" applyNumberFormat="1" applyFont="1" applyFill="1" applyBorder="1" applyAlignment="1">
      <x:alignment horizontal="center"/>
    </x:xf>
    <x:xf numFmtId="0" fontId="38" fillId="50" borderId="0" xfId="0" applyNumberFormat="1" applyFont="1" applyFill="1" applyBorder="1"/>
    <x:xf numFmtId="206" fontId="38" fillId="50" borderId="0" xfId="0" applyNumberFormat="1" applyFont="1" applyFill="1" applyBorder="1"/>
    <x:xf numFmtId="206" fontId="38" fillId="50" borderId="0" xfId="0" applyNumberFormat="1" applyFont="1" applyFill="1" applyBorder="1" applyAlignment="1">
      <x:alignment horizontal="center"/>
    </x:xf>
    <x:xf numFmtId="206" fontId="38" fillId="47" borderId="0" xfId="0" applyNumberFormat="1" applyFont="1" applyFill="1" applyBorder="1"/>
    <x:xf numFmtId="206" fontId="38" fillId="47" borderId="0" xfId="0" applyNumberFormat="1" applyFont="1" applyFill="1" applyBorder="1" applyAlignment="1">
      <x:alignment horizontal="center"/>
    </x:xf>
    <x:xf numFmtId="0" fontId="38" fillId="48" borderId="0" xfId="0" applyNumberFormat="1" applyFont="1" applyFill="1" applyBorder="1" applyAlignment="1">
      <x:alignment vertical="center" wrapText="1"/>
    </x:xf>
    <x:xf numFmtId="0" fontId="35" fillId="44" borderId="0" xfId="0" applyNumberFormat="1" applyFont="1" applyFill="1" applyBorder="1" applyAlignment="1">
      <x:alignment vertical="center" wrapText="1"/>
    </x:xf>
    <x:xf numFmtId="0" fontId="53" fillId="46" borderId="0" xfId="0" applyNumberFormat="1" applyFont="1" applyFill="1" applyBorder="1" applyAlignment="1">
      <x:alignment horizontal="left" vertical="center" wrapText="1"/>
    </x:xf>
    <x:xf numFmtId="0" fontId="13" fillId="46" borderId="0" xfId="0" applyNumberFormat="1" applyFont="1" applyFill="1" applyBorder="1" applyAlignment="1">
      <x:alignment horizontal="left" vertical="center" wrapText="1"/>
    </x:xf>
    <x:xf numFmtId="0" fontId="38" fillId="50" borderId="0" xfId="0" applyNumberFormat="1" applyFont="1" applyFill="1" applyBorder="1" applyAlignment="1">
      <x:alignment wrapText="1"/>
    </x:xf>
    <x:xf numFmtId="0" fontId="38" fillId="50" borderId="0" xfId="0" applyNumberFormat="1" applyFont="1" applyFill="1" applyBorder="1" applyAlignment="1">
      <x:alignment vertical="top" wrapText="1"/>
    </x:xf>
    <x:xf numFmtId="0" fontId="42" fillId="49" borderId="0" xfId="0" applyNumberFormat="1" applyFont="1" applyFill="1" applyBorder="1" applyAlignment="1">
      <x:alignment vertical="center" wrapText="1"/>
    </x:xf>
    <x:xf numFmtId="0" fontId="15" fillId="46" borderId="0" xfId="0" applyNumberFormat="1" applyFont="1" applyFill="1" applyBorder="1" applyAlignment="1">
      <x:alignment horizontal="center" vertical="center" wrapText="1"/>
    </x:xf>
    <x:xf numFmtId="0" fontId="13" fillId="46" borderId="0" xfId="0" applyNumberFormat="1" applyFont="1" applyFill="1" applyBorder="1" applyAlignment="1">
      <x:alignment horizontal="center" vertical="center" wrapText="1"/>
    </x:xf>
    <x:xf numFmtId="0" fontId="15" fillId="44" borderId="0" xfId="0" applyNumberFormat="1" applyFont="1" applyFill="1" applyBorder="1" applyAlignment="1">
      <x:alignment horizontal="center" vertical="center" wrapText="1"/>
    </x:xf>
    <x:xf numFmtId="0" fontId="15" fillId="50" borderId="0" xfId="0" applyNumberFormat="1" applyFont="1" applyFill="1" applyBorder="1" applyAlignment="1">
      <x:alignment horizontal="center" vertical="center" wrapText="1"/>
    </x:xf>
    <x:xf numFmtId="0" fontId="68" fillId="50" borderId="0" xfId="0" applyNumberFormat="1" applyFont="1" applyFill="1" applyBorder="1" applyAlignment="1">
      <x:alignment horizontal="center" vertical="center" wrapText="1"/>
    </x:xf>
    <x:xf numFmtId="0" fontId="68" fillId="50" borderId="0" xfId="0" applyNumberFormat="1" applyFont="1" applyFill="1" applyBorder="1" applyAlignment="1">
      <x:alignment horizontal="center" vertical="top" wrapText="1"/>
    </x:xf>
    <x:xf numFmtId="0" fontId="60" fillId="48" borderId="0" xfId="0" applyNumberFormat="1" applyFont="1" applyFill="1" applyBorder="1" applyAlignment="1">
      <x:alignment horizontal="center" vertical="center" wrapText="1"/>
    </x:xf>
    <x:xf numFmtId="0" fontId="65" fillId="48" borderId="0" xfId="0" applyNumberFormat="1" applyFont="1" applyFill="1" applyBorder="1" applyAlignment="1">
      <x:alignment horizontal="center" vertical="center" wrapText="1"/>
    </x:xf>
    <x:xf numFmtId="0" fontId="60" fillId="49" borderId="0" xfId="0" applyNumberFormat="1" applyFont="1" applyFill="1" applyBorder="1" applyAlignment="1">
      <x:alignment horizontal="center" vertical="center" wrapText="1"/>
    </x:xf>
    <x:xf numFmtId="0" fontId="42" fillId="49" borderId="0" xfId="0" applyNumberFormat="1" applyFont="1" applyFill="1" applyBorder="1" applyAlignment="1">
      <x:alignment horizontal="center" vertical="center" wrapText="1"/>
    </x:xf>
    <x:xf numFmtId="0" fontId="10" fillId="17" borderId="0" xfId="0" applyNumberFormat="1" applyFont="1" applyFill="1" applyBorder="1"/>
    <x:xf numFmtId="0" fontId="10" fillId="17" borderId="0" xfId="0" applyNumberFormat="1" applyFont="1" applyFill="1" applyBorder="1" applyAlignment="1">
      <x:alignment horizontal="left"/>
    </x:xf>
    <x:xf numFmtId="0" fontId="10" fillId="17" borderId="0" xfId="0" applyNumberFormat="1" applyFont="1" applyFill="1" applyBorder="1" applyAlignment="1">
      <x:alignment horizontal="left" vertical="center"/>
    </x:xf>
    <x:xf numFmtId="0" fontId="0" fillId="43" borderId="0" xfId="0" applyNumberFormat="1" applyFont="1" applyFill="1" applyBorder="1"/>
    <x:xf numFmtId="0" fontId="66" fillId="43" borderId="0" xfId="0" applyNumberFormat="1" applyFont="1" applyFill="1" applyBorder="1"/>
    <x:xf numFmtId="0" fontId="66" fillId="43" borderId="0" xfId="0" applyNumberFormat="1" applyFont="1" applyFill="1" applyBorder="1" applyAlignment="1">
      <x:alignment wrapText="1"/>
    </x:xf>
    <x:xf numFmtId="0" fontId="0" fillId="40" borderId="0" xfId="0" applyNumberFormat="1" applyFont="1" applyFill="1" applyBorder="1"/>
    <x:xf numFmtId="0" fontId="38" fillId="40" borderId="0" xfId="0" applyNumberFormat="1" applyFont="1" applyFill="1" applyBorder="1"/>
    <x:xf numFmtId="0" fontId="38" fillId="40" borderId="0" xfId="0" applyNumberFormat="1" applyFont="1" applyFill="1" applyBorder="1" applyAlignment="1">
      <x:alignment wrapText="1"/>
    </x:xf>
    <x:xf numFmtId="0" fontId="1" fillId="17" borderId="0" xfId="0" applyNumberFormat="1" applyFont="1" applyFill="1" applyBorder="1"/>
    <x:xf numFmtId="0" fontId="1" fillId="17" borderId="0" xfId="0" applyNumberFormat="1" applyFont="1" applyFill="1" applyBorder="1" applyAlignment="1">
      <x:alignment horizontal="left"/>
    </x:xf>
    <x:xf numFmtId="0" fontId="1" fillId="17" borderId="0" xfId="0" applyNumberFormat="1" applyFont="1" applyFill="1" applyBorder="1" applyAlignment="1">
      <x:alignment horizontal="left" vertical="center"/>
    </x:xf>
    <x:xf numFmtId="0" fontId="67" fillId="2" borderId="0" xfId="0" applyNumberFormat="1" applyFont="1" applyFill="1" applyBorder="1"/>
    <x:xf numFmtId="0" fontId="67" fillId="2" borderId="0" xfId="0" applyNumberFormat="1" applyFont="1" applyFill="1" applyBorder="1" applyAlignment="1">
      <x:alignment horizontal="left"/>
    </x:xf>
    <x:xf numFmtId="0" fontId="67" fillId="2" borderId="0" xfId="0" applyNumberFormat="1" applyFont="1" applyFill="1" applyBorder="1" applyAlignment="1">
      <x:alignment horizontal="left" vertical="center"/>
    </x:xf>
    <x:xf numFmtId="0" fontId="66" fillId="43" borderId="0" xfId="0" applyNumberFormat="1" applyFont="1" applyFill="1" applyBorder="1" applyAlignment="1">
      <x:alignment vertical="center" wrapText="1"/>
    </x:xf>
    <x:xf numFmtId="0" fontId="38" fillId="40" borderId="0" xfId="0" applyNumberFormat="1" applyFont="1" applyFill="1" applyBorder="1" applyAlignment="1">
      <x:alignment vertical="top" wrapText="1"/>
    </x:xf>
    <x:xf numFmtId="0" fontId="38" fillId="24" borderId="0" xfId="0" applyNumberFormat="1" applyFont="1" applyFill="1" applyBorder="1"/>
    <x:xf numFmtId="0" fontId="38" fillId="24" borderId="0" xfId="0" applyNumberFormat="1" applyFont="1" applyFill="1" applyBorder="1" applyAlignment="1">
      <x:alignment wrapText="1"/>
    </x:xf>
    <x:xf numFmtId="0" fontId="38" fillId="24" borderId="0" xfId="0" applyNumberFormat="1" applyFont="1" applyFill="1" applyBorder="1" applyAlignment="1">
      <x:alignment vertical="top" wrapText="1"/>
    </x:xf>
    <x:xf numFmtId="0" fontId="42" fillId="21" borderId="0" xfId="0" applyNumberFormat="1" applyFont="1" applyFill="1" applyBorder="1"/>
    <x:xf numFmtId="0" fontId="42" fillId="21" borderId="0" xfId="0" applyNumberFormat="1" applyFont="1" applyFill="1" applyBorder="1" applyAlignment="1">
      <x:alignment wrapText="1"/>
    </x:xf>
    <x:xf numFmtId="0" fontId="42" fillId="21" borderId="0" xfId="0" applyNumberFormat="1" applyFont="1" applyFill="1" applyBorder="1" applyAlignment="1">
      <x:alignment vertical="top" wrapText="1"/>
    </x:xf>
    <x:xf numFmtId="0" fontId="68" fillId="40" borderId="0" xfId="0" applyNumberFormat="1" applyFont="1" applyFill="1" applyBorder="1"/>
    <x:xf numFmtId="0" fontId="68" fillId="40" borderId="0" xfId="0" applyNumberFormat="1" applyFont="1" applyFill="1" applyBorder="1" applyAlignment="1">
      <x:alignment wrapText="1"/>
    </x:xf>
    <x:xf numFmtId="0" fontId="69" fillId="13" borderId="0" xfId="0" applyNumberFormat="1" applyFont="1" applyFill="1" applyBorder="1"/>
    <x:xf numFmtId="0" fontId="69" fillId="13" borderId="0" xfId="0" applyNumberFormat="1" applyFont="1" applyFill="1" applyBorder="1" applyAlignment="1">
      <x:alignment horizontal="center"/>
    </x:xf>
    <x:xf numFmtId="0" fontId="69" fillId="13" borderId="0" xfId="0" applyNumberFormat="1" applyFont="1" applyFill="1" applyBorder="1" applyAlignment="1">
      <x:alignment horizontal="center" vertical="center"/>
    </x:xf>
    <x:xf numFmtId="206" fontId="69" fillId="13" borderId="0" xfId="0" applyNumberFormat="1" applyFont="1" applyFill="1" applyBorder="1" applyAlignment="1">
      <x:alignment horizontal="center" vertical="center"/>
    </x:xf>
    <x:xf numFmtId="0" fontId="30" fillId="17" borderId="0" xfId="0" applyNumberFormat="1" applyFont="1" applyFill="1" applyBorder="1"/>
    <x:xf numFmtId="0" fontId="30" fillId="17" borderId="0" xfId="0" applyNumberFormat="1" applyFont="1" applyFill="1" applyBorder="1" applyAlignment="1">
      <x:alignment wrapText="1"/>
    </x:xf>
    <x:xf numFmtId="0" fontId="30" fillId="17" borderId="0" xfId="0" applyNumberFormat="1" applyFont="1" applyFill="1" applyBorder="1" applyAlignment="1">
      <x:alignment horizontal="center" wrapText="1"/>
    </x:xf>
    <x:xf numFmtId="0" fontId="30" fillId="17" borderId="0" xfId="0" applyNumberFormat="1" applyFont="1" applyFill="1" applyBorder="1" applyAlignment="1">
      <x:alignment horizontal="center" vertical="center" wrapText="1"/>
    </x:xf>
    <x:xf numFmtId="0" fontId="5" fillId="24" borderId="0" xfId="0" applyNumberFormat="1" applyFont="1" applyFill="1" applyBorder="1" applyAlignment="1">
      <x:alignment vertical="top" wrapText="1"/>
    </x:xf>
    <x:xf numFmtId="0" fontId="39" fillId="24" borderId="0" xfId="0" applyNumberFormat="1" applyFont="1" applyFill="1" applyBorder="1" applyAlignment="1">
      <x:alignment vertical="top" wrapText="1"/>
    </x:xf>
    <x:xf numFmtId="0" fontId="5" fillId="40" borderId="0" xfId="0" applyNumberFormat="1" applyFont="1" applyFill="1" applyBorder="1" applyAlignment="1">
      <x:alignment vertical="top" wrapText="1"/>
    </x:xf>
    <x:xf numFmtId="206" fontId="38" fillId="40" borderId="0" xfId="0" applyNumberFormat="1" applyFont="1" applyFill="1" applyBorder="1" applyAlignment="1">
      <x:alignment vertical="top" wrapText="1"/>
    </x:xf>
    <x:xf numFmtId="0" fontId="35" fillId="17" borderId="0" xfId="0" applyNumberFormat="1" applyFont="1" applyFill="1" applyBorder="1"/>
    <x:xf numFmtId="0" fontId="35" fillId="17" borderId="0" xfId="0" applyNumberFormat="1" applyFont="1" applyFill="1" applyBorder="1" applyAlignment="1">
      <x:alignment wrapText="1"/>
    </x:xf>
    <x:xf numFmtId="0" fontId="35" fillId="17" borderId="0" xfId="0" applyNumberFormat="1" applyFont="1" applyFill="1" applyBorder="1" applyAlignment="1">
      <x:alignment horizontal="center" wrapText="1"/>
    </x:xf>
    <x:xf numFmtId="0" fontId="70" fillId="40" borderId="0" xfId="0" applyNumberFormat="1" applyFont="1" applyFill="1" applyBorder="1"/>
    <x:xf numFmtId="0" fontId="70" fillId="40" borderId="0" xfId="0" applyNumberFormat="1" applyFont="1" applyFill="1" applyBorder="1" applyAlignment="1">
      <x:alignment horizontal="center"/>
    </x:xf>
    <x:xf numFmtId="0" fontId="70" fillId="40" borderId="0" xfId="0" applyNumberFormat="1" applyFont="1" applyFill="1" applyBorder="1" applyAlignment="1">
      <x:alignment horizontal="center" vertical="center"/>
    </x:xf>
    <x:xf numFmtId="206" fontId="70" fillId="40" borderId="0" xfId="0" applyNumberFormat="1" applyFont="1" applyFill="1" applyBorder="1" applyAlignment="1">
      <x:alignment horizontal="center" vertical="center"/>
    </x:xf>
    <x:xf numFmtId="0" fontId="71" fillId="21" borderId="0" xfId="0" applyNumberFormat="1" applyFont="1" applyFill="1" applyBorder="1"/>
    <x:xf numFmtId="0" fontId="71" fillId="21" borderId="0" xfId="0" applyNumberFormat="1" applyFont="1" applyFill="1" applyBorder="1" applyAlignment="1">
      <x:alignment wrapText="1"/>
    </x:xf>
    <x:xf numFmtId="0" fontId="71" fillId="21" borderId="0" xfId="0" applyNumberFormat="1" applyFont="1" applyFill="1" applyBorder="1" applyAlignment="1">
      <x:alignment horizontal="center" wrapText="1"/>
    </x:xf>
    <x:xf numFmtId="0" fontId="71" fillId="21" borderId="0" xfId="0" applyNumberFormat="1" applyFont="1" applyFill="1" applyBorder="1" applyAlignment="1">
      <x:alignment horizontal="center" vertical="center" wrapText="1"/>
    </x:xf>
    <x:xf numFmtId="0" fontId="72" fillId="24" borderId="0" xfId="0" applyNumberFormat="1" applyFont="1" applyFill="1" applyBorder="1"/>
    <x:xf numFmtId="0" fontId="72" fillId="24" borderId="0" xfId="0" applyNumberFormat="1" applyFont="1" applyFill="1" applyBorder="1" applyAlignment="1">
      <x:alignment wrapText="1"/>
    </x:xf>
    <x:xf numFmtId="0" fontId="72" fillId="24" borderId="0" xfId="0" applyNumberFormat="1" applyFont="1" applyFill="1" applyBorder="1" applyAlignment="1">
      <x:alignment horizontal="center" wrapText="1"/>
    </x:xf>
    <x:xf numFmtId="0" fontId="72" fillId="24" borderId="0" xfId="0" applyNumberFormat="1" applyFont="1" applyFill="1" applyBorder="1" applyAlignment="1">
      <x:alignment horizontal="center" vertical="center" wrapText="1"/>
    </x:xf>
    <x:xf numFmtId="206" fontId="72" fillId="24" borderId="0" xfId="0" applyNumberFormat="1" applyFont="1" applyFill="1" applyBorder="1" applyAlignment="1">
      <x:alignment horizontal="center" vertical="center" wrapText="1"/>
    </x:xf>
    <x:xf numFmtId="0" fontId="73" fillId="13" borderId="0" xfId="0" applyNumberFormat="1" applyFont="1" applyFill="1" applyBorder="1" applyAlignment="1">
      <x:alignment vertical="center" wrapText="1"/>
    </x:xf>
    <x:xf numFmtId="0" fontId="73" fillId="40" borderId="0" xfId="0" applyNumberFormat="1" applyFont="1" applyFill="1" applyBorder="1" applyAlignment="1">
      <x:alignment vertical="center" wrapText="1"/>
    </x:xf>
    <x:xf numFmtId="206" fontId="73" fillId="13" borderId="0" xfId="0" applyNumberFormat="1" applyFont="1" applyFill="1" applyBorder="1" applyAlignment="1">
      <x:alignment vertical="center" wrapText="1"/>
    </x:xf>
    <x:xf numFmtId="206" fontId="73" fillId="40" borderId="0" xfId="0" applyNumberFormat="1" applyFont="1" applyFill="1" applyBorder="1" applyAlignment="1">
      <x:alignment vertical="center" wrapText="1"/>
    </x:xf>
    <x:xf numFmtId="206" fontId="73" fillId="13" borderId="0" xfId="0" applyNumberFormat="1" applyFont="1" applyFill="1" applyBorder="1" applyAlignment="1">
      <x:alignment horizontal="center" vertical="center" wrapText="1"/>
    </x:xf>
    <x:xf numFmtId="206" fontId="73" fillId="40" borderId="0" xfId="0" applyNumberFormat="1" applyFont="1" applyFill="1" applyBorder="1" applyAlignment="1">
      <x:alignment horizontal="center" vertical="center" wrapText="1"/>
    </x:xf>
    <x:xf numFmtId="0" fontId="73" fillId="13" borderId="0" xfId="0" applyNumberFormat="1" applyFont="1" applyFill="1" applyBorder="1"/>
    <x:xf numFmtId="0" fontId="73" fillId="13" borderId="0" xfId="0" applyNumberFormat="1" applyFont="1" applyFill="1" applyBorder="1" applyAlignment="1">
      <x:alignment wrapText="1"/>
    </x:xf>
    <x:xf numFmtId="0" fontId="44" fillId="13" borderId="0" xfId="0" applyNumberFormat="1" applyFont="1" applyFill="1" applyBorder="1" applyAlignment="1">
      <x:alignment vertical="center" wrapText="1"/>
    </x:xf>
    <x:xf numFmtId="206" fontId="44" fillId="13" borderId="0" xfId="0" applyNumberFormat="1" applyFont="1" applyFill="1" applyBorder="1" applyAlignment="1">
      <x:alignment vertical="center" wrapText="1"/>
    </x:xf>
    <x:xf numFmtId="206" fontId="44" fillId="13" borderId="0" xfId="0" applyNumberFormat="1" applyFont="1" applyFill="1" applyBorder="1" applyAlignment="1">
      <x:alignment horizontal="center" vertical="center" wrapText="1"/>
    </x:xf>
    <x:xf numFmtId="0" fontId="73" fillId="40" borderId="0" xfId="0" applyNumberFormat="1" applyFont="1" applyFill="1" applyBorder="1"/>
    <x:xf numFmtId="0" fontId="73" fillId="40" borderId="0" xfId="0" applyNumberFormat="1" applyFont="1" applyFill="1" applyBorder="1" applyAlignment="1">
      <x:alignment wrapText="1"/>
    </x:xf>
    <x:xf numFmtId="206" fontId="44" fillId="40" borderId="0" xfId="0" applyNumberFormat="1" applyFont="1" applyFill="1" applyBorder="1" applyAlignment="1">
      <x:alignment vertical="center" wrapText="1"/>
    </x:xf>
    <x:xf numFmtId="206" fontId="44" fillId="40" borderId="0" xfId="0" applyNumberFormat="1" applyFont="1" applyFill="1" applyBorder="1" applyAlignment="1">
      <x:alignment horizontal="center" vertical="center" wrapText="1"/>
    </x:xf>
    <x:xf numFmtId="0" fontId="30" fillId="17" borderId="0" xfId="0" applyNumberFormat="1" applyFont="1" applyFill="1" applyBorder="1" applyAlignment="1">
      <x:alignment horizontal="center"/>
    </x:xf>
    <x:xf numFmtId="206" fontId="38" fillId="13" borderId="0" xfId="0" applyNumberFormat="1" applyFont="1" applyFill="1" applyBorder="1"/>
    <x:xf numFmtId="206" fontId="38" fillId="13" borderId="0" xfId="0" applyNumberFormat="1" applyFont="1" applyFill="1" applyBorder="1" applyAlignment="1">
      <x:alignment horizontal="center"/>
    </x:xf>
    <x:xf numFmtId="206" fontId="38" fillId="40" borderId="0" xfId="0" applyNumberFormat="1" applyFont="1" applyFill="1" applyBorder="1"/>
    <x:xf numFmtId="206" fontId="38" fillId="40" borderId="0" xfId="0" applyNumberFormat="1" applyFont="1" applyFill="1" applyBorder="1" applyAlignment="1">
      <x:alignment horizontal="center"/>
    </x:xf>
    <x:xf numFmtId="0" fontId="38" fillId="24" borderId="0" xfId="0" applyNumberFormat="1" applyFont="1" applyFill="1" applyBorder="1" applyAlignment="1">
      <x:alignment vertical="center" wrapText="1"/>
    </x:xf>
    <x:xf numFmtId="0" fontId="53" fillId="2"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left" vertical="center" wrapText="1"/>
    </x:xf>
    <x:xf numFmtId="0" fontId="38" fillId="13" borderId="0" xfId="0" applyNumberFormat="1" applyFont="1" applyFill="1" applyBorder="1" applyAlignment="1">
      <x:alignment wrapText="1"/>
    </x:xf>
    <x:xf numFmtId="0" fontId="38" fillId="13" borderId="0" xfId="0" applyNumberFormat="1" applyFont="1" applyFill="1" applyBorder="1" applyAlignment="1">
      <x:alignment vertical="top" wrapText="1"/>
    </x:xf>
    <x:xf numFmtId="0" fontId="15" fillId="2" borderId="0" xfId="0" applyNumberFormat="1" applyFont="1" applyFill="1" applyBorder="1" applyAlignment="1">
      <x:alignment horizontal="center" vertical="center" wrapText="1"/>
    </x:xf>
    <x:xf numFmtId="0" fontId="13" fillId="2" borderId="0" xfId="0" applyNumberFormat="1" applyFont="1" applyFill="1" applyBorder="1" applyAlignment="1">
      <x:alignment horizontal="center" vertical="center" wrapText="1"/>
    </x:xf>
    <x:xf numFmtId="0" fontId="15" fillId="17" borderId="0" xfId="0" applyNumberFormat="1" applyFont="1" applyFill="1" applyBorder="1" applyAlignment="1">
      <x:alignment horizontal="center" vertical="center" wrapText="1"/>
    </x:xf>
    <x:xf numFmtId="0" fontId="15" fillId="13" borderId="0" xfId="0" applyNumberFormat="1" applyFont="1" applyFill="1" applyBorder="1" applyAlignment="1">
      <x:alignment horizontal="center" vertical="center" wrapText="1"/>
    </x:xf>
    <x:xf numFmtId="0" fontId="68" fillId="13" borderId="0" xfId="0" applyNumberFormat="1" applyFont="1" applyFill="1" applyBorder="1" applyAlignment="1">
      <x:alignment horizontal="center" vertical="center" wrapText="1"/>
    </x:xf>
    <x:xf numFmtId="0" fontId="68" fillId="13" borderId="0" xfId="0" applyNumberFormat="1" applyFont="1" applyFill="1" applyBorder="1" applyAlignment="1">
      <x:alignment horizontal="center" vertical="top" wrapText="1"/>
    </x:xf>
    <x:xf numFmtId="0" fontId="60" fillId="24" borderId="0" xfId="0" applyNumberFormat="1" applyFont="1" applyFill="1" applyBorder="1" applyAlignment="1">
      <x:alignment horizontal="center" vertical="center" wrapText="1"/>
    </x:xf>
    <x:xf numFmtId="0" fontId="65" fillId="24" borderId="0" xfId="0" applyNumberFormat="1" applyFont="1" applyFill="1" applyBorder="1" applyAlignment="1">
      <x:alignment horizontal="center" vertical="center" wrapText="1"/>
    </x:xf>
    <x:xf numFmtId="0" fontId="60" fillId="21" borderId="0" xfId="0" applyNumberFormat="1" applyFont="1" applyFill="1" applyBorder="1" applyAlignment="1">
      <x:alignment horizontal="center" vertical="center" wrapText="1"/>
    </x:xf>
    <x:xf numFmtId="0" fontId="42" fillId="21" borderId="0" xfId="0" applyNumberFormat="1" applyFont="1" applyFill="1" applyBorder="1" applyAlignment="1">
      <x:alignment horizontal="center" vertical="center" wrapText="1"/>
    </x:xf>
    <x:xf numFmtId="0" fontId="0" fillId="52" borderId="0" xfId="0" applyNumberFormat="1" applyFont="1" applyFill="1" applyBorder="1"/>
    <x:xf numFmtId="0" fontId="74" fillId="52" borderId="0" xfId="0" applyNumberFormat="1" applyFont="1" applyFill="1" applyBorder="1"/>
    <x:xf numFmtId="0" fontId="3" fillId="52" borderId="0" xfId="0" applyNumberFormat="1" applyFont="1" applyFill="1" applyBorder="1"/>
    <x:xf numFmtId="0" fontId="3" fillId="52" borderId="0" xfId="0" applyNumberFormat="1" applyFont="1" applyFill="1" applyBorder="1" applyAlignment="1">
      <x:alignment wrapText="1"/>
    </x:xf>
    <x:xf numFmtId="0" fontId="3" fillId="52" borderId="0" xfId="0" applyNumberFormat="1" applyFont="1" applyFill="1" applyBorder="1" applyAlignment="1">
      <x:alignment horizontal="center" wrapText="1"/>
    </x:xf>
    <x:xf numFmtId="0" fontId="3" fillId="52" borderId="0" xfId="0" applyNumberFormat="1" applyFont="1" applyFill="1" applyBorder="1" applyAlignment="1">
      <x:alignment horizontal="center" vertical="center" wrapText="1"/>
    </x:xf>
    <x:xf numFmtId="0" fontId="0" fillId="53" borderId="0" xfId="0" applyNumberFormat="1" applyFont="1" applyFill="1" applyBorder="1"/>
    <x:xf numFmtId="0" fontId="75" fillId="53" borderId="0" xfId="0" applyNumberFormat="1" applyFont="1" applyFill="1" applyBorder="1"/>
    <x:xf numFmtId="0" fontId="75" fillId="53" borderId="0" xfId="0" applyNumberFormat="1" applyFont="1" applyFill="1" applyBorder="1" applyAlignment="1">
      <x:alignment wrapText="1"/>
    </x:xf>
    <x:xf numFmtId="0" fontId="75" fillId="53" borderId="0" xfId="0" applyNumberFormat="1" applyFont="1" applyFill="1" applyBorder="1" applyAlignment="1">
      <x:alignment vertical="center" wrapText="1"/>
    </x:xf>
    <x:xf numFmtId="0" fontId="3" fillId="52" borderId="0" xfId="0" applyNumberFormat="1" applyFont="1" applyFill="1" applyBorder="1" applyAlignment="1">
      <x:alignment horizontal="left"/>
    </x:xf>
    <x:xf numFmtId="0" fontId="3" fillId="52" borderId="0" xfId="0" applyNumberFormat="1" applyFont="1" applyFill="1" applyBorder="1" applyAlignment="1">
      <x:alignment horizontal="left" vertical="center"/>
    </x:xf>
    <x:xf numFmtId="0" fontId="0" fillId="54" borderId="0" xfId="0" applyNumberFormat="1" applyFont="1" applyFill="1" applyBorder="1"/>
    <x:xf numFmtId="0" fontId="76" fillId="54" borderId="0" xfId="0" applyNumberFormat="1" applyFont="1" applyFill="1" applyBorder="1"/>
    <x:xf numFmtId="0" fontId="76" fillId="54" borderId="0" xfId="0" applyNumberFormat="1" applyFont="1" applyFill="1" applyBorder="1" applyAlignment="1">
      <x:alignment horizontal="left"/>
    </x:xf>
    <x:xf numFmtId="0" fontId="76" fillId="54" borderId="0" xfId="0" applyNumberFormat="1" applyFont="1" applyFill="1" applyBorder="1" applyAlignment="1">
      <x:alignment horizontal="left" vertical="center"/>
    </x:xf>
    <x:xf numFmtId="0" fontId="0" fillId="55" borderId="0" xfId="0" applyNumberFormat="1" applyFont="1" applyFill="1" applyBorder="1"/>
    <x:xf numFmtId="0" fontId="77" fillId="55" borderId="0" xfId="0" applyNumberFormat="1" applyFont="1" applyFill="1" applyBorder="1"/>
    <x:xf numFmtId="0" fontId="77" fillId="55" borderId="0" xfId="0" applyNumberFormat="1" applyFont="1" applyFill="1" applyBorder="1" applyAlignment="1">
      <x:alignment wrapText="1"/>
    </x:xf>
    <x:xf numFmtId="0" fontId="77" fillId="55" borderId="0" xfId="0" applyNumberFormat="1" applyFont="1" applyFill="1" applyBorder="1" applyAlignment="1">
      <x:alignment vertical="center" wrapText="1"/>
    </x:xf>
    <x:xf numFmtId="0" fontId="3" fillId="54" borderId="0" xfId="0" applyNumberFormat="1" applyFont="1" applyFill="1" applyBorder="1"/>
    <x:xf numFmtId="0" fontId="3" fillId="54" borderId="0" xfId="0" applyNumberFormat="1" applyFont="1" applyFill="1" applyBorder="1" applyAlignment="1">
      <x:alignment horizontal="left"/>
    </x:xf>
    <x:xf numFmtId="0" fontId="3" fillId="54" borderId="0" xfId="0" applyNumberFormat="1" applyFont="1" applyFill="1" applyBorder="1" applyAlignment="1">
      <x:alignment horizontal="left" vertical="center"/>
    </x:xf>
    <x:xf numFmtId="0" fontId="78" fillId="53" borderId="0" xfId="0" applyNumberFormat="1" applyFont="1" applyFill="1" applyBorder="1"/>
    <x:xf numFmtId="0" fontId="78" fillId="53" borderId="0" xfId="0" applyNumberFormat="1" applyFont="1" applyFill="1" applyBorder="1" applyAlignment="1">
      <x:alignment horizontal="center"/>
    </x:xf>
    <x:xf numFmtId="0" fontId="78" fillId="53" borderId="0" xfId="0" applyNumberFormat="1" applyFont="1" applyFill="1" applyBorder="1" applyAlignment="1">
      <x:alignment horizontal="center" vertical="center"/>
    </x:xf>
    <x:xf numFmtId="0" fontId="79" fillId="53" borderId="0" xfId="0" applyNumberFormat="1" applyFont="1" applyFill="1" applyBorder="1" applyAlignment="1">
      <x:alignment horizontal="center" vertical="center"/>
    </x:xf>
    <x:xf numFmtId="0" fontId="80" fillId="53" borderId="0" xfId="0" applyNumberFormat="1" applyFont="1" applyFill="1" applyBorder="1" applyAlignment="1">
      <x:alignment horizontal="center" vertical="center"/>
    </x:xf>
    <x:xf numFmtId="206" fontId="78" fillId="53" borderId="0" xfId="0" applyNumberFormat="1" applyFont="1" applyFill="1" applyBorder="1" applyAlignment="1">
      <x:alignment horizontal="center" vertical="center"/>
    </x:xf>
    <x:xf numFmtId="206" fontId="79" fillId="53" borderId="0" xfId="0" applyNumberFormat="1" applyFont="1" applyFill="1" applyBorder="1" applyAlignment="1">
      <x:alignment horizontal="center" vertical="center"/>
    </x:xf>
    <x:xf numFmtId="206" fontId="80" fillId="53" borderId="0" xfId="0" applyNumberFormat="1" applyFont="1" applyFill="1" applyBorder="1" applyAlignment="1">
      <x:alignment horizontal="center" vertical="center"/>
    </x:xf>
    <x:xf numFmtId="0" fontId="81" fillId="55" borderId="0" xfId="0" applyNumberFormat="1" applyFont="1" applyFill="1" applyBorder="1"/>
    <x:xf numFmtId="0" fontId="81" fillId="55" borderId="0" xfId="0" applyNumberFormat="1" applyFont="1" applyFill="1" applyBorder="1" applyAlignment="1">
      <x:alignment wrapText="1"/>
    </x:xf>
    <x:xf numFmtId="0" fontId="81" fillId="55" borderId="0" xfId="0" applyNumberFormat="1" applyFont="1" applyFill="1" applyBorder="1" applyAlignment="1">
      <x:alignment horizontal="center" wrapText="1"/>
    </x:xf>
    <x:xf numFmtId="0" fontId="81" fillId="55" borderId="0" xfId="0" applyNumberFormat="1" applyFont="1" applyFill="1" applyBorder="1" applyAlignment="1">
      <x:alignment horizontal="center" vertical="center" wrapText="1"/>
    </x:xf>
    <x:xf numFmtId="0" fontId="79" fillId="55" borderId="0" xfId="0" applyNumberFormat="1" applyFont="1" applyFill="1" applyBorder="1" applyAlignment="1">
      <x:alignment horizontal="center" vertical="center" wrapText="1"/>
    </x:xf>
    <x:xf numFmtId="0" fontId="80" fillId="55" borderId="0" xfId="0" applyNumberFormat="1" applyFont="1" applyFill="1" applyBorder="1" applyAlignment="1">
      <x:alignment horizontal="center" vertical="center" wrapText="1"/>
    </x:xf>
    <x:xf numFmtId="0" fontId="75" fillId="53" borderId="0" xfId="0" applyNumberFormat="1" applyFont="1" applyFill="1" applyBorder="1" applyAlignment="1">
      <x:alignment horizontal="center" vertical="center" wrapText="1"/>
    </x:xf>
    <x:xf numFmtId="206" fontId="75" fillId="53" borderId="0" xfId="0" applyNumberFormat="1" applyFont="1" applyFill="1" applyBorder="1" applyAlignment="1">
      <x:alignment horizontal="center" vertical="center" wrapText="1"/>
    </x:xf>
    <x:xf numFmtId="0" fontId="75" fillId="55" borderId="0" xfId="0" applyNumberFormat="1" applyFont="1" applyFill="1" applyBorder="1"/>
    <x:xf numFmtId="0" fontId="75" fillId="55" borderId="0" xfId="0" applyNumberFormat="1" applyFont="1" applyFill="1" applyBorder="1" applyAlignment="1">
      <x:alignment wrapText="1"/>
    </x:xf>
    <x:xf numFmtId="0" fontId="75" fillId="55" borderId="0" xfId="0" applyNumberFormat="1" applyFont="1" applyFill="1" applyBorder="1" applyAlignment="1">
      <x:alignment vertical="center" wrapText="1"/>
    </x:xf>
    <x:xf numFmtId="0" fontId="75" fillId="55" borderId="0" xfId="0" applyNumberFormat="1" applyFont="1" applyFill="1" applyBorder="1" applyAlignment="1">
      <x:alignment horizontal="center" vertical="center" wrapText="1"/>
    </x:xf>
    <x:xf numFmtId="206" fontId="75" fillId="55" borderId="0" xfId="0" applyNumberFormat="1" applyFont="1" applyFill="1" applyBorder="1" applyAlignment="1">
      <x:alignment horizontal="center" vertical="center" wrapText="1"/>
    </x:xf>
    <x:xf numFmtId="208" fontId="75" fillId="53" borderId="0" xfId="0" applyNumberFormat="1" applyFont="1" applyFill="1" applyBorder="1" applyAlignment="1">
      <x:alignment horizontal="center" vertical="center" wrapText="1"/>
    </x:xf>
    <x:xf numFmtId="208" fontId="75" fillId="55" borderId="0" xfId="0" applyNumberFormat="1" applyFont="1" applyFill="1" applyBorder="1" applyAlignment="1">
      <x:alignment horizontal="center" vertical="center" wrapText="1"/>
    </x:xf>
    <x:xf numFmtId="0" fontId="0" fillId="56" borderId="0" xfId="0" applyNumberFormat="1" applyFont="1" applyFill="1" applyBorder="1"/>
    <x:xf numFmtId="0" fontId="79" fillId="56" borderId="0" xfId="0" applyNumberFormat="1" applyFont="1" applyFill="1" applyBorder="1"/>
    <x:xf numFmtId="0" fontId="79" fillId="56" borderId="0" xfId="0" applyNumberFormat="1" applyFont="1" applyFill="1" applyBorder="1" applyAlignment="1">
      <x:alignment wrapText="1"/>
    </x:xf>
    <x:xf numFmtId="0" fontId="79" fillId="56" borderId="0" xfId="0" applyNumberFormat="1" applyFont="1" applyFill="1" applyBorder="1" applyAlignment="1">
      <x:alignment vertical="top" wrapText="1"/>
    </x:xf>
    <x:xf numFmtId="0" fontId="0" fillId="57" borderId="0" xfId="0" applyNumberFormat="1" applyFont="1" applyFill="1" applyBorder="1"/>
    <x:xf numFmtId="0" fontId="82" fillId="57" borderId="0" xfId="0" applyNumberFormat="1" applyFont="1" applyFill="1" applyBorder="1"/>
    <x:xf numFmtId="0" fontId="82" fillId="57" borderId="0" xfId="0" applyNumberFormat="1" applyFont="1" applyFill="1" applyBorder="1" applyAlignment="1">
      <x:alignment wrapText="1"/>
    </x:xf>
    <x:xf numFmtId="0" fontId="82" fillId="57" borderId="0" xfId="0" applyNumberFormat="1" applyFont="1" applyFill="1" applyBorder="1" applyAlignment="1">
      <x:alignment vertical="top" wrapText="1"/>
    </x:xf>
    <x:xf numFmtId="0" fontId="3" fillId="52" borderId="0" xfId="0" applyNumberFormat="1" applyFont="1" applyFill="1" applyBorder="1" applyAlignment="1">
      <x:alignment vertical="center" wrapText="1"/>
    </x:xf>
    <x:xf numFmtId="0" fontId="75" fillId="53" borderId="0" xfId="0" applyNumberFormat="1" applyFont="1" applyFill="1" applyBorder="1" applyAlignment="1">
      <x:alignment vertical="top" wrapText="1"/>
    </x:xf>
    <x:xf numFmtId="0" fontId="83" fillId="57" borderId="0" xfId="0" applyNumberFormat="1" applyFont="1" applyFill="1" applyBorder="1"/>
    <x:xf numFmtId="0" fontId="83" fillId="57" borderId="0" xfId="0" applyNumberFormat="1" applyFont="1" applyFill="1" applyBorder="1" applyAlignment="1">
      <x:alignment wrapText="1"/>
    </x:xf>
    <x:xf numFmtId="0" fontId="83" fillId="57" borderId="0" xfId="0" applyNumberFormat="1" applyFont="1" applyFill="1" applyBorder="1" applyAlignment="1">
      <x:alignment vertical="top" wrapText="1"/>
    </x:xf>
    <x:xf numFmtId="0" fontId="84" fillId="55" borderId="0" xfId="0" applyNumberFormat="1" applyFont="1" applyFill="1" applyBorder="1" applyAlignment="1">
      <x:alignment vertical="center" wrapText="1"/>
    </x:xf>
    <x:xf numFmtId="0" fontId="78" fillId="55" borderId="0" xfId="0" applyNumberFormat="1" applyFont="1" applyFill="1" applyBorder="1" applyAlignment="1">
      <x:alignment vertical="center" wrapText="1"/>
    </x:xf>
    <x:xf numFmtId="206" fontId="78" fillId="55" borderId="0" xfId="0" applyNumberFormat="1" applyFont="1" applyFill="1" applyBorder="1" applyAlignment="1">
      <x:alignment vertical="center" wrapText="1"/>
    </x:xf>
    <x:xf numFmtId="206" fontId="78" fillId="55" borderId="0" xfId="0" applyNumberFormat="1" applyFont="1" applyFill="1" applyBorder="1" applyAlignment="1">
      <x:alignment horizontal="center" vertical="center" wrapText="1"/>
    </x:xf>
    <x:xf numFmtId="0" fontId="85" fillId="56" borderId="0" xfId="0" applyNumberFormat="1" applyFont="1" applyFill="1" applyBorder="1"/>
    <x:xf numFmtId="0" fontId="85" fillId="56" borderId="0" xfId="0" applyNumberFormat="1" applyFont="1" applyFill="1" applyBorder="1" applyAlignment="1">
      <x:alignment wrapText="1"/>
    </x:xf>
    <x:xf numFmtId="0" fontId="85" fillId="56" borderId="0" xfId="0" applyNumberFormat="1" applyFont="1" applyFill="1" applyBorder="1" applyAlignment="1">
      <x:alignment vertical="center" wrapText="1"/>
    </x:xf>
    <x:xf numFmtId="0" fontId="86" fillId="57" borderId="0" xfId="0" applyNumberFormat="1" applyFont="1" applyFill="1" applyBorder="1"/>
    <x:xf numFmtId="0" fontId="86" fillId="57" borderId="0" xfId="0" applyNumberFormat="1" applyFont="1" applyFill="1" applyBorder="1" applyAlignment="1">
      <x:alignment wrapText="1"/>
    </x:xf>
    <x:xf numFmtId="0" fontId="86" fillId="57" borderId="0" xfId="0" applyNumberFormat="1" applyFont="1" applyFill="1" applyBorder="1" applyAlignment="1">
      <x:alignment vertical="center" wrapText="1"/>
    </x:xf>
    <x:xf numFmtId="200" fontId="86" fillId="57" borderId="0" xfId="0" applyNumberFormat="1" applyFont="1" applyFill="1" applyBorder="1" applyAlignment="1">
      <x:alignment vertical="center" wrapText="1"/>
    </x:xf>
    <x:xf numFmtId="213" fontId="85" fillId="56" borderId="0" xfId="0" applyNumberFormat="1" applyFont="1" applyFill="1" applyBorder="1" applyAlignment="1">
      <x:alignment vertical="center" wrapText="1"/>
    </x:xf>
    <x:xf numFmtId="206" fontId="75" fillId="53" borderId="0" xfId="0" applyNumberFormat="1" applyFont="1" applyFill="1" applyBorder="1" applyAlignment="1">
      <x:alignment vertical="center" wrapText="1"/>
    </x:xf>
    <x:xf numFmtId="212" fontId="85" fillId="56" borderId="0" xfId="0" applyNumberFormat="1" applyFont="1" applyFill="1" applyBorder="1" applyAlignment="1">
      <x:alignment vertical="center" wrapText="1"/>
    </x:xf>
    <x:xf numFmtId="212" fontId="75" fillId="53" borderId="0" xfId="0" applyNumberFormat="1" applyFont="1" applyFill="1" applyBorder="1" applyAlignment="1">
      <x:alignment vertical="center" wrapText="1"/>
    </x:xf>
    <x:xf numFmtId="213" fontId="86" fillId="57" borderId="0" xfId="0" applyNumberFormat="1" applyFont="1" applyFill="1" applyBorder="1" applyAlignment="1">
      <x:alignment vertical="center" wrapText="1"/>
    </x:xf>
    <x:xf numFmtId="0" fontId="74"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0" fontId="75" fillId="40" borderId="0" xfId="0" applyNumberFormat="1" applyFont="1" applyFill="1" applyBorder="1"/>
    <x:xf numFmtId="0" fontId="75" fillId="40" borderId="0" xfId="0" applyNumberFormat="1" applyFont="1" applyFill="1" applyBorder="1" applyAlignment="1">
      <x:alignment wrapText="1"/>
    </x:xf>
    <x:xf numFmtId="0" fontId="75" fillId="40" borderId="0" xfId="0" applyNumberFormat="1" applyFont="1" applyFill="1" applyBorder="1" applyAlignment="1">
      <x:alignment vertical="center" wrapText="1"/>
    </x:xf>
    <x:xf numFmtId="0" fontId="3" fillId="17" borderId="0" xfId="0" applyNumberFormat="1" applyFont="1" applyFill="1" applyBorder="1" applyAlignment="1">
      <x:alignment horizontal="left"/>
    </x:xf>
    <x:xf numFmtId="0" fontId="3" fillId="17" borderId="0" xfId="0" applyNumberFormat="1" applyFont="1" applyFill="1" applyBorder="1" applyAlignment="1">
      <x:alignment horizontal="left" vertical="center"/>
    </x:xf>
    <x:xf numFmtId="0" fontId="76" fillId="2" borderId="0" xfId="0" applyNumberFormat="1" applyFont="1" applyFill="1" applyBorder="1"/>
    <x:xf numFmtId="0" fontId="76" fillId="2" borderId="0" xfId="0" applyNumberFormat="1" applyFont="1" applyFill="1" applyBorder="1" applyAlignment="1">
      <x:alignment horizontal="left"/>
    </x:xf>
    <x:xf numFmtId="0" fontId="76" fillId="2" borderId="0" xfId="0" applyNumberFormat="1" applyFont="1" applyFill="1" applyBorder="1" applyAlignment="1">
      <x:alignment horizontal="left" vertical="center"/>
    </x:xf>
    <x:xf numFmtId="0" fontId="77" fillId="43" borderId="0" xfId="0" applyNumberFormat="1" applyFont="1" applyFill="1" applyBorder="1"/>
    <x:xf numFmtId="0" fontId="77" fillId="43" borderId="0" xfId="0" applyNumberFormat="1" applyFont="1" applyFill="1" applyBorder="1" applyAlignment="1">
      <x:alignment wrapText="1"/>
    </x:xf>
    <x:xf numFmtId="0" fontId="77" fillId="43" borderId="0" xfId="0" applyNumberFormat="1" applyFont="1" applyFill="1" applyBorder="1" applyAlignment="1">
      <x:alignment vertical="center" wrapText="1"/>
    </x:xf>
    <x:xf numFmtId="0" fontId="3" fillId="2" borderId="0" xfId="0" applyNumberFormat="1" applyFont="1" applyFill="1" applyBorder="1" applyAlignment="1">
      <x:alignment horizontal="left"/>
    </x:xf>
    <x:xf numFmtId="0" fontId="78" fillId="40" borderId="0" xfId="0" applyNumberFormat="1" applyFont="1" applyFill="1" applyBorder="1"/>
    <x:xf numFmtId="0" fontId="78" fillId="40" borderId="0" xfId="0" applyNumberFormat="1" applyFont="1" applyFill="1" applyBorder="1" applyAlignment="1">
      <x:alignment horizontal="center"/>
    </x:xf>
    <x:xf numFmtId="0" fontId="78" fillId="40" borderId="0" xfId="0" applyNumberFormat="1" applyFont="1" applyFill="1" applyBorder="1" applyAlignment="1">
      <x:alignment horizontal="center" vertical="center"/>
    </x:xf>
    <x:xf numFmtId="0" fontId="79" fillId="40" borderId="0" xfId="0" applyNumberFormat="1" applyFont="1" applyFill="1" applyBorder="1" applyAlignment="1">
      <x:alignment horizontal="center" vertical="center"/>
    </x:xf>
    <x:xf numFmtId="0" fontId="80" fillId="40" borderId="0" xfId="0" applyNumberFormat="1" applyFont="1" applyFill="1" applyBorder="1" applyAlignment="1">
      <x:alignment horizontal="center" vertical="center"/>
    </x:xf>
    <x:xf numFmtId="206" fontId="78" fillId="40" borderId="0" xfId="0" applyNumberFormat="1" applyFont="1" applyFill="1" applyBorder="1" applyAlignment="1">
      <x:alignment horizontal="center" vertical="center"/>
    </x:xf>
    <x:xf numFmtId="206" fontId="79" fillId="40" borderId="0" xfId="0" applyNumberFormat="1" applyFont="1" applyFill="1" applyBorder="1" applyAlignment="1">
      <x:alignment horizontal="center" vertical="center"/>
    </x:xf>
    <x:xf numFmtId="206" fontId="80" fillId="40" borderId="0" xfId="0" applyNumberFormat="1" applyFont="1" applyFill="1" applyBorder="1" applyAlignment="1">
      <x:alignment horizontal="center" vertical="center"/>
    </x:xf>
    <x:xf numFmtId="0" fontId="81" fillId="43" borderId="0" xfId="0" applyNumberFormat="1" applyFont="1" applyFill="1" applyBorder="1"/>
    <x:xf numFmtId="0" fontId="81" fillId="43" borderId="0" xfId="0" applyNumberFormat="1" applyFont="1" applyFill="1" applyBorder="1" applyAlignment="1">
      <x:alignment wrapText="1"/>
    </x:xf>
    <x:xf numFmtId="0" fontId="81" fillId="43" borderId="0" xfId="0" applyNumberFormat="1" applyFont="1" applyFill="1" applyBorder="1" applyAlignment="1">
      <x:alignment horizontal="center" wrapText="1"/>
    </x:xf>
    <x:xf numFmtId="0" fontId="81" fillId="43" borderId="0" xfId="0" applyNumberFormat="1" applyFont="1" applyFill="1" applyBorder="1" applyAlignment="1">
      <x:alignment horizontal="center" vertical="center" wrapText="1"/>
    </x:xf>
    <x:xf numFmtId="0" fontId="79" fillId="43" borderId="0" xfId="0" applyNumberFormat="1" applyFont="1" applyFill="1" applyBorder="1" applyAlignment="1">
      <x:alignment horizontal="center" vertical="center" wrapText="1"/>
    </x:xf>
    <x:xf numFmtId="0" fontId="80" fillId="43" borderId="0" xfId="0" applyNumberFormat="1" applyFont="1" applyFill="1" applyBorder="1" applyAlignment="1">
      <x:alignment horizontal="center" vertical="center" wrapText="1"/>
    </x:xf>
    <x:xf numFmtId="0" fontId="75" fillId="40" borderId="0" xfId="0" applyNumberFormat="1" applyFont="1" applyFill="1" applyBorder="1" applyAlignment="1">
      <x:alignment horizontal="center" vertical="center" wrapText="1"/>
    </x:xf>
    <x:xf numFmtId="206" fontId="75" fillId="40" borderId="0" xfId="0" applyNumberFormat="1" applyFont="1" applyFill="1" applyBorder="1" applyAlignment="1">
      <x:alignment horizontal="center" vertical="center" wrapText="1"/>
    </x:xf>
    <x:xf numFmtId="0" fontId="75" fillId="43" borderId="0" xfId="0" applyNumberFormat="1" applyFont="1" applyFill="1" applyBorder="1"/>
    <x:xf numFmtId="0" fontId="75" fillId="43" borderId="0" xfId="0" applyNumberFormat="1" applyFont="1" applyFill="1" applyBorder="1" applyAlignment="1">
      <x:alignment wrapText="1"/>
    </x:xf>
    <x:xf numFmtId="0" fontId="75" fillId="43" borderId="0" xfId="0" applyNumberFormat="1" applyFont="1" applyFill="1" applyBorder="1" applyAlignment="1">
      <x:alignment vertical="center" wrapText="1"/>
    </x:xf>
    <x:xf numFmtId="0" fontId="75" fillId="43" borderId="0" xfId="0" applyNumberFormat="1" applyFont="1" applyFill="1" applyBorder="1" applyAlignment="1">
      <x:alignment horizontal="center" vertical="center" wrapText="1"/>
    </x:xf>
    <x:xf numFmtId="206" fontId="75" fillId="43" borderId="0" xfId="0" applyNumberFormat="1" applyFont="1" applyFill="1" applyBorder="1" applyAlignment="1">
      <x:alignment horizontal="center" vertical="center" wrapText="1"/>
    </x:xf>
    <x:xf numFmtId="208" fontId="75" fillId="40" borderId="0" xfId="0" applyNumberFormat="1" applyFont="1" applyFill="1" applyBorder="1" applyAlignment="1">
      <x:alignment horizontal="center" vertical="center" wrapText="1"/>
    </x:xf>
    <x:xf numFmtId="208" fontId="75" fillId="43" borderId="0" xfId="0" applyNumberFormat="1" applyFont="1" applyFill="1" applyBorder="1" applyAlignment="1">
      <x:alignment horizontal="center" vertical="center" wrapText="1"/>
    </x:xf>
    <x:xf numFmtId="0" fontId="79" fillId="4" borderId="0" xfId="0" applyNumberFormat="1" applyFont="1" applyFill="1" applyBorder="1"/>
    <x:xf numFmtId="0" fontId="79" fillId="4" borderId="0" xfId="0" applyNumberFormat="1" applyFont="1" applyFill="1" applyBorder="1" applyAlignment="1">
      <x:alignment wrapText="1"/>
    </x:xf>
    <x:xf numFmtId="0" fontId="79" fillId="4"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75" fillId="40" borderId="0" xfId="0" applyNumberFormat="1" applyFont="1" applyFill="1" applyBorder="1" applyAlignment="1">
      <x:alignment vertical="top" wrapText="1"/>
    </x:xf>
    <x:xf numFmtId="0" fontId="84" fillId="43" borderId="0" xfId="0" applyNumberFormat="1" applyFont="1" applyFill="1" applyBorder="1" applyAlignment="1">
      <x:alignment vertical="center" wrapText="1"/>
    </x:xf>
    <x:xf numFmtId="0" fontId="78" fillId="43" borderId="0" xfId="0" applyNumberFormat="1" applyFont="1" applyFill="1" applyBorder="1" applyAlignment="1">
      <x:alignment vertical="center" wrapText="1"/>
    </x:xf>
    <x:xf numFmtId="206" fontId="78" fillId="43" borderId="0" xfId="0" applyNumberFormat="1" applyFont="1" applyFill="1" applyBorder="1" applyAlignment="1">
      <x:alignment vertical="center" wrapText="1"/>
    </x:xf>
    <x:xf numFmtId="206" fontId="78" fillId="43" borderId="0" xfId="0" applyNumberFormat="1" applyFont="1" applyFill="1" applyBorder="1" applyAlignment="1">
      <x:alignment horizontal="center" vertical="center" wrapText="1"/>
    </x:xf>
    <x:xf numFmtId="0" fontId="85" fillId="4" borderId="0" xfId="0" applyNumberFormat="1" applyFont="1" applyFill="1" applyBorder="1"/>
    <x:xf numFmtId="0" fontId="85" fillId="4" borderId="0" xfId="0" applyNumberFormat="1" applyFont="1" applyFill="1" applyBorder="1" applyAlignment="1">
      <x:alignment wrapText="1"/>
    </x:xf>
    <x:xf numFmtId="0" fontId="85" fillId="4" borderId="0" xfId="0" applyNumberFormat="1" applyFont="1" applyFill="1" applyBorder="1" applyAlignment="1">
      <x:alignment vertical="center" wrapText="1"/>
    </x:xf>
    <x:xf numFmtId="213" fontId="85" fillId="4" borderId="0" xfId="0" applyNumberFormat="1" applyFont="1" applyFill="1" applyBorder="1" applyAlignment="1">
      <x:alignment vertical="center" wrapText="1"/>
    </x:xf>
    <x:xf numFmtId="206" fontId="75" fillId="40" borderId="0" xfId="0" applyNumberFormat="1" applyFont="1" applyFill="1" applyBorder="1" applyAlignment="1">
      <x:alignment vertical="center" wrapText="1"/>
    </x:xf>
    <x:xf numFmtId="212" fontId="85" fillId="4" borderId="0" xfId="0" applyNumberFormat="1" applyFont="1" applyFill="1" applyBorder="1" applyAlignment="1">
      <x:alignment vertical="center" wrapText="1"/>
    </x:xf>
    <x:xf numFmtId="212" fontId="75" fillId="40" borderId="0" xfId="0" applyNumberFormat="1" applyFont="1" applyFill="1" applyBorder="1" applyAlignment="1">
      <x:alignment vertical="center" wrapText="1"/>
    </x:xf>
    <x:xf numFmtId="0" fontId="0" fillId="58" borderId="0" xfId="0" applyNumberFormat="1" applyFont="1" applyFill="1" applyBorder="1"/>
    <x:xf numFmtId="0" fontId="3" fillId="58" borderId="0" xfId="0" applyNumberFormat="1" applyFont="1" applyFill="1" applyBorder="1"/>
    <x:xf numFmtId="0" fontId="3" fillId="58" borderId="0" xfId="0" applyNumberFormat="1" applyFont="1" applyFill="1" applyBorder="1" applyAlignment="1">
      <x:alignment wrapText="1"/>
    </x:xf>
    <x:xf numFmtId="0" fontId="3" fillId="58" borderId="0" xfId="0" applyNumberFormat="1" applyFont="1" applyFill="1" applyBorder="1" applyAlignment="1">
      <x:alignment horizontal="center" wrapText="1"/>
    </x:xf>
    <x:xf numFmtId="0" fontId="3" fillId="58" borderId="0" xfId="0" applyNumberFormat="1" applyFont="1" applyFill="1" applyBorder="1" applyAlignment="1">
      <x:alignment horizontal="center" vertical="center" wrapText="1"/>
    </x:xf>
    <x:xf numFmtId="0" fontId="87" fillId="0" borderId="0" xfId="0" applyNumberFormat="1" applyFont="1" applyFill="1" applyBorder="1"/>
    <x:xf numFmtId="0" fontId="87" fillId="0" borderId="0" xfId="0" applyNumberFormat="1" applyFont="1" applyFill="1" applyBorder="1" applyAlignment="1">
      <x:alignment wrapText="1"/>
    </x:xf>
    <x:xf numFmtId="0" fontId="3" fillId="58" borderId="19" xfId="0" applyNumberFormat="1" applyFont="1" applyFill="1" applyBorder="1" applyAlignment="1">
      <x:alignment horizontal="center" vertical="center" wrapText="1"/>
    </x:xf>
    <x:xf numFmtId="0" fontId="87" fillId="0" borderId="19" xfId="0" applyNumberFormat="1" applyFont="1" applyFill="1" applyBorder="1" applyAlignment="1">
      <x:alignment wrapText="1"/>
    </x:xf>
    <x:xf numFmtId="0" fontId="88" fillId="58" borderId="0" xfId="0" applyNumberFormat="1" applyFont="1" applyFill="1" applyBorder="1"/>
    <x:xf numFmtId="0" fontId="88" fillId="58" borderId="0" xfId="0" applyNumberFormat="1" applyFont="1" applyFill="1" applyBorder="1" applyAlignment="1">
      <x:alignment wrapText="0"/>
    </x:xf>
    <x:xf numFmtId="0" fontId="88" fillId="58" borderId="0" xfId="0" applyNumberFormat="1" applyFont="1" applyFill="1" applyBorder="1" applyAlignment="1">
      <x:alignment horizontal="left" wrapText="0"/>
    </x:xf>
    <x:xf numFmtId="0" fontId="88" fillId="58" borderId="0" xfId="0" applyNumberFormat="1" applyFont="1" applyFill="1" applyBorder="1" applyAlignment="1">
      <x:alignment horizontal="left" vertical="center" wrapText="0"/>
    </x:xf>
    <x:xf numFmtId="0" fontId="0" fillId="59" borderId="0" xfId="0" applyNumberFormat="1" applyFont="1" applyFill="1" applyBorder="1"/>
    <x:xf numFmtId="0" fontId="76" fillId="59" borderId="0" xfId="0" applyNumberFormat="1" applyFont="1" applyFill="1" applyBorder="1"/>
    <x:xf numFmtId="0" fontId="76" fillId="59" borderId="0" xfId="0" applyNumberFormat="1" applyFont="1" applyFill="1" applyBorder="1" applyAlignment="1">
      <x:alignment wrapText="0"/>
    </x:xf>
    <x:xf numFmtId="0" fontId="76" fillId="59" borderId="0" xfId="0" applyNumberFormat="1" applyFont="1" applyFill="1" applyBorder="1" applyAlignment="1">
      <x:alignment horizontal="left" wrapText="0"/>
    </x:xf>
    <x:xf numFmtId="0" fontId="76" fillId="59" borderId="0" xfId="0" applyNumberFormat="1" applyFont="1" applyFill="1" applyBorder="1" applyAlignment="1">
      <x:alignment horizontal="left" vertical="center" wrapText="0"/>
    </x:xf>
    <x:xf numFmtId="0" fontId="0" fillId="60" borderId="0" xfId="0" applyNumberFormat="1" applyFont="1" applyFill="1" applyBorder="1"/>
    <x:xf numFmtId="0" fontId="89" fillId="60" borderId="0" xfId="0" applyNumberFormat="1" applyFont="1" applyFill="1" applyBorder="1"/>
    <x:xf numFmtId="0" fontId="89" fillId="60" borderId="0" xfId="0" applyNumberFormat="1" applyFont="1" applyFill="1" applyBorder="1" applyAlignment="1">
      <x:alignment wrapText="1"/>
    </x:xf>
    <x:xf numFmtId="0" fontId="89" fillId="60" borderId="0" xfId="0" applyNumberFormat="1" applyFont="1" applyFill="1" applyBorder="1" applyAlignment="1">
      <x:alignment horizontal="left" wrapText="1"/>
    </x:xf>
    <x:xf numFmtId="0" fontId="89" fillId="60" borderId="0" xfId="0" applyNumberFormat="1" applyFont="1" applyFill="1" applyBorder="1" applyAlignment="1">
      <x:alignment horizontal="left" vertical="center" wrapText="1"/>
    </x:xf>
    <x:xf numFmtId="0" fontId="3" fillId="59" borderId="0" xfId="0" applyNumberFormat="1" applyFont="1" applyFill="1" applyBorder="1"/>
    <x:xf numFmtId="0" fontId="3" fillId="59" borderId="0" xfId="0" applyNumberFormat="1" applyFont="1" applyFill="1" applyBorder="1" applyAlignment="1">
      <x:alignment wrapText="0"/>
    </x:xf>
    <x:xf numFmtId="0" fontId="3" fillId="59" borderId="0" xfId="0" applyNumberFormat="1" applyFont="1" applyFill="1" applyBorder="1" applyAlignment="1">
      <x:alignment horizontal="left" wrapText="0"/>
    </x:xf>
    <x:xf numFmtId="0" fontId="3" fillId="59" borderId="0" xfId="0" applyNumberFormat="1" applyFont="1" applyFill="1" applyBorder="1" applyAlignment="1">
      <x:alignment horizontal="left" vertical="center" wrapText="0"/>
    </x:xf>
    <x:xf numFmtId="0" fontId="0" fillId="61" borderId="0" xfId="0" applyNumberFormat="1" applyFont="1" applyFill="1" applyBorder="1"/>
    <x:xf numFmtId="0" fontId="90" fillId="61" borderId="0" xfId="0" applyNumberFormat="1" applyFont="1" applyFill="1" applyBorder="1"/>
    <x:xf numFmtId="0" fontId="90" fillId="61" borderId="0" xfId="0" applyNumberFormat="1" applyFont="1" applyFill="1" applyBorder="1" applyAlignment="1">
      <x:alignment wrapText="1"/>
    </x:xf>
    <x:xf numFmtId="0" fontId="90" fillId="61" borderId="0" xfId="0" applyNumberFormat="1" applyFont="1" applyFill="1" applyBorder="1" applyAlignment="1">
      <x:alignment horizontal="center" wrapText="1"/>
    </x:xf>
    <x:xf numFmtId="0" fontId="90" fillId="61" borderId="0" xfId="0" applyNumberFormat="1" applyFont="1" applyFill="1" applyBorder="1" applyAlignment="1">
      <x:alignment horizontal="center" vertical="center" wrapText="1"/>
    </x:xf>
    <x:xf numFmtId="206" fontId="90" fillId="61" borderId="0" xfId="0" applyNumberFormat="1" applyFont="1" applyFill="1" applyBorder="1" applyAlignment="1">
      <x:alignment horizontal="center" vertical="center" wrapText="1"/>
    </x:xf>
    <x:xf numFmtId="206" fontId="91" fillId="61" borderId="0" xfId="0" applyNumberFormat="1" applyFont="1" applyFill="1" applyBorder="1" applyAlignment="1">
      <x:alignment horizontal="center" vertical="center" wrapText="1"/>
    </x:xf>
    <x:xf numFmtId="0" fontId="81" fillId="60" borderId="0" xfId="0" applyNumberFormat="1" applyFont="1" applyFill="1" applyBorder="1"/>
    <x:xf numFmtId="0" fontId="81" fillId="60" borderId="0" xfId="0" applyNumberFormat="1" applyFont="1" applyFill="1" applyBorder="1" applyAlignment="1">
      <x:alignment wrapText="1"/>
    </x:xf>
    <x:xf numFmtId="0" fontId="81" fillId="60" borderId="0" xfId="0" applyNumberFormat="1" applyFont="1" applyFill="1" applyBorder="1" applyAlignment="1">
      <x:alignment horizontal="center" wrapText="1"/>
    </x:xf>
    <x:xf numFmtId="0" fontId="81" fillId="60" borderId="0" xfId="0" applyNumberFormat="1" applyFont="1" applyFill="1" applyBorder="1" applyAlignment="1">
      <x:alignment horizontal="center" vertical="center" wrapText="1"/>
    </x:xf>
    <x:xf numFmtId="0" fontId="92" fillId="60" borderId="0" xfId="0" applyNumberFormat="1" applyFont="1" applyFill="1" applyBorder="1" applyAlignment="1">
      <x:alignment horizontal="center" vertical="center" wrapText="1"/>
    </x:xf>
    <x:xf numFmtId="0" fontId="3" fillId="59" borderId="0" xfId="0" applyNumberFormat="1" applyFont="1" applyFill="1" applyBorder="1" applyAlignment="1">
      <x:alignment wrapText="1"/>
    </x:xf>
    <x:xf numFmtId="0" fontId="3" fillId="59" borderId="0" xfId="0" applyNumberFormat="1" applyFont="1" applyFill="1" applyBorder="1" applyAlignment="1">
      <x:alignment horizontal="left" wrapText="1"/>
    </x:xf>
    <x:xf numFmtId="0" fontId="3" fillId="59" borderId="0" xfId="0" applyNumberFormat="1" applyFont="1" applyFill="1" applyBorder="1" applyAlignment="1">
      <x:alignment horizontal="left" vertical="center" wrapText="1"/>
    </x:xf>
    <x:xf numFmtId="0" fontId="75" fillId="61" borderId="0" xfId="0" applyNumberFormat="1" applyFont="1" applyFill="1" applyBorder="1"/>
    <x:xf numFmtId="0" fontId="75" fillId="61" borderId="0" xfId="0" applyNumberFormat="1" applyFont="1" applyFill="1" applyBorder="1" applyAlignment="1">
      <x:alignment wrapText="1"/>
    </x:xf>
    <x:xf numFmtId="0" fontId="75" fillId="61" borderId="0" xfId="0" applyNumberFormat="1" applyFont="1" applyFill="1" applyBorder="1" applyAlignment="1">
      <x:alignment horizontal="left" wrapText="1"/>
    </x:xf>
    <x:xf numFmtId="0" fontId="75" fillId="61" borderId="0" xfId="0" applyNumberFormat="1" applyFont="1" applyFill="1" applyBorder="1" applyAlignment="1">
      <x:alignment horizontal="left" vertical="center" wrapText="1"/>
    </x:xf>
    <x:xf numFmtId="0" fontId="75" fillId="60" borderId="0" xfId="0" applyNumberFormat="1" applyFont="1" applyFill="1" applyBorder="1"/>
    <x:xf numFmtId="0" fontId="75" fillId="60" borderId="0" xfId="0" applyNumberFormat="1" applyFont="1" applyFill="1" applyBorder="1" applyAlignment="1">
      <x:alignment wrapText="1"/>
    </x:xf>
    <x:xf numFmtId="0" fontId="75" fillId="60" borderId="0" xfId="0" applyNumberFormat="1" applyFont="1" applyFill="1" applyBorder="1" applyAlignment="1">
      <x:alignment horizontal="left" wrapText="1"/>
    </x:xf>
    <x:xf numFmtId="0" fontId="75" fillId="60" borderId="0" xfId="0" applyNumberFormat="1" applyFont="1" applyFill="1" applyBorder="1" applyAlignment="1">
      <x:alignment horizontal="left" vertical="center" wrapText="1"/>
    </x:xf>
    <x:xf numFmtId="206" fontId="75" fillId="61" borderId="0" xfId="0" applyNumberFormat="1" applyFont="1" applyFill="1" applyBorder="1" applyAlignment="1">
      <x:alignment horizontal="left" vertical="center" wrapText="1"/>
    </x:xf>
    <x:xf numFmtId="206" fontId="75" fillId="60" borderId="0" xfId="0" applyNumberFormat="1" applyFont="1" applyFill="1" applyBorder="1" applyAlignment="1">
      <x:alignment horizontal="left" vertical="center" wrapText="1"/>
    </x:xf>
    <x:xf numFmtId="206" fontId="75" fillId="61" borderId="0" xfId="0" applyNumberFormat="1" applyFont="1" applyFill="1" applyBorder="1" applyAlignment="1">
      <x:alignment horizontal="center" vertical="center" wrapText="1"/>
    </x:xf>
    <x:xf numFmtId="0" fontId="75" fillId="61" borderId="0" xfId="0" applyNumberFormat="1" applyFont="1" applyFill="1" applyBorder="1" applyAlignment="1">
      <x:alignment horizontal="center" vertical="center" wrapText="1"/>
    </x:xf>
    <x:xf numFmtId="206" fontId="75" fillId="60" borderId="0" xfId="0" applyNumberFormat="1" applyFont="1" applyFill="1" applyBorder="1" applyAlignment="1">
      <x:alignment horizontal="center" vertical="center" wrapText="1"/>
    </x:xf>
    <x:xf numFmtId="0" fontId="75" fillId="60" borderId="0" xfId="0" applyNumberFormat="1" applyFont="1" applyFill="1" applyBorder="1" applyAlignment="1">
      <x:alignment horizontal="center" vertical="center" wrapText="1"/>
    </x:xf>
    <x:xf numFmtId="0" fontId="76" fillId="59" borderId="0" xfId="0" applyNumberFormat="1" applyFont="1" applyFill="1" applyBorder="1" applyAlignment="1">
      <x:alignment wrapText="1"/>
    </x:xf>
    <x:xf numFmtId="0" fontId="76" fillId="59" borderId="0" xfId="0" applyNumberFormat="1" applyFont="1" applyFill="1" applyBorder="1" applyAlignment="1">
      <x:alignment horizontal="left" wrapText="1"/>
    </x:xf>
    <x:xf numFmtId="0" fontId="76" fillId="59" borderId="0" xfId="0" applyNumberFormat="1" applyFont="1" applyFill="1" applyBorder="1" applyAlignment="1">
      <x:alignment horizontal="left" vertical="center" wrapText="1"/>
    </x:xf>
    <x:xf numFmtId="0" fontId="93" fillId="59" borderId="0" xfId="0" applyNumberFormat="1" applyFont="1" applyFill="1" applyBorder="1"/>
    <x:xf numFmtId="0" fontId="93" fillId="59" borderId="0" xfId="0" applyNumberFormat="1" applyFont="1" applyFill="1" applyBorder="1" applyAlignment="1">
      <x:alignment wrapText="1"/>
    </x:xf>
    <x:xf numFmtId="0" fontId="93" fillId="59" borderId="0" xfId="0" applyNumberFormat="1" applyFont="1" applyFill="1" applyBorder="1" applyAlignment="1">
      <x:alignment horizontal="left" wrapText="1"/>
    </x:xf>
    <x:xf numFmtId="0" fontId="93" fillId="59" borderId="0" xfId="0" applyNumberFormat="1" applyFont="1" applyFill="1" applyBorder="1" applyAlignment="1">
      <x:alignment horizontal="left" vertical="center" wrapText="1"/>
    </x:xf>
    <x:xf numFmtId="0" fontId="0" fillId="62" borderId="0" xfId="0" applyNumberFormat="1" applyFont="1" applyFill="1" applyBorder="1"/>
    <x:xf numFmtId="0" fontId="92" fillId="62" borderId="0" xfId="0" applyNumberFormat="1" applyFont="1" applyFill="1" applyBorder="1"/>
    <x:xf numFmtId="0" fontId="92" fillId="62" borderId="0" xfId="0" applyNumberFormat="1" applyFont="1" applyFill="1" applyBorder="1" applyAlignment="1">
      <x:alignment wrapText="1"/>
    </x:xf>
    <x:xf numFmtId="0" fontId="92" fillId="62" borderId="0" xfId="0" applyNumberFormat="1" applyFont="1" applyFill="1" applyBorder="1" applyAlignment="1">
      <x:alignment horizontal="left" wrapText="1"/>
    </x:xf>
    <x:xf numFmtId="0" fontId="92" fillId="62" borderId="0" xfId="0" applyNumberFormat="1" applyFont="1" applyFill="1" applyBorder="1" applyAlignment="1">
      <x:alignment horizontal="left" vertical="top" wrapText="1"/>
    </x:xf>
    <x:xf numFmtId="0" fontId="0" fillId="63" borderId="0" xfId="0" applyNumberFormat="1" applyFont="1" applyFill="1" applyBorder="1"/>
    <x:xf numFmtId="0" fontId="82" fillId="63" borderId="0" xfId="0" applyNumberFormat="1" applyFont="1" applyFill="1" applyBorder="1"/>
    <x:xf numFmtId="0" fontId="82" fillId="63" borderId="0" xfId="0" applyNumberFormat="1" applyFont="1" applyFill="1" applyBorder="1" applyAlignment="1">
      <x:alignment wrapText="1"/>
    </x:xf>
    <x:xf numFmtId="0" fontId="82" fillId="63" borderId="0" xfId="0" applyNumberFormat="1" applyFont="1" applyFill="1" applyBorder="1" applyAlignment="1">
      <x:alignment horizontal="left" wrapText="1"/>
    </x:xf>
    <x:xf numFmtId="0" fontId="82" fillId="63" borderId="0" xfId="0" applyNumberFormat="1" applyFont="1" applyFill="1" applyBorder="1" applyAlignment="1">
      <x:alignment horizontal="left" vertical="top" wrapText="1"/>
    </x:xf>
    <x:xf numFmtId="0" fontId="75" fillId="60" borderId="0" xfId="0" applyNumberFormat="1" applyFont="1" applyFill="1" applyBorder="1" applyAlignment="1">
      <x:alignment horizontal="left" vertical="top" wrapText="1"/>
    </x:xf>
    <x:xf numFmtId="0" fontId="3" fillId="58" borderId="0" xfId="0" applyNumberFormat="1" applyFont="1" applyFill="1" applyBorder="1" applyAlignment="1">
      <x:alignment horizontal="left" wrapText="1"/>
    </x:xf>
    <x:xf numFmtId="0" fontId="3" fillId="58" borderId="0" xfId="0" applyNumberFormat="1" applyFont="1" applyFill="1" applyBorder="1" applyAlignment="1">
      <x:alignment horizontal="left" vertical="center" wrapText="1"/>
    </x:xf>
    <x:xf numFmtId="0" fontId="94" fillId="58" borderId="0" xfId="0" applyNumberFormat="1" applyFont="1" applyFill="1" applyBorder="1" applyAlignment="1">
      <x:alignment horizontal="left" vertical="center" wrapText="0"/>
    </x:xf>
    <x:xf numFmtId="0" fontId="94" fillId="59" borderId="0" xfId="0" applyNumberFormat="1" applyFont="1" applyFill="1" applyBorder="1" applyAlignment="1">
      <x:alignment horizontal="left" vertical="center" wrapText="0"/>
    </x:xf>
    <x:xf numFmtId="0" fontId="95" fillId="60" borderId="0" xfId="0" applyNumberFormat="1" applyFont="1" applyFill="1" applyBorder="1" applyAlignment="1">
      <x:alignment horizontal="left" vertical="center" wrapText="1"/>
    </x:xf>
    <x:xf numFmtId="0" fontId="94" fillId="58" borderId="0" xfId="0" applyNumberFormat="1" applyFont="1" applyFill="1" applyBorder="1" applyAlignment="1">
      <x:alignment horizontal="center" vertical="center" wrapText="1"/>
    </x:xf>
    <x:xf numFmtId="206" fontId="94" fillId="61" borderId="0" xfId="0" applyNumberFormat="1" applyFont="1" applyFill="1" applyBorder="1" applyAlignment="1">
      <x:alignment horizontal="center" vertical="center" wrapText="1"/>
    </x:xf>
    <x:xf numFmtId="0" fontId="94" fillId="60" borderId="0" xfId="0" applyNumberFormat="1" applyFont="1" applyFill="1" applyBorder="1" applyAlignment="1">
      <x:alignment horizontal="center" vertical="center" wrapText="1"/>
    </x:xf>
    <x:xf numFmtId="0" fontId="94" fillId="59" borderId="0" xfId="0" applyNumberFormat="1" applyFont="1" applyFill="1" applyBorder="1" applyAlignment="1">
      <x:alignment horizontal="left" vertical="center" wrapText="1"/>
    </x:xf>
    <x:xf numFmtId="0" fontId="87" fillId="61" borderId="0" xfId="0" applyNumberFormat="1" applyFont="1" applyFill="1" applyBorder="1" applyAlignment="1">
      <x:alignment horizontal="left" vertical="center" wrapText="1"/>
    </x:xf>
    <x:xf numFmtId="206" fontId="87" fillId="61" borderId="0" xfId="0" applyNumberFormat="1" applyFont="1" applyFill="1" applyBorder="1" applyAlignment="1">
      <x:alignment horizontal="center" vertical="center" wrapText="1"/>
    </x:xf>
    <x:xf numFmtId="0" fontId="87" fillId="61" borderId="0" xfId="0" applyNumberFormat="1" applyFont="1" applyFill="1" applyBorder="1" applyAlignment="1">
      <x:alignment horizontal="center" vertical="center" wrapText="1"/>
    </x:xf>
    <x:xf numFmtId="0" fontId="87" fillId="60" borderId="0" xfId="0" applyNumberFormat="1" applyFont="1" applyFill="1" applyBorder="1" applyAlignment="1">
      <x:alignment horizontal="left" vertical="center" wrapText="1"/>
    </x:xf>
    <x:xf numFmtId="206" fontId="87" fillId="60" borderId="0" xfId="0" applyNumberFormat="1" applyFont="1" applyFill="1" applyBorder="1" applyAlignment="1">
      <x:alignment horizontal="center" vertical="center" wrapText="1"/>
    </x:xf>
    <x:xf numFmtId="0" fontId="87" fillId="60" borderId="0" xfId="0" applyNumberFormat="1" applyFont="1" applyFill="1" applyBorder="1" applyAlignment="1">
      <x:alignment horizontal="center" vertical="center" wrapText="1"/>
    </x:xf>
    <x:xf numFmtId="0" fontId="94" fillId="62" borderId="0" xfId="0" applyNumberFormat="1" applyFont="1" applyFill="1" applyBorder="1" applyAlignment="1">
      <x:alignment horizontal="left" vertical="top" wrapText="1"/>
    </x:xf>
    <x:xf numFmtId="0" fontId="94" fillId="63" borderId="0" xfId="0" applyNumberFormat="1" applyFont="1" applyFill="1" applyBorder="1" applyAlignment="1">
      <x:alignment horizontal="left" vertical="top" wrapText="1"/>
    </x:xf>
    <x:xf numFmtId="0" fontId="87" fillId="60" borderId="0" xfId="0" applyNumberFormat="1" applyFont="1" applyFill="1" applyBorder="1" applyAlignment="1">
      <x:alignment horizontal="left" vertical="top" wrapText="1"/>
    </x:xf>
    <x:xf numFmtId="0" fontId="94" fillId="58" borderId="0" xfId="0" applyNumberFormat="1" applyFont="1" applyFill="1" applyBorder="1" applyAlignment="1">
      <x:alignment horizontal="left" vertical="center" wrapText="1"/>
    </x:xf>
    <x:xf numFmtId="0" fontId="13" fillId="59" borderId="0" xfId="0" applyNumberFormat="1" applyFont="1" applyFill="1" applyBorder="1" applyAlignment="1">
      <x:alignment horizontal="left" vertical="center" wrapText="0"/>
    </x:xf>
    <x:xf numFmtId="0" fontId="13" fillId="59" borderId="0" xfId="0" applyNumberFormat="1" applyFont="1" applyFill="1" applyBorder="1" applyAlignment="1">
      <x:alignment horizontal="left" vertical="center" wrapText="1"/>
    </x:xf>
    <x:xf numFmtId="0" fontId="67" fillId="59" borderId="0" xfId="0" applyNumberFormat="1" applyFont="1" applyFill="1" applyBorder="1" applyAlignment="1">
      <x:alignment horizontal="left" vertical="center" wrapText="1"/>
    </x:xf>
    <x:xf numFmtId="0" fontId="96" fillId="59" borderId="0" xfId="0" applyNumberFormat="1" applyFont="1" applyFill="1" applyBorder="1" applyAlignment="1">
      <x:alignment horizontal="left" vertical="center" wrapText="1"/>
    </x:xf>
    <x:xf numFmtId="0" fontId="13" fillId="59" borderId="19" xfId="0" applyNumberFormat="1" applyFont="1" applyFill="1" applyBorder="1" applyAlignment="1">
      <x:alignment horizontal="left" vertical="center" wrapText="1"/>
    </x:xf>
    <x:xf numFmtId="0" fontId="94" fillId="58" borderId="19" xfId="0" applyNumberFormat="1" applyFont="1" applyFill="1" applyBorder="1" applyAlignment="1">
      <x:alignment horizontal="center" vertical="center" wrapText="1"/>
    </x:xf>
    <x:xf numFmtId="206" fontId="94" fillId="61" borderId="19" xfId="0" applyNumberFormat="1" applyFont="1" applyFill="1" applyBorder="1" applyAlignment="1">
      <x:alignment horizontal="center" vertical="center" wrapText="1"/>
    </x:xf>
    <x:xf numFmtId="0" fontId="94" fillId="60" borderId="19" xfId="0" applyNumberFormat="1" applyFont="1" applyFill="1" applyBorder="1" applyAlignment="1">
      <x:alignment horizontal="center" vertical="center" wrapText="1"/>
    </x:xf>
    <x:xf numFmtId="0" fontId="87" fillId="61" borderId="19" xfId="0" applyNumberFormat="1" applyFont="1" applyFill="1" applyBorder="1" applyAlignment="1">
      <x:alignment horizontal="left" vertical="center" wrapText="1"/>
    </x:xf>
    <x:xf numFmtId="206" fontId="87" fillId="61" borderId="19" xfId="0" applyNumberFormat="1" applyFont="1" applyFill="1" applyBorder="1" applyAlignment="1">
      <x:alignment horizontal="center" vertical="center" wrapText="1"/>
    </x:xf>
    <x:xf numFmtId="0" fontId="87" fillId="61" borderId="19" xfId="0" applyNumberFormat="1" applyFont="1" applyFill="1" applyBorder="1" applyAlignment="1">
      <x:alignment horizontal="center" vertical="center" wrapText="1"/>
    </x:xf>
    <x:xf numFmtId="0" fontId="87" fillId="0" borderId="19" xfId="0" applyNumberFormat="1" applyFont="1" applyFill="1" applyBorder="1"/>
    <x:xf numFmtId="0" fontId="87" fillId="60" borderId="19" xfId="0" applyNumberFormat="1" applyFont="1" applyFill="1" applyBorder="1" applyAlignment="1">
      <x:alignment horizontal="left" vertical="center" wrapText="1"/>
    </x:xf>
    <x:xf numFmtId="206" fontId="87" fillId="60" borderId="19" xfId="0" applyNumberFormat="1" applyFont="1" applyFill="1" applyBorder="1" applyAlignment="1">
      <x:alignment horizontal="center" vertical="center" wrapText="1"/>
    </x:xf>
    <x:xf numFmtId="0" fontId="87" fillId="60" borderId="19" xfId="0" applyNumberFormat="1" applyFont="1" applyFill="1" applyBorder="1" applyAlignment="1">
      <x:alignment horizontal="center" vertical="center" wrapText="1"/>
    </x:xf>
    <x:xf numFmtId="0" fontId="67" fillId="59" borderId="19" xfId="0" applyNumberFormat="1" applyFont="1" applyFill="1" applyBorder="1" applyAlignment="1">
      <x:alignment horizontal="left" vertical="center" wrapText="1"/>
    </x:xf>
    <x:xf numFmtId="0" fontId="96" fillId="59" borderId="19" xfId="0" applyNumberFormat="1" applyFont="1" applyFill="1" applyBorder="1" applyAlignment="1">
      <x:alignment horizontal="left" vertical="center" wrapText="1"/>
    </x:xf>
    <x:xf numFmtId="0" fontId="94" fillId="62" borderId="19" xfId="0" applyNumberFormat="1" applyFont="1" applyFill="1" applyBorder="1" applyAlignment="1">
      <x:alignment horizontal="left" vertical="top" wrapText="1"/>
    </x:xf>
    <x:xf numFmtId="0" fontId="94" fillId="63" borderId="19" xfId="0" applyNumberFormat="1" applyFont="1" applyFill="1" applyBorder="1" applyAlignment="1">
      <x:alignment horizontal="left" vertical="top" wrapText="1"/>
    </x:xf>
    <x:xf numFmtId="0" fontId="97" fillId="60" borderId="0" xfId="0" applyNumberFormat="1" applyFont="1" applyFill="1" applyBorder="1"/>
    <x:xf numFmtId="0" fontId="97" fillId="60" borderId="0" xfId="0" applyNumberFormat="1" applyFont="1" applyFill="1" applyBorder="1" applyAlignment="1">
      <x:alignment wrapText="1"/>
    </x:xf>
    <x:xf numFmtId="0" fontId="97" fillId="60" borderId="0" xfId="0" applyNumberFormat="1" applyFont="1" applyFill="1" applyBorder="1" applyAlignment="1">
      <x:alignment horizontal="left" wrapText="1"/>
    </x:xf>
    <x:xf numFmtId="0" fontId="97" fillId="60" borderId="0" xfId="0" applyNumberFormat="1" applyFont="1" applyFill="1" applyBorder="1" applyAlignment="1">
      <x:alignment horizontal="left" vertical="center" wrapText="1"/>
    </x:xf>
    <x:xf numFmtId="0" fontId="75" fillId="61" borderId="0" xfId="0" applyNumberFormat="1" applyFont="1" applyFill="1" applyBorder="1" applyAlignment="1">
      <x:alignment horizontal="left" vertical="top" wrapText="1"/>
    </x:xf>
    <x:xf numFmtId="0" fontId="83" fillId="63" borderId="0" xfId="0" applyNumberFormat="1" applyFont="1" applyFill="1" applyBorder="1"/>
    <x:xf numFmtId="0" fontId="83" fillId="63" borderId="0" xfId="0" applyNumberFormat="1" applyFont="1" applyFill="1" applyBorder="1" applyAlignment="1">
      <x:alignment wrapText="1"/>
    </x:xf>
    <x:xf numFmtId="0" fontId="83" fillId="63" borderId="0" xfId="0" applyNumberFormat="1" applyFont="1" applyFill="1" applyBorder="1" applyAlignment="1">
      <x:alignment horizontal="left" wrapText="1"/>
    </x:xf>
    <x:xf numFmtId="0" fontId="83" fillId="63" borderId="0" xfId="0" applyNumberFormat="1" applyFont="1" applyFill="1" applyBorder="1" applyAlignment="1">
      <x:alignment horizontal="left" vertical="top" wrapText="1"/>
    </x:xf>
    <x:xf numFmtId="0" fontId="84" fillId="60" borderId="0" xfId="0" applyNumberFormat="1" applyFont="1" applyFill="1" applyBorder="1"/>
    <x:xf numFmtId="0" fontId="84" fillId="60" borderId="0" xfId="0" applyNumberFormat="1" applyFont="1" applyFill="1" applyBorder="1" applyAlignment="1">
      <x:alignment wrapText="1"/>
    </x:xf>
    <x:xf numFmtId="0" fontId="84" fillId="60" borderId="0" xfId="0" applyNumberFormat="1" applyFont="1" applyFill="1" applyBorder="1" applyAlignment="1">
      <x:alignment horizontal="left" wrapText="1"/>
    </x:xf>
    <x:xf numFmtId="0" fontId="84" fillId="60" borderId="0" xfId="0" applyNumberFormat="1" applyFont="1" applyFill="1" applyBorder="1" applyAlignment="1">
      <x:alignment horizontal="left" vertical="center" wrapText="1"/>
    </x:xf>
    <x:xf numFmtId="0" fontId="78" fillId="60" borderId="0" xfId="0" applyNumberFormat="1" applyFont="1" applyFill="1" applyBorder="1"/>
    <x:xf numFmtId="0" fontId="78" fillId="60" borderId="0" xfId="0" applyNumberFormat="1" applyFont="1" applyFill="1" applyBorder="1" applyAlignment="1">
      <x:alignment wrapText="1"/>
    </x:xf>
    <x:xf numFmtId="0" fontId="78" fillId="60" borderId="0" xfId="0" applyNumberFormat="1" applyFont="1" applyFill="1" applyBorder="1" applyAlignment="1">
      <x:alignment horizontal="center" wrapText="1"/>
    </x:xf>
    <x:xf numFmtId="0" fontId="78" fillId="60" borderId="0" xfId="0" applyNumberFormat="1" applyFont="1" applyFill="1" applyBorder="1" applyAlignment="1">
      <x:alignment horizontal="center" vertical="center" wrapText="1"/>
    </x:xf>
    <x:xf numFmtId="206" fontId="78" fillId="60" borderId="0" xfId="0" applyNumberFormat="1" applyFont="1" applyFill="1" applyBorder="1" applyAlignment="1">
      <x:alignment horizontal="center" vertical="center" wrapText="1"/>
    </x:xf>
    <x:xf numFmtId="206" fontId="80" fillId="60" borderId="0" xfId="0" applyNumberFormat="1" applyFont="1" applyFill="1" applyBorder="1" applyAlignment="1">
      <x:alignment horizontal="center" vertical="center" wrapText="1"/>
    </x:xf>
    <x:xf numFmtId="0" fontId="87" fillId="61" borderId="0" xfId="0" applyNumberFormat="1" applyFont="1" applyFill="1" applyBorder="1" applyAlignment="1">
      <x:alignment wrapText="1"/>
    </x:xf>
    <x:xf numFmtId="0" fontId="87" fillId="60" borderId="0" xfId="0" applyNumberFormat="1" applyFont="1" applyFill="1" applyBorder="1" applyAlignment="1">
      <x:alignment wrapText="1"/>
    </x:xf>
    <x:xf numFmtId="0" fontId="87" fillId="62" borderId="0" xfId="0" applyNumberFormat="1" applyFont="1" applyFill="1" applyBorder="1" applyAlignment="1">
      <x:alignment wrapText="1"/>
    </x:xf>
    <x:xf numFmtId="0" fontId="98" fillId="62" borderId="0" xfId="0" applyNumberFormat="1" applyFont="1" applyFill="1" applyBorder="1" applyAlignment="1">
      <x:alignment wrapText="1"/>
    </x:xf>
    <x:xf numFmtId="0" fontId="98" fillId="62" borderId="0" xfId="0" applyNumberFormat="1" applyFont="1" applyFill="1" applyBorder="1" applyAlignment="1">
      <x:alignment horizontal="left" wrapText="1"/>
    </x:xf>
    <x:xf numFmtId="0" fontId="98" fillId="62" borderId="0" xfId="0" applyNumberFormat="1" applyFont="1" applyFill="1" applyBorder="1" applyAlignment="1">
      <x:alignment horizontal="left" vertical="center" wrapText="1"/>
    </x:xf>
    <x:xf numFmtId="0" fontId="99" fillId="61" borderId="0" xfId="0" applyNumberFormat="1" applyFont="1" applyFill="1" applyBorder="1" applyAlignment="1">
      <x:alignment wrapText="1"/>
    </x:xf>
    <x:xf numFmtId="0" fontId="99" fillId="60" borderId="0" xfId="0" applyNumberFormat="1" applyFont="1" applyFill="1" applyBorder="1" applyAlignment="1">
      <x:alignment wrapText="1"/>
    </x:xf>
    <x:xf numFmtId="200" fontId="99" fillId="61" borderId="0" xfId="0" applyNumberFormat="1" applyFont="1" applyFill="1" applyBorder="1" applyAlignment="1">
      <x:alignment wrapText="1"/>
    </x:xf>
    <x:xf numFmtId="200" fontId="99" fillId="60" borderId="0" xfId="0" applyNumberFormat="1" applyFont="1" applyFill="1" applyBorder="1" applyAlignment="1">
      <x:alignment wrapText="1"/>
    </x:xf>
    <x:xf numFmtId="200" fontId="87" fillId="60" borderId="0" xfId="0" applyNumberFormat="1" applyFont="1" applyFill="1" applyBorder="1" applyAlignment="1">
      <x:alignment wrapText="1"/>
    </x:xf>
    <x:xf numFmtId="200" fontId="87" fillId="61" borderId="0" xfId="0" applyNumberFormat="1" applyFont="1" applyFill="1" applyBorder="1" applyAlignment="1">
      <x:alignment wrapText="1"/>
    </x:xf>
    <x:xf numFmtId="213" fontId="99" fillId="61" borderId="0" xfId="0" applyNumberFormat="1" applyFont="1" applyFill="1" applyBorder="1" applyAlignment="1">
      <x:alignment wrapText="1"/>
    </x:xf>
    <x:xf numFmtId="213" fontId="99" fillId="60" borderId="0" xfId="0" applyNumberFormat="1" applyFont="1" applyFill="1" applyBorder="1" applyAlignment="1">
      <x:alignment wrapText="1"/>
    </x:xf>
    <x:xf numFmtId="206" fontId="99" fillId="61" borderId="0" xfId="0" applyNumberFormat="1" applyFont="1" applyFill="1" applyBorder="1" applyAlignment="1">
      <x:alignment wrapText="1"/>
    </x:xf>
    <x:xf numFmtId="206" fontId="99" fillId="60" borderId="0" xfId="0" applyNumberFormat="1" applyFont="1" applyFill="1" applyBorder="1" applyAlignment="1">
      <x:alignment wrapText="1"/>
    </x:xf>
    <x:xf numFmtId="213" fontId="98" fillId="62" borderId="0" xfId="0" applyNumberFormat="1" applyFont="1" applyFill="1" applyBorder="1" applyAlignment="1">
      <x:alignment horizontal="left" vertical="center" wrapText="1"/>
    </x:xf>
    <x:xf numFmtId="206" fontId="98" fillId="62" borderId="0" xfId="0" applyNumberFormat="1" applyFont="1" applyFill="1" applyBorder="1" applyAlignment="1">
      <x:alignment horizontal="left" vertical="center" wrapText="1"/>
    </x:xf>
    <x:xf numFmtId="206" fontId="87" fillId="61" borderId="0" xfId="0" applyNumberFormat="1" applyFont="1" applyFill="1" applyBorder="1" applyAlignment="1">
      <x:alignment wrapText="1"/>
    </x:xf>
    <x:xf numFmtId="206" fontId="87" fillId="60" borderId="0" xfId="0" applyNumberFormat="1" applyFont="1" applyFill="1" applyBorder="1" applyAlignment="1">
      <x:alignment wrapText="1"/>
    </x:xf>
    <x:xf numFmtId="214" fontId="98" fillId="62" borderId="0" xfId="0" applyNumberFormat="1" applyFont="1" applyFill="1" applyBorder="1" applyAlignment="1">
      <x:alignment horizontal="left" vertical="center" wrapText="1"/>
    </x:xf>
    <x:xf numFmtId="0" fontId="3" fillId="59" borderId="19" xfId="0" applyNumberFormat="1" applyFont="1" applyFill="1" applyBorder="1" applyAlignment="1">
      <x:alignment horizontal="left" vertical="center" wrapText="1"/>
    </x:xf>
    <x:xf numFmtId="0" fontId="75" fillId="61" borderId="19" xfId="0" applyNumberFormat="1" applyFont="1" applyFill="1" applyBorder="1" applyAlignment="1">
      <x:alignment horizontal="left" vertical="top" wrapText="1"/>
    </x:xf>
    <x:xf numFmtId="0" fontId="83" fillId="63" borderId="19" xfId="0" applyNumberFormat="1" applyFont="1" applyFill="1" applyBorder="1" applyAlignment="1">
      <x:alignment horizontal="left" vertical="top" wrapText="1"/>
    </x:xf>
    <x:xf numFmtId="0" fontId="84" fillId="60" borderId="19" xfId="0" applyNumberFormat="1" applyFont="1" applyFill="1" applyBorder="1" applyAlignment="1">
      <x:alignment horizontal="left" vertical="center" wrapText="1"/>
    </x:xf>
    <x:xf numFmtId="206" fontId="78" fillId="60" borderId="19" xfId="0" applyNumberFormat="1" applyFont="1" applyFill="1" applyBorder="1" applyAlignment="1">
      <x:alignment horizontal="center" vertical="center" wrapText="1"/>
    </x:xf>
    <x:xf numFmtId="206" fontId="80" fillId="60" borderId="19" xfId="0" applyNumberFormat="1" applyFont="1" applyFill="1" applyBorder="1" applyAlignment="1">
      <x:alignment horizontal="center" vertical="center" wrapText="1"/>
    </x:xf>
    <x:xf numFmtId="0" fontId="98" fillId="62" borderId="19" xfId="0" applyNumberFormat="1" applyFont="1" applyFill="1" applyBorder="1" applyAlignment="1">
      <x:alignment horizontal="left" vertical="center" wrapText="1"/>
    </x:xf>
    <x:xf numFmtId="0" fontId="99" fillId="61" borderId="19" xfId="0" applyNumberFormat="1" applyFont="1" applyFill="1" applyBorder="1" applyAlignment="1">
      <x:alignment wrapText="1"/>
    </x:xf>
    <x:xf numFmtId="0" fontId="87" fillId="61" borderId="19" xfId="0" applyNumberFormat="1" applyFont="1" applyFill="1" applyBorder="1" applyAlignment="1">
      <x:alignment wrapText="1"/>
    </x:xf>
    <x:xf numFmtId="200" fontId="99" fillId="61" borderId="19" xfId="0" applyNumberFormat="1" applyFont="1" applyFill="1" applyBorder="1" applyAlignment="1">
      <x:alignment wrapText="1"/>
    </x:xf>
    <x:xf numFmtId="213" fontId="99" fillId="61" borderId="19" xfId="0" applyNumberFormat="1" applyFont="1" applyFill="1" applyBorder="1" applyAlignment="1">
      <x:alignment wrapText="1"/>
    </x:xf>
    <x:xf numFmtId="206" fontId="99" fillId="61" borderId="19" xfId="0" applyNumberFormat="1" applyFont="1" applyFill="1" applyBorder="1" applyAlignment="1">
      <x:alignment wrapText="1"/>
    </x:xf>
    <x:xf numFmtId="213" fontId="98" fillId="62" borderId="19" xfId="0" applyNumberFormat="1" applyFont="1" applyFill="1" applyBorder="1" applyAlignment="1">
      <x:alignment horizontal="left" vertical="center" wrapText="1"/>
    </x:xf>
    <x:xf numFmtId="206" fontId="98" fillId="62" borderId="19" xfId="0" applyNumberFormat="1" applyFont="1" applyFill="1" applyBorder="1" applyAlignment="1">
      <x:alignment horizontal="left" vertical="center" wrapText="1"/>
    </x:xf>
    <x:xf numFmtId="206" fontId="87" fillId="61" borderId="19" xfId="0" applyNumberFormat="1" applyFont="1" applyFill="1" applyBorder="1" applyAlignment="1">
      <x:alignment wrapText="1"/>
    </x:xf>
    <x:xf numFmtId="214" fontId="98" fillId="62" borderId="19" xfId="0" applyNumberFormat="1" applyFont="1" applyFill="1" applyBorder="1" applyAlignment="1">
      <x:alignment horizontal="left" vertical="center" wrapText="1"/>
    </x:xf>
    <x:xf numFmtId="0" fontId="99" fillId="60" borderId="19" xfId="0" applyNumberFormat="1" applyFont="1" applyFill="1" applyBorder="1" applyAlignment="1">
      <x:alignment wrapText="1"/>
    </x:xf>
    <x:xf numFmtId="0" fontId="87" fillId="60" borderId="19" xfId="0" applyNumberFormat="1" applyFont="1" applyFill="1" applyBorder="1" applyAlignment="1">
      <x:alignment wrapText="1"/>
    </x:xf>
    <x:xf numFmtId="200" fontId="99" fillId="60" borderId="19" xfId="0" applyNumberFormat="1" applyFont="1" applyFill="1" applyBorder="1" applyAlignment="1">
      <x:alignment wrapText="1"/>
    </x:xf>
    <x:xf numFmtId="213" fontId="99" fillId="60" borderId="19" xfId="0" applyNumberFormat="1" applyFont="1" applyFill="1" applyBorder="1" applyAlignment="1">
      <x:alignment wrapText="1"/>
    </x:xf>
    <x:xf numFmtId="206" fontId="99" fillId="60" borderId="19" xfId="0" applyNumberFormat="1" applyFont="1" applyFill="1" applyBorder="1" applyAlignment="1">
      <x:alignment wrapText="1"/>
    </x:xf>
    <x:xf numFmtId="206" fontId="87" fillId="60" borderId="19" xfId="0" applyNumberFormat="1" applyFont="1" applyFill="1" applyBorder="1" applyAlignment="1">
      <x:alignment wrapText="1"/>
    </x:xf>
    <x:xf numFmtId="200" fontId="87" fillId="60" borderId="19" xfId="0" applyNumberFormat="1" applyFont="1" applyFill="1" applyBorder="1" applyAlignment="1">
      <x:alignment wrapText="1"/>
    </x:xf>
    <x:xf numFmtId="200" fontId="87" fillId="61" borderId="19" xfId="0" applyNumberFormat="1" applyFont="1" applyFill="1" applyBorder="1" applyAlignment="1">
      <x:alignment wrapText="1"/>
    </x:xf>
    <x:xf numFmtId="0" fontId="38" fillId="60" borderId="0" xfId="0" applyNumberFormat="1" applyFont="1" applyFill="1" applyBorder="1" applyAlignment="1">
      <x:alignment vertical="center"/>
    </x:xf>
    <x:xf numFmtId="0" fontId="38" fillId="60" borderId="0" xfId="0" applyNumberFormat="1" applyFont="1" applyFill="1" applyBorder="1" applyAlignment="1">
      <x:alignment vertical="center" wrapText="1"/>
    </x:xf>
    <x:xf numFmtId="0" fontId="38" fillId="60" borderId="0" xfId="0" applyNumberFormat="1" applyFont="1" applyFill="1" applyBorder="1" applyAlignment="1">
      <x:alignment horizontal="left" vertical="center" wrapText="1"/>
    </x:xf>
    <x:xf numFmtId="206" fontId="38" fillId="60" borderId="0" xfId="0" applyNumberFormat="1" applyFont="1" applyFill="1" applyBorder="1" applyAlignment="1">
      <x:alignment horizontal="left" vertical="center" wrapText="1"/>
    </x:xf>
    <x:xf numFmtId="206" fontId="38" fillId="13" borderId="0" xfId="0" applyNumberFormat="1" applyFont="1" applyFill="1" applyBorder="1" applyAlignment="1">
      <x:alignment vertical="center"/>
    </x:xf>
    <x:xf numFmtId="0" fontId="38" fillId="60" borderId="19" xfId="0" applyNumberFormat="1" applyFont="1" applyFill="1" applyBorder="1" applyAlignment="1">
      <x:alignment horizontal="left" vertical="center" wrapText="1"/>
    </x:xf>
    <x:xf numFmtId="206" fontId="38" fillId="60" borderId="19" xfId="0" applyNumberFormat="1" applyFont="1" applyFill="1" applyBorder="1" applyAlignment="1">
      <x:alignment horizontal="left" vertical="center" wrapText="1"/>
    </x:xf>
    <x:xf numFmtId="0" fontId="35" fillId="59" borderId="0" xfId="0" applyNumberFormat="1" applyFont="1" applyFill="1" applyBorder="1" applyAlignment="1">
      <x:alignment horizontal="center" vertical="center" wrapText="1"/>
    </x:xf>
    <x:xf numFmtId="0" fontId="35" fillId="59" borderId="0" xfId="0" applyNumberFormat="1" applyFont="1" applyFill="1" applyBorder="1" applyAlignment="1">
      <x:alignment horizontal="left" vertical="center" wrapText="1"/>
    </x:xf>
    <x:xf numFmtId="0" fontId="59" fillId="59" borderId="0" xfId="0" applyNumberFormat="1" applyFont="1" applyFill="1" applyBorder="1" applyAlignment="1">
      <x:alignment horizontal="left" vertical="center" wrapText="1"/>
    </x:xf>
    <x:xf numFmtId="0" fontId="59" fillId="60" borderId="0" xfId="0" applyNumberFormat="1" applyFont="1" applyFill="1" applyBorder="1" applyAlignment="1">
      <x:alignment horizontal="left" vertical="center" wrapText="1"/>
    </x:xf>
    <x:xf numFmtId="0" fontId="94" fillId="60" borderId="0" xfId="0" applyNumberFormat="1" applyFont="1" applyFill="1" applyBorder="1" applyAlignment="1">
      <x:alignment horizontal="left" vertical="center" wrapText="1"/>
    </x:xf>
    <x:xf numFmtId="0" fontId="35" fillId="59" borderId="0" xfId="0" applyNumberFormat="1" applyFont="1" applyFill="1" applyBorder="1" applyAlignment="1">
      <x:alignment horizontal="center" vertical="center"/>
    </x:xf>
    <x:xf numFmtId="0" fontId="38" fillId="61" borderId="0" xfId="0" applyNumberFormat="1" applyFont="1" applyFill="1" applyBorder="1" applyAlignment="1">
      <x:alignment horizontal="left" vertical="top" wrapText="1"/>
    </x:xf>
    <x:xf numFmtId="0" fontId="42" fillId="62" borderId="0" xfId="0" applyNumberFormat="1" applyFont="1" applyFill="1" applyBorder="1" applyAlignment="1">
      <x:alignment horizontal="left" vertical="top" wrapText="1"/>
    </x:xf>
    <x:xf numFmtId="0" fontId="100" fillId="62" borderId="0" xfId="0" applyNumberFormat="1" applyFont="1" applyFill="1" applyBorder="1" applyAlignment="1">
      <x:alignment horizontal="left" vertical="top" wrapText="1"/>
    </x:xf>
    <x:xf numFmtId="0" fontId="65" fillId="63" borderId="0" xfId="0" applyNumberFormat="1" applyFont="1" applyFill="1" applyBorder="1" applyAlignment="1">
      <x:alignment horizontal="left" vertical="top" wrapText="1"/>
    </x:xf>
    <x:xf numFmtId="0" fontId="101" fillId="63" borderId="0" xfId="0" applyNumberFormat="1" applyFont="1" applyFill="1" applyBorder="1" applyAlignment="1">
      <x:alignment horizontal="left" vertical="top" wrapText="1"/>
    </x:xf>
    <x:xf numFmtId="0" fontId="42" fillId="60" borderId="0" xfId="0" applyNumberFormat="1" applyFont="1" applyFill="1" applyBorder="1" applyAlignment="1">
      <x:alignment vertical="center" wrapText="1"/>
    </x:xf>
    <x:xf numFmtId="0" fontId="68" fillId="60" borderId="0" xfId="0" applyNumberFormat="1" applyFont="1" applyFill="1" applyBorder="1" applyAlignment="1">
      <x:alignment vertical="center" wrapText="1"/>
    </x:xf>
    <x:xf numFmtId="0" fontId="68" fillId="60" borderId="0" xfId="0" applyNumberFormat="1" applyFont="1" applyFill="1" applyBorder="1" applyAlignment="1">
      <x:alignment horizontal="left" vertical="center" wrapText="1"/>
    </x:xf>
    <x:xf numFmtId="0" fontId="77" fillId="61" borderId="0" xfId="0" applyNumberFormat="1" applyFont="1" applyFill="1" applyBorder="1"/>
    <x:xf numFmtId="0" fontId="77" fillId="61" borderId="0" xfId="0" applyNumberFormat="1" applyFont="1" applyFill="1" applyBorder="1" applyAlignment="1">
      <x:alignment wrapText="1"/>
    </x:xf>
    <x:xf numFmtId="0" fontId="77" fillId="61" borderId="0" xfId="0" applyNumberFormat="1" applyFont="1" applyFill="1" applyBorder="1" applyAlignment="1">
      <x:alignment horizontal="left" wrapText="1"/>
    </x:xf>
    <x:xf numFmtId="0" fontId="77" fillId="61" borderId="0" xfId="0" applyNumberFormat="1" applyFont="1" applyFill="1" applyBorder="1" applyAlignment="1">
      <x:alignment horizontal="left" vertical="center" wrapText="1"/>
    </x:xf>
    <x:xf numFmtId="0" fontId="68" fillId="60" borderId="19" xfId="0" applyNumberFormat="1" applyFont="1" applyFill="1" applyBorder="1" applyAlignment="1">
      <x:alignment horizontal="left" vertical="center" wrapText="1"/>
    </x:xf>
    <x:xf numFmtId="0" fontId="13" fillId="58" borderId="19" xfId="0" applyNumberFormat="1" applyFont="1" applyFill="1" applyBorder="1" applyAlignment="1">
      <x:alignment horizontal="center" vertical="center" wrapText="1"/>
    </x:xf>
    <x:xf numFmtId="206" fontId="90" fillId="61" borderId="19" xfId="0" applyNumberFormat="1" applyFont="1" applyFill="1" applyBorder="1" applyAlignment="1">
      <x:alignment horizontal="center" vertical="center" wrapText="1"/>
    </x:xf>
    <x:xf numFmtId="206" fontId="91" fillId="61" borderId="19" xfId="0" applyNumberFormat="1" applyFont="1" applyFill="1" applyBorder="1" applyAlignment="1">
      <x:alignment horizontal="center" vertical="center" wrapText="1"/>
    </x:xf>
    <x:xf numFmtId="0" fontId="102" fillId="60" borderId="19" xfId="0" applyNumberFormat="1" applyFont="1" applyFill="1" applyBorder="1" applyAlignment="1">
      <x:alignment horizontal="center" vertical="center" wrapText="1"/>
    </x:xf>
    <x:xf numFmtId="0" fontId="13" fillId="58" borderId="0" xfId="0" applyNumberFormat="1" applyFont="1" applyFill="1" applyBorder="1" applyAlignment="1">
      <x:alignment horizontal="left" vertical="center" wrapText="1"/>
    </x:xf>
    <x:xf numFmtId="0" fontId="87" fillId="61" borderId="19" xfId="0" applyNumberFormat="1" applyFont="1" applyFill="1" applyBorder="1"/>
    <x:xf numFmtId="206" fontId="87" fillId="61" borderId="19" xfId="0" applyNumberFormat="1" applyFont="1" applyFill="1" applyBorder="1" applyAlignment="1">
      <x:alignment horizontal="left" vertical="center" wrapText="1"/>
    </x:xf>
    <x:xf numFmtId="0" fontId="87" fillId="61" borderId="19" xfId="0" applyNumberFormat="1" applyFont="1" applyFill="1" applyBorder="1" applyAlignment="1">
      <x:alignment horizontal="left" wrapText="1"/>
    </x:xf>
    <x:xf numFmtId="0" fontId="87" fillId="60" borderId="19" xfId="0" applyNumberFormat="1" applyFont="1" applyFill="1" applyBorder="1"/>
    <x:xf numFmtId="206" fontId="87" fillId="60" borderId="19" xfId="0" applyNumberFormat="1" applyFont="1" applyFill="1" applyBorder="1" applyAlignment="1">
      <x:alignment horizontal="left" vertical="center" wrapText="1"/>
    </x:xf>
    <x:xf numFmtId="0" fontId="87" fillId="60" borderId="19" xfId="0" applyNumberFormat="1" applyFont="1" applyFill="1" applyBorder="1" applyAlignment="1">
      <x:alignment horizontal="left" wrapText="1"/>
    </x:xf>
    <x:xf numFmtId="202" fontId="98" fillId="4" borderId="19" xfId="0" applyNumberFormat="1" applyFont="1" applyFill="1" applyBorder="1" applyAlignment="1">
      <x:alignment horizontal="left" vertical="center" wrapText="1"/>
    </x:xf>
  </x:cellXfs>
  <x:cellStyles count="1">
    <x:cellStyle name="Normal" xfId="0"/>
  </x:cellStyles>
  <x:dxfs count="166">
    <x:dxf>
      <x:fill>
        <x:patternFill>
          <x:bgColor rgb="FFE2F0D9"/>
        </x:patternFill>
      </x:fill>
    </x:dxf>
    <x:dxf>
      <x:fill>
        <x:patternFill>
          <x:bgColor rgb="FFF4CCCC"/>
        </x:patternFill>
      </x:fill>
    </x:dxf>
    <x:dxf>
      <x:font>
        <x:b/>
        <x:color rgb="FF138A4B"/>
      </x:font>
      <x:fill>
        <x:patternFill>
          <x:bgColor rgb="FFE9F7EF"/>
        </x:patternFill>
      </x:fill>
    </x:dxf>
    <x:dxf>
      <x:font>
        <x:b/>
        <x:color rgb="FF071D3A"/>
      </x:font>
      <x:fill>
        <x:patternFill>
          <x:bgColor rgb="FFFFF6D6"/>
        </x:patternFill>
      </x:fill>
    </x:dxf>
    <x:dxf>
      <x:font>
        <x:b/>
        <x:color rgb="FFD64545"/>
      </x:font>
      <x:fill>
        <x:patternFill>
          <x:bgColor rgb="FFFDECEC"/>
        </x:patternFill>
      </x:fill>
    </x:dxf>
    <x:dxf>
      <x:font>
        <x:b/>
        <x:sz val="20"/>
        <x:color rgb="FF138A4B"/>
      </x:font>
      <x:fill>
        <x:patternFill>
          <x:bgColor rgb="FFE9F7EF"/>
        </x:patternFill>
      </x:fill>
    </x:dxf>
    <x:dxf>
      <x:font>
        <x:b/>
        <x:sz val="20"/>
        <x:color rgb="FFD64545"/>
      </x:font>
      <x:fill>
        <x:patternFill>
          <x:bgColor rgb="FFFDECEC"/>
        </x:patternFill>
      </x:fill>
    </x:dxf>
    <x:dxf>
      <x:font>
        <x:b/>
        <x:sz val="20"/>
        <x:color rgb="FF071D3A"/>
      </x:font>
      <x:fill>
        <x:patternFill>
          <x:bgColor rgb="FFFFF6D6"/>
        </x:patternFill>
      </x:fill>
    </x:dxf>
    <x:dxf>
      <x:font>
        <x:color rgb="FF138A4B"/>
      </x:font>
      <x:fill>
        <x:patternFill>
          <x:bgColor rgb="FFE9F7EF"/>
        </x:patternFill>
      </x:fill>
    </x:dxf>
    <x:dxf>
      <x:font>
        <x:b/>
        <x:color rgb="FFD64545"/>
      </x:font>
      <x:fill>
        <x:patternFill>
          <x:bgColor rgb="FFFDECEC"/>
        </x:patternFill>
      </x:fill>
    </x:dxf>
    <x:dxf>
      <x:font>
        <x:color rgb="FF071D3A"/>
      </x:font>
      <x:fill>
        <x:patternFill>
          <x:bgColor rgb="FFFFF6D6"/>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9A6700"/>
      </x:font>
      <x:fill>
        <x:patternFill>
          <x:bgColor rgb="FFFFF4D6"/>
        </x:patternFill>
      </x:fill>
    </x:dxf>
    <x:dxf>
      <x:font>
        <x:b/>
        <x:color rgb="FF9A6700"/>
      </x:font>
      <x:fill>
        <x:patternFill>
          <x:bgColor rgb="FFFFF4D6"/>
        </x:patternFill>
      </x:fill>
    </x:dxf>
    <x:dxf>
      <x:font>
        <x:b/>
        <x:color rgb="FF175CD3"/>
      </x:font>
      <x:fill>
        <x:patternFill>
          <x:bgColor rgb="FFEAF2F8"/>
        </x:patternFill>
      </x:fill>
    </x:dxf>
    <x:dxf>
      <x:font>
        <x:b/>
        <x:color rgb="FF175CD3"/>
      </x:font>
      <x:fill>
        <x:patternFill>
          <x:bgColor rgb="FFEAF2F8"/>
        </x:patternFill>
      </x:fill>
    </x:dxf>
    <x:dxf>
      <x:font>
        <x:b/>
        <x:color rgb="FF475467"/>
      </x:font>
      <x:fill>
        <x:patternFill>
          <x:bgColor rgb="FFF3F6F9"/>
        </x:patternFill>
      </x:fill>
    </x:dxf>
    <x:dxf>
      <x:font>
        <x:b/>
        <x:color rgb="FF1B7F3A"/>
      </x:font>
      <x:fill>
        <x:patternFill>
          <x:bgColor rgb="FFEAF6EE"/>
        </x:patternFill>
      </x:fill>
    </x:dxf>
    <x:dxf>
      <x:font>
        <x:b/>
        <x:color rgb="FF9A6700"/>
      </x:font>
      <x:fill>
        <x:patternFill>
          <x:bgColor rgb="FFFFF4D6"/>
        </x:patternFill>
      </x:fill>
    </x:dxf>
    <x:dxf>
      <x:font>
        <x:b/>
        <x:color rgb="FF175CD3"/>
      </x:font>
      <x:fill>
        <x:patternFill>
          <x:bgColor rgb="FFEAF2F8"/>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1B7F3A"/>
      </x:font>
      <x:fill>
        <x:patternFill>
          <x:bgColor rgb="FFEAF6EE"/>
        </x:patternFill>
      </x:fill>
    </x:dxf>
    <x:dxf>
      <x:font>
        <x:b/>
        <x:color rgb="FF1B7F3A"/>
      </x:font>
      <x:fill>
        <x:patternFill>
          <x:bgColor rgb="FFEAF6EE"/>
        </x:patternFill>
      </x:fill>
    </x:dxf>
    <x:dxf>
      <x:font>
        <x:b/>
        <x:color rgb="FFB42318"/>
      </x:font>
      <x:fill>
        <x:patternFill>
          <x:bgColor rgb="FFFDECEC"/>
        </x:patternFill>
      </x:fill>
    </x:dxf>
    <x:dxf>
      <x:font>
        <x:b/>
        <x:color rgb="FFB42318"/>
      </x:font>
      <x:fill>
        <x:patternFill>
          <x:bgColor rgb="FFFDECEC"/>
        </x:patternFill>
      </x:fill>
    </x:dxf>
    <x:dxf>
      <x:font>
        <x:b/>
        <x:color rgb="FF9A6700"/>
      </x:font>
      <x:fill>
        <x:patternFill>
          <x:bgColor rgb="FFFFF4D6"/>
        </x:patternFill>
      </x:fill>
    </x:dxf>
    <x:dxf>
      <x:font>
        <x:b/>
        <x:color rgb="FF1B7F3A"/>
      </x:font>
      <x:fill>
        <x:patternFill>
          <x:bgColor rgb="FFEAF6EE"/>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B42318"/>
      </x:font>
      <x:fill>
        <x:patternFill>
          <x:bgColor rgb="FFFDECEC"/>
        </x:patternFill>
      </x:fill>
    </x:dxf>
    <x:dxf>
      <x:font>
        <x:b/>
        <x:color rgb="FF9A6700"/>
      </x:font>
      <x:fill>
        <x:patternFill>
          <x:bgColor rgb="FFFFF4D6"/>
        </x:patternFill>
      </x:fill>
    </x:dxf>
    <x:dxf>
      <x:font>
        <x:b/>
        <x:sz val="20"/>
        <x:color rgb="FFB42318"/>
      </x:font>
      <x:fill>
        <x:patternFill>
          <x:bgColor rgb="FFFDECEC"/>
        </x:patternFill>
      </x:fill>
    </x:dxf>
    <x:dxf>
      <x:font>
        <x:b/>
        <x:sz val="20"/>
        <x:color rgb="FF9A6700"/>
      </x:font>
      <x:fill>
        <x:patternFill>
          <x:bgColor rgb="FFFFF4D6"/>
        </x:patternFill>
      </x:fill>
    </x:dxf>
    <x:dxf>
      <x:font>
        <x:b/>
        <x:sz val="13"/>
        <x:color rgb="FFB42318"/>
      </x:font>
      <x:fill>
        <x:patternFill>
          <x:bgColor rgb="FFFDECEC"/>
        </x:patternFill>
      </x:fill>
    </x:dxf>
    <x:dxf>
      <x:font>
        <x:b/>
        <x:sz val="13"/>
        <x:color rgb="FF1B7F3A"/>
      </x:font>
      <x:fill>
        <x:patternFill>
          <x:bgColor rgb="FFEAF6EE"/>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006100"/>
      </x:font>
      <x:fill>
        <x:patternFill>
          <x:bgColor rgb="FFE2F0D9"/>
        </x:patternFill>
      </x:fill>
    </x:dxf>
    <x:dxf>
      <x:font>
        <x:b/>
        <x:color rgb="FFC88700"/>
      </x:font>
      <x:fill>
        <x:patternFill>
          <x:bgColor rgb="FFFFF2CC"/>
        </x:patternFill>
      </x:fill>
    </x:dxf>
    <x:dxf>
      <x:font>
        <x:b/>
        <x:color rgb="FFC88700"/>
      </x:font>
      <x:fill>
        <x:patternFill>
          <x:bgColor rgb="FFFCE4D6"/>
        </x:patternFill>
      </x:fill>
    </x:dxf>
    <x:dxf>
      <x:font>
        <x:b/>
        <x:color rgb="FF9C0006"/>
      </x:font>
      <x:fill>
        <x:patternFill>
          <x:bgColor rgb="FFF4CCCC"/>
        </x:patternFill>
      </x:fill>
    </x:dxf>
    <x:dxf>
      <x:font>
        <x:b/>
        <x:color rgb="FF9C0006"/>
      </x:font>
      <x:fill>
        <x:patternFill>
          <x:bgColor rgb="FFF4CCCC"/>
        </x:patternFill>
      </x:fill>
    </x:dxf>
    <x:dxf>
      <x:font>
        <x:b/>
        <x:color rgb="FFC88700"/>
      </x:font>
      <x:fill>
        <x:patternFill>
          <x:bgColor rgb="FFF3F6F9"/>
        </x:patternFill>
      </x:fill>
    </x:dxf>
    <x:dxf>
      <x:font>
        <x:b/>
        <x:color rgb="FF101828"/>
      </x:font>
      <x:fill>
        <x:patternFill>
          <x:bgColor rgb="FFF3F6F9"/>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C88700"/>
      </x:font>
      <x:fill>
        <x:patternFill>
          <x:bgColor rgb="FFFFF2CC"/>
        </x:patternFill>
      </x:fill>
    </x:dxf>
    <x:dxf>
      <x:font>
        <x:b/>
        <x:color rgb="FF006100"/>
      </x:font>
      <x:fill>
        <x:patternFill>
          <x:bgColor rgb="FFE2F0D9"/>
        </x:patternFill>
      </x:fill>
    </x:dxf>
    <x:dxf>
      <x:font>
        <x:b/>
        <x:color rgb="FF9C0006"/>
      </x:font>
      <x:fill>
        <x:patternFill>
          <x:bgColor rgb="FFF4CCCC"/>
        </x:patternFill>
      </x:fill>
    </x:dxf>
    <x:dxf>
      <x:font>
        <x:b/>
        <x:color rgb="FFC88700"/>
      </x:font>
      <x:fill>
        <x:patternFill>
          <x:bgColor rgb="FFFFF2CC"/>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C88700"/>
      </x:font>
      <x:fill>
        <x:patternFill>
          <x:bgColor rgb="FFFCE4D6"/>
        </x:patternFill>
      </x:fill>
    </x:dxf>
    <x:dxf>
      <x:font>
        <x:b/>
        <x:color rgb="FF006100"/>
      </x:font>
      <x:fill>
        <x:patternFill>
          <x:bgColor rgb="FFE2F0D9"/>
        </x:patternFill>
      </x:fill>
    </x:dxf>
    <x:dxf>
      <x:font>
        <x:b/>
        <x:color rgb="FF006100"/>
      </x:font>
      <x:fill>
        <x:patternFill>
          <x:bgColor rgb="FFE2F0D9"/>
        </x:patternFill>
      </x:fill>
    </x:dxf>
    <x:dxf>
      <x:font>
        <x:b/>
        <x:color rgb="FFC27C0E"/>
      </x:font>
      <x:fill>
        <x:patternFill>
          <x:bgColor rgb="FFFFF2CC"/>
        </x:patternFill>
      </x:fill>
    </x:dxf>
    <x:dxf>
      <x:font>
        <x:b/>
        <x:color rgb="FFC00000"/>
      </x:font>
      <x:fill>
        <x:patternFill>
          <x:bgColor rgb="FFFCE8E6"/>
        </x:patternFill>
      </x:fill>
    </x:dxf>
    <x:dxf>
      <x:font>
        <x:color rgb="FF667085"/>
      </x:font>
      <x:fill>
        <x:patternFill>
          <x:bgColor rgb="FFF3F6F9"/>
        </x:patternFill>
      </x:fill>
    </x:dxf>
    <x:dxf>
      <x:font>
        <x:b/>
        <x:color rgb="FF006100"/>
      </x:font>
      <x:fill>
        <x:patternFill>
          <x:bgColor rgb="FFE2F0D9"/>
        </x:patternFill>
      </x:fill>
    </x:dxf>
    <x:dxf>
      <x:font>
        <x:color rgb="FF667085"/>
      </x:font>
      <x:fill>
        <x:patternFill>
          <x:bgColor rgb="FFF3F6F9"/>
        </x:patternFill>
      </x:fill>
    </x:dxf>
    <x:dxf>
      <x:font>
        <x:b/>
        <x:color rgb="FFC00000"/>
      </x:font>
      <x:fill>
        <x:patternFill>
          <x:bgColor rgb="FFFCE8E6"/>
        </x:patternFill>
      </x:fill>
    </x:dxf>
    <x:dxf>
      <x:font>
        <x:b/>
        <x:color rgb="FFC00000"/>
      </x:font>
      <x:fill>
        <x:patternFill>
          <x:bgColor rgb="FFFCE8E6"/>
        </x:patternFill>
      </x:fill>
    </x:dxf>
    <x:dxf>
      <x:font>
        <x:b/>
        <x:color rgb="FFC00000"/>
      </x:font>
      <x:fill>
        <x:patternFill>
          <x:bgColor rgb="FFFCE8E6"/>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006100"/>
      </x:font>
      <x:fill>
        <x:patternFill>
          <x:bgColor rgb="FFE2F0D9"/>
        </x:patternFill>
      </x:fill>
    </x:dxf>
    <x:dxf>
      <x:font>
        <x:b/>
        <x:color rgb="FFC00000"/>
      </x:font>
      <x:fill>
        <x:patternFill>
          <x:bgColor rgb="FFFCE8E6"/>
        </x:patternFill>
      </x:fill>
    </x:dxf>
    <x:dxf>
      <x:font>
        <x:b/>
        <x:color rgb="FF006100"/>
      </x:font>
      <x:fill>
        <x:patternFill>
          <x:bgColor rgb="FFE2F0D9"/>
        </x:patternFill>
      </x:fill>
    </x:dxf>
    <x:dxf>
      <x:font>
        <x:b/>
        <x:color rgb="FF667085"/>
      </x:font>
      <x:fill>
        <x:patternFill>
          <x:bgColor rgb="FFF3F6F9"/>
        </x:patternFill>
      </x:fill>
    </x:dxf>
    <x:dxf>
      <x:font>
        <x:b/>
        <x:color rgb="FFC00000"/>
      </x:font>
      <x:fill>
        <x:patternFill>
          <x:bgColor rgb="FFFCE8E6"/>
        </x:patternFill>
      </x:fill>
    </x:dxf>
    <x:dxf>
      <x:font>
        <x:b/>
        <x:color rgb="FFC00000"/>
      </x:font>
      <x:fill>
        <x:patternFill>
          <x:bgColor rgb="FFFCE8E6"/>
        </x:patternFill>
      </x:fill>
    </x:dxf>
    <x:dxf>
      <x:font>
        <x:b/>
        <x:color rgb="FFC00000"/>
      </x:font>
      <x:fill>
        <x:patternFill>
          <x:bgColor rgb="FFFCE8E6"/>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00000"/>
      </x:font>
      <x:fill>
        <x:patternFill>
          <x:bgColor rgb="FFFCE8E6"/>
        </x:patternFill>
      </x:fill>
    </x:dxf>
    <x:dxf>
      <x:font>
        <x:b/>
        <x:color rgb="FF006100"/>
      </x:font>
      <x:fill>
        <x:patternFill>
          <x:bgColor rgb="FFE2F0D9"/>
        </x:patternFill>
      </x:fill>
    </x:dxf>
    <x:dxf>
      <x:font>
        <x:b/>
        <x:color rgb="FFC00000"/>
      </x:font>
      <x:fill>
        <x:patternFill>
          <x:bgColor rgb="FFFCE8E6"/>
        </x:patternFill>
      </x:fill>
    </x:dxf>
    <x:dxf>
      <x:font>
        <x:b/>
        <x:color rgb="FFC27C0E"/>
      </x:font>
      <x:fill>
        <x:patternFill>
          <x:bgColor rgb="FFFFF2CC"/>
        </x:patternFill>
      </x:fill>
    </x:dxf>
  </x:dxfs>
</x:styleSheet>
</file>

<file path=xl/_rels/workbook.xml.rels><?xml version="1.0" encoding="utf-8"?><Relationships xmlns="http://schemas.openxmlformats.org/package/2006/relationships"><Relationship Type="http://schemas.openxmlformats.org/officeDocument/2006/relationships/styles" Target="/xl/styles.xml" Id="Ra37676fad3c7477b" /><Relationship Type="http://schemas.openxmlformats.org/officeDocument/2006/relationships/theme" Target="/xl/theme/theme1.xml" Id="Re1639840971c4bb5" /><Relationship Type="http://schemas.openxmlformats.org/officeDocument/2006/relationships/sharedStrings" Target="/xl/sharedStrings.xml" Id="R3487dfd40b22436b" /><Relationship Type="http://schemas.openxmlformats.org/officeDocument/2006/relationships/worksheet" Target="/xl/worksheets/sheet1.xml" Id="R54c7f75fcc71433a" /><Relationship Type="http://schemas.openxmlformats.org/officeDocument/2006/relationships/worksheet" Target="/xl/worksheets/sheet2.xml" Id="R2e9edb15db2e4ad9" /><Relationship Type="http://schemas.openxmlformats.org/officeDocument/2006/relationships/worksheet" Target="/xl/worksheets/sheet3.xml" Id="R98a53fe435564b1e" /><Relationship Type="http://schemas.openxmlformats.org/officeDocument/2006/relationships/worksheet" Target="/xl/worksheets/sheet4.xml" Id="R1e70496fe34b4c0e" /><Relationship Type="http://schemas.openxmlformats.org/officeDocument/2006/relationships/worksheet" Target="/xl/worksheets/sheet5.xml" Id="R62c9d9003dfd4c5e" /><Relationship Type="http://schemas.openxmlformats.org/officeDocument/2006/relationships/worksheet" Target="/xl/worksheets/sheet6.xml" Id="Re38c01b46f14490f" /><Relationship Type="http://schemas.openxmlformats.org/officeDocument/2006/relationships/worksheet" Target="/xl/worksheets/sheet7.xml" Id="Rc31dc986f1344ddb" /><Relationship Type="http://schemas.openxmlformats.org/officeDocument/2006/relationships/worksheet" Target="/xl/worksheets/sheet8.xml" Id="R172da5d25b974c49" /><Relationship Type="http://schemas.openxmlformats.org/officeDocument/2006/relationships/worksheet" Target="/xl/worksheets/sheet9.xml" Id="R6cfc3b0321224d3d" /><Relationship Type="http://schemas.openxmlformats.org/officeDocument/2006/relationships/worksheet" Target="/xl/worksheets/sheet10.xml" Id="R891aaabecd3149f1" /><Relationship Type="http://schemas.openxmlformats.org/officeDocument/2006/relationships/worksheet" Target="/xl/worksheets/sheet11.xml" Id="Rc862436d58d746d3" /><Relationship Type="http://schemas.openxmlformats.org/officeDocument/2006/relationships/worksheet" Target="/xl/worksheets/sheet12.xml" Id="R16ff356609fe422a" /><Relationship Type="http://schemas.openxmlformats.org/officeDocument/2006/relationships/worksheet" Target="/xl/worksheets/sheet13.xml" Id="R1afc9174913143d6" /><Relationship Type="http://schemas.openxmlformats.org/officeDocument/2006/relationships/worksheet" Target="/xl/worksheets/sheet14.xml" Id="R25b7474b9f394fb7" /><Relationship Type="http://schemas.openxmlformats.org/officeDocument/2006/relationships/worksheet" Target="/xl/worksheets/sheet15.xml" Id="R506220ba69d14d1e" /><Relationship Type="http://schemas.openxmlformats.org/officeDocument/2006/relationships/worksheet" Target="/xl/worksheets/sheet16.xml" Id="Rfb9709f677814832" /><Relationship Type="http://schemas.openxmlformats.org/officeDocument/2006/relationships/worksheet" Target="/xl/worksheets/sheet17.xml" Id="Ree50f0b92ba94f9b" /><Relationship Type="http://schemas.openxmlformats.org/officeDocument/2006/relationships/worksheet" Target="/xl/worksheets/sheet18.xml" Id="Ra5bab21a99fd4a26" /><Relationship Type="http://schemas.openxmlformats.org/officeDocument/2006/relationships/worksheet" Target="/xl/worksheets/sheet19.xml" Id="R20fcfad6a74f4875" /><Relationship Type="http://schemas.openxmlformats.org/officeDocument/2006/relationships/worksheet" Target="/xl/worksheets/sheet20.xml" Id="Rfd1a6d2772514c95" /><Relationship Type="http://schemas.openxmlformats.org/officeDocument/2006/relationships/worksheet" Target="/xl/worksheets/sheet21.xml" Id="Rdc0d4d06512f423f" /><Relationship Type="http://schemas.openxmlformats.org/officeDocument/2006/relationships/worksheet" Target="/xl/worksheets/sheet22.xml" Id="R2edac2fbab324195" /><Relationship Type="http://schemas.openxmlformats.org/officeDocument/2006/relationships/worksheet" Target="/xl/worksheets/sheet23.xml" Id="R55e2cbf680764b45" /><Relationship Type="http://schemas.openxmlformats.org/officeDocument/2006/relationships/worksheet" Target="/xl/worksheets/sheet24.xml" Id="Rd3d4ee7012b2486c" /><Relationship Type="http://schemas.openxmlformats.org/officeDocument/2006/relationships/worksheet" Target="/xl/worksheets/sheet25.xml" Id="Rd61f1e9946e04be5" /><Relationship Type="http://schemas.openxmlformats.org/officeDocument/2006/relationships/worksheet" Target="/xl/worksheets/sheet26.xml" Id="Rd17f85c52ad24509" /><Relationship Type="http://schemas.openxmlformats.org/officeDocument/2006/relationships/worksheet" Target="/xl/worksheets/sheet27.xml" Id="R2ee03eb3fc944a42" /><Relationship Type="http://schemas.openxmlformats.org/officeDocument/2006/relationships/worksheet" Target="/xl/worksheets/sheet28.xml" Id="Rc5d6d485d6264eae" /><Relationship Type="http://schemas.openxmlformats.org/officeDocument/2006/relationships/worksheet" Target="/xl/worksheets/sheet29.xml" Id="Rec849952bbd24599" /><Relationship Type="http://schemas.openxmlformats.org/officeDocument/2006/relationships/worksheet" Target="/xl/worksheets/sheet30.xml" Id="R88d4f90b0ffd4471" /><Relationship Type="http://schemas.openxmlformats.org/officeDocument/2006/relationships/worksheet" Target="/xl/worksheets/sheet31.xml" Id="Raff855d563f64bd2" /><Relationship Type="http://schemas.openxmlformats.org/officeDocument/2006/relationships/worksheet" Target="/xl/worksheets/sheet32.xml" Id="Ra223e216ccb74606" /><Relationship Type="http://schemas.openxmlformats.org/officeDocument/2006/relationships/worksheet" Target="/xl/worksheets/sheet33.xml" Id="Rf82a3d55e3ca4a69" /><Relationship Type="http://schemas.openxmlformats.org/officeDocument/2006/relationships/worksheet" Target="/xl/worksheets/sheet134.xml" Id="RappAudit34"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dedb6523da47a3" /><Relationship Type="http://schemas.openxmlformats.org/officeDocument/2006/relationships/chart" Target="/xl/drawings/charts/chart2.xml" Id="Rf4efcc24a2cc49ab" /></Relationships>
</file>

<file path=xl/drawings/_rels/drawing2.xml.rels>&#65279;<?xml version="1.0" encoding="utf-8"?><Relationships xmlns="http://schemas.openxmlformats.org/package/2006/relationships"><Relationship Type="http://schemas.openxmlformats.org/officeDocument/2006/relationships/chart" Target="/xl/drawings/charts/chart3.xml" Id="R0ed7a8d90e8d4acf" /></Relationships>
</file>

<file path=xl/drawings/_rels/drawing3.xml.rels>&#65279;<?xml version="1.0" encoding="utf-8"?><Relationships xmlns="http://schemas.openxmlformats.org/package/2006/relationships"><Relationship Type="http://schemas.openxmlformats.org/officeDocument/2006/relationships/chart" Target="/xl/drawings/charts/chart4.xml" Id="Rd3b551c9a8b348aa" /></Relationships>
</file>

<file path=xl/drawings/_rels/drawing4.xml.rels>&#65279;<?xml version="1.0" encoding="utf-8"?><Relationships xmlns="http://schemas.openxmlformats.org/package/2006/relationships"><Relationship Type="http://schemas.openxmlformats.org/officeDocument/2006/relationships/chart" Target="/xl/drawings/charts/chart5.xml" Id="R7f84419ad5b64aff" /></Relationships>
</file>

<file path=xl/drawings/_rels/drawing5.xml.rels>&#65279;<?xml version="1.0" encoding="utf-8"?><Relationships xmlns="http://schemas.openxmlformats.org/package/2006/relationships"><Relationship Type="http://schemas.openxmlformats.org/officeDocument/2006/relationships/chart" Target="/xl/drawings/charts/chart6.xml" Id="Rae1b4c5434634e3c" /></Relationships>
</file>

<file path=xl/drawings/charts/chart1.xml><?xml version="1.0" encoding="utf-8"?>
<c:chartSpace xmlns:c="http://schemas.openxmlformats.org/drawingml/2006/chart">
  <c:lang val="en-US"/>
  <c:roundedCorners val="0"/>
  <c:chart>
    <c:plotArea>
      <c:doughnutChart>
        <c:ser>
          <c:idx val="0"/>
          <c:order val="0"/>
          <c:tx>
            <c:v>Value</c:v>
          </c:tx>
          <c:dPt>
            <c:idx val="0"/>
            <c:spPr>
              <a:solidFill xmlns:a="http://schemas.openxmlformats.org/drawingml/2006/main">
                <a:srgbClr val="138A4B"/>
              </a:solidFill>
              <a:ln xmlns:a="http://schemas.openxmlformats.org/drawingml/2006/main" w="9525">
                <a:solidFill>
                  <a:srgbClr val="FFFFFF"/>
                </a:solidFill>
              </a:ln>
            </c:spPr>
          </c:dPt>
          <c:dPt>
            <c:idx val="1"/>
            <c:spPr>
              <a:solidFill xmlns:a="http://schemas.openxmlformats.org/drawingml/2006/main">
                <a:srgbClr val="F3B61F"/>
              </a:solidFill>
              <a:ln xmlns:a="http://schemas.openxmlformats.org/drawingml/2006/main" w="9525">
                <a:solidFill>
                  <a:srgbClr val="FFFFFF"/>
                </a:solidFill>
              </a:ln>
            </c:spPr>
          </c:dPt>
          <c:dPt>
            <c:idx val="2"/>
            <c:spPr>
              <a:solidFill xmlns:a="http://schemas.openxmlformats.org/drawingml/2006/main">
                <a:srgbClr val="E67E22"/>
              </a:solidFill>
              <a:ln xmlns:a="http://schemas.openxmlformats.org/drawingml/2006/main" w="9525">
                <a:solidFill>
                  <a:srgbClr val="FFFFFF"/>
                </a:solidFill>
              </a:ln>
            </c:spPr>
          </c:dPt>
          <c:dPt>
            <c:idx val="3"/>
            <c:spPr>
              <a:solidFill xmlns:a="http://schemas.openxmlformats.org/drawingml/2006/main">
                <a:srgbClr val="D64545"/>
              </a:solidFill>
              <a:ln xmlns:a="http://schemas.openxmlformats.org/drawingml/2006/main" w="9525">
                <a:solidFill>
                  <a:srgbClr val="FFFFFF"/>
                </a:solidFill>
              </a:ln>
            </c:spPr>
          </c:dPt>
          <c:cat>
            <c:strRef>
              <c:f>'01 Dashboard Controls'!$F$16:$F$19</c:f>
              <c:strCache>
                <c:ptCount val="0"/>
              </c:strCache>
            </c:strRef>
          </c:cat>
          <c:val>
            <c:numRef>
              <c:f>'01 Dashboard Controls'!$G$16:$G$19</c:f>
              <c:numCache>
                <c:formatCode>General</c:formatCode>
                <c:ptCount val="0"/>
              </c:numCache>
            </c:numRef>
          </c:val>
        </c:ser>
        <c:dLbls>
          <c:showLegendKey val="0"/>
          <c:showVal val="0"/>
          <c:showCatName val="0"/>
          <c:showSerName val="0"/>
          <c:showPercent val="0"/>
          <c:showBubbleSize val="0"/>
          <c:showLeaderLines val="0"/>
        </c:dLbls>
        <c:holeSize val="62"/>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TARGET VS ACTUAL</a:t>
            </a:r>
          </a:p>
        </c:rich>
      </c:tx>
      <c:overlay val="0"/>
    </c:title>
    <c:autoTitleDeleted val="0"/>
    <c:plotArea>
      <c:barChart>
        <c:barDir val="bar"/>
        <c:grouping val="clustered"/>
        <c:varyColors val="0"/>
        <c:ser>
          <c:idx val="0"/>
          <c:order val="0"/>
          <c:tx>
            <c:v>Target</c:v>
          </c:tx>
          <c:spPr>
            <a:solidFill xmlns:a="http://schemas.openxmlformats.org/drawingml/2006/main">
              <a:srgbClr val="0D2B52"/>
            </a:solidFill>
          </c:spPr>
          <c:cat>
            <c:strRef>
              <c:f>'99 Dashboard Data'!$A$2:$A$9</c:f>
              <c:strCache>
                <c:ptCount val="0"/>
              </c:strCache>
            </c:strRef>
          </c:cat>
          <c:val>
            <c:numRef>
              <c:f>'99 Dashboard Data'!$B$2:$B$9</c:f>
              <c:numCache>
                <c:formatCode>0.00%;[Red](0.00%);-</c:formatCode>
                <c:ptCount val="0"/>
              </c:numCache>
            </c:numRef>
          </c:val>
        </c:ser>
        <c:ser>
          <c:idx val="1"/>
          <c:order val="1"/>
          <c:tx>
            <c:v>Actual</c:v>
          </c:tx>
          <c:spPr>
            <a:solidFill xmlns:a="http://schemas.openxmlformats.org/drawingml/2006/main">
              <a:srgbClr val="D89B0D"/>
            </a:solidFill>
          </c:spPr>
          <c:cat>
            <c:strRef>
              <c:f>'99 Dashboard Data'!$A$2:$A$9</c:f>
              <c:strCache>
                <c:ptCount val="0"/>
              </c:strCache>
            </c:strRef>
          </c:cat>
          <c:val>
            <c:numRef>
              <c:f>'99 Dashboard Data'!$C$2:$C$9</c:f>
              <c:numCache>
                <c:formatCode>0.00%;[Red](0.00%);-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rosses val="autoZero"/>
        <c:lblOffset val="10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Certified Target Allocation by Sleeve</a:t>
            </a:r>
          </a:p>
        </c:rich>
      </c:tx>
      <c:overlay val="0"/>
    </c:title>
    <c:autoTitleDeleted val="0"/>
    <c:plotArea>
      <c:barChart>
        <c:barDir val="col"/>
        <c:varyColors val="0"/>
        <c:ser>
          <c:idx val="0"/>
          <c:order val="0"/>
          <c:tx>
            <c:v>Positions</c:v>
          </c:tx>
          <c:cat>
            <c:strRef>
              <c:f>'Sleeve Summary'!$A$4:$A$11</c:f>
              <c:strCache>
                <c:ptCount val="0"/>
              </c:strCache>
            </c:strRef>
          </c:cat>
          <c:val>
            <c:numRef>
              <c:f>'Sleeve Summary'!$B$4:$B$11</c:f>
              <c:numCache>
                <c:formatCode>General</c:formatCode>
                <c:ptCount val="0"/>
              </c:numCache>
            </c:numRef>
          </c:val>
        </c:ser>
        <c:ser>
          <c:idx val="1"/>
          <c:order val="1"/>
          <c:tx>
            <c:v>Equities</c:v>
          </c:tx>
          <c:cat>
            <c:strRef>
              <c:f>'Sleeve Summary'!$A$4:$A$11</c:f>
              <c:strCache>
                <c:ptCount val="0"/>
              </c:strCache>
            </c:strRef>
          </c:cat>
          <c:val>
            <c:numRef>
              <c:f>'Sleeve Summary'!$C$4:$C$11</c:f>
              <c:numCache>
                <c:formatCode>General</c:formatCode>
                <c:ptCount val="0"/>
              </c:numCache>
            </c:numRef>
          </c:val>
        </c:ser>
        <c:ser>
          <c:idx val="2"/>
          <c:order val="2"/>
          <c:tx>
            <c:v>ETFs</c:v>
          </c:tx>
          <c:cat>
            <c:strRef>
              <c:f>'Sleeve Summary'!$A$4:$A$11</c:f>
              <c:strCache>
                <c:ptCount val="0"/>
              </c:strCache>
            </c:strRef>
          </c:cat>
          <c:val>
            <c:numRef>
              <c:f>'Sleeve Summary'!$D$4:$D$11</c:f>
              <c:numCache>
                <c:formatCode>General</c:formatCode>
                <c:ptCount val="0"/>
              </c:numCache>
            </c:numRef>
          </c:val>
        </c:ser>
        <c:ser>
          <c:idx val="3"/>
          <c:order val="3"/>
          <c:tx>
            <c:v>Target Allocation</c:v>
          </c:tx>
          <c:cat>
            <c:strRef>
              <c:f>'Sleeve Summary'!$A$4:$A$11</c:f>
              <c:strCache>
                <c:ptCount val="0"/>
              </c:strCache>
            </c:strRef>
          </c:cat>
          <c:val>
            <c:numRef>
              <c:f>'Sleeve Summary'!$E$4:$E$11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Certified vs. Scenario Sleeve Allocation</a:t>
            </a:r>
          </a:p>
        </c:rich>
      </c:tx>
      <c:overlay val="0"/>
    </c:title>
    <c:autoTitleDeleted val="0"/>
    <c:plotArea>
      <c:barChart>
        <c:barDir val="col"/>
        <c:grouping val="clustered"/>
        <c:varyColors val="0"/>
        <c:ser>
          <c:idx val="0"/>
          <c:order val="0"/>
          <c:tx>
            <c:v>Certified Target</c:v>
          </c:tx>
          <c:cat>
            <c:strRef>
              <c:f>'06 PEW Control Center'!$R$5:$R$12</c:f>
              <c:strCache>
                <c:ptCount val="0"/>
              </c:strCache>
            </c:strRef>
          </c:cat>
          <c:val>
            <c:numRef>
              <c:f>'06 PEW Control Center'!$S$5:$S$12</c:f>
              <c:numCache>
                <c:formatCode>0.0%;[Red](0.0%);-</c:formatCode>
                <c:ptCount val="0"/>
              </c:numCache>
            </c:numRef>
          </c:val>
        </c:ser>
        <c:ser>
          <c:idx val="1"/>
          <c:order val="1"/>
          <c:tx>
            <c:v>Scenario Allocation</c:v>
          </c:tx>
          <c:cat>
            <c:strRef>
              <c:f>'06 PEW Control Center'!$R$5:$R$12</c:f>
              <c:strCache>
                <c:ptCount val="0"/>
              </c:strCache>
            </c:strRef>
          </c:cat>
          <c:val>
            <c:numRef>
              <c:f>'06 PEW Control Center'!$T$5:$T$12</c:f>
              <c:numCache>
                <c:formatCode>0.0%;[Red](0.0%);-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D9E2F3"/>
              </a:solidFill>
              <a:prstDash val="solid"/>
            </a:ln>
          </c:spPr>
        </c:majorGridlines>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Research Activity and Coverage</a:t>
            </a:r>
          </a:p>
        </c:rich>
      </c:tx>
      <c:overlay val="0"/>
    </c:title>
    <c:autoTitleDeleted val="0"/>
    <c:plotArea>
      <c:barChart>
        <c:barDir val="col"/>
        <c:grouping val="clustered"/>
        <c:varyColors val="0"/>
        <c:ser>
          <c:idx val="0"/>
          <c:order val="0"/>
          <c:tx>
            <c:v>Count</c:v>
          </c:tx>
          <c:cat>
            <c:strRef>
              <c:f>'16 RCC-001 Control Center'!$J$18:$J$24</c:f>
              <c:strCache>
                <c:ptCount val="0"/>
              </c:strCache>
            </c:strRef>
          </c:cat>
          <c:val>
            <c:numRef>
              <c:f>'16 RCC-001 Control Center'!$K$18:$K$24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by Materiality</a:t>
            </a:r>
          </a:p>
        </c:rich>
      </c:tx>
      <c:overlay val="0"/>
    </c:title>
    <c:autoTitleDeleted val="0"/>
    <c:plotArea>
      <c:barChart>
        <c:barDir val="col"/>
        <c:varyColors val="0"/>
        <c:ser>
          <c:idx val="0"/>
          <c:order val="0"/>
          <c:tx>
            <c:v>Records</c:v>
          </c:tx>
          <c:cat>
            <c:strRef>
              <c:f>'17 RCC-002 Control Center'!$O$18:$O$21</c:f>
              <c:strCache>
                <c:ptCount val="0"/>
              </c:strCache>
            </c:strRef>
          </c:cat>
          <c:val>
            <c:numRef>
              <c:f>'17 RCC-002 Control Center'!$P$18:$P$21</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5</xdr:row>
      <xdr:rowOff>0</xdr:rowOff>
    </xdr:from>
    <xdr:to>
      <xdr:col>10</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dedb6523da47a3"/>
        </a:graphicData>
      </a:graphic>
    </xdr:graphicFrame>
    <xdr:clientData/>
  </xdr:twoCellAnchor>
  <xdr:twoCellAnchor>
    <xdr:from>
      <xdr:col>2</xdr:col>
      <xdr:colOff>0</xdr:colOff>
      <xdr:row>17</xdr:row>
      <xdr:rowOff>0</xdr:rowOff>
    </xdr:from>
    <xdr:to>
      <xdr:col>9</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efcc24a2cc49ab"/>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d7a8d90e8d4acf"/>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16</xdr:row>
      <xdr:rowOff>0</xdr:rowOff>
    </xdr:from>
    <xdr:to>
      <xdr:col>16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b551c9a8b348aa"/>
        </a:graphicData>
      </a:graphic>
    </xdr:graphicFrame>
    <xdr:clientData/>
  </xdr:twoCellAnchor>
</xdr:wsDr>
</file>

<file path=xl/drawings/drawing4.xml><?xml version="1.0" encoding="utf-8"?>
<xdr:wsDr xmlns:xdr="http://schemas.openxmlformats.org/drawingml/2006/spreadsheetDrawing">
  <xdr:twoCellAnchor>
    <xdr:from>
      <xdr:col>12</xdr:col>
      <xdr:colOff>0</xdr:colOff>
      <xdr:row>16</xdr:row>
      <xdr:rowOff>0</xdr:rowOff>
    </xdr:from>
    <xdr:to>
      <xdr:col>24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84419ad5b64aff"/>
        </a:graphicData>
      </a:graphic>
    </xdr:graphicFrame>
    <xdr:clientData/>
  </xdr:twoCellAnchor>
</xdr:wsDr>
</file>

<file path=xl/drawings/drawing5.xml><?xml version="1.0" encoding="utf-8"?>
<xdr:wsDr xmlns:xdr="http://schemas.openxmlformats.org/drawingml/2006/spreadsheetDrawing">
  <xdr:twoCellAnchor>
    <xdr:from>
      <xdr:col>17</xdr:col>
      <xdr:colOff>0</xdr:colOff>
      <xdr:row>16</xdr:row>
      <xdr:rowOff>0</xdr:rowOff>
    </xdr:from>
    <xdr:to>
      <xdr:col>24</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1b4c5434634e3c"/>
        </a:graphicData>
      </a:graphic>
    </xdr:graphicFrame>
    <xdr:clientData/>
  </xdr:twoCellAnchor>
</xdr:wsDr>
</file>

<file path=xl/tables/table1.xml><?xml version="1.0" encoding="utf-8"?>
<x:table xmlns:x="http://schemas.openxmlformats.org/spreadsheetml/2006/main" id="1" name="CertifiedAllocationTable" displayName="CertifiedAllocationTable" ref="A4:L51" headerRowCount="1">
  <x:tableColumns count="12">
    <x:tableColumn id="1" name="Production Sleeve"/>
    <x:tableColumn id="2" name="Symbol"/>
    <x:tableColumn id="3" name="Security"/>
    <x:tableColumn id="4" name="Security Type"/>
    <x:tableColumn id="5" name="Portfolio Role"/>
    <x:tableColumn id="6" name="Target Weight"/>
    <x:tableColumn id="7" name="Lower Band"/>
    <x:tableColumn id="8" name="Upper Band"/>
    <x:tableColumn id="9" name="Actual Weight"/>
    <x:tableColumn id="10" name="Variance to Target"/>
    <x:tableColumn id="11" name="Band Status"/>
    <x:tableColumn id="12" name="Rebalancing Action"/>
  </x:tableColumns>
  <x:tableStyleInfo name="TableStyleMedium2" showRowStripes="1"/>
</x:table>
</file>

<file path=xl/tables/table2.xml><?xml version="1.0" encoding="utf-8"?>
<x:table xmlns:x="http://schemas.openxmlformats.org/spreadsheetml/2006/main" id="2" name="RCC002EvidenceLedger" displayName="RCC002EvidenceLedger" ref="A13:AG213" headerRowCount="1">
  <x:tableColumns count="33">
    <x:tableColumn id="1" name="Evidence ID"/>
    <x:tableColumn id="2" name="Date Received"/>
    <x:tableColumn id="3" name="Evidence Date"/>
    <x:tableColumn id="4" name="Record Type"/>
    <x:tableColumn id="5" name="Ticker"/>
    <x:tableColumn id="6" name="Security / Subject"/>
    <x:tableColumn id="7" name="Certified Sleeve (Auto)"/>
    <x:tableColumn id="8" name="Activity Type"/>
    <x:tableColumn id="9" name="Evidence Category"/>
    <x:tableColumn id="10" name="Materiality"/>
    <x:tableColumn id="11" name="Direction"/>
    <x:tableColumn id="12" name="Reliability"/>
    <x:tableColumn id="13" name="Source Type"/>
    <x:tableColumn id="14" name="Source / Publisher"/>
    <x:tableColumn id="15" name="Source Reference / URL"/>
    <x:tableColumn id="16" name="Evidence Summary"/>
    <x:tableColumn id="17" name="Thesis Sensitivity"/>
    <x:tableColumn id="18" name="Assigned Reviewer"/>
    <x:tableColumn id="19" name="Due Date"/>
    <x:tableColumn id="20" name="Status"/>
    <x:tableColumn id="21" name="Verified?"/>
    <x:tableColumn id="22" name="MIAR Action"/>
    <x:tableColumn id="23" name="Thesis Impact"/>
    <x:tableColumn id="24" name="Conviction Recommendation"/>
    <x:tableColumn id="25" name="Candidate / Replacement"/>
    <x:tableColumn id="26" name="PEW Referral"/>
    <x:tableColumn id="27" name="Disposition"/>
    <x:tableColumn id="28" name="Closed Date"/>
    <x:tableColumn id="29" name="Days Open"/>
    <x:tableColumn id="30" name="Record Completeness"/>
    <x:tableColumn id="31" name="Control Status"/>
    <x:tableColumn id="32" name="Referral Eligibility"/>
    <x:tableColumn id="33" name="Notes / Exception Rationa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5df2d916b784ca1" /></Relationships>
</file>

<file path=xl/worksheets/_rels/sheet8.xml.rels>&#65279;<?xml version="1.0" encoding="utf-8"?><Relationships xmlns="http://schemas.openxmlformats.org/package/2006/relationships"><Relationship Type="http://schemas.openxmlformats.org/officeDocument/2006/relationships/table" Target="/xl/tables/table1.xml" Id="R4de87f4421f14fd6" /></Relationships>
</file>

<file path=xl/worksheets/_rels/sheet9.xml.rels>&#65279;<?xml version="1.0" encoding="utf-8"?><Relationships xmlns="http://schemas.openxmlformats.org/package/2006/relationships"><Relationship Type="http://schemas.openxmlformats.org/officeDocument/2006/relationships/drawing" Target="/xl/drawings/drawing2.xml" Id="Rf6a31a1ab7894c2d" /></Relationships>
</file>

<file path=xl/worksheets/_rels/sheet13.xml.rels>&#65279;<?xml version="1.0" encoding="utf-8"?><Relationships xmlns="http://schemas.openxmlformats.org/package/2006/relationships"><Relationship Type="http://schemas.openxmlformats.org/officeDocument/2006/relationships/drawing" Target="/xl/drawings/drawing3.xml" Id="Rcd03e488f0da46b8" /></Relationships>
</file>

<file path=xl/worksheets/_rels/sheet24.xml.rels>&#65279;<?xml version="1.0" encoding="utf-8"?><Relationships xmlns="http://schemas.openxmlformats.org/package/2006/relationships"><Relationship Type="http://schemas.openxmlformats.org/officeDocument/2006/relationships/drawing" Target="/xl/drawings/drawing4.xml" Id="R29debf19a2a340e2" /></Relationships>
</file>

<file path=xl/worksheets/_rels/sheet26.xml.rels>&#65279;<?xml version="1.0" encoding="utf-8"?><Relationships xmlns="http://schemas.openxmlformats.org/package/2006/relationships"><Relationship Type="http://schemas.openxmlformats.org/officeDocument/2006/relationships/table" Target="/xl/tables/table2.xml" Id="R9f0c3c81136142fa" /></Relationships>
</file>

<file path=xl/worksheets/_rels/sheet27.xml.rels>&#65279;<?xml version="1.0" encoding="utf-8"?><Relationships xmlns="http://schemas.openxmlformats.org/package/2006/relationships"><Relationship Type="http://schemas.openxmlformats.org/officeDocument/2006/relationships/drawing" Target="/xl/drawings/drawing5.xml" Id="Rfda98570caad410b" /></Relationships>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7" hidden="0" customWidth="1"/>
    <x:col min="3" max="3" width="9.199999809265137" hidden="0" customWidth="1"/>
    <x:col min="4" max="4" width="9.199999809265137" hidden="0" customWidth="1"/>
    <x:col min="5" max="5" width="9.199999809265137" hidden="0" customWidth="1"/>
    <x:col min="6" max="6" width="9.199999809265137" hidden="0" customWidth="1"/>
    <x:col min="7" max="7" width="9.199999809265137" hidden="0" customWidth="1"/>
    <x:col min="8" max="8" width="9.199999809265137" hidden="0" customWidth="1"/>
    <x:col min="9" max="9" width="9.199999809265137" hidden="0" customWidth="1"/>
    <x:col min="10" max="10" width="9.199999809265137" hidden="0" customWidth="1"/>
    <x:col min="11" max="11" width="9.199999809265137" hidden="0" customWidth="1"/>
    <x:col min="12" max="12" width="9.199999809265137" hidden="0" customWidth="1"/>
    <x:col min="13" max="13" width="9.199999809265137" hidden="0" customWidth="1"/>
    <x:col min="14" max="14" width="9.199999809265137" hidden="0" customWidth="1"/>
    <x:col min="15" max="15" width="9.199999809265137" hidden="0" customWidth="1"/>
    <x:col min="16" max="16" width="9.199999809265137" hidden="0" customWidth="1"/>
    <x:col min="17" max="17" width="9.199999809265137" hidden="0" customWidth="1"/>
    <x:col min="18" max="18" width="9.199999809265137" hidden="0" customWidth="1"/>
    <x:col min="19" max="19" width="9.199999809265137" hidden="0" customWidth="1"/>
    <x:col min="20" max="20" width="9.199999809265137" hidden="0" customWidth="1"/>
    <x:col min="21" max="21" width="9.199999809265137" hidden="0" customWidth="1"/>
    <x:col min="22" max="22" width="9.199999809265137" hidden="0" customWidth="1"/>
    <x:col min="23" max="23" width="9.199999809265137" hidden="0" customWidth="1"/>
    <x:col min="24" max="24" width="9.199999809265137" hidden="0" customWidth="1"/>
  </x:cols>
  <x:sheetData>
    <x:row r="1" ht="19" customHeight="1">
      <x:c r="A1" s="153" t="str">
        <x:v>M</x:v>
      </x:c>
      <x:c r="B1" s="153"/>
      <x:c r="C1" s="155" t="str">
        <x:v>CHIEF INVESTMENT STEWARD CONSOLE (CISC)</x:v>
      </x:c>
      <x:c r="D1" s="155"/>
      <x:c r="E1" s="155"/>
      <x:c r="F1" s="155"/>
      <x:c r="G1" s="155"/>
      <x:c r="H1" s="155"/>
      <x:c r="I1" s="155"/>
      <x:c r="J1" s="155"/>
      <x:c r="K1" s="155"/>
      <x:c r="L1" s="155"/>
      <x:c r="M1" s="155"/>
      <x:c r="N1" s="155"/>
      <x:c r="O1" s="155"/>
      <x:c r="P1" s="155"/>
      <x:c r="Q1" s="155"/>
      <x:c r="R1" s="155"/>
      <x:c r="S1" s="160" t="n">
        <x:f>'01 Dashboard Controls'!B6</x:f>
        <x:v>46229</x:v>
      </x:c>
      <x:c r="T1" s="159"/>
      <x:c r="U1" s="159"/>
      <x:c r="V1" s="162" t="str">
        <x:v>CISC-001
EXECUTIVE CONSOLE
v1.0</x:v>
      </x:c>
      <x:c r="W1" s="162"/>
      <x:c r="X1" s="162"/>
    </x:row>
    <x:row r="2" ht="19" customHeight="1">
      <x:c r="A2" s="153"/>
      <x:c r="B2" s="153"/>
      <x:c r="C2" s="155"/>
      <x:c r="D2" s="155"/>
      <x:c r="E2" s="155"/>
      <x:c r="F2" s="155"/>
      <x:c r="G2" s="155"/>
      <x:c r="H2" s="155"/>
      <x:c r="I2" s="155"/>
      <x:c r="J2" s="155"/>
      <x:c r="K2" s="155"/>
      <x:c r="L2" s="155"/>
      <x:c r="M2" s="155"/>
      <x:c r="N2" s="155"/>
      <x:c r="O2" s="155"/>
      <x:c r="P2" s="155"/>
      <x:c r="Q2" s="155"/>
      <x:c r="R2" s="155"/>
      <x:c r="S2" s="159"/>
      <x:c r="T2" s="159"/>
      <x:c r="U2" s="159"/>
      <x:c r="V2" s="162"/>
      <x:c r="W2" s="162"/>
      <x:c r="X2" s="162"/>
    </x:row>
    <x:row r="3" ht="19" customHeight="1">
      <x:c r="A3" s="153"/>
      <x:c r="B3" s="153"/>
      <x:c r="C3" s="157" t="str">
        <x:v>MANIFEST INSTITUTIONAL INVESTMENT SYSTEM</x:v>
      </x:c>
      <x:c r="D3" s="157"/>
      <x:c r="E3" s="157"/>
      <x:c r="F3" s="157"/>
      <x:c r="G3" s="157"/>
      <x:c r="H3" s="157"/>
      <x:c r="I3" s="157"/>
      <x:c r="J3" s="157"/>
      <x:c r="K3" s="157"/>
      <x:c r="L3" s="157"/>
      <x:c r="M3" s="157"/>
      <x:c r="N3" s="157"/>
      <x:c r="O3" s="157"/>
      <x:c r="P3" s="157"/>
      <x:c r="Q3" s="157"/>
      <x:c r="R3" s="157"/>
      <x:c r="S3" s="159"/>
      <x:c r="T3" s="159"/>
      <x:c r="U3" s="159"/>
      <x:c r="V3" s="162"/>
      <x:c r="W3" s="162"/>
      <x:c r="X3" s="162"/>
    </x:row>
    <x:row r="4" ht="19" customHeight="1">
      <x:c r="A4" s="150"/>
      <x:c r="B4" s="150"/>
      <x:c r="C4" s="150"/>
      <x:c r="D4" s="150"/>
      <x:c r="E4" s="150"/>
      <x:c r="F4" s="150"/>
      <x:c r="G4" s="150"/>
      <x:c r="H4" s="150"/>
      <x:c r="I4" s="150"/>
      <x:c r="J4" s="150"/>
      <x:c r="K4" s="150"/>
      <x:c r="L4" s="150"/>
      <x:c r="M4" s="150"/>
      <x:c r="N4" s="150"/>
      <x:c r="O4" s="150"/>
      <x:c r="P4" s="150"/>
      <x:c r="Q4" s="150"/>
      <x:c r="R4" s="150"/>
      <x:c r="S4" s="150"/>
      <x:c r="T4" s="150"/>
      <x:c r="U4" s="150"/>
      <x:c r="V4" s="150"/>
      <x:c r="W4" s="150"/>
      <x:c r="X4" s="150"/>
    </x:row>
    <x:row r="5" ht="19" customHeight="1">
      <x:c r="A5" s="162" t="str">
        <x:v>1
EXECUTIVE
STATUS</x:v>
      </x:c>
      <x:c r="B5" s="162"/>
      <x:c r="C5" s="164" t="str">
        <x:v>MANIFEST COMPOSITE ALIGNMENT GAUGE</x:v>
      </x:c>
      <x:c r="D5" s="164"/>
      <x:c r="E5" s="164"/>
      <x:c r="F5" s="164"/>
      <x:c r="G5" s="164"/>
      <x:c r="H5" s="164"/>
      <x:c r="I5" s="164"/>
      <x:c r="J5" s="164"/>
      <x:c r="K5" s="164" t="str">
        <x:v>INSTITUTIONAL COMPASS</x:v>
      </x:c>
      <x:c r="L5" s="164"/>
      <x:c r="M5" s="164"/>
      <x:c r="N5" s="164"/>
      <x:c r="O5" s="164"/>
      <x:c r="P5" s="164"/>
      <x:c r="Q5" s="164" t="str">
        <x:v>EXECUTIVE RECOMMENDATION</x:v>
      </x:c>
      <x:c r="R5" s="164"/>
      <x:c r="S5" s="164"/>
      <x:c r="T5" s="164"/>
      <x:c r="U5" s="164"/>
      <x:c r="V5" s="164"/>
      <x:c r="W5" s="164"/>
      <x:c r="X5" s="164"/>
    </x:row>
    <x:row r="6" ht="19" customHeight="1">
      <x:c r="A6" s="162"/>
      <x:c r="B6" s="162"/>
      <x:c r="C6" s="150"/>
      <x:c r="D6" s="150"/>
      <x:c r="E6" s="150"/>
      <x:c r="F6" s="150"/>
      <x:c r="G6" s="150"/>
      <x:c r="H6" s="150"/>
      <x:c r="I6" s="150"/>
      <x:c r="J6" s="150"/>
      <x:c r="K6" s="176" t="str">
        <x:v>↗</x:v>
      </x:c>
      <x:c r="L6" s="176"/>
      <x:c r="M6" s="176"/>
      <x:c r="N6" s="178" t="str">
        <x:v>CURRENT POSTURE</x:v>
      </x:c>
      <x:c r="O6" s="178"/>
      <x:c r="P6" s="178"/>
      <x:c r="Q6" s="187" t="str">
        <x:f>IF('02 Decision Center'!B6="COMMITTEE ACTION REQUIRED","REVIEW IDENTIFIED DECISIONS","MAINTAIN PORTFOLIO CONSTRUCTION")</x:f>
        <x:v>MAINTAIN PORTFOLIO CONSTRUCTION</x:v>
      </x:c>
      <x:c r="R6" s="187"/>
      <x:c r="S6" s="187"/>
      <x:c r="T6" s="187"/>
      <x:c r="U6" s="187"/>
      <x:c r="V6" s="187"/>
      <x:c r="W6" s="187"/>
      <x:c r="X6" s="187"/>
    </x:row>
    <x:row r="7" ht="19" customHeight="1">
      <x:c r="A7" s="162"/>
      <x:c r="B7" s="162"/>
      <x:c r="C7" s="150"/>
      <x:c r="D7" s="150"/>
      <x:c r="E7" s="150"/>
      <x:c r="F7" s="150"/>
      <x:c r="G7" s="150"/>
      <x:c r="H7" s="150"/>
      <x:c r="I7" s="150"/>
      <x:c r="J7" s="150"/>
      <x:c r="K7" s="176"/>
      <x:c r="L7" s="176"/>
      <x:c r="M7" s="176"/>
      <x:c r="N7" s="178"/>
      <x:c r="O7" s="178"/>
      <x:c r="P7" s="178"/>
      <x:c r="Q7" s="187"/>
      <x:c r="R7" s="187"/>
      <x:c r="S7" s="187"/>
      <x:c r="T7" s="187"/>
      <x:c r="U7" s="187"/>
      <x:c r="V7" s="187"/>
      <x:c r="W7" s="187"/>
      <x:c r="X7" s="187"/>
    </x:row>
    <x:row r="8" ht="19" customHeight="1">
      <x:c r="A8" s="162"/>
      <x:c r="B8" s="162"/>
      <x:c r="C8" s="150"/>
      <x:c r="D8" s="150"/>
      <x:c r="E8" s="150"/>
      <x:c r="F8" s="150"/>
      <x:c r="G8" s="150"/>
      <x:c r="H8" s="150"/>
      <x:c r="I8" s="150"/>
      <x:c r="J8" s="150"/>
      <x:c r="K8" s="176"/>
      <x:c r="L8" s="176"/>
      <x:c r="M8" s="176"/>
      <x:c r="N8" s="178"/>
      <x:c r="O8" s="178"/>
      <x:c r="P8" s="178"/>
      <x:c r="Q8" s="187"/>
      <x:c r="R8" s="187"/>
      <x:c r="S8" s="187"/>
      <x:c r="T8" s="187"/>
      <x:c r="U8" s="187"/>
      <x:c r="V8" s="187"/>
      <x:c r="W8" s="187"/>
      <x:c r="X8" s="187"/>
    </x:row>
    <x:row r="9" ht="19" customHeight="1">
      <x:c r="A9" s="162"/>
      <x:c r="B9" s="162"/>
      <x:c r="C9" s="150"/>
      <x:c r="D9" s="150"/>
      <x:c r="E9" s="150"/>
      <x:c r="F9" s="150"/>
      <x:c r="G9" s="150"/>
      <x:c r="H9" s="150"/>
      <x:c r="I9" s="150"/>
      <x:c r="J9" s="150"/>
      <x:c r="K9" s="176"/>
      <x:c r="L9" s="176"/>
      <x:c r="M9" s="176"/>
      <x:c r="N9" s="181" t="str">
        <x:f>'01 Dashboard Controls'!B29</x:f>
        <x:v>MAINTAIN STRATEGIC ALLOCATION</x:v>
      </x:c>
      <x:c r="O9" s="181"/>
      <x:c r="P9" s="181"/>
      <x:c r="Q9" s="187"/>
      <x:c r="R9" s="187"/>
      <x:c r="S9" s="187"/>
      <x:c r="T9" s="187"/>
      <x:c r="U9" s="187"/>
      <x:c r="V9" s="187"/>
      <x:c r="W9" s="187"/>
      <x:c r="X9" s="187"/>
    </x:row>
    <x:row r="10" ht="19" customHeight="1">
      <x:c r="A10" s="162"/>
      <x:c r="B10" s="162"/>
      <x:c r="C10" s="150"/>
      <x:c r="D10" s="150"/>
      <x:c r="E10" s="150"/>
      <x:c r="F10" s="150"/>
      <x:c r="G10" s="150"/>
      <x:c r="H10" s="150"/>
      <x:c r="I10" s="150"/>
      <x:c r="J10" s="150"/>
      <x:c r="K10" s="176"/>
      <x:c r="L10" s="176"/>
      <x:c r="M10" s="176"/>
      <x:c r="N10" s="181"/>
      <x:c r="O10" s="181"/>
      <x:c r="P10" s="181"/>
      <x:c r="Q10" s="190" t="str">
        <x:f>IF('02 Decision Center'!B6="DATA UPDATE REQUIRED","Actual weights must be loaded before live rebalancing review.",IF('02 Decision Center'!B6="COMMITTEE ACTION REQUIRED","Committee review required. No automatic trades are authorized.","No structural changes recommended. Continue disciplined monitoring."))</x:f>
        <x:v>Actual weights must be loaded before live rebalancing review.</x:v>
      </x:c>
      <x:c r="R10" s="190"/>
      <x:c r="S10" s="190"/>
      <x:c r="T10" s="190"/>
      <x:c r="U10" s="190"/>
      <x:c r="V10" s="190"/>
      <x:c r="W10" s="190"/>
      <x:c r="X10" s="190"/>
    </x:row>
    <x:row r="11" ht="19" customHeight="1">
      <x:c r="A11" s="162"/>
      <x:c r="B11" s="162"/>
      <x:c r="C11" s="150"/>
      <x:c r="D11" s="150"/>
      <x:c r="E11" s="150"/>
      <x:c r="F11" s="150"/>
      <x:c r="G11" s="150"/>
      <x:c r="H11" s="150"/>
      <x:c r="I11" s="150"/>
      <x:c r="J11" s="150"/>
      <x:c r="K11" s="176"/>
      <x:c r="L11" s="176"/>
      <x:c r="M11" s="176"/>
      <x:c r="N11" s="181"/>
      <x:c r="O11" s="181"/>
      <x:c r="P11" s="181"/>
      <x:c r="Q11" s="190"/>
      <x:c r="R11" s="190"/>
      <x:c r="S11" s="190"/>
      <x:c r="T11" s="190"/>
      <x:c r="U11" s="190"/>
      <x:c r="V11" s="190"/>
      <x:c r="W11" s="190"/>
      <x:c r="X11" s="190"/>
    </x:row>
    <x:row r="12" ht="19" customHeight="1">
      <x:c r="A12" s="162"/>
      <x:c r="B12" s="162"/>
      <x:c r="C12" s="168" t="n">
        <x:f>'01 Dashboard Controls'!B27</x:f>
        <x:v>0.6200000000000001</x:v>
      </x:c>
      <x:c r="D12" s="167"/>
      <x:c r="E12" s="167"/>
      <x:c r="F12" s="170" t="str">
        <x:v>TREND</x:v>
      </x:c>
      <x:c r="G12" s="173" t="n">
        <x:f>'01 Dashboard Controls'!B28</x:f>
        <x:v>0.04000000000000015</x:v>
      </x:c>
      <x:c r="H12" s="172"/>
      <x:c r="I12" s="172"/>
      <x:c r="J12" s="172"/>
      <x:c r="K12" s="176"/>
      <x:c r="L12" s="176"/>
      <x:c r="M12" s="176"/>
      <x:c r="N12" s="181"/>
      <x:c r="O12" s="181"/>
      <x:c r="P12" s="181"/>
      <x:c r="Q12" s="190"/>
      <x:c r="R12" s="190"/>
      <x:c r="S12" s="190"/>
      <x:c r="T12" s="190"/>
      <x:c r="U12" s="190"/>
      <x:c r="V12" s="190"/>
      <x:c r="W12" s="190"/>
      <x:c r="X12" s="190"/>
    </x:row>
    <x:row r="13" ht="19" customHeight="1">
      <x:c r="A13" s="162"/>
      <x:c r="B13" s="162"/>
      <x:c r="C13" s="167"/>
      <x:c r="D13" s="167"/>
      <x:c r="E13" s="167"/>
      <x:c r="F13" s="170" t="str">
        <x:v>CONFIDENCE</x:v>
      </x:c>
      <x:c r="G13" s="174" t="n">
        <x:f>'01 Dashboard Controls'!B11</x:f>
        <x:v>0.72</x:v>
      </x:c>
      <x:c r="H13" s="172"/>
      <x:c r="I13" s="172"/>
      <x:c r="J13" s="172"/>
      <x:c r="K13" s="183" t="str">
        <x:f>"DISCIPLINED   •   BALANCED   •   "&amp;'01 Dashboard Controls'!B30</x:f>
        <x:v>DISCIPLINED   •   BALANCED   •   OPPORTUNISTIC</x:v>
      </x:c>
      <x:c r="L13" s="183"/>
      <x:c r="M13" s="183"/>
      <x:c r="N13" s="183"/>
      <x:c r="O13" s="183"/>
      <x:c r="P13" s="183"/>
      <x:c r="Q13" s="190"/>
      <x:c r="R13" s="190"/>
      <x:c r="S13" s="190"/>
      <x:c r="T13" s="190"/>
      <x:c r="U13" s="190"/>
      <x:c r="V13" s="190"/>
      <x:c r="W13" s="190"/>
      <x:c r="X13" s="190"/>
    </x:row>
    <x:row r="14" ht="19" customHeight="1">
      <x:c r="A14" s="162"/>
      <x:c r="B14" s="162"/>
      <x:c r="C14" s="167"/>
      <x:c r="D14" s="167"/>
      <x:c r="E14" s="167"/>
      <x:c r="F14" s="170" t="str">
        <x:v>PREVIOUS WEEK</x:v>
      </x:c>
      <x:c r="G14" s="173" t="n">
        <x:f>'01 Dashboard Controls'!B10</x:f>
        <x:v>0.58</x:v>
      </x:c>
      <x:c r="H14" s="172"/>
      <x:c r="I14" s="172"/>
      <x:c r="J14" s="172"/>
      <x:c r="K14" s="183"/>
      <x:c r="L14" s="183"/>
      <x:c r="M14" s="183"/>
      <x:c r="N14" s="183"/>
      <x:c r="O14" s="183"/>
      <x:c r="P14" s="183"/>
      <x:c r="Q14" s="192" t="str">
        <x:f>"NEXT REVIEW: "&amp;TEXT('01 Dashboard Controls'!B12,"dddd, mmm d, yyyy")</x:f>
        <x:v>NEXT REVIEW: Monday, Jul 27, 2026</x:v>
      </x:c>
      <x:c r="R14" s="192"/>
      <x:c r="S14" s="192"/>
      <x:c r="T14" s="192"/>
      <x:c r="U14" s="192"/>
      <x:c r="V14" s="192"/>
      <x:c r="W14" s="192"/>
      <x:c r="X14" s="192"/>
    </x:row>
    <x:row r="15" ht="19" customHeight="1">
      <x:c r="A15" s="162"/>
      <x:c r="B15" s="162"/>
      <x:c r="C15" s="167"/>
      <x:c r="D15" s="167"/>
      <x:c r="E15" s="167"/>
      <x:c r="F15" s="170" t="str">
        <x:v>CLASSIFICATION</x:v>
      </x:c>
      <x:c r="G15" s="172" t="str">
        <x:f>'01 Dashboard Controls'!B31</x:f>
        <x:v>GREEN / STRONG ALIGNMENT</x:v>
      </x:c>
      <x:c r="H15" s="172"/>
      <x:c r="I15" s="172"/>
      <x:c r="J15" s="172"/>
      <x:c r="K15" s="183"/>
      <x:c r="L15" s="183"/>
      <x:c r="M15" s="183"/>
      <x:c r="N15" s="183"/>
      <x:c r="O15" s="183"/>
      <x:c r="P15" s="183"/>
      <x:c r="Q15" s="192"/>
      <x:c r="R15" s="192"/>
      <x:c r="S15" s="192"/>
      <x:c r="T15" s="192"/>
      <x:c r="U15" s="192"/>
      <x:c r="V15" s="192"/>
      <x:c r="W15" s="192"/>
      <x:c r="X15" s="192"/>
    </x:row>
    <x:row r="16" ht="19" customHeight="1">
      <x:c r="A16" s="150"/>
      <x:c r="B16" s="150"/>
      <x:c r="C16" s="150"/>
      <x:c r="D16" s="150"/>
      <x:c r="E16" s="150"/>
      <x:c r="F16" s="150"/>
      <x:c r="G16" s="150"/>
      <x:c r="H16" s="150"/>
      <x:c r="I16" s="150"/>
      <x:c r="J16" s="150"/>
      <x:c r="K16" s="150"/>
      <x:c r="L16" s="150"/>
      <x:c r="M16" s="150"/>
      <x:c r="N16" s="150"/>
      <x:c r="O16" s="150"/>
      <x:c r="P16" s="150"/>
      <x:c r="Q16" s="150"/>
      <x:c r="R16" s="150"/>
      <x:c r="S16" s="150"/>
      <x:c r="T16" s="150"/>
      <x:c r="U16" s="150"/>
      <x:c r="V16" s="150"/>
      <x:c r="W16" s="150"/>
      <x:c r="X16" s="150"/>
    </x:row>
    <x:row r="17" ht="19" customHeight="1">
      <x:c r="A17" s="162" t="str">
        <x:v>2
PORTFOLIO
HEALTH</x:v>
      </x:c>
      <x:c r="B17" s="162"/>
      <x:c r="C17" s="164" t="str">
        <x:v>SLEEVE ALLOCATION</x:v>
      </x:c>
      <x:c r="D17" s="164"/>
      <x:c r="E17" s="164"/>
      <x:c r="F17" s="164"/>
      <x:c r="G17" s="164"/>
      <x:c r="H17" s="164"/>
      <x:c r="I17" s="164"/>
      <x:c r="J17" s="164" t="str">
        <x:v>TOP 10 HOLDINGS</x:v>
      </x:c>
      <x:c r="K17" s="164"/>
      <x:c r="L17" s="164"/>
      <x:c r="M17" s="164"/>
      <x:c r="N17" s="164"/>
      <x:c r="O17" s="164"/>
      <x:c r="P17" s="164"/>
      <x:c r="Q17" s="164" t="str">
        <x:v>ALLOCATION ALERTS</x:v>
      </x:c>
      <x:c r="R17" s="164"/>
      <x:c r="S17" s="164"/>
      <x:c r="T17" s="164"/>
      <x:c r="U17" s="164"/>
      <x:c r="V17" s="164"/>
      <x:c r="W17" s="164"/>
      <x:c r="X17" s="164"/>
    </x:row>
    <x:row r="18" ht="19" customHeight="1">
      <x:c r="A18" s="162"/>
      <x:c r="B18" s="162"/>
      <x:c r="C18" s="150"/>
      <x:c r="D18" s="150"/>
      <x:c r="E18" s="150"/>
      <x:c r="F18" s="150"/>
      <x:c r="G18" s="150"/>
      <x:c r="H18" s="150"/>
      <x:c r="I18" s="150"/>
      <x:c r="J18" s="90" t="str">
        <x:v>Rank</x:v>
      </x:c>
      <x:c r="K18" s="90" t="str">
        <x:v>Holding</x:v>
      </x:c>
      <x:c r="L18" s="90"/>
      <x:c r="M18" s="90" t="str">
        <x:v>Weight</x:v>
      </x:c>
      <x:c r="N18" s="90" t="str">
        <x:v>Role</x:v>
      </x:c>
      <x:c r="O18" s="90"/>
      <x:c r="P18" s="90" t="str">
        <x:v>Conviction</x:v>
      </x:c>
      <x:c r="Q18" s="90" t="str">
        <x:v>Rank</x:v>
      </x:c>
      <x:c r="R18" s="90" t="str">
        <x:v>Holding</x:v>
      </x:c>
      <x:c r="S18" s="90" t="str">
        <x:v>Actual</x:v>
      </x:c>
      <x:c r="T18" s="90" t="str">
        <x:v>Target</x:v>
      </x:c>
      <x:c r="U18" s="90" t="str">
        <x:v>Variance</x:v>
      </x:c>
      <x:c r="V18" s="90" t="str">
        <x:v>Status</x:v>
      </x:c>
      <x:c r="W18" s="90"/>
      <x:c r="X18" s="90" t="str">
        <x:v>Action</x:v>
      </x:c>
    </x:row>
    <x:row r="19" ht="19" customHeight="1">
      <x:c r="A19" s="162"/>
      <x:c r="B19" s="162"/>
      <x:c r="C19" s="150"/>
      <x:c r="D19" s="150"/>
      <x:c r="E19" s="150"/>
      <x:c r="F19" s="150"/>
      <x:c r="G19" s="150"/>
      <x:c r="H19" s="150"/>
      <x:c r="I19" s="150"/>
      <x:c r="J19" s="198" t="n">
        <x:f>'99 Dashboard Data'!R2</x:f>
        <x:v>1</x:v>
      </x:c>
      <x:c r="K19" s="198" t="str">
        <x:f>'99 Dashboard Data'!S2</x:f>
        <x:v>BRK.B</x:v>
      </x:c>
      <x:c r="L19" s="198"/>
      <x:c r="M19" s="199" t="n">
        <x:f>'99 Dashboard Data'!U2</x:f>
        <x:v>0.0302</x:v>
      </x:c>
      <x:c r="N19" s="198" t="str">
        <x:f>'99 Dashboard Data'!V2</x:f>
        <x:v>Diversified capital-allocation anchor</x:v>
      </x:c>
      <x:c r="O19" s="198"/>
      <x:c r="P19" s="198" t="str">
        <x:f>'99 Dashboard Data'!W2</x:f>
        <x:v>Unassigned</x:v>
      </x:c>
      <x:c r="Q19" s="198" t="n">
        <x:f>IF(R19="","",'99 Dashboard Data'!R15)</x:f>
        <x:v>1</x:v>
      </x:c>
      <x:c r="R19" s="198" t="str">
        <x:f>IF(OR('99 Dashboard Data'!S15=0,'99 Dashboard Data'!S15=""),"",'99 Dashboard Data'!S15)</x:f>
        <x:v>BRK.B</x:v>
      </x:c>
      <x:c r="S19" s="199" t="n">
        <x:f>IF(R19="","",'99 Dashboard Data'!T15)</x:f>
        <x:v>0</x:v>
      </x:c>
      <x:c r="T19" s="199" t="n">
        <x:f>IF(R19="","",'99 Dashboard Data'!U15)</x:f>
        <x:v>0.0302</x:v>
      </x:c>
      <x:c r="U19" s="199" t="n">
        <x:f>IF(R19="","",'99 Dashboard Data'!V15)</x:f>
        <x:v>-0.0302</x:v>
      </x:c>
      <x:c r="V19" s="198" t="str">
        <x:f>IF(R19="","",'99 Dashboard Data'!W15)</x:f>
        <x:v>Not entered</x:v>
      </x:c>
      <x:c r="W19" s="198"/>
      <x:c r="X19" s="198" t="str">
        <x:f>IF(R19="","",'99 Dashboard Data'!X15)</x:f>
        <x:v>Enter actual weight</x:v>
      </x:c>
    </x:row>
    <x:row r="20" ht="19" customHeight="1">
      <x:c r="A20" s="162"/>
      <x:c r="B20" s="162"/>
      <x:c r="C20" s="150"/>
      <x:c r="D20" s="150"/>
      <x:c r="E20" s="150"/>
      <x:c r="F20" s="150"/>
      <x:c r="G20" s="150"/>
      <x:c r="H20" s="150"/>
      <x:c r="I20" s="150"/>
      <x:c r="J20" s="198" t="n">
        <x:f>'99 Dashboard Data'!R3</x:f>
        <x:v>2</x:v>
      </x:c>
      <x:c r="K20" s="198" t="str">
        <x:f>'99 Dashboard Data'!S3</x:f>
        <x:v>COST</x:v>
      </x:c>
      <x:c r="L20" s="198"/>
      <x:c r="M20" s="199" t="n">
        <x:f>'99 Dashboard Data'!U3</x:f>
        <x:v>0.0302</x:v>
      </x:c>
      <x:c r="N20" s="198" t="str">
        <x:f>'99 Dashboard Data'!V3</x:f>
        <x:v>Consumer-resilience anchor</x:v>
      </x:c>
      <x:c r="O20" s="198"/>
      <x:c r="P20" s="198" t="str">
        <x:f>'99 Dashboard Data'!W3</x:f>
        <x:v>Unassigned</x:v>
      </x:c>
      <x:c r="Q20" s="198" t="n">
        <x:f>IF(R20="","",'99 Dashboard Data'!R16)</x:f>
        <x:v>2</x:v>
      </x:c>
      <x:c r="R20" s="198" t="str">
        <x:f>IF(OR('99 Dashboard Data'!S16=0,'99 Dashboard Data'!S16=""),"",'99 Dashboard Data'!S16)</x:f>
        <x:v>COST</x:v>
      </x:c>
      <x:c r="S20" s="199" t="n">
        <x:f>IF(R20="","",'99 Dashboard Data'!T16)</x:f>
        <x:v>0</x:v>
      </x:c>
      <x:c r="T20" s="199" t="n">
        <x:f>IF(R20="","",'99 Dashboard Data'!U16)</x:f>
        <x:v>0.0302</x:v>
      </x:c>
      <x:c r="U20" s="199" t="n">
        <x:f>IF(R20="","",'99 Dashboard Data'!V16)</x:f>
        <x:v>-0.0302</x:v>
      </x:c>
      <x:c r="V20" s="198" t="str">
        <x:f>IF(R20="","",'99 Dashboard Data'!W16)</x:f>
        <x:v>Not entered</x:v>
      </x:c>
      <x:c r="W20" s="198"/>
      <x:c r="X20" s="198" t="str">
        <x:f>IF(R20="","",'99 Dashboard Data'!X16)</x:f>
        <x:v>Enter actual weight</x:v>
      </x:c>
    </x:row>
    <x:row r="21" ht="19" customHeight="1">
      <x:c r="A21" s="162"/>
      <x:c r="B21" s="162"/>
      <x:c r="C21" s="150"/>
      <x:c r="D21" s="150"/>
      <x:c r="E21" s="150"/>
      <x:c r="F21" s="150"/>
      <x:c r="G21" s="150"/>
      <x:c r="H21" s="150"/>
      <x:c r="I21" s="150"/>
      <x:c r="J21" s="198" t="n">
        <x:f>'99 Dashboard Data'!R4</x:f>
        <x:v>3</x:v>
      </x:c>
      <x:c r="K21" s="198" t="str">
        <x:f>'99 Dashboard Data'!S4</x:f>
        <x:v>JNJ</x:v>
      </x:c>
      <x:c r="L21" s="198"/>
      <x:c r="M21" s="199" t="n">
        <x:f>'99 Dashboard Data'!U4</x:f>
        <x:v>0.0302</x:v>
      </x:c>
      <x:c r="N21" s="198" t="str">
        <x:f>'99 Dashboard Data'!V4</x:f>
        <x:v>Healthcare and life-sciences resilience anchor</x:v>
      </x:c>
      <x:c r="O21" s="198"/>
      <x:c r="P21" s="198" t="str">
        <x:f>'99 Dashboard Data'!W4</x:f>
        <x:v>Unassigned</x:v>
      </x:c>
      <x:c r="Q21" s="198" t="n">
        <x:f>IF(R21="","",'99 Dashboard Data'!R17)</x:f>
        <x:v>3</x:v>
      </x:c>
      <x:c r="R21" s="198" t="str">
        <x:f>IF(OR('99 Dashboard Data'!S17=0,'99 Dashboard Data'!S17=""),"",'99 Dashboard Data'!S17)</x:f>
        <x:v>JNJ</x:v>
      </x:c>
      <x:c r="S21" s="199" t="n">
        <x:f>IF(R21="","",'99 Dashboard Data'!T17)</x:f>
        <x:v>0</x:v>
      </x:c>
      <x:c r="T21" s="199" t="n">
        <x:f>IF(R21="","",'99 Dashboard Data'!U17)</x:f>
        <x:v>0.0302</x:v>
      </x:c>
      <x:c r="U21" s="199" t="n">
        <x:f>IF(R21="","",'99 Dashboard Data'!V17)</x:f>
        <x:v>-0.0302</x:v>
      </x:c>
      <x:c r="V21" s="198" t="str">
        <x:f>IF(R21="","",'99 Dashboard Data'!W17)</x:f>
        <x:v>Not entered</x:v>
      </x:c>
      <x:c r="W21" s="198"/>
      <x:c r="X21" s="198" t="str">
        <x:f>IF(R21="","",'99 Dashboard Data'!X17)</x:f>
        <x:v>Enter actual weight</x:v>
      </x:c>
    </x:row>
    <x:row r="22" ht="19" customHeight="1">
      <x:c r="A22" s="162"/>
      <x:c r="B22" s="162"/>
      <x:c r="C22" s="150"/>
      <x:c r="D22" s="150"/>
      <x:c r="E22" s="150"/>
      <x:c r="F22" s="150"/>
      <x:c r="G22" s="150"/>
      <x:c r="H22" s="150"/>
      <x:c r="I22" s="150"/>
      <x:c r="J22" s="198" t="n">
        <x:f>'99 Dashboard Data'!R5</x:f>
        <x:v>4</x:v>
      </x:c>
      <x:c r="K22" s="198" t="str">
        <x:f>'99 Dashboard Data'!S5</x:f>
        <x:v>MSFT</x:v>
      </x:c>
      <x:c r="L22" s="198"/>
      <x:c r="M22" s="199" t="n">
        <x:f>'99 Dashboard Data'!U5</x:f>
        <x:v>0.0302</x:v>
      </x:c>
      <x:c r="N22" s="198" t="str">
        <x:f>'99 Dashboard Data'!V5</x:f>
        <x:v>Enterprise technology and AI platform anchor</x:v>
      </x:c>
      <x:c r="O22" s="198"/>
      <x:c r="P22" s="198" t="str">
        <x:f>'99 Dashboard Data'!W5</x:f>
        <x:v>Unassigned</x:v>
      </x:c>
      <x:c r="Q22" s="198" t="n">
        <x:f>IF(R22="","",'99 Dashboard Data'!R18)</x:f>
        <x:v>4</x:v>
      </x:c>
      <x:c r="R22" s="198" t="str">
        <x:f>IF(OR('99 Dashboard Data'!S18=0,'99 Dashboard Data'!S18=""),"",'99 Dashboard Data'!S18)</x:f>
        <x:v>MSFT</x:v>
      </x:c>
      <x:c r="S22" s="199" t="n">
        <x:f>IF(R22="","",'99 Dashboard Data'!T18)</x:f>
        <x:v>0</x:v>
      </x:c>
      <x:c r="T22" s="199" t="n">
        <x:f>IF(R22="","",'99 Dashboard Data'!U18)</x:f>
        <x:v>0.0302</x:v>
      </x:c>
      <x:c r="U22" s="199" t="n">
        <x:f>IF(R22="","",'99 Dashboard Data'!V18)</x:f>
        <x:v>-0.0302</x:v>
      </x:c>
      <x:c r="V22" s="198" t="str">
        <x:f>IF(R22="","",'99 Dashboard Data'!W18)</x:f>
        <x:v>Not entered</x:v>
      </x:c>
      <x:c r="W22" s="198"/>
      <x:c r="X22" s="198" t="str">
        <x:f>IF(R22="","",'99 Dashboard Data'!X18)</x:f>
        <x:v>Enter actual weight</x:v>
      </x:c>
    </x:row>
    <x:row r="23" ht="19" customHeight="1">
      <x:c r="A23" s="162"/>
      <x:c r="B23" s="162"/>
      <x:c r="C23" s="150"/>
      <x:c r="D23" s="150"/>
      <x:c r="E23" s="150"/>
      <x:c r="F23" s="150"/>
      <x:c r="G23" s="150"/>
      <x:c r="H23" s="150"/>
      <x:c r="I23" s="150"/>
      <x:c r="J23" s="198" t="n">
        <x:f>'99 Dashboard Data'!R6</x:f>
        <x:v>5</x:v>
      </x:c>
      <x:c r="K23" s="198" t="str">
        <x:f>'99 Dashboard Data'!S6</x:f>
        <x:v>AVGO</x:v>
      </x:c>
      <x:c r="L23" s="198"/>
      <x:c r="M23" s="199" t="n">
        <x:f>'99 Dashboard Data'!U6</x:f>
        <x:v>0.0302</x:v>
      </x:c>
      <x:c r="N23" s="198" t="str">
        <x:f>'99 Dashboard Data'!V6</x:f>
        <x:v>Semiconductor and infrastructure-software compounder</x:v>
      </x:c>
      <x:c r="O23" s="198"/>
      <x:c r="P23" s="198" t="str">
        <x:f>'99 Dashboard Data'!W6</x:f>
        <x:v>Unassigned</x:v>
      </x:c>
      <x:c r="Q23" s="198" t="n">
        <x:f>IF(R23="","",'99 Dashboard Data'!R19)</x:f>
        <x:v>5</x:v>
      </x:c>
      <x:c r="R23" s="198" t="str">
        <x:f>IF(OR('99 Dashboard Data'!S19=0,'99 Dashboard Data'!S19=""),"",'99 Dashboard Data'!S19)</x:f>
        <x:v>AVGO</x:v>
      </x:c>
      <x:c r="S23" s="199" t="n">
        <x:f>IF(R23="","",'99 Dashboard Data'!T19)</x:f>
        <x:v>0</x:v>
      </x:c>
      <x:c r="T23" s="199" t="n">
        <x:f>IF(R23="","",'99 Dashboard Data'!U19)</x:f>
        <x:v>0.0302</x:v>
      </x:c>
      <x:c r="U23" s="199" t="n">
        <x:f>IF(R23="","",'99 Dashboard Data'!V19)</x:f>
        <x:v>-0.0302</x:v>
      </x:c>
      <x:c r="V23" s="198" t="str">
        <x:f>IF(R23="","",'99 Dashboard Data'!W19)</x:f>
        <x:v>Not entered</x:v>
      </x:c>
      <x:c r="W23" s="198"/>
      <x:c r="X23" s="198" t="str">
        <x:f>IF(R23="","",'99 Dashboard Data'!X19)</x:f>
        <x:v>Enter actual weight</x:v>
      </x:c>
    </x:row>
    <x:row r="24" ht="19" customHeight="1">
      <x:c r="A24" s="162"/>
      <x:c r="B24" s="162"/>
      <x:c r="C24" s="150"/>
      <x:c r="D24" s="150"/>
      <x:c r="E24" s="150"/>
      <x:c r="F24" s="150"/>
      <x:c r="G24" s="150"/>
      <x:c r="H24" s="150"/>
      <x:c r="I24" s="150"/>
      <x:c r="J24" s="198" t="n">
        <x:f>'99 Dashboard Data'!R7</x:f>
        <x:v>6</x:v>
      </x:c>
      <x:c r="K24" s="198" t="str">
        <x:f>'99 Dashboard Data'!S7</x:f>
        <x:v>LLY</x:v>
      </x:c>
      <x:c r="L24" s="198"/>
      <x:c r="M24" s="199" t="n">
        <x:f>'99 Dashboard Data'!U7</x:f>
        <x:v>0.0302</x:v>
      </x:c>
      <x:c r="N24" s="198" t="str">
        <x:f>'99 Dashboard Data'!V7</x:f>
        <x:v>Healthcare innovation compounder</x:v>
      </x:c>
      <x:c r="O24" s="198"/>
      <x:c r="P24" s="198" t="str">
        <x:f>'99 Dashboard Data'!W7</x:f>
        <x:v>Unassigned</x:v>
      </x:c>
      <x:c r="Q24" s="208" t="str">
        <x:f>IF('99 Dashboard Data'!B61&gt;0,'99 Dashboard Data'!B61&amp;" actual weights are not loaded. Allocation alerts are not yet live.",IF('99 Dashboard Data'!B62=0,"All positions are within certified bands.","Committee review required for "&amp;'99 Dashboard Data'!B62&amp;" allocation-band exceptions."))</x:f>
        <x:v>47 actual weights are not loaded. Allocation alerts are not yet live.</x:v>
      </x:c>
      <x:c r="R24" s="208"/>
      <x:c r="S24" s="208"/>
      <x:c r="T24" s="208"/>
      <x:c r="U24" s="208"/>
      <x:c r="V24" s="208"/>
      <x:c r="W24" s="208"/>
      <x:c r="X24" s="208"/>
    </x:row>
    <x:row r="25" ht="19" customHeight="1">
      <x:c r="A25" s="162"/>
      <x:c r="B25" s="162"/>
      <x:c r="C25" s="150"/>
      <x:c r="D25" s="150"/>
      <x:c r="E25" s="150"/>
      <x:c r="F25" s="150"/>
      <x:c r="G25" s="150"/>
      <x:c r="H25" s="150"/>
      <x:c r="I25" s="150"/>
      <x:c r="J25" s="198" t="n">
        <x:f>'99 Dashboard Data'!R8</x:f>
        <x:v>7</x:v>
      </x:c>
      <x:c r="K25" s="198" t="str">
        <x:f>'99 Dashboard Data'!S8</x:f>
        <x:v>CME</x:v>
      </x:c>
      <x:c r="L25" s="198"/>
      <x:c r="M25" s="199" t="n">
        <x:f>'99 Dashboard Data'!U8</x:f>
        <x:v>0.0302</x:v>
      </x:c>
      <x:c r="N25" s="198" t="str">
        <x:f>'99 Dashboard Data'!V8</x:f>
        <x:v>Market infrastructure and derivatives exchange</x:v>
      </x:c>
      <x:c r="O25" s="198"/>
      <x:c r="P25" s="198" t="str">
        <x:f>'99 Dashboard Data'!W8</x:f>
        <x:v>Unassigned</x:v>
      </x:c>
      <x:c r="Q25" s="208"/>
      <x:c r="R25" s="208"/>
      <x:c r="S25" s="208"/>
      <x:c r="T25" s="208"/>
      <x:c r="U25" s="208"/>
      <x:c r="V25" s="208"/>
      <x:c r="W25" s="208"/>
      <x:c r="X25" s="208"/>
    </x:row>
    <x:row r="26" ht="19" customHeight="1">
      <x:c r="A26" s="162"/>
      <x:c r="B26" s="162"/>
      <x:c r="C26" s="150"/>
      <x:c r="D26" s="150"/>
      <x:c r="E26" s="150"/>
      <x:c r="F26" s="150"/>
      <x:c r="G26" s="150"/>
      <x:c r="H26" s="150"/>
      <x:c r="I26" s="150"/>
      <x:c r="J26" s="198" t="n">
        <x:f>'99 Dashboard Data'!R9</x:f>
        <x:v>8</x:v>
      </x:c>
      <x:c r="K26" s="198" t="str">
        <x:f>'99 Dashboard Data'!S9</x:f>
        <x:v>LNG</x:v>
      </x:c>
      <x:c r="L26" s="198"/>
      <x:c r="M26" s="199" t="n">
        <x:f>'99 Dashboard Data'!U9</x:f>
        <x:v>0.0302</x:v>
      </x:c>
      <x:c r="N26" s="198" t="str">
        <x:f>'99 Dashboard Data'!V9</x:f>
        <x:v>LNG export infrastructure</x:v>
      </x:c>
      <x:c r="O26" s="198"/>
      <x:c r="P26" s="198" t="str">
        <x:f>'99 Dashboard Data'!W9</x:f>
        <x:v>Unassigned</x:v>
      </x:c>
      <x:c r="Q26" s="208"/>
      <x:c r="R26" s="208"/>
      <x:c r="S26" s="208"/>
      <x:c r="T26" s="208"/>
      <x:c r="U26" s="208"/>
      <x:c r="V26" s="208"/>
      <x:c r="W26" s="208"/>
      <x:c r="X26" s="208"/>
    </x:row>
    <x:row r="27" ht="19" customHeight="1">
      <x:c r="A27" s="162"/>
      <x:c r="B27" s="162"/>
      <x:c r="C27" s="150"/>
      <x:c r="D27" s="150"/>
      <x:c r="E27" s="150"/>
      <x:c r="F27" s="150"/>
      <x:c r="G27" s="150"/>
      <x:c r="H27" s="150"/>
      <x:c r="I27" s="150"/>
      <x:c r="J27" s="198" t="n">
        <x:f>'99 Dashboard Data'!R10</x:f>
        <x:v>9</x:v>
      </x:c>
      <x:c r="K27" s="198" t="str">
        <x:f>'99 Dashboard Data'!S10</x:f>
        <x:v>VPU</x:v>
      </x:c>
      <x:c r="L27" s="198"/>
      <x:c r="M27" s="199" t="n">
        <x:f>'99 Dashboard Data'!U10</x:f>
        <x:v>0.0302</x:v>
      </x:c>
      <x:c r="N27" s="198" t="str">
        <x:f>'99 Dashboard Data'!V10</x:f>
        <x:v>Utilities and defensive infrastructure ETF</x:v>
      </x:c>
      <x:c r="O27" s="198"/>
      <x:c r="P27" s="198" t="str">
        <x:f>'99 Dashboard Data'!W10</x:f>
        <x:v>Unassigned</x:v>
      </x:c>
      <x:c r="Q27" s="212" t="str">
        <x:v>OUTSIDE BAND = REVIEW REQUIRED • NO AUTOMATIC TRADING</x:v>
      </x:c>
      <x:c r="R27" s="212"/>
      <x:c r="S27" s="212"/>
      <x:c r="T27" s="212"/>
      <x:c r="U27" s="212"/>
      <x:c r="V27" s="212"/>
      <x:c r="W27" s="212"/>
      <x:c r="X27" s="212"/>
    </x:row>
    <x:row r="28" ht="19" customHeight="1">
      <x:c r="A28" s="162"/>
      <x:c r="B28" s="162"/>
      <x:c r="C28" s="150"/>
      <x:c r="D28" s="150"/>
      <x:c r="E28" s="150"/>
      <x:c r="F28" s="150"/>
      <x:c r="G28" s="150"/>
      <x:c r="H28" s="150"/>
      <x:c r="I28" s="150"/>
      <x:c r="J28" s="198" t="n">
        <x:f>'99 Dashboard Data'!R11</x:f>
        <x:v>10</x:v>
      </x:c>
      <x:c r="K28" s="198" t="str">
        <x:f>'99 Dashboard Data'!S11</x:f>
        <x:v>JEPI</x:v>
      </x:c>
      <x:c r="L28" s="198"/>
      <x:c r="M28" s="199" t="n">
        <x:f>'99 Dashboard Data'!U11</x:f>
        <x:v>0.0302</x:v>
      </x:c>
      <x:c r="N28" s="198" t="str">
        <x:f>'99 Dashboard Data'!V11</x:f>
        <x:v>Diversified equity income and volatility moderation</x:v>
      </x:c>
      <x:c r="O28" s="198"/>
      <x:c r="P28" s="198" t="str">
        <x:f>'99 Dashboard Data'!W11</x:f>
        <x:v>Unassigned</x:v>
      </x:c>
      <x:c r="Q28" s="212"/>
      <x:c r="R28" s="212"/>
      <x:c r="S28" s="212"/>
      <x:c r="T28" s="212"/>
      <x:c r="U28" s="212"/>
      <x:c r="V28" s="212"/>
      <x:c r="W28" s="212"/>
      <x:c r="X28" s="212"/>
    </x:row>
    <x:row r="29" ht="19" customHeight="1">
      <x:c r="A29" s="162"/>
      <x:c r="B29" s="162"/>
      <x:c r="C29" s="150"/>
      <x:c r="D29" s="150"/>
      <x:c r="E29" s="150"/>
      <x:c r="F29" s="150"/>
      <x:c r="G29" s="150"/>
      <x:c r="H29" s="150"/>
      <x:c r="I29" s="150"/>
      <x:c r="J29" s="201" t="str">
        <x:f>"RANKING BASIS: "&amp;'99 Dashboard Data'!B65</x:f>
        <x:v>RANKING BASIS: Target Weight</x:v>
      </x:c>
      <x:c r="K29" s="201"/>
      <x:c r="L29" s="201"/>
      <x:c r="M29" s="201"/>
      <x:c r="N29" s="201"/>
      <x:c r="O29" s="201"/>
      <x:c r="P29" s="201"/>
      <x:c r="Q29" s="212"/>
      <x:c r="R29" s="212"/>
      <x:c r="S29" s="212"/>
      <x:c r="T29" s="212"/>
      <x:c r="U29" s="212"/>
      <x:c r="V29" s="212"/>
      <x:c r="W29" s="212"/>
      <x:c r="X29" s="212"/>
    </x:row>
    <x:row r="30" ht="19" customHeight="1">
      <x:c r="A30" s="162"/>
      <x:c r="B30" s="162"/>
      <x:c r="C30" s="150"/>
      <x:c r="D30" s="150"/>
      <x:c r="E30" s="150"/>
      <x:c r="F30" s="150"/>
      <x:c r="G30" s="150"/>
      <x:c r="H30" s="150"/>
      <x:c r="I30" s="150"/>
      <x:c r="J30" s="201"/>
      <x:c r="K30" s="201"/>
      <x:c r="L30" s="201"/>
      <x:c r="M30" s="201"/>
      <x:c r="N30" s="201"/>
      <x:c r="O30" s="201"/>
      <x:c r="P30" s="201"/>
      <x:c r="Q30" s="192" t="str">
        <x:f>"DATA COMPLETENESS: "&amp;TEXT('99 Dashboard Data'!B64,"0%")&amp;"   |   ACTUAL TOTAL: "&amp;TEXT('99 Dashboard Data'!B63,"0.00%")</x:f>
        <x:v>DATA COMPLETENESS: 0%   |   ACTUAL TOTAL: 0.00%</x:v>
      </x:c>
      <x:c r="R30" s="192"/>
      <x:c r="S30" s="192"/>
      <x:c r="T30" s="192"/>
      <x:c r="U30" s="192"/>
      <x:c r="V30" s="192"/>
      <x:c r="W30" s="192"/>
      <x:c r="X30" s="192"/>
    </x:row>
    <x:row r="31" ht="19" customHeight="1">
      <x:c r="A31" s="162"/>
      <x:c r="B31" s="162"/>
      <x:c r="C31" s="150"/>
      <x:c r="D31" s="150"/>
      <x:c r="E31" s="150"/>
      <x:c r="F31" s="150"/>
      <x:c r="G31" s="150"/>
      <x:c r="H31" s="150"/>
      <x:c r="I31" s="150"/>
      <x:c r="J31" s="205" t="str">
        <x:f>IF('99 Dashboard Data'!B61&gt;0,"Actual weights incomplete — displaying certified target-weight ranking.","Actual weights complete — displaying live position ranking.")</x:f>
        <x:v>Actual weights incomplete — displaying certified target-weight ranking.</x:v>
      </x:c>
      <x:c r="K31" s="205"/>
      <x:c r="L31" s="205"/>
      <x:c r="M31" s="205"/>
      <x:c r="N31" s="205"/>
      <x:c r="O31" s="205"/>
      <x:c r="P31" s="205"/>
      <x:c r="Q31" s="192"/>
      <x:c r="R31" s="192"/>
      <x:c r="S31" s="192"/>
      <x:c r="T31" s="192"/>
      <x:c r="U31" s="192"/>
      <x:c r="V31" s="192"/>
      <x:c r="W31" s="192"/>
      <x:c r="X31" s="192"/>
    </x:row>
    <x:row r="32" ht="19" customHeight="1">
      <x:c r="A32" s="162"/>
      <x:c r="B32" s="162"/>
      <x:c r="C32" s="150"/>
      <x:c r="D32" s="150"/>
      <x:c r="E32" s="150"/>
      <x:c r="F32" s="150"/>
      <x:c r="G32" s="150"/>
      <x:c r="H32" s="150"/>
      <x:c r="I32" s="150"/>
      <x:c r="J32" s="205"/>
      <x:c r="K32" s="205"/>
      <x:c r="L32" s="205"/>
      <x:c r="M32" s="205"/>
      <x:c r="N32" s="205"/>
      <x:c r="O32" s="205"/>
      <x:c r="P32" s="205"/>
      <x:c r="Q32" s="192"/>
      <x:c r="R32" s="192"/>
      <x:c r="S32" s="192"/>
      <x:c r="T32" s="192"/>
      <x:c r="U32" s="192"/>
      <x:c r="V32" s="192"/>
      <x:c r="W32" s="192"/>
      <x:c r="X32" s="192"/>
    </x:row>
    <x:row r="33" ht="19" customHeight="1">
      <x:c r="A33" s="150"/>
      <x:c r="B33" s="150"/>
      <x:c r="C33" s="150"/>
      <x:c r="D33" s="150"/>
      <x:c r="E33" s="150"/>
      <x:c r="F33" s="150"/>
      <x:c r="G33" s="150"/>
      <x:c r="H33" s="150"/>
      <x:c r="I33" s="150"/>
      <x:c r="J33" s="150"/>
      <x:c r="K33" s="150"/>
      <x:c r="L33" s="150"/>
      <x:c r="M33" s="150"/>
      <x:c r="N33" s="150"/>
      <x:c r="O33" s="150"/>
      <x:c r="P33" s="150"/>
      <x:c r="Q33" s="150"/>
      <x:c r="R33" s="150"/>
      <x:c r="S33" s="150"/>
      <x:c r="T33" s="150"/>
      <x:c r="U33" s="150"/>
      <x:c r="V33" s="150"/>
      <x:c r="W33" s="150"/>
      <x:c r="X33" s="150"/>
    </x:row>
    <x:row r="34" ht="19" customHeight="1">
      <x:c r="A34" s="162" t="str">
        <x:v>3
RESEARCH
INTELLIGENCE</x:v>
      </x:c>
      <x:c r="B34" s="162"/>
      <x:c r="C34" s="216" t="str">
        <x:v>COMPANIES REQUIRING REVIEW</x:v>
      </x:c>
      <x:c r="D34" s="216"/>
      <x:c r="E34" s="216"/>
      <x:c r="F34" s="216"/>
      <x:c r="G34" s="216" t="str">
        <x:v>EARNINGS THIS WEEK</x:v>
      </x:c>
      <x:c r="H34" s="216"/>
      <x:c r="I34" s="216"/>
      <x:c r="J34" s="216"/>
      <x:c r="K34" s="216" t="str">
        <x:v>ZACKS RANK CHANGES</x:v>
      </x:c>
      <x:c r="L34" s="216"/>
      <x:c r="M34" s="216"/>
      <x:c r="N34" s="216"/>
      <x:c r="O34" s="216" t="str">
        <x:v>MERRILL RESEARCH UPDATES</x:v>
      </x:c>
      <x:c r="P34" s="216"/>
      <x:c r="Q34" s="216"/>
      <x:c r="R34" s="216"/>
      <x:c r="S34" s="216" t="str">
        <x:v>MIAR UPDATES</x:v>
      </x:c>
      <x:c r="T34" s="216"/>
      <x:c r="U34" s="216"/>
      <x:c r="V34" s="216" t="str">
        <x:v>THESIS / CONVICTION REVIEWS</x:v>
      </x:c>
      <x:c r="W34" s="216"/>
      <x:c r="X34" s="216"/>
    </x:row>
    <x:row r="35" ht="19" customHeight="1">
      <x:c r="A35" s="162"/>
      <x:c r="B35" s="162"/>
      <x:c r="C35" s="216"/>
      <x:c r="D35" s="216"/>
      <x:c r="E35" s="216"/>
      <x:c r="F35" s="216"/>
      <x:c r="G35" s="216"/>
      <x:c r="H35" s="216"/>
      <x:c r="I35" s="216"/>
      <x:c r="J35" s="216"/>
      <x:c r="K35" s="216"/>
      <x:c r="L35" s="216"/>
      <x:c r="M35" s="216"/>
      <x:c r="N35" s="216"/>
      <x:c r="O35" s="216"/>
      <x:c r="P35" s="216"/>
      <x:c r="Q35" s="216"/>
      <x:c r="R35" s="216"/>
      <x:c r="S35" s="216"/>
      <x:c r="T35" s="216"/>
      <x:c r="U35" s="216"/>
      <x:c r="V35" s="216"/>
      <x:c r="W35" s="216"/>
      <x:c r="X35" s="216"/>
    </x:row>
    <x:row r="36" ht="19" customHeight="1">
      <x:c r="A36" s="162"/>
      <x:c r="B36" s="162"/>
      <x:c r="C36" s="198" t="str">
        <x:f>IF('03 Research Intelligence'!A7="","No entry loaded",'03 Research Intelligence'!A7&amp;" — "&amp;'03 Research Intelligence'!C7)</x:f>
        <x:v>No entry loaded</x:v>
      </x:c>
      <x:c r="D36" s="198"/>
      <x:c r="E36" s="198"/>
      <x:c r="F36" s="198"/>
      <x:c r="G36" s="198" t="str">
        <x:f>IF('03 Research Intelligence'!B19="","No entry loaded",TEXT('03 Research Intelligence'!A19,"m/d")&amp;"  "&amp;'03 Research Intelligence'!B19&amp;" — "&amp;'03 Research Intelligence'!D19)</x:f>
        <x:v>No entry loaded</x:v>
      </x:c>
      <x:c r="H36" s="198"/>
      <x:c r="I36" s="198"/>
      <x:c r="J36" s="198"/>
      <x:c r="K36" s="198" t="str">
        <x:f>IF('03 Research Intelligence'!B31="","No entry loaded",'03 Research Intelligence'!B31&amp;"  #"&amp;'03 Research Intelligence'!C31&amp;" → #"&amp;'03 Research Intelligence'!D31)</x:f>
        <x:v>No entry loaded</x:v>
      </x:c>
      <x:c r="L36" s="198"/>
      <x:c r="M36" s="198"/>
      <x:c r="N36" s="198"/>
      <x:c r="O36" s="198" t="str">
        <x:f>IF('03 Research Intelligence'!B43="","No entry loaded",'03 Research Intelligence'!B43&amp;" — "&amp;'03 Research Intelligence'!C43)</x:f>
        <x:v>No entry loaded</x:v>
      </x:c>
      <x:c r="P36" s="198"/>
      <x:c r="Q36" s="198"/>
      <x:c r="R36" s="198"/>
      <x:c r="S36" s="198" t="str">
        <x:f>IF('03 Research Intelligence'!A55="","No entry loaded",'03 Research Intelligence'!A55&amp;" — "&amp;'03 Research Intelligence'!B55&amp;" / "&amp;'03 Research Intelligence'!F55)</x:f>
        <x:v>No entry loaded</x:v>
      </x:c>
      <x:c r="T36" s="198"/>
      <x:c r="U36" s="198"/>
      <x:c r="V36" s="198" t="str">
        <x:f>IF('03 Research Intelligence'!A67="","No entry loaded",'03 Research Intelligence'!A67&amp;" — "&amp;'03 Research Intelligence'!D67)</x:f>
        <x:v>No entry loaded</x:v>
      </x:c>
      <x:c r="W36" s="198"/>
      <x:c r="X36" s="198"/>
    </x:row>
    <x:row r="37" ht="19" customHeight="1">
      <x:c r="A37" s="162"/>
      <x:c r="B37" s="162"/>
      <x:c r="C37" s="198"/>
      <x:c r="D37" s="198"/>
      <x:c r="E37" s="198"/>
      <x:c r="F37" s="198"/>
      <x:c r="G37" s="198"/>
      <x:c r="H37" s="198"/>
      <x:c r="I37" s="198"/>
      <x:c r="J37" s="198"/>
      <x:c r="K37" s="198"/>
      <x:c r="L37" s="198"/>
      <x:c r="M37" s="198"/>
      <x:c r="N37" s="198"/>
      <x:c r="O37" s="198"/>
      <x:c r="P37" s="198"/>
      <x:c r="Q37" s="198"/>
      <x:c r="R37" s="198"/>
      <x:c r="S37" s="198"/>
      <x:c r="T37" s="198"/>
      <x:c r="U37" s="198"/>
      <x:c r="V37" s="198"/>
      <x:c r="W37" s="198"/>
      <x:c r="X37" s="198"/>
    </x:row>
    <x:row r="38" ht="19" customHeight="1">
      <x:c r="A38" s="162"/>
      <x:c r="B38" s="162"/>
      <x:c r="C38" s="198"/>
      <x:c r="D38" s="198"/>
      <x:c r="E38" s="198"/>
      <x:c r="F38" s="198"/>
      <x:c r="G38" s="198" t="str">
        <x:f>IF('03 Research Intelligence'!B20="","No entry loaded",TEXT('03 Research Intelligence'!A20,"m/d")&amp;"  "&amp;'03 Research Intelligence'!B20&amp;" — "&amp;'03 Research Intelligence'!D20)</x:f>
        <x:v>No entry loaded</x:v>
      </x:c>
      <x:c r="H38" s="198"/>
      <x:c r="I38" s="198"/>
      <x:c r="J38" s="198"/>
      <x:c r="K38" s="198" t="str">
        <x:f>IF('03 Research Intelligence'!B32="","No entry loaded",'03 Research Intelligence'!B32&amp;"  #"&amp;'03 Research Intelligence'!C32&amp;" → #"&amp;'03 Research Intelligence'!D32)</x:f>
        <x:v>No entry loaded</x:v>
      </x:c>
      <x:c r="L38" s="198"/>
      <x:c r="M38" s="198"/>
      <x:c r="N38" s="198"/>
      <x:c r="O38" s="198" t="str">
        <x:f>IF('03 Research Intelligence'!B44="","No entry loaded",'03 Research Intelligence'!B44&amp;" — "&amp;'03 Research Intelligence'!C44)</x:f>
        <x:v>No entry loaded</x:v>
      </x:c>
      <x:c r="P38" s="198"/>
      <x:c r="Q38" s="198"/>
      <x:c r="R38" s="198"/>
      <x:c r="S38" s="198"/>
      <x:c r="T38" s="198"/>
      <x:c r="U38" s="198"/>
      <x:c r="V38" s="198"/>
      <x:c r="W38" s="198"/>
      <x:c r="X38" s="198"/>
    </x:row>
    <x:row r="39" ht="19" customHeight="1">
      <x:c r="A39" s="162"/>
      <x:c r="B39" s="162"/>
      <x:c r="C39" s="198" t="str">
        <x:f>IF('03 Research Intelligence'!A8="","No entry loaded",'03 Research Intelligence'!A8&amp;" — "&amp;'03 Research Intelligence'!C8)</x:f>
        <x:v>No entry loaded</x:v>
      </x:c>
      <x:c r="D39" s="198"/>
      <x:c r="E39" s="198"/>
      <x:c r="F39" s="198"/>
      <x:c r="G39" s="198"/>
      <x:c r="H39" s="198"/>
      <x:c r="I39" s="198"/>
      <x:c r="J39" s="198"/>
      <x:c r="K39" s="198"/>
      <x:c r="L39" s="198"/>
      <x:c r="M39" s="198"/>
      <x:c r="N39" s="198"/>
      <x:c r="O39" s="198"/>
      <x:c r="P39" s="198"/>
      <x:c r="Q39" s="198"/>
      <x:c r="R39" s="198"/>
      <x:c r="S39" s="198" t="str">
        <x:f>IF('03 Research Intelligence'!A56="","No entry loaded",'03 Research Intelligence'!A56&amp;" — "&amp;'03 Research Intelligence'!B56&amp;" / "&amp;'03 Research Intelligence'!F56)</x:f>
        <x:v>No entry loaded</x:v>
      </x:c>
      <x:c r="T39" s="198"/>
      <x:c r="U39" s="198"/>
      <x:c r="V39" s="198" t="str">
        <x:f>IF('03 Research Intelligence'!A68="","No entry loaded",'03 Research Intelligence'!A68&amp;" — "&amp;'03 Research Intelligence'!D68)</x:f>
        <x:v>No entry loaded</x:v>
      </x:c>
      <x:c r="W39" s="198"/>
      <x:c r="X39" s="198"/>
    </x:row>
    <x:row r="40" ht="19" customHeight="1">
      <x:c r="A40" s="162"/>
      <x:c r="B40" s="162"/>
      <x:c r="C40" s="198"/>
      <x:c r="D40" s="198"/>
      <x:c r="E40" s="198"/>
      <x:c r="F40" s="198"/>
      <x:c r="G40" s="198" t="str">
        <x:f>IF('03 Research Intelligence'!B21="","No entry loaded",TEXT('03 Research Intelligence'!A21,"m/d")&amp;"  "&amp;'03 Research Intelligence'!B21&amp;" — "&amp;'03 Research Intelligence'!D21)</x:f>
        <x:v>No entry loaded</x:v>
      </x:c>
      <x:c r="H40" s="198"/>
      <x:c r="I40" s="198"/>
      <x:c r="J40" s="198"/>
      <x:c r="K40" s="198" t="str">
        <x:f>IF('03 Research Intelligence'!B33="","No entry loaded",'03 Research Intelligence'!B33&amp;"  #"&amp;'03 Research Intelligence'!C33&amp;" → #"&amp;'03 Research Intelligence'!D33)</x:f>
        <x:v>No entry loaded</x:v>
      </x:c>
      <x:c r="L40" s="198"/>
      <x:c r="M40" s="198"/>
      <x:c r="N40" s="198"/>
      <x:c r="O40" s="198" t="str">
        <x:f>IF('03 Research Intelligence'!B45="","No entry loaded",'03 Research Intelligence'!B45&amp;" — "&amp;'03 Research Intelligence'!C45)</x:f>
        <x:v>No entry loaded</x:v>
      </x:c>
      <x:c r="P40" s="198"/>
      <x:c r="Q40" s="198"/>
      <x:c r="R40" s="198"/>
      <x:c r="S40" s="198"/>
      <x:c r="T40" s="198"/>
      <x:c r="U40" s="198"/>
      <x:c r="V40" s="198"/>
      <x:c r="W40" s="198"/>
      <x:c r="X40" s="198"/>
    </x:row>
    <x:row r="41" ht="19" customHeight="1">
      <x:c r="A41" s="162"/>
      <x:c r="B41" s="162"/>
      <x:c r="C41" s="198"/>
      <x:c r="D41" s="198"/>
      <x:c r="E41" s="198"/>
      <x:c r="F41" s="198"/>
      <x:c r="G41" s="198"/>
      <x:c r="H41" s="198"/>
      <x:c r="I41" s="198"/>
      <x:c r="J41" s="198"/>
      <x:c r="K41" s="198"/>
      <x:c r="L41" s="198"/>
      <x:c r="M41" s="198"/>
      <x:c r="N41" s="198"/>
      <x:c r="O41" s="198"/>
      <x:c r="P41" s="198"/>
      <x:c r="Q41" s="198"/>
      <x:c r="R41" s="198"/>
      <x:c r="S41" s="198"/>
      <x:c r="T41" s="198"/>
      <x:c r="U41" s="198"/>
      <x:c r="V41" s="198"/>
      <x:c r="W41" s="198"/>
      <x:c r="X41" s="198"/>
    </x:row>
    <x:row r="42" ht="19" customHeight="1">
      <x:c r="A42" s="162"/>
      <x:c r="B42" s="162"/>
      <x:c r="C42" s="198" t="str">
        <x:f>IF('03 Research Intelligence'!A9="","No entry loaded",'03 Research Intelligence'!A9&amp;" — "&amp;'03 Research Intelligence'!C9)</x:f>
        <x:v>No entry loaded</x:v>
      </x:c>
      <x:c r="D42" s="198"/>
      <x:c r="E42" s="198"/>
      <x:c r="F42" s="198"/>
      <x:c r="G42" s="198" t="str">
        <x:f>IF('03 Research Intelligence'!B22="","No entry loaded",TEXT('03 Research Intelligence'!A22,"m/d")&amp;"  "&amp;'03 Research Intelligence'!B22&amp;" — "&amp;'03 Research Intelligence'!D22)</x:f>
        <x:v>No entry loaded</x:v>
      </x:c>
      <x:c r="H42" s="198"/>
      <x:c r="I42" s="198"/>
      <x:c r="J42" s="198"/>
      <x:c r="K42" s="198" t="str">
        <x:f>IF('03 Research Intelligence'!B34="","No entry loaded",'03 Research Intelligence'!B34&amp;"  #"&amp;'03 Research Intelligence'!C34&amp;" → #"&amp;'03 Research Intelligence'!D34)</x:f>
        <x:v>No entry loaded</x:v>
      </x:c>
      <x:c r="L42" s="198"/>
      <x:c r="M42" s="198"/>
      <x:c r="N42" s="198"/>
      <x:c r="O42" s="198" t="str">
        <x:f>IF('03 Research Intelligence'!B46="","No entry loaded",'03 Research Intelligence'!B46&amp;" — "&amp;'03 Research Intelligence'!C46)</x:f>
        <x:v>No entry loaded</x:v>
      </x:c>
      <x:c r="P42" s="198"/>
      <x:c r="Q42" s="198"/>
      <x:c r="R42" s="198"/>
      <x:c r="S42" s="198" t="str">
        <x:f>IF('03 Research Intelligence'!A57="","No entry loaded",'03 Research Intelligence'!A57&amp;" — "&amp;'03 Research Intelligence'!B57&amp;" / "&amp;'03 Research Intelligence'!F57)</x:f>
        <x:v>No entry loaded</x:v>
      </x:c>
      <x:c r="T42" s="198"/>
      <x:c r="U42" s="198"/>
      <x:c r="V42" s="198" t="str">
        <x:f>IF('03 Research Intelligence'!A69="","No entry loaded",'03 Research Intelligence'!A69&amp;" — "&amp;'03 Research Intelligence'!D69)</x:f>
        <x:v>No entry loaded</x:v>
      </x:c>
      <x:c r="W42" s="198"/>
      <x:c r="X42" s="198"/>
    </x:row>
    <x:row r="43" ht="19" customHeight="1">
      <x:c r="A43" s="162"/>
      <x:c r="B43" s="162"/>
      <x:c r="C43" s="198"/>
      <x:c r="D43" s="198"/>
      <x:c r="E43" s="198"/>
      <x:c r="F43" s="198"/>
      <x:c r="G43" s="198"/>
      <x:c r="H43" s="198"/>
      <x:c r="I43" s="198"/>
      <x:c r="J43" s="198"/>
      <x:c r="K43" s="198"/>
      <x:c r="L43" s="198"/>
      <x:c r="M43" s="198"/>
      <x:c r="N43" s="198"/>
      <x:c r="O43" s="198"/>
      <x:c r="P43" s="198"/>
      <x:c r="Q43" s="198"/>
      <x:c r="R43" s="198"/>
      <x:c r="S43" s="198"/>
      <x:c r="T43" s="198"/>
      <x:c r="U43" s="198"/>
      <x:c r="V43" s="198"/>
      <x:c r="W43" s="198"/>
      <x:c r="X43" s="198"/>
    </x:row>
    <x:row r="44" ht="19" customHeight="1">
      <x:c r="A44" s="162"/>
      <x:c r="B44" s="162"/>
      <x:c r="C44" s="198"/>
      <x:c r="D44" s="198"/>
      <x:c r="E44" s="198"/>
      <x:c r="F44" s="198"/>
      <x:c r="G44" s="150"/>
      <x:c r="H44" s="150"/>
      <x:c r="I44" s="150"/>
      <x:c r="J44" s="150"/>
      <x:c r="K44" s="150"/>
      <x:c r="L44" s="150"/>
      <x:c r="M44" s="150"/>
      <x:c r="N44" s="150"/>
      <x:c r="O44" s="150"/>
      <x:c r="P44" s="150"/>
      <x:c r="Q44" s="150"/>
      <x:c r="R44" s="150"/>
      <x:c r="S44" s="198"/>
      <x:c r="T44" s="198"/>
      <x:c r="U44" s="198"/>
      <x:c r="V44" s="198"/>
      <x:c r="W44" s="198"/>
      <x:c r="X44" s="198"/>
    </x:row>
    <x:row r="45" ht="19" customHeight="1">
      <x:c r="A45" s="162"/>
      <x:c r="B45" s="162"/>
      <x:c r="C45" s="150"/>
      <x:c r="D45" s="150"/>
      <x:c r="E45" s="150"/>
      <x:c r="F45" s="150"/>
      <x:c r="G45" s="150"/>
      <x:c r="H45" s="150"/>
      <x:c r="I45" s="150"/>
      <x:c r="J45" s="150"/>
      <x:c r="K45" s="150"/>
      <x:c r="L45" s="150"/>
      <x:c r="M45" s="150"/>
      <x:c r="N45" s="150"/>
      <x:c r="O45" s="150"/>
      <x:c r="P45" s="150"/>
      <x:c r="Q45" s="150"/>
      <x:c r="R45" s="150"/>
      <x:c r="S45" s="150"/>
      <x:c r="T45" s="150"/>
      <x:c r="U45" s="150"/>
      <x:c r="V45" s="150"/>
      <x:c r="W45" s="150"/>
      <x:c r="X45" s="150"/>
    </x:row>
    <x:row r="46" ht="19" customHeight="1">
      <x:c r="A46" s="150"/>
      <x:c r="B46" s="150"/>
      <x:c r="C46" s="150"/>
      <x:c r="D46" s="150"/>
      <x:c r="E46" s="150"/>
      <x:c r="F46" s="150"/>
      <x:c r="G46" s="150"/>
      <x:c r="H46" s="150"/>
      <x:c r="I46" s="150"/>
      <x:c r="J46" s="150"/>
      <x:c r="K46" s="150"/>
      <x:c r="L46" s="150"/>
      <x:c r="M46" s="150"/>
      <x:c r="N46" s="150"/>
      <x:c r="O46" s="150"/>
      <x:c r="P46" s="150"/>
      <x:c r="Q46" s="150"/>
      <x:c r="R46" s="150"/>
      <x:c r="S46" s="150"/>
      <x:c r="T46" s="150"/>
      <x:c r="U46" s="150"/>
      <x:c r="V46" s="150"/>
      <x:c r="W46" s="150"/>
      <x:c r="X46" s="150"/>
    </x:row>
    <x:row r="47" ht="19" customHeight="1">
      <x:c r="A47" s="162" t="str">
        <x:v>4
COMMITTEE
OPERATIONS</x:v>
      </x:c>
      <x:c r="B47" s="162"/>
      <x:c r="C47" s="164" t="str">
        <x:v>PENDING ACTIONS</x:v>
      </x:c>
      <x:c r="D47" s="164"/>
      <x:c r="E47" s="164"/>
      <x:c r="F47" s="164"/>
      <x:c r="G47" s="164"/>
      <x:c r="H47" s="164" t="str">
        <x:v>MWIR STATUS</x:v>
      </x:c>
      <x:c r="I47" s="164"/>
      <x:c r="J47" s="164"/>
      <x:c r="K47" s="164"/>
      <x:c r="L47" s="164"/>
      <x:c r="M47" s="164" t="str">
        <x:v>OPERATIONAL CALENDAR</x:v>
      </x:c>
      <x:c r="N47" s="164"/>
      <x:c r="O47" s="164"/>
      <x:c r="P47" s="164"/>
      <x:c r="Q47" s="164"/>
      <x:c r="R47" s="164" t="str">
        <x:v>CERTIFICATION STATUS</x:v>
      </x:c>
      <x:c r="S47" s="164"/>
      <x:c r="T47" s="164"/>
      <x:c r="U47" s="164"/>
      <x:c r="V47" s="164" t="str">
        <x:v>STEWARD'S NOTEBOOK</x:v>
      </x:c>
      <x:c r="W47" s="164"/>
      <x:c r="X47" s="164"/>
    </x:row>
    <x:row r="48" ht="19" customHeight="1">
      <x:c r="A48" s="162"/>
      <x:c r="B48" s="162"/>
      <x:c r="C48" s="150"/>
      <x:c r="D48" s="150"/>
      <x:c r="E48" s="150"/>
      <x:c r="F48" s="150"/>
      <x:c r="G48" s="150"/>
      <x:c r="H48" s="224" t="str">
        <x:f>'04 Committee Operations'!A25</x:f>
        <x:v>MWIR</x:v>
      </x:c>
      <x:c r="I48" s="224"/>
      <x:c r="J48" s="224"/>
      <x:c r="K48" s="224"/>
      <x:c r="L48" s="224"/>
      <x:c r="M48" s="198" t="str">
        <x:f>IF('04 Committee Operations'!B37="","No event loaded",IF('04 Committee Operations'!A37="","TBD",TEXT('04 Committee Operations'!A37,"m/d"))&amp;" — "&amp;'04 Committee Operations'!B37)</x:f>
        <x:v>7/27 — Monday workflow</x:v>
      </x:c>
      <x:c r="N48" s="198"/>
      <x:c r="O48" s="198"/>
      <x:c r="P48" s="198"/>
      <x:c r="Q48" s="198"/>
      <x:c r="R48" s="198" t="str">
        <x:f>'04 Committee Operations'!A51&amp;" — "&amp;'04 Committee Operations'!B51&amp;" / "&amp;'04 Committee Operations'!E51</x:f>
        <x:v>Chief Investment Steward Console — CISC-001 / v1.0 / Frozen</x:v>
      </x:c>
      <x:c r="S48" s="198"/>
      <x:c r="T48" s="198"/>
      <x:c r="U48" s="198"/>
      <x:c r="V48" s="226" t="str">
        <x:f>COUNTIF('04 Committee Operations'!N8:N17,"Open")+COUNTIF('04 Committee Operations'!N8:N17,"Planned")&amp;" priorities"</x:f>
        <x:v>5 priorities</x:v>
      </x:c>
      <x:c r="W48" s="226"/>
      <x:c r="X48" s="226"/>
    </x:row>
    <x:row r="49" ht="19" customHeight="1">
      <x:c r="A49" s="162"/>
      <x:c r="B49" s="162"/>
      <x:c r="C49" s="200" t="str">
        <x:v>Open / Planned Actions</x:v>
      </x:c>
      <x:c r="D49" s="200"/>
      <x:c r="E49" s="200"/>
      <x:c r="F49" s="200"/>
      <x:c r="G49" s="218" t="n">
        <x:f>'99 Dashboard Data'!B67</x:f>
        <x:v>4</x:v>
      </x:c>
      <x:c r="H49" s="224"/>
      <x:c r="I49" s="224"/>
      <x:c r="J49" s="224"/>
      <x:c r="K49" s="224"/>
      <x:c r="L49" s="224"/>
      <x:c r="M49" s="198"/>
      <x:c r="N49" s="198"/>
      <x:c r="O49" s="198"/>
      <x:c r="P49" s="198"/>
      <x:c r="Q49" s="198"/>
      <x:c r="R49" s="198"/>
      <x:c r="S49" s="198"/>
      <x:c r="T49" s="198"/>
      <x:c r="U49" s="198"/>
      <x:c r="V49" s="226"/>
      <x:c r="W49" s="226"/>
      <x:c r="X49" s="226"/>
    </x:row>
    <x:row r="50" ht="19" customHeight="1">
      <x:c r="A50" s="162"/>
      <x:c r="B50" s="162"/>
      <x:c r="C50" s="219" t="str">
        <x:v>Research Decisions</x:v>
      </x:c>
      <x:c r="D50" s="219"/>
      <x:c r="E50" s="219"/>
      <x:c r="F50" s="219"/>
      <x:c r="G50" s="221" t="n">
        <x:f>'99 Dashboard Data'!B66</x:f>
        <x:v>0</x:v>
      </x:c>
      <x:c r="H50" s="224"/>
      <x:c r="I50" s="224"/>
      <x:c r="J50" s="224"/>
      <x:c r="K50" s="224"/>
      <x:c r="L50" s="224"/>
      <x:c r="M50" s="198" t="str">
        <x:f>IF('04 Committee Operations'!B38="","No event loaded",IF('04 Committee Operations'!A38="","TBD",TEXT('04 Committee Operations'!A38,"m/d"))&amp;" — "&amp;'04 Committee Operations'!B38)</x:f>
        <x:v>7/27 — MWIR publication</x:v>
      </x:c>
      <x:c r="N50" s="198"/>
      <x:c r="O50" s="198"/>
      <x:c r="P50" s="198"/>
      <x:c r="Q50" s="198"/>
      <x:c r="R50" s="198" t="str">
        <x:f>'04 Committee Operations'!A52&amp;" — "&amp;'04 Committee Operations'!B52&amp;" / "&amp;'04 Committee Operations'!E52</x:f>
        <x:v>Manifest Flagship Portfolio Definition File — MFPDF v1.0 / Certified</x:v>
      </x:c>
      <x:c r="S50" s="198"/>
      <x:c r="T50" s="198"/>
      <x:c r="U50" s="198"/>
      <x:c r="V50" s="226"/>
      <x:c r="W50" s="226"/>
      <x:c r="X50" s="226"/>
    </x:row>
    <x:row r="51" ht="19" customHeight="1">
      <x:c r="A51" s="162"/>
      <x:c r="B51" s="162"/>
      <x:c r="C51" s="200" t="str">
        <x:v>Allocation Decisions</x:v>
      </x:c>
      <x:c r="D51" s="200"/>
      <x:c r="E51" s="200"/>
      <x:c r="F51" s="200"/>
      <x:c r="G51" s="218" t="n">
        <x:f>'99 Dashboard Data'!B62</x:f>
        <x:v>0</x:v>
      </x:c>
      <x:c r="H51" s="221" t="str">
        <x:f>"STATUS: "&amp;'04 Committee Operations'!E25</x:f>
        <x:v>STATUS: Planned</x:v>
      </x:c>
      <x:c r="I51" s="221"/>
      <x:c r="J51" s="221"/>
      <x:c r="K51" s="221"/>
      <x:c r="L51" s="221"/>
      <x:c r="M51" s="198"/>
      <x:c r="N51" s="198"/>
      <x:c r="O51" s="198"/>
      <x:c r="P51" s="198"/>
      <x:c r="Q51" s="198"/>
      <x:c r="R51" s="198"/>
      <x:c r="S51" s="198"/>
      <x:c r="T51" s="198"/>
      <x:c r="U51" s="198"/>
      <x:c r="V51" s="226" t="str">
        <x:f>COUNTIF('04 Committee Operations'!N21:N30,"Open")+COUNTIF('04 Committee Operations'!N21:N30,"Pending Data")&amp;" committee questions"</x:f>
        <x:v>5 committee questions</x:v>
      </x:c>
      <x:c r="W51" s="226"/>
      <x:c r="X51" s="226"/>
    </x:row>
    <x:row r="52" ht="19" customHeight="1">
      <x:c r="A52" s="162"/>
      <x:c r="B52" s="162"/>
      <x:c r="C52" s="219" t="str">
        <x:v>Committee Decisions</x:v>
      </x:c>
      <x:c r="D52" s="219"/>
      <x:c r="E52" s="219"/>
      <x:c r="F52" s="219"/>
      <x:c r="G52" s="221" t="n">
        <x:f>'02 Decision Center'!B13</x:f>
        <x:v>0</x:v>
      </x:c>
      <x:c r="H52" s="221"/>
      <x:c r="I52" s="221"/>
      <x:c r="J52" s="221"/>
      <x:c r="K52" s="221"/>
      <x:c r="L52" s="221"/>
      <x:c r="M52" s="198" t="str">
        <x:f>IF('04 Committee Operations'!B39="","No event loaded",IF('04 Committee Operations'!A39="","TBD",TEXT('04 Committee Operations'!A39,"m/d"))&amp;" — "&amp;'04 Committee Operations'!B39)</x:f>
        <x:v>TBD — Monthly allocation review</x:v>
      </x:c>
      <x:c r="N52" s="198"/>
      <x:c r="O52" s="198"/>
      <x:c r="P52" s="198"/>
      <x:c r="Q52" s="198"/>
      <x:c r="R52" s="198" t="str">
        <x:f>'04 Committee Operations'!A53&amp;" — "&amp;'04 Committee Operations'!B53&amp;" / "&amp;'04 Committee Operations'!E53</x:f>
        <x:v>Manifest Visual Design System — MVDS v1.0 / Frozen</x:v>
      </x:c>
      <x:c r="S52" s="198"/>
      <x:c r="T52" s="198"/>
      <x:c r="U52" s="198"/>
      <x:c r="V52" s="226"/>
      <x:c r="W52" s="226"/>
      <x:c r="X52" s="226"/>
    </x:row>
    <x:row r="53" ht="19" customHeight="1">
      <x:c r="A53" s="162"/>
      <x:c r="B53" s="162"/>
      <x:c r="C53" s="200" t="str">
        <x:v>Actual Weights Missing</x:v>
      </x:c>
      <x:c r="D53" s="200"/>
      <x:c r="E53" s="200"/>
      <x:c r="F53" s="200"/>
      <x:c r="G53" s="218" t="n">
        <x:f>'99 Dashboard Data'!B61</x:f>
        <x:v>47</x:v>
      </x:c>
      <x:c r="H53" s="221" t="str">
        <x:f>"LAST PUBLISHED: "&amp;TEXT('04 Committee Operations'!C25,"m/d/yyyy")</x:f>
        <x:v>LAST PUBLISHED: 7/25/2026</x:v>
      </x:c>
      <x:c r="I53" s="221"/>
      <x:c r="J53" s="221"/>
      <x:c r="K53" s="221"/>
      <x:c r="L53" s="221"/>
      <x:c r="M53" s="198"/>
      <x:c r="N53" s="198"/>
      <x:c r="O53" s="198"/>
      <x:c r="P53" s="198"/>
      <x:c r="Q53" s="198"/>
      <x:c r="R53" s="198"/>
      <x:c r="S53" s="198"/>
      <x:c r="T53" s="198"/>
      <x:c r="U53" s="198"/>
      <x:c r="V53" s="226"/>
      <x:c r="W53" s="226"/>
      <x:c r="X53" s="226"/>
    </x:row>
    <x:row r="54" ht="19" customHeight="1">
      <x:c r="A54" s="162"/>
      <x:c r="B54" s="162"/>
      <x:c r="C54" s="219" t="str">
        <x:v>Data Completeness</x:v>
      </x:c>
      <x:c r="D54" s="219"/>
      <x:c r="E54" s="219"/>
      <x:c r="F54" s="219"/>
      <x:c r="G54" s="222" t="n">
        <x:f>'99 Dashboard Data'!B64</x:f>
        <x:v>0</x:v>
      </x:c>
      <x:c r="H54" s="221"/>
      <x:c r="I54" s="221"/>
      <x:c r="J54" s="221"/>
      <x:c r="K54" s="221"/>
      <x:c r="L54" s="221"/>
      <x:c r="M54" s="198" t="str">
        <x:f>IF('04 Committee Operations'!B40="","No event loaded",IF('04 Committee Operations'!A40="","TBD",TEXT('04 Committee Operations'!A40,"m/d"))&amp;" — "&amp;'04 Committee Operations'!B40)</x:f>
        <x:v>TBD — Quarterly engineering review</x:v>
      </x:c>
      <x:c r="N54" s="198"/>
      <x:c r="O54" s="198"/>
      <x:c r="P54" s="198"/>
      <x:c r="Q54" s="198"/>
      <x:c r="R54" s="198" t="str">
        <x:f>'04 Committee Operations'!A54&amp;" — "&amp;'04 Committee Operations'!B54&amp;" / "&amp;'04 Committee Operations'!E54</x:f>
        <x:v>Manifest Founders Edition — v1.0 / Complete</x:v>
      </x:c>
      <x:c r="S54" s="198"/>
      <x:c r="T54" s="198"/>
      <x:c r="U54" s="198"/>
      <x:c r="V54" s="226" t="str">
        <x:f>COUNTIF('04 Committee Operations'!N34:N43,"Planned")+COUNTIF('04 Committee Operations'!N34:N43,"In Progress")&amp;" long-term projects"</x:f>
        <x:v>5 long-term projects</x:v>
      </x:c>
      <x:c r="W54" s="226"/>
      <x:c r="X54" s="226"/>
    </x:row>
    <x:row r="55" ht="19" customHeight="1">
      <x:c r="A55" s="162"/>
      <x:c r="B55" s="162"/>
      <x:c r="C55" s="200" t="str">
        <x:v>Decision State</x:v>
      </x:c>
      <x:c r="D55" s="200"/>
      <x:c r="E55" s="200"/>
      <x:c r="F55" s="200"/>
      <x:c r="G55" s="242" t="str">
        <x:f>'02 Decision Center'!B6</x:f>
        <x:v>DATA UPDATE REQUIRED</x:v>
      </x:c>
      <x:c r="H55" s="221" t="str">
        <x:f>"NEXT DUE: "&amp;TEXT('04 Committee Operations'!D25,"m/d/yyyy")</x:f>
        <x:v>NEXT DUE: 7/27/2026</x:v>
      </x:c>
      <x:c r="I55" s="221"/>
      <x:c r="J55" s="221"/>
      <x:c r="K55" s="221"/>
      <x:c r="L55" s="221"/>
      <x:c r="M55" s="198"/>
      <x:c r="N55" s="198"/>
      <x:c r="O55" s="198"/>
      <x:c r="P55" s="198"/>
      <x:c r="Q55" s="198"/>
      <x:c r="R55" s="198"/>
      <x:c r="S55" s="198"/>
      <x:c r="T55" s="198"/>
      <x:c r="U55" s="198"/>
      <x:c r="V55" s="226"/>
      <x:c r="W55" s="226"/>
      <x:c r="X55" s="226"/>
    </x:row>
    <x:row r="56" ht="19" customHeight="1">
      <x:c r="A56" s="162"/>
      <x:c r="B56" s="162"/>
      <x:c r="C56" s="150"/>
      <x:c r="D56" s="150"/>
      <x:c r="E56" s="150"/>
      <x:c r="F56" s="150"/>
      <x:c r="G56" s="242"/>
      <x:c r="H56" s="221"/>
      <x:c r="I56" s="221"/>
      <x:c r="J56" s="221"/>
      <x:c r="K56" s="221"/>
      <x:c r="L56" s="221"/>
      <x:c r="M56" s="201" t="str">
        <x:v>VIEW FULL CALENDAR →</x:v>
      </x:c>
      <x:c r="N56" s="201"/>
      <x:c r="O56" s="201"/>
      <x:c r="P56" s="201"/>
      <x:c r="Q56" s="201"/>
      <x:c r="R56" s="201" t="str">
        <x:v>OPEN CERTIFICATION CENTER →</x:v>
      </x:c>
      <x:c r="S56" s="201"/>
      <x:c r="T56" s="201"/>
      <x:c r="U56" s="201"/>
      <x:c r="V56" s="226"/>
      <x:c r="W56" s="226"/>
      <x:c r="X56" s="226"/>
    </x:row>
    <x:row r="57" ht="19" customHeight="1">
      <x:c r="A57" s="162"/>
      <x:c r="B57" s="162"/>
      <x:c r="C57" s="150"/>
      <x:c r="D57" s="150"/>
      <x:c r="E57" s="150"/>
      <x:c r="F57" s="150"/>
      <x:c r="G57" s="150"/>
      <x:c r="H57" s="201" t="str">
        <x:v>OPEN MWIR WORKSPACE →</x:v>
      </x:c>
      <x:c r="I57" s="201"/>
      <x:c r="J57" s="201"/>
      <x:c r="K57" s="201"/>
      <x:c r="L57" s="201"/>
      <x:c r="M57" s="201"/>
      <x:c r="N57" s="201"/>
      <x:c r="O57" s="201"/>
      <x:c r="P57" s="201"/>
      <x:c r="Q57" s="201"/>
      <x:c r="R57" s="201"/>
      <x:c r="S57" s="201"/>
      <x:c r="T57" s="201"/>
      <x:c r="U57" s="201"/>
      <x:c r="V57" s="201" t="str">
        <x:v>OPEN NOTEBOOK →</x:v>
      </x:c>
      <x:c r="W57" s="201"/>
      <x:c r="X57" s="201"/>
    </x:row>
    <x:row r="58" ht="19" customHeight="1">
      <x:c r="A58" s="162"/>
      <x:c r="B58" s="162"/>
      <x:c r="C58" s="150"/>
      <x:c r="D58" s="150"/>
      <x:c r="E58" s="150"/>
      <x:c r="F58" s="150"/>
      <x:c r="G58" s="150"/>
      <x:c r="H58" s="201"/>
      <x:c r="I58" s="201"/>
      <x:c r="J58" s="201"/>
      <x:c r="K58" s="201"/>
      <x:c r="L58" s="201"/>
      <x:c r="M58" s="201"/>
      <x:c r="N58" s="201"/>
      <x:c r="O58" s="201"/>
      <x:c r="P58" s="201"/>
      <x:c r="Q58" s="201"/>
      <x:c r="R58" s="201"/>
      <x:c r="S58" s="201"/>
      <x:c r="T58" s="201"/>
      <x:c r="U58" s="201"/>
      <x:c r="V58" s="201"/>
      <x:c r="W58" s="201"/>
      <x:c r="X58" s="201"/>
    </x:row>
    <x:row r="59" ht="19" customHeight="1">
      <x:c r="A59" s="150"/>
      <x:c r="B59" s="150"/>
      <x:c r="C59" s="150"/>
      <x:c r="D59" s="150"/>
      <x:c r="E59" s="150"/>
      <x:c r="F59" s="150"/>
      <x:c r="G59" s="150"/>
      <x:c r="H59" s="150"/>
      <x:c r="I59" s="150"/>
      <x:c r="J59" s="150"/>
      <x:c r="K59" s="150"/>
      <x:c r="L59" s="150"/>
      <x:c r="M59" s="150"/>
      <x:c r="N59" s="150"/>
      <x:c r="O59" s="150"/>
      <x:c r="P59" s="150"/>
      <x:c r="Q59" s="150"/>
      <x:c r="R59" s="150"/>
      <x:c r="S59" s="150"/>
      <x:c r="T59" s="150"/>
      <x:c r="U59" s="150"/>
      <x:c r="V59" s="150"/>
      <x:c r="W59" s="150"/>
      <x:c r="X59" s="150"/>
    </x:row>
    <x:row r="60" ht="19" customHeight="1">
      <x:c r="A60" s="162" t="str">
        <x:v>5
MANIFEST
DECISION
CENTER</x:v>
      </x:c>
      <x:c r="B60" s="162"/>
      <x:c r="C60" s="228" t="str">
        <x:v>WHAT DECISIONS ARE ACTUALLY REQUIRED THIS WEEK?</x:v>
      </x:c>
      <x:c r="D60" s="228"/>
      <x:c r="E60" s="228"/>
      <x:c r="F60" s="228"/>
      <x:c r="G60" s="228"/>
      <x:c r="H60" s="228"/>
      <x:c r="I60" s="228"/>
      <x:c r="J60" s="228"/>
      <x:c r="K60" s="228"/>
      <x:c r="L60" s="228"/>
      <x:c r="M60" s="228"/>
      <x:c r="N60" s="228"/>
      <x:c r="O60" s="228"/>
      <x:c r="P60" s="228"/>
      <x:c r="Q60" s="228"/>
      <x:c r="R60" s="228"/>
      <x:c r="S60" s="228"/>
      <x:c r="T60" s="228"/>
      <x:c r="U60" s="228"/>
      <x:c r="V60" s="228"/>
      <x:c r="W60" s="228"/>
      <x:c r="X60" s="228"/>
    </x:row>
    <x:row r="61" ht="19" customHeight="1">
      <x:c r="A61" s="162"/>
      <x:c r="B61" s="162"/>
      <x:c r="C61" s="230" t="str">
        <x:f>'02 Decision Center'!B6</x:f>
        <x:v>DATA UPDATE REQUIRED</x:v>
      </x:c>
      <x:c r="D61" s="230"/>
      <x:c r="E61" s="230"/>
      <x:c r="F61" s="230"/>
      <x:c r="G61" s="230"/>
      <x:c r="H61" s="230"/>
      <x:c r="I61" s="230"/>
      <x:c r="J61" s="230"/>
      <x:c r="K61" s="230"/>
      <x:c r="L61" s="230"/>
      <x:c r="M61" s="230"/>
      <x:c r="N61" s="230"/>
      <x:c r="O61" s="230"/>
      <x:c r="P61" s="230"/>
      <x:c r="Q61" s="230"/>
      <x:c r="R61" s="230"/>
      <x:c r="S61" s="230"/>
      <x:c r="T61" s="230"/>
      <x:c r="U61" s="230"/>
      <x:c r="V61" s="230"/>
      <x:c r="W61" s="230"/>
      <x:c r="X61" s="230"/>
    </x:row>
    <x:row r="62" ht="19" customHeight="1">
      <x:c r="A62" s="162"/>
      <x:c r="B62" s="162"/>
      <x:c r="C62" s="230"/>
      <x:c r="D62" s="230"/>
      <x:c r="E62" s="230"/>
      <x:c r="F62" s="230"/>
      <x:c r="G62" s="230"/>
      <x:c r="H62" s="230"/>
      <x:c r="I62" s="230"/>
      <x:c r="J62" s="230"/>
      <x:c r="K62" s="230"/>
      <x:c r="L62" s="230"/>
      <x:c r="M62" s="230"/>
      <x:c r="N62" s="230"/>
      <x:c r="O62" s="230"/>
      <x:c r="P62" s="230"/>
      <x:c r="Q62" s="230"/>
      <x:c r="R62" s="230"/>
      <x:c r="S62" s="230"/>
      <x:c r="T62" s="230"/>
      <x:c r="U62" s="230"/>
      <x:c r="V62" s="230"/>
      <x:c r="W62" s="230"/>
      <x:c r="X62" s="230"/>
    </x:row>
    <x:row r="63" ht="19" customHeight="1">
      <x:c r="A63" s="162"/>
      <x:c r="B63" s="162"/>
      <x:c r="C63" s="230"/>
      <x:c r="D63" s="230"/>
      <x:c r="E63" s="230"/>
      <x:c r="F63" s="230"/>
      <x:c r="G63" s="230"/>
      <x:c r="H63" s="230"/>
      <x:c r="I63" s="230"/>
      <x:c r="J63" s="230"/>
      <x:c r="K63" s="230"/>
      <x:c r="L63" s="230"/>
      <x:c r="M63" s="230"/>
      <x:c r="N63" s="230"/>
      <x:c r="O63" s="230"/>
      <x:c r="P63" s="230"/>
      <x:c r="Q63" s="230"/>
      <x:c r="R63" s="230"/>
      <x:c r="S63" s="230"/>
      <x:c r="T63" s="230"/>
      <x:c r="U63" s="230"/>
      <x:c r="V63" s="230"/>
      <x:c r="W63" s="230"/>
      <x:c r="X63" s="230"/>
    </x:row>
    <x:row r="64" ht="19" customHeight="1">
      <x:c r="A64" s="162"/>
      <x:c r="B64" s="162"/>
      <x:c r="C64" s="230"/>
      <x:c r="D64" s="230"/>
      <x:c r="E64" s="230"/>
      <x:c r="F64" s="230"/>
      <x:c r="G64" s="230"/>
      <x:c r="H64" s="230"/>
      <x:c r="I64" s="230"/>
      <x:c r="J64" s="230"/>
      <x:c r="K64" s="230"/>
      <x:c r="L64" s="230"/>
      <x:c r="M64" s="230"/>
      <x:c r="N64" s="230"/>
      <x:c r="O64" s="230"/>
      <x:c r="P64" s="230"/>
      <x:c r="Q64" s="230"/>
      <x:c r="R64" s="230"/>
      <x:c r="S64" s="230"/>
      <x:c r="T64" s="230"/>
      <x:c r="U64" s="230"/>
      <x:c r="V64" s="230"/>
      <x:c r="W64" s="230"/>
      <x:c r="X64" s="230"/>
    </x:row>
    <x:row r="65" ht="19" customHeight="1">
      <x:c r="A65" s="162"/>
      <x:c r="B65" s="162"/>
      <x:c r="C65" s="233" t="str">
        <x:f>"PRIMARY REQUIRED ACTION"&amp;CHAR(10)&amp;'02 Decision Center'!B14</x:f>
        <x:v>PRIMARY REQUIRED ACTION
Load current actual portfolio weights</x:v>
      </x:c>
      <x:c r="D65" s="233"/>
      <x:c r="E65" s="233"/>
      <x:c r="F65" s="233"/>
      <x:c r="G65" s="233"/>
      <x:c r="H65" s="233" t="str">
        <x:f>"COMMITTEE DECISIONS"&amp;CHAR(10)&amp;TEXT('02 Decision Center'!B13,"0")</x:f>
        <x:v>COMMITTEE DECISIONS
0</x:v>
      </x:c>
      <x:c r="I65" s="233"/>
      <x:c r="J65" s="233"/>
      <x:c r="K65" s="233"/>
      <x:c r="L65" s="233"/>
      <x:c r="M65" s="233" t="str">
        <x:f>"MEETING STATUS"&amp;CHAR(10)&amp;'02 Decision Center'!E6</x:f>
        <x:v>MEETING STATUS
DEFER — COMPLETE DATA</x:v>
      </x:c>
      <x:c r="N65" s="233"/>
      <x:c r="O65" s="233"/>
      <x:c r="P65" s="233"/>
      <x:c r="Q65" s="233"/>
      <x:c r="R65" s="234" t="str">
        <x:f>"DATA COMPLETENESS"&amp;CHAR(10)&amp;TEXT('02 Decision Center'!B7,"0%")</x:f>
        <x:v>DATA COMPLETENESS
0%</x:v>
      </x:c>
      <x:c r="S65" s="233"/>
      <x:c r="T65" s="233"/>
      <x:c r="U65" s="233"/>
      <x:c r="V65" s="233"/>
      <x:c r="W65" s="233" t="str">
        <x:f>"TRADING"&amp;CHAR(10)&amp;"PROHIBITED"</x:f>
        <x:v>TRADING
PROHIBITED</x:v>
      </x:c>
      <x:c r="X65" s="233"/>
    </x:row>
    <x:row r="66" ht="19" customHeight="1">
      <x:c r="A66" s="162"/>
      <x:c r="B66" s="162"/>
      <x:c r="C66" s="233"/>
      <x:c r="D66" s="233"/>
      <x:c r="E66" s="233"/>
      <x:c r="F66" s="233"/>
      <x:c r="G66" s="233"/>
      <x:c r="H66" s="233"/>
      <x:c r="I66" s="233"/>
      <x:c r="J66" s="233"/>
      <x:c r="K66" s="233"/>
      <x:c r="L66" s="233"/>
      <x:c r="M66" s="233"/>
      <x:c r="N66" s="233"/>
      <x:c r="O66" s="233"/>
      <x:c r="P66" s="233"/>
      <x:c r="Q66" s="233"/>
      <x:c r="R66" s="233"/>
      <x:c r="S66" s="233"/>
      <x:c r="T66" s="233"/>
      <x:c r="U66" s="233"/>
      <x:c r="V66" s="233"/>
      <x:c r="W66" s="233"/>
      <x:c r="X66" s="233"/>
    </x:row>
    <x:row r="67" ht="19" customHeight="1">
      <x:c r="A67" s="162"/>
      <x:c r="B67" s="162"/>
      <x:c r="C67" s="233"/>
      <x:c r="D67" s="233"/>
      <x:c r="E67" s="233"/>
      <x:c r="F67" s="233"/>
      <x:c r="G67" s="233"/>
      <x:c r="H67" s="233"/>
      <x:c r="I67" s="233"/>
      <x:c r="J67" s="233"/>
      <x:c r="K67" s="233"/>
      <x:c r="L67" s="233"/>
      <x:c r="M67" s="233"/>
      <x:c r="N67" s="233"/>
      <x:c r="O67" s="233"/>
      <x:c r="P67" s="233"/>
      <x:c r="Q67" s="233"/>
      <x:c r="R67" s="233"/>
      <x:c r="S67" s="233"/>
      <x:c r="T67" s="233"/>
      <x:c r="U67" s="233"/>
      <x:c r="V67" s="233"/>
      <x:c r="W67" s="233"/>
      <x:c r="X67" s="233"/>
    </x:row>
    <x:row r="68" ht="19" customHeight="1">
      <x:c r="A68" s="162"/>
      <x:c r="B68" s="162"/>
      <x:c r="C68" s="233"/>
      <x:c r="D68" s="233"/>
      <x:c r="E68" s="233"/>
      <x:c r="F68" s="233"/>
      <x:c r="G68" s="233"/>
      <x:c r="H68" s="233"/>
      <x:c r="I68" s="233"/>
      <x:c r="J68" s="233"/>
      <x:c r="K68" s="233"/>
      <x:c r="L68" s="233"/>
      <x:c r="M68" s="233"/>
      <x:c r="N68" s="233"/>
      <x:c r="O68" s="233"/>
      <x:c r="P68" s="233"/>
      <x:c r="Q68" s="233"/>
      <x:c r="R68" s="233"/>
      <x:c r="S68" s="233"/>
      <x:c r="T68" s="233"/>
      <x:c r="U68" s="233"/>
      <x:c r="V68" s="233"/>
      <x:c r="W68" s="233"/>
      <x:c r="X68" s="233"/>
    </x:row>
    <x:row r="69" ht="19" customHeight="1">
      <x:c r="A69" s="162"/>
      <x:c r="B69" s="162"/>
      <x:c r="C69" s="237" t="str">
        <x:f>IF('02 Decision Center'!B6="NO COMMITTEE ACTION REQUIRED","No structural portfolio or research decision is required. Continue monitoring and complete normal operating work.",IF('02 Decision Center'!B6="DATA UPDATE REQUIRED","Complete the data update before convening the committee. No allocation conclusion should be drawn from incomplete actual weights.","Review the identified decision queue. Committee review must precede any implementation."))</x:f>
        <x:v>Complete the data update before convening the committee. No allocation conclusion should be drawn from incomplete actual weights.</x:v>
      </x:c>
      <x:c r="D69" s="237"/>
      <x:c r="E69" s="237"/>
      <x:c r="F69" s="237"/>
      <x:c r="G69" s="237"/>
      <x:c r="H69" s="237"/>
      <x:c r="I69" s="237"/>
      <x:c r="J69" s="237"/>
      <x:c r="K69" s="237"/>
      <x:c r="L69" s="237"/>
      <x:c r="M69" s="237"/>
      <x:c r="N69" s="237"/>
      <x:c r="O69" s="237"/>
      <x:c r="P69" s="237"/>
      <x:c r="Q69" s="237"/>
      <x:c r="R69" s="237"/>
      <x:c r="S69" s="237"/>
      <x:c r="T69" s="237"/>
      <x:c r="U69" s="237"/>
      <x:c r="V69" s="237"/>
      <x:c r="W69" s="237"/>
      <x:c r="X69" s="237"/>
    </x:row>
    <x:row r="70" ht="19" customHeight="1">
      <x:c r="A70" s="162"/>
      <x:c r="B70" s="162"/>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row>
    <x:row r="71" ht="19" customHeight="1">
      <x:c r="A71" s="150"/>
      <x:c r="B71" s="150"/>
      <x:c r="C71" s="150"/>
      <x:c r="D71" s="150"/>
      <x:c r="E71" s="150"/>
      <x:c r="F71" s="150"/>
      <x:c r="G71" s="150"/>
      <x:c r="H71" s="150"/>
      <x:c r="I71" s="150"/>
      <x:c r="J71" s="150"/>
      <x:c r="K71" s="150"/>
      <x:c r="L71" s="150"/>
      <x:c r="M71" s="150"/>
      <x:c r="N71" s="150"/>
      <x:c r="O71" s="150"/>
      <x:c r="P71" s="150"/>
      <x:c r="Q71" s="150"/>
      <x:c r="R71" s="150"/>
      <x:c r="S71" s="150"/>
      <x:c r="T71" s="150"/>
      <x:c r="U71" s="150"/>
      <x:c r="V71" s="150"/>
      <x:c r="W71" s="150"/>
      <x:c r="X71" s="150"/>
    </x:row>
    <x:row r="72" ht="19" customHeight="1">
      <x:c r="A72" s="239" t="str">
        <x:v>MANIFEST WORKBENCH  |  DASHBOARD • PORTFOLIO • RESEARCH • COMMITTEE ROOM • PUBLICATIONS • LIBRARY • SETTINGS</x:v>
      </x:c>
      <x:c r="B72" s="239"/>
      <x:c r="C72" s="239"/>
      <x:c r="D72" s="239"/>
      <x:c r="E72" s="239"/>
      <x:c r="F72" s="239"/>
      <x:c r="G72" s="239"/>
      <x:c r="H72" s="239"/>
      <x:c r="I72" s="239"/>
      <x:c r="J72" s="239"/>
      <x:c r="K72" s="239"/>
      <x:c r="L72" s="239"/>
      <x:c r="M72" s="239"/>
      <x:c r="N72" s="239"/>
      <x:c r="O72" s="239"/>
      <x:c r="P72" s="239"/>
      <x:c r="Q72" s="239"/>
      <x:c r="R72" s="239"/>
      <x:c r="S72" s="239"/>
      <x:c r="T72" s="239"/>
      <x:c r="U72" s="239"/>
      <x:c r="V72" s="239"/>
      <x:c r="W72" s="239"/>
      <x:c r="X72" s="239"/>
    </x:row>
  </x:sheetData>
  <x:mergeCells>
    <x:mergeCell ref="A1:B3"/>
    <x:mergeCell ref="C1:R2"/>
    <x:mergeCell ref="C3:R3"/>
    <x:mergeCell ref="S1:U3"/>
    <x:mergeCell ref="V1:X3"/>
    <x:mergeCell ref="A5:B15"/>
    <x:mergeCell ref="A17:B32"/>
    <x:mergeCell ref="A34:B45"/>
    <x:mergeCell ref="A47:B58"/>
    <x:mergeCell ref="A60:B70"/>
    <x:mergeCell ref="C5:J5"/>
    <x:mergeCell ref="K5:P5"/>
    <x:mergeCell ref="Q5:X5"/>
    <x:mergeCell ref="C12:E15"/>
    <x:mergeCell ref="G12:J12"/>
    <x:mergeCell ref="G13:J13"/>
    <x:mergeCell ref="G14:J14"/>
    <x:mergeCell ref="G15:J15"/>
    <x:mergeCell ref="K6:M12"/>
    <x:mergeCell ref="N6:P8"/>
    <x:mergeCell ref="N9:P12"/>
    <x:mergeCell ref="K13:P15"/>
    <x:mergeCell ref="Q6:X9"/>
    <x:mergeCell ref="Q10:X13"/>
    <x:mergeCell ref="Q14:X15"/>
    <x:mergeCell ref="C17:I17"/>
    <x:mergeCell ref="J17:P17"/>
    <x:mergeCell ref="Q17:X17"/>
    <x:mergeCell ref="K18:L18"/>
    <x:mergeCell ref="N18:O18"/>
    <x:mergeCell ref="K19:L19"/>
    <x:mergeCell ref="N19:O19"/>
    <x:mergeCell ref="K20:L20"/>
    <x:mergeCell ref="N20:O20"/>
    <x:mergeCell ref="K21:L21"/>
    <x:mergeCell ref="N21:O21"/>
    <x:mergeCell ref="K22:L22"/>
    <x:mergeCell ref="N22:O22"/>
    <x:mergeCell ref="K23:L23"/>
    <x:mergeCell ref="N23:O23"/>
    <x:mergeCell ref="K24:L24"/>
    <x:mergeCell ref="N24:O24"/>
    <x:mergeCell ref="K25:L25"/>
    <x:mergeCell ref="N25:O25"/>
    <x:mergeCell ref="K26:L26"/>
    <x:mergeCell ref="N26:O26"/>
    <x:mergeCell ref="K27:L27"/>
    <x:mergeCell ref="N27:O27"/>
    <x:mergeCell ref="K28:L28"/>
    <x:mergeCell ref="N28:O28"/>
    <x:mergeCell ref="J29:P30"/>
    <x:mergeCell ref="J31:P32"/>
    <x:mergeCell ref="V18:W18"/>
    <x:mergeCell ref="V19:W19"/>
    <x:mergeCell ref="V20:W20"/>
    <x:mergeCell ref="V21:W21"/>
    <x:mergeCell ref="V22:W22"/>
    <x:mergeCell ref="V23:W23"/>
    <x:mergeCell ref="Q24:X26"/>
    <x:mergeCell ref="Q27:X29"/>
    <x:mergeCell ref="Q30:X32"/>
    <x:mergeCell ref="C34:F35"/>
    <x:mergeCell ref="G34:J35"/>
    <x:mergeCell ref="K34:N35"/>
    <x:mergeCell ref="O34:R35"/>
    <x:mergeCell ref="S34:U35"/>
    <x:mergeCell ref="V34:X35"/>
    <x:mergeCell ref="C36:F38"/>
    <x:mergeCell ref="C39:F41"/>
    <x:mergeCell ref="C42:F44"/>
    <x:mergeCell ref="G36:J37"/>
    <x:mergeCell ref="G38:J39"/>
    <x:mergeCell ref="G40:J41"/>
    <x:mergeCell ref="G42:J43"/>
    <x:mergeCell ref="K36:N37"/>
    <x:mergeCell ref="K38:N39"/>
    <x:mergeCell ref="K40:N41"/>
    <x:mergeCell ref="K42:N43"/>
    <x:mergeCell ref="O36:R37"/>
    <x:mergeCell ref="O38:R39"/>
    <x:mergeCell ref="O40:R41"/>
    <x:mergeCell ref="O42:R43"/>
    <x:mergeCell ref="S36:U38"/>
    <x:mergeCell ref="S39:U41"/>
    <x:mergeCell ref="S42:U44"/>
    <x:mergeCell ref="V36:X38"/>
    <x:mergeCell ref="V39:X41"/>
    <x:mergeCell ref="V42:X44"/>
    <x:mergeCell ref="C47:G47"/>
    <x:mergeCell ref="H47:L47"/>
    <x:mergeCell ref="M47:Q47"/>
    <x:mergeCell ref="R47:U47"/>
    <x:mergeCell ref="V47:X47"/>
    <x:mergeCell ref="C49:F49"/>
    <x:mergeCell ref="C50:F50"/>
    <x:mergeCell ref="C51:F51"/>
    <x:mergeCell ref="C52:F52"/>
    <x:mergeCell ref="C53:F53"/>
    <x:mergeCell ref="C54:F54"/>
    <x:mergeCell ref="C55:F55"/>
    <x:mergeCell ref="H48:L50"/>
    <x:mergeCell ref="H51:L52"/>
    <x:mergeCell ref="H53:L54"/>
    <x:mergeCell ref="H55:L56"/>
    <x:mergeCell ref="H57:L58"/>
    <x:mergeCell ref="M48:Q49"/>
    <x:mergeCell ref="M50:Q51"/>
    <x:mergeCell ref="M52:Q53"/>
    <x:mergeCell ref="M54:Q55"/>
    <x:mergeCell ref="M56:Q58"/>
    <x:mergeCell ref="R48:U49"/>
    <x:mergeCell ref="R50:U51"/>
    <x:mergeCell ref="R52:U53"/>
    <x:mergeCell ref="R54:U55"/>
    <x:mergeCell ref="R56:U58"/>
    <x:mergeCell ref="V48:X50"/>
    <x:mergeCell ref="V51:X53"/>
    <x:mergeCell ref="V54:X56"/>
    <x:mergeCell ref="V57:X58"/>
    <x:mergeCell ref="C60:X60"/>
    <x:mergeCell ref="C61:X64"/>
    <x:mergeCell ref="C65:G68"/>
    <x:mergeCell ref="H65:L68"/>
    <x:mergeCell ref="M65:Q68"/>
    <x:mergeCell ref="R65:V68"/>
    <x:mergeCell ref="W65:X68"/>
    <x:mergeCell ref="C69:X70"/>
    <x:mergeCell ref="A72:X72"/>
    <x:mergeCell ref="G55:G56"/>
  </x:mergeCells>
  <x:conditionalFormatting sqref="C61:X64">
    <x:cfRule type="expression" dxfId="5" priority="1">
      <x:formula>$C$61="NO COMMITTEE ACTION REQUIRED"</x:formula>
    </x:cfRule>
    <x:cfRule type="expression" dxfId="6" priority="2">
      <x:formula>$C$61="COMMITTEE ACTION REQUIRED"</x:formula>
    </x:cfRule>
    <x:cfRule type="expression" dxfId="7" priority="3">
      <x:formula>$C$61="DATA UPDATE REQUIRED"</x:formula>
    </x:cfRule>
  </x:conditionalFormatting>
  <x:pageMargins left="0.7" right="0.7" top="0.75" bottom="0.75" header="0.3" footer="0.3"/>
  <x:drawing xmlns:r="http://schemas.openxmlformats.org/officeDocument/2006/relationships" r:id="Ra5df2d916b784ca1"/>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15" hidden="0" customWidth="1"/>
    <x:col min="4" max="4" width="15" hidden="0" customWidth="1"/>
    <x:col min="5" max="5" width="3" hidden="0" customWidth="1"/>
    <x:col min="6" max="6" width="17" hidden="0" customWidth="1"/>
    <x:col min="7" max="7" width="17" hidden="0" customWidth="1"/>
    <x:col min="8" max="8" width="29" hidden="0" customWidth="1"/>
  </x:cols>
  <x:sheetData>
    <x:row r="1" ht="19" customHeight="1">
      <x:c r="A1" s="102" t="str">
        <x:v>MANIFEST WORKBENCH — DASHBOARD CONTROLS</x:v>
      </x:c>
      <x:c r="B1" s="102"/>
      <x:c r="C1" s="102"/>
      <x:c r="D1" s="102"/>
      <x:c r="E1" s="102"/>
      <x:c r="F1" s="102"/>
      <x:c r="G1" s="102"/>
      <x:c r="H1" s="102"/>
    </x:row>
    <x:row r="2" ht="19" customHeight="1">
      <x:c r="A2" s="102"/>
      <x:c r="B2" s="102"/>
      <x:c r="C2" s="102"/>
      <x:c r="D2" s="102"/>
      <x:c r="E2" s="102"/>
      <x:c r="F2" s="102"/>
      <x:c r="G2" s="102"/>
      <x:c r="H2" s="102"/>
    </x:row>
    <x:row r="3" ht="19" customHeight="1">
      <x:c r="A3" s="106" t="str">
        <x:v>CISC-001 | Founders Edition v1.0 | Blue/yellow cells are weekly operating inputs</x:v>
      </x:c>
      <x:c r="B3" s="106"/>
      <x:c r="C3" s="106"/>
      <x:c r="D3" s="106"/>
      <x:c r="E3" s="106"/>
      <x:c r="F3" s="106"/>
      <x:c r="G3" s="106"/>
      <x:c r="H3" s="106"/>
    </x:row>
    <x:row r="4" ht="19" customHeight="1"/>
    <x:row r="5" ht="19" customHeight="1">
      <x:c r="A5" s="90" t="str">
        <x:v>Control Field</x:v>
      </x:c>
      <x:c r="B5" s="90" t="str">
        <x:v>Operating Value</x:v>
      </x:c>
    </x:row>
    <x:row r="6" ht="19" customHeight="1">
      <x:c r="A6" s="108" t="str">
        <x:v>Report Date</x:v>
      </x:c>
      <x:c r="B6" s="109" t="n">
        <x:v>46229</x:v>
      </x:c>
    </x:row>
    <x:row r="7" ht="19" customHeight="1">
      <x:c r="A7" s="108" t="str">
        <x:v>Console ID</x:v>
      </x:c>
      <x:c r="B7" s="93" t="str">
        <x:v>CISC-001</x:v>
      </x:c>
    </x:row>
    <x:row r="8" ht="19" customHeight="1">
      <x:c r="A8" s="108" t="str">
        <x:v>Edition</x:v>
      </x:c>
      <x:c r="B8" s="93" t="str">
        <x:v>Founders Edition v1.0</x:v>
      </x:c>
    </x:row>
    <x:row r="9" ht="19" customHeight="1">
      <x:c r="A9" s="108" t="str">
        <x:v>Data Status</x:v>
      </x:c>
      <x:c r="B9" s="93" t="str">
        <x:v>PROTOTYPE VALUES — LIVE INPUTS REQUIRED</x:v>
      </x:c>
    </x:row>
    <x:row r="10" ht="19" customHeight="1">
      <x:c r="A10" s="108" t="str">
        <x:v>Previous Week Score</x:v>
      </x:c>
      <x:c r="B10" s="110" t="n">
        <x:v>0.58</x:v>
      </x:c>
    </x:row>
    <x:row r="11" ht="19" customHeight="1">
      <x:c r="A11" s="108" t="str">
        <x:v>Confidence</x:v>
      </x:c>
      <x:c r="B11" s="111" t="n">
        <x:v>0.72</x:v>
      </x:c>
    </x:row>
    <x:row r="12" ht="19" customHeight="1">
      <x:c r="A12" s="108" t="str">
        <x:v>Next Review</x:v>
      </x:c>
      <x:c r="B12" s="109" t="n">
        <x:v>46230</x:v>
      </x:c>
    </x:row>
    <x:row r="13" ht="19" customHeight="1">
      <x:c r="A13" s="108" t="str">
        <x:v>MWIR Status</x:v>
      </x:c>
      <x:c r="B13" s="93" t="str">
        <x:v>Planned / not yet published</x:v>
      </x:c>
    </x:row>
    <x:row r="14" ht="19" customHeight="1"/>
    <x:row r="15" ht="19" customHeight="1">
      <x:c r="A15" s="90" t="str">
        <x:v>Composite Component</x:v>
      </x:c>
      <x:c r="B15" s="90" t="str">
        <x:v>Score (-1 to +1)</x:v>
      </x:c>
      <x:c r="C15" s="90" t="str">
        <x:v>Weight</x:v>
      </x:c>
      <x:c r="D15" s="90" t="str">
        <x:v>Contribution</x:v>
      </x:c>
      <x:c r="F15" s="90" t="str">
        <x:v>Gauge Zone</x:v>
      </x:c>
      <x:c r="G15" s="90" t="str">
        <x:v>Value</x:v>
      </x:c>
    </x:row>
    <x:row r="16" ht="19" customHeight="1">
      <x:c r="A16" t="str">
        <x:v>Macro Regime</x:v>
      </x:c>
      <x:c r="B16" s="110" t="n">
        <x:v>0.6</x:v>
      </x:c>
      <x:c r="C16" s="111" t="n">
        <x:v>0.15</x:v>
      </x:c>
      <x:c r="D16" s="114" t="n">
        <x:f>B16*C16</x:f>
        <x:v>0.09</x:v>
      </x:c>
      <x:c r="F16" s="113" t="str">
        <x:v>Positive / Green</x:v>
      </x:c>
      <x:c r="G16" s="113" t="n">
        <x:v>40</x:v>
      </x:c>
    </x:row>
    <x:row r="17" ht="19" customHeight="1">
      <x:c r="A17" t="str">
        <x:v>Credit Conditions</x:v>
      </x:c>
      <x:c r="B17" s="110" t="n">
        <x:v>0.55</x:v>
      </x:c>
      <x:c r="C17" s="111" t="n">
        <x:v>0.15</x:v>
      </x:c>
      <x:c r="D17" s="114" t="n">
        <x:f>B17*C17</x:f>
        <x:v>0.0825</x:v>
      </x:c>
      <x:c r="F17" s="113" t="str">
        <x:v>Neutral / Yellow</x:v>
      </x:c>
      <x:c r="G17" s="113" t="n">
        <x:v>20</x:v>
      </x:c>
    </x:row>
    <x:row r="18" ht="19" customHeight="1">
      <x:c r="A18" t="str">
        <x:v>Liquidity &amp; Policy</x:v>
      </x:c>
      <x:c r="B18" s="110" t="n">
        <x:v>0.45</x:v>
      </x:c>
      <x:c r="C18" s="111" t="n">
        <x:v>0.1</x:v>
      </x:c>
      <x:c r="D18" s="114" t="n">
        <x:f>B18*C18</x:f>
        <x:v>0.045000000000000005</x:v>
      </x:c>
      <x:c r="F18" s="113" t="str">
        <x:v>Caution / Orange</x:v>
      </x:c>
      <x:c r="G18" s="113" t="n">
        <x:v>20</x:v>
      </x:c>
    </x:row>
    <x:row r="19" ht="19" customHeight="1">
      <x:c r="A19" t="str">
        <x:v>Market Breadth</x:v>
      </x:c>
      <x:c r="B19" s="110" t="n">
        <x:v>0.65</x:v>
      </x:c>
      <x:c r="C19" s="111" t="n">
        <x:v>0.1</x:v>
      </x:c>
      <x:c r="D19" s="114" t="n">
        <x:f>B19*C19</x:f>
        <x:v>0.065</x:v>
      </x:c>
      <x:c r="F19" s="113" t="str">
        <x:v>Risk / Red</x:v>
      </x:c>
      <x:c r="G19" s="113" t="n">
        <x:v>20</x:v>
      </x:c>
    </x:row>
    <x:row r="20" ht="19" customHeight="1">
      <x:c r="A20" t="str">
        <x:v>Earnings &amp; Fundamentals</x:v>
      </x:c>
      <x:c r="B20" s="110" t="n">
        <x:v>0.7</x:v>
      </x:c>
      <x:c r="C20" s="111" t="n">
        <x:v>0.15</x:v>
      </x:c>
      <x:c r="D20" s="114" t="n">
        <x:f>B20*C20</x:f>
        <x:v>0.105</x:v>
      </x:c>
    </x:row>
    <x:row r="21" ht="19" customHeight="1">
      <x:c r="A21" t="str">
        <x:v>Valuation Discipline</x:v>
      </x:c>
      <x:c r="B21" s="110" t="n">
        <x:v>0.4</x:v>
      </x:c>
      <x:c r="C21" s="111" t="n">
        <x:v>0.1</x:v>
      </x:c>
      <x:c r="D21" s="114" t="n">
        <x:f>B21*C21</x:f>
        <x:v>0.04000000000000001</x:v>
      </x:c>
    </x:row>
    <x:row r="22" ht="19" customHeight="1">
      <x:c r="A22" t="str">
        <x:v>Portfolio Alignment</x:v>
      </x:c>
      <x:c r="B22" s="110" t="n">
        <x:v>0.75</x:v>
      </x:c>
      <x:c r="C22" s="111" t="n">
        <x:v>0.15</x:v>
      </x:c>
      <x:c r="D22" s="114" t="n">
        <x:f>B22*C22</x:f>
        <x:v>0.11249999999999999</x:v>
      </x:c>
      <x:c r="F22" s="90" t="str">
        <x:v>Score Floor</x:v>
      </x:c>
      <x:c r="G22" s="90" t="str">
        <x:v>Score Ceiling</x:v>
      </x:c>
      <x:c r="H22" s="90" t="str">
        <x:v>Posture</x:v>
      </x:c>
    </x:row>
    <x:row r="23" ht="19" customHeight="1">
      <x:c r="A23" t="str">
        <x:v>Research Conviction</x:v>
      </x:c>
      <x:c r="B23" s="110" t="n">
        <x:v>0.8</x:v>
      </x:c>
      <x:c r="C23" s="111" t="n">
        <x:v>0.1</x:v>
      </x:c>
      <x:c r="D23" s="114" t="n">
        <x:f>B23*C23</x:f>
        <x:v>0.08000000000000002</x:v>
      </x:c>
      <x:c r="F23" s="110" t="n">
        <x:v>0.5</x:v>
      </x:c>
      <x:c r="G23" s="110" t="n">
        <x:v>1</x:v>
      </x:c>
      <x:c r="H23" s="93" t="str">
        <x:v>Maintain / Opportunistic</x:v>
      </x:c>
    </x:row>
    <x:row r="24" ht="19" customHeight="1">
      <x:c r="A24" s="87" t="str">
        <x:v>TOTAL / COMPOSITE</x:v>
      </x:c>
      <x:c r="B24" s="87"/>
      <x:c r="C24" s="115" t="n">
        <x:f>SUM(C16:C23)</x:f>
        <x:v>1</x:v>
      </x:c>
      <x:c r="D24" s="116" t="n">
        <x:f>SUM(D16:D23)</x:f>
        <x:v>0.6200000000000001</x:v>
      </x:c>
      <x:c r="F24" s="110" t="n">
        <x:v>0.1</x:v>
      </x:c>
      <x:c r="G24" s="110" t="n">
        <x:v>0.49</x:v>
      </x:c>
      <x:c r="H24" s="93" t="str">
        <x:v>Maintain / Balanced</x:v>
      </x:c>
    </x:row>
    <x:row r="25" ht="19" customHeight="1">
      <x:c r="F25" s="110" t="n">
        <x:v>-0.09</x:v>
      </x:c>
      <x:c r="G25" s="110" t="n">
        <x:v>0.09</x:v>
      </x:c>
      <x:c r="H25" s="93" t="str">
        <x:v>Hold / Disciplined</x:v>
      </x:c>
    </x:row>
    <x:row r="26" ht="19" customHeight="1">
      <x:c r="A26" s="90" t="str">
        <x:v>Derived Indicator</x:v>
      </x:c>
      <x:c r="B26" s="90" t="str">
        <x:v>Result</x:v>
      </x:c>
      <x:c r="F26" s="110" t="n">
        <x:v>-0.34</x:v>
      </x:c>
      <x:c r="G26" s="110" t="n">
        <x:v>-0.1</x:v>
      </x:c>
      <x:c r="H26" s="93" t="str">
        <x:v>Defensive / Selective</x:v>
      </x:c>
    </x:row>
    <x:row r="27" ht="19" customHeight="1">
      <x:c r="A27" s="108" t="str">
        <x:v>Composite Alignment Score</x:v>
      </x:c>
      <x:c r="B27" s="114" t="n">
        <x:f>D24</x:f>
        <x:v>0.6200000000000001</x:v>
      </x:c>
      <x:c r="F27" s="110" t="n">
        <x:v>-1</x:v>
      </x:c>
      <x:c r="G27" s="110" t="n">
        <x:v>-0.35</x:v>
      </x:c>
      <x:c r="H27" s="93" t="str">
        <x:v>Reduce Risk</x:v>
      </x:c>
    </x:row>
    <x:row r="28" ht="19" customHeight="1">
      <x:c r="A28" s="108" t="str">
        <x:v>Weekly Change</x:v>
      </x:c>
      <x:c r="B28" s="114" t="n">
        <x:f>B27-B10</x:f>
        <x:v>0.04000000000000015</x:v>
      </x:c>
      <x:c r="F28" s="122" t="str">
        <x:v>Thresholds change only by committee action.</x:v>
      </x:c>
      <x:c r="G28" s="122"/>
      <x:c r="H28" s="122" t="str">
        <x:v>Thresholds change only by committee action.</x:v>
      </x:c>
    </x:row>
    <x:row r="29" ht="19" customHeight="1">
      <x:c r="A29" s="108" t="str">
        <x:v>Current Posture</x:v>
      </x:c>
      <x:c r="B29" s="113" t="str">
        <x:f>IF(B27&gt;=0.10,"MAINTAIN STRATEGIC ALLOCATION",IF(B27&gt;-0.10,"HOLD / MONITOR",IF(B27&gt;-0.35,"DEFENSIVE TILT","REDUCE RISK")))</x:f>
        <x:v>MAINTAIN STRATEGIC ALLOCATION</x:v>
      </x:c>
    </x:row>
    <x:row r="30" ht="19" customHeight="1">
      <x:c r="A30" s="108" t="str">
        <x:v>Compass Bias</x:v>
      </x:c>
      <x:c r="B30" s="113" t="str">
        <x:f>IF(B27&gt;=0.50,"OPPORTUNISTIC",IF(B27&gt;=0.10,"BALANCED",IF(B27&gt;-0.10,"DISCIPLINED",IF(B27&gt;-0.35,"DEFENSIVE","CAPITAL PRESERVATION"))))</x:f>
        <x:v>OPPORTUNISTIC</x:v>
      </x:c>
    </x:row>
    <x:row r="31" ht="19" customHeight="1">
      <x:c r="A31" s="108" t="str">
        <x:v>Score Classification</x:v>
      </x:c>
      <x:c r="B31" s="113" t="str">
        <x:f>IF(B27&gt;=0.50,"GREEN / STRONG ALIGNMENT",IF(B27&gt;=0.10,"GREEN / POSITIVE ALIGNMENT",IF(B27&gt;-0.10,"YELLOW / NEUTRAL",IF(B27&gt;-0.35,"ORANGE / CAUTION","RED / RISK REDUCTION"))))</x:f>
        <x:v>GREEN / STRONG ALIGNMENT</x:v>
      </x:c>
    </x:row>
    <x:row r="32" ht="19" customHeight="1">
      <x:c r="A32" s="108" t="str">
        <x:v>Prototype Note</x:v>
      </x:c>
      <x:c r="B32" s="117" t="str">
        <x:v>Replace component scores and confidence in each weekly run.</x:v>
      </x:c>
    </x:row>
    <x:row r="33" ht="19" customHeight="1"/>
    <x:row r="34" ht="19" customHeight="1"/>
    <x:row r="35" ht="19" customHeight="1"/>
  </x:sheetData>
  <x:mergeCells>
    <x:mergeCell ref="A1:H2"/>
    <x:mergeCell ref="A3:H3"/>
    <x:mergeCell ref="F28:H2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2" hidden="0" customWidth="1"/>
    <x:col min="4" max="4" width="30" hidden="0" customWidth="1"/>
    <x:col min="5" max="5" width="30" hidden="0" customWidth="1"/>
    <x:col min="6" max="6" width="30" hidden="0" customWidth="1"/>
    <x:col min="7" max="7" width="22" hidden="0" customWidth="1"/>
    <x:col min="8" max="8" width="22" hidden="0" customWidth="1"/>
    <x:col min="9" max="9" width="18" hidden="0" customWidth="1"/>
    <x:col min="10" max="10" width="18" hidden="0" customWidth="1"/>
    <x:col min="11" max="11" width="18" hidden="0" customWidth="1"/>
  </x:cols>
  <x:sheetData>
    <x:row r="1" ht="19" customHeight="1">
      <x:c r="A1" s="127" t="str">
        <x:v>MANIFEST DECISION CENTER</x:v>
      </x:c>
      <x:c r="B1" s="127"/>
      <x:c r="C1" s="127"/>
      <x:c r="D1" s="127"/>
      <x:c r="E1" s="127"/>
      <x:c r="F1" s="127"/>
      <x:c r="G1" s="127"/>
      <x:c r="H1" s="127"/>
      <x:c r="I1" s="127"/>
      <x:c r="J1" s="127"/>
      <x:c r="K1" s="127"/>
    </x:row>
    <x:row r="2" ht="19" customHeight="1">
      <x:c r="A2" s="127"/>
      <x:c r="B2" s="127"/>
      <x:c r="C2" s="127"/>
      <x:c r="D2" s="127"/>
      <x:c r="E2" s="127"/>
      <x:c r="F2" s="127"/>
      <x:c r="G2" s="127"/>
      <x:c r="H2" s="127"/>
      <x:c r="I2" s="127"/>
      <x:c r="J2" s="127"/>
      <x:c r="K2" s="127"/>
    </x:row>
    <x:row r="3" ht="19" customHeight="1">
      <x:c r="A3" s="142" t="str">
        <x:v>What decisions are actually required this week?</x:v>
      </x:c>
      <x:c r="B3" s="142"/>
      <x:c r="C3" s="142"/>
      <x:c r="D3" s="142"/>
      <x:c r="E3" s="142"/>
      <x:c r="F3" s="142"/>
      <x:c r="G3" s="142"/>
      <x:c r="H3" s="142"/>
      <x:c r="I3" s="142"/>
      <x:c r="J3" s="142"/>
      <x:c r="K3" s="142"/>
    </x:row>
    <x:row r="4" ht="19" customHeight="1">
      <x:c r="A4" s="42"/>
      <x:c r="B4" s="42"/>
      <x:c r="C4" s="42"/>
      <x:c r="D4" s="42"/>
      <x:c r="E4" s="42"/>
      <x:c r="F4" s="42"/>
      <x:c r="G4" s="42"/>
      <x:c r="H4" s="42"/>
      <x:c r="I4" s="42"/>
      <x:c r="J4" s="42"/>
      <x:c r="K4" s="42"/>
    </x:row>
    <x:row r="5" ht="19" customHeight="1">
      <x:c r="A5" s="90" t="str">
        <x:v>Decision Metric</x:v>
      </x:c>
      <x:c r="B5" s="90" t="str">
        <x:v>Current State</x:v>
      </x:c>
      <x:c r="C5" s="42"/>
      <x:c r="D5" s="90" t="str">
        <x:v>Governance Rule</x:v>
      </x:c>
      <x:c r="E5" s="90" t="str">
        <x:v>Result</x:v>
      </x:c>
      <x:c r="F5" s="90" t="str">
        <x:v>Meaning</x:v>
      </x:c>
      <x:c r="G5" s="42"/>
      <x:c r="H5" s="42"/>
      <x:c r="I5" s="42"/>
      <x:c r="J5" s="42"/>
      <x:c r="K5" s="42"/>
    </x:row>
    <x:row r="6" ht="19" customHeight="1">
      <x:c r="A6" s="143" t="str">
        <x:v>Decision State</x:v>
      </x:c>
      <x:c r="B6" s="138" t="str">
        <x:f>IF(B8&gt;0,"DATA UPDATE REQUIRED",IF(B13&gt;0,"COMMITTEE ACTION REQUIRED","NO COMMITTEE ACTION REQUIRED"))</x:f>
        <x:v>DATA UPDATE REQUIRED</x:v>
      </x:c>
      <x:c r="C6" s="42"/>
      <x:c r="D6" s="143" t="str">
        <x:v>Committee Meeting</x:v>
      </x:c>
      <x:c r="E6" s="42" t="str">
        <x:f>IF(B6="COMMITTEE ACTION REQUIRED","CONVENE COMMITTEE",IF(B6="DATA UPDATE REQUIRED","DEFER — COMPLETE DATA","NO MEETING REQUIRED"))</x:f>
        <x:v>DEFER — COMPLETE DATA</x:v>
      </x:c>
      <x:c r="F6" s="42" t="str">
        <x:v>Convene only when a decision is actually required.</x:v>
      </x:c>
      <x:c r="G6" s="42"/>
      <x:c r="H6" s="42"/>
      <x:c r="I6" s="42"/>
      <x:c r="J6" s="42"/>
      <x:c r="K6" s="42"/>
    </x:row>
    <x:row r="7" ht="19" customHeight="1">
      <x:c r="A7" s="143" t="str">
        <x:v>Data Completeness</x:v>
      </x:c>
      <x:c r="B7" s="44" t="n">
        <x:f>'99 Dashboard Data'!B64</x:f>
        <x:v>0</x:v>
      </x:c>
      <x:c r="C7" s="42"/>
      <x:c r="D7" s="143" t="str">
        <x:v>Automatic Trading</x:v>
      </x:c>
      <x:c r="E7" s="42" t="str">
        <x:v>PROHIBITED</x:v>
      </x:c>
      <x:c r="F7" s="42" t="str">
        <x:v>Committee review precedes implementation.</x:v>
      </x:c>
      <x:c r="G7" s="42"/>
      <x:c r="H7" s="42"/>
      <x:c r="I7" s="42"/>
      <x:c r="J7" s="42"/>
      <x:c r="K7" s="42"/>
    </x:row>
    <x:row r="8" ht="19" customHeight="1">
      <x:c r="A8" s="143" t="str">
        <x:v>Missing Actual Weights</x:v>
      </x:c>
      <x:c r="B8" s="139" t="n">
        <x:f>'99 Dashboard Data'!B61</x:f>
        <x:v>47</x:v>
      </x:c>
      <x:c r="C8" s="42"/>
      <x:c r="D8" s="143" t="str">
        <x:v>Current Weight Basis</x:v>
      </x:c>
      <x:c r="E8" s="42" t="str">
        <x:f>'99 Dashboard Data'!B65</x:f>
        <x:v>Target Weight</x:v>
      </x:c>
      <x:c r="F8" s="42" t="str">
        <x:v>Top holdings use actual weights only when all 47 are loaded.</x:v>
      </x:c>
      <x:c r="G8" s="42"/>
      <x:c r="H8" s="42"/>
      <x:c r="I8" s="42"/>
      <x:c r="J8" s="42"/>
      <x:c r="K8" s="42"/>
    </x:row>
    <x:row r="9" ht="19" customHeight="1">
      <x:c r="A9" s="143" t="str">
        <x:v>Allocation Decisions</x:v>
      </x:c>
      <x:c r="B9" s="139" t="n">
        <x:f>'99 Dashboard Data'!B62</x:f>
        <x:v>0</x:v>
      </x:c>
      <x:c r="C9" s="42"/>
      <x:c r="D9" s="143" t="str">
        <x:v>Rebalance Policy</x:v>
      </x:c>
      <x:c r="E9" s="42" t="str">
        <x:v>Band-Based</x:v>
      </x:c>
      <x:c r="F9" s="42" t="str">
        <x:v>Outside-band positions are reviewed, not automatically traded.</x:v>
      </x:c>
      <x:c r="G9" s="42"/>
      <x:c r="H9" s="42"/>
      <x:c r="I9" s="42"/>
      <x:c r="J9" s="42"/>
      <x:c r="K9" s="42"/>
    </x:row>
    <x:row r="10" ht="19" customHeight="1">
      <x:c r="A10" s="143" t="str">
        <x:v>Research / Conviction Decisions</x:v>
      </x:c>
      <x:c r="B10" s="139" t="n">
        <x:f>'99 Dashboard Data'!B66</x:f>
        <x:v>0</x:v>
      </x:c>
      <x:c r="C10" s="42"/>
      <x:c r="D10" s="143" t="str">
        <x:v>No-Action State</x:v>
      </x:c>
      <x:c r="E10" s="42" t="str">
        <x:v>AUTHORIZED</x:v>
      </x:c>
      <x:c r="F10" s="42" t="str">
        <x:v>Display when data are complete and no decisions remain.</x:v>
      </x:c>
      <x:c r="G10" s="42"/>
      <x:c r="H10" s="42"/>
      <x:c r="I10" s="42"/>
      <x:c r="J10" s="42"/>
      <x:c r="K10" s="42"/>
    </x:row>
    <x:row r="11" ht="19" customHeight="1">
      <x:c r="A11" s="143" t="str">
        <x:v>Manual Committee Decisions</x:v>
      </x:c>
      <x:c r="B11" s="139" t="n">
        <x:f>COUNTIFS(J28:J47,"Yes",K28:K47,"Open")+COUNTIFS(J28:J47,"Yes",K28:K47,"In Review")</x:f>
        <x:v>0</x:v>
      </x:c>
      <x:c r="C11" s="42"/>
      <x:c r="D11" s="42"/>
      <x:c r="E11" s="42"/>
      <x:c r="F11" s="42"/>
      <x:c r="G11" s="42"/>
      <x:c r="H11" s="42"/>
      <x:c r="I11" s="42"/>
      <x:c r="J11" s="42"/>
      <x:c r="K11" s="42"/>
    </x:row>
    <x:row r="12" ht="19" customHeight="1">
      <x:c r="A12" s="143" t="str">
        <x:v>Open Operating Actions</x:v>
      </x:c>
      <x:c r="B12" s="139" t="n">
        <x:f>'99 Dashboard Data'!B67</x:f>
        <x:v>4</x:v>
      </x:c>
      <x:c r="C12" s="42"/>
      <x:c r="D12" s="42"/>
      <x:c r="E12" s="42"/>
      <x:c r="F12" s="42"/>
      <x:c r="G12" s="42"/>
      <x:c r="H12" s="42"/>
      <x:c r="I12" s="42"/>
      <x:c r="J12" s="42"/>
      <x:c r="K12" s="42"/>
    </x:row>
    <x:row r="13" ht="19" customHeight="1">
      <x:c r="A13" s="143" t="str">
        <x:v>Total Committee Decisions</x:v>
      </x:c>
      <x:c r="B13" s="139" t="n">
        <x:f>SUM(B9:B11)</x:f>
        <x:v>0</x:v>
      </x:c>
      <x:c r="C13" s="42"/>
      <x:c r="D13" s="42"/>
      <x:c r="E13" s="42"/>
      <x:c r="F13" s="42"/>
      <x:c r="G13" s="42"/>
      <x:c r="H13" s="42"/>
      <x:c r="I13" s="42"/>
      <x:c r="J13" s="42"/>
      <x:c r="K13" s="42"/>
    </x:row>
    <x:row r="14" ht="19" customHeight="1">
      <x:c r="A14" s="143" t="str">
        <x:v>Highest Priority</x:v>
      </x:c>
      <x:c r="B14" s="138" t="str">
        <x:f>IF(B8&gt;0,"Load current actual portfolio weights",IF(B9&gt;0,"Review allocation-band exceptions",IF(B10&gt;0,"Resolve research or conviction decisions",IF(B11&gt;0,"Resolve manual committee decisions","Continue disciplined monitoring"))))</x:f>
        <x:v>Load current actual portfolio weights</x:v>
      </x:c>
      <x:c r="C14" s="42"/>
      <x:c r="D14" s="42"/>
      <x:c r="E14" s="42"/>
      <x:c r="F14" s="42"/>
      <x:c r="G14" s="42"/>
      <x:c r="H14" s="42"/>
      <x:c r="I14" s="42"/>
      <x:c r="J14" s="42"/>
      <x:c r="K14" s="42"/>
    </x:row>
    <x:row r="15" ht="19" customHeight="1">
      <x:c r="A15" s="42"/>
      <x:c r="B15" s="42"/>
      <x:c r="C15" s="42"/>
      <x:c r="D15" s="42"/>
      <x:c r="E15" s="42"/>
      <x:c r="F15" s="42"/>
      <x:c r="G15" s="42"/>
      <x:c r="H15" s="42"/>
      <x:c r="I15" s="42"/>
      <x:c r="J15" s="42"/>
      <x:c r="K15" s="42"/>
    </x:row>
    <x:row r="16" ht="19" customHeight="1">
      <x:c r="A16" s="42"/>
      <x:c r="B16" s="42"/>
      <x:c r="C16" s="42"/>
      <x:c r="D16" s="42"/>
      <x:c r="E16" s="42"/>
      <x:c r="F16" s="42"/>
      <x:c r="G16" s="42"/>
      <x:c r="H16" s="42"/>
      <x:c r="I16" s="42"/>
      <x:c r="J16" s="42"/>
      <x:c r="K16" s="42"/>
    </x:row>
    <x:row r="17" ht="19" customHeight="1">
      <x:c r="A17" s="129" t="str">
        <x:v>SYSTEM DECISION QUEUE</x:v>
      </x:c>
      <x:c r="B17" s="129"/>
      <x:c r="C17" s="129"/>
      <x:c r="D17" s="129"/>
      <x:c r="E17" s="129"/>
      <x:c r="F17" s="129"/>
      <x:c r="G17" s="129"/>
      <x:c r="H17" s="129"/>
      <x:c r="I17" s="129"/>
      <x:c r="J17" s="129"/>
      <x:c r="K17" s="129"/>
    </x:row>
    <x:row r="18" ht="19" customHeight="1">
      <x:c r="A18" s="90" t="str">
        <x:v>ID</x:v>
      </x:c>
      <x:c r="B18" s="90" t="str">
        <x:v>Category</x:v>
      </x:c>
      <x:c r="C18" s="90" t="str">
        <x:v>Trigger</x:v>
      </x:c>
      <x:c r="D18" s="90" t="str">
        <x:v>Decision Required</x:v>
      </x:c>
      <x:c r="E18" s="90" t="str">
        <x:v>Recommended Action</x:v>
      </x:c>
      <x:c r="F18" s="90" t="str">
        <x:v>Authority</x:v>
      </x:c>
      <x:c r="G18" s="90" t="str">
        <x:v>Status</x:v>
      </x:c>
      <x:c r="H18" s="90" t="str">
        <x:v>Evidence</x:v>
      </x:c>
      <x:c r="I18" s="90" t="str">
        <x:v>Owner</x:v>
      </x:c>
      <x:c r="J18" s="90" t="str">
        <x:v>Due</x:v>
      </x:c>
      <x:c r="K18" s="90" t="str">
        <x:v>Notes</x:v>
      </x:c>
    </x:row>
    <x:row r="19" ht="19" customHeight="1">
      <x:c r="A19" s="42" t="str">
        <x:v>DC-SYS-001</x:v>
      </x:c>
      <x:c r="B19" s="42" t="str">
        <x:v>Data Integrity</x:v>
      </x:c>
      <x:c r="C19" s="42" t="str">
        <x:f>IF($B$8&gt;0,$B$8&amp;" actual weights missing","Actual weights complete")</x:f>
        <x:v>47 actual weights missing</x:v>
      </x:c>
      <x:c r="D19" s="42" t="str">
        <x:f>IF($B$8&gt;0,"Data update required","No data decision")</x:f>
        <x:v>Data update required</x:v>
      </x:c>
      <x:c r="E19" s="42" t="str">
        <x:v>Load actual weights in Certified Allocation column I</x:v>
      </x:c>
      <x:c r="F19" s="42" t="str">
        <x:v>Portfolio Operations</x:v>
      </x:c>
      <x:c r="G19" s="42" t="str">
        <x:f>IF($B$8&gt;0,"ACTION REQUIRED","READY")</x:f>
        <x:v>ACTION REQUIRED</x:v>
      </x:c>
      <x:c r="H19" s="42" t="str">
        <x:v>MFPDF actual-weight fields</x:v>
      </x:c>
      <x:c r="I19" s="42" t="str">
        <x:v>Portfolio Operations</x:v>
      </x:c>
      <x:c r="J19" s="141" t="n">
        <x:v>46230</x:v>
      </x:c>
      <x:c r="K19" s="42" t="str">
        <x:v>Blocks live allocation decisions</x:v>
      </x:c>
    </x:row>
    <x:row r="20" ht="19" customHeight="1">
      <x:c r="A20" s="42" t="str">
        <x:v>DC-SYS-002</x:v>
      </x:c>
      <x:c r="B20" s="42" t="str">
        <x:v>Allocation</x:v>
      </x:c>
      <x:c r="C20" s="42" t="str">
        <x:f>$B$9&amp;" allocation-band exceptions"</x:f>
        <x:v>0 allocation-band exceptions</x:v>
      </x:c>
      <x:c r="D20" s="42" t="str">
        <x:f>IF($B$9&gt;0,"Committee allocation decision","No allocation decision")</x:f>
        <x:v>No allocation decision</x:v>
      </x:c>
      <x:c r="E20" s="42" t="str">
        <x:v>Review each band exception; add/trim only after committee review</x:v>
      </x:c>
      <x:c r="F20" s="42" t="str">
        <x:v>Stewardship Committee</x:v>
      </x:c>
      <x:c r="G20" s="42" t="str">
        <x:f>IF($B$8&gt;0,"PENDING DATA",IF($B$9&gt;0,"DECISION REQUIRED","NO DECISION"))</x:f>
        <x:v>PENDING DATA</x:v>
      </x:c>
      <x:c r="H20" s="42" t="str">
        <x:v>Certified bands and actual weights</x:v>
      </x:c>
      <x:c r="I20" s="42" t="str">
        <x:v>Portfolio Engineering</x:v>
      </x:c>
      <x:c r="J20" s="141"/>
      <x:c r="K20" s="42" t="str">
        <x:v>No automatic rebalancing</x:v>
      </x:c>
    </x:row>
    <x:row r="21" ht="19" customHeight="1">
      <x:c r="A21" s="42" t="str">
        <x:v>DC-SYS-003</x:v>
      </x:c>
      <x:c r="B21" s="42" t="str">
        <x:v>Research</x:v>
      </x:c>
      <x:c r="C21" s="42" t="str">
        <x:f>$B$10&amp;" research / conviction decisions"</x:f>
        <x:v>0 research / conviction decisions</x:v>
      </x:c>
      <x:c r="D21" s="42" t="str">
        <x:f>IF($B$10&gt;0,"Committee research decision","No research decision")</x:f>
        <x:v>No research decision</x:v>
      </x:c>
      <x:c r="E21" s="42" t="str">
        <x:v>Resolve items marked Decision Required</x:v>
      </x:c>
      <x:c r="F21" s="42" t="str">
        <x:v>Research / Stewardship Committee</x:v>
      </x:c>
      <x:c r="G21" s="42" t="str">
        <x:f>IF($B$10&gt;0,"DECISION REQUIRED","NO DECISION")</x:f>
        <x:v>NO DECISION</x:v>
      </x:c>
      <x:c r="H21" s="42" t="str">
        <x:v>Research Intelligence workspace</x:v>
      </x:c>
      <x:c r="I21" s="42" t="str">
        <x:v>Research Division</x:v>
      </x:c>
      <x:c r="J21" s="141"/>
      <x:c r="K21" s="42" t="str"/>
    </x:row>
    <x:row r="22" ht="19" customHeight="1">
      <x:c r="A22" s="42" t="str">
        <x:v>DC-SYS-004</x:v>
      </x:c>
      <x:c r="B22" s="42" t="str">
        <x:v>Manual Decisions</x:v>
      </x:c>
      <x:c r="C22" s="42" t="str">
        <x:f>$B$11&amp;" manual committee decisions"</x:f>
        <x:v>0 manual committee decisions</x:v>
      </x:c>
      <x:c r="D22" s="42" t="str">
        <x:f>IF($B$11&gt;0,"Committee decision","No manual decision")</x:f>
        <x:v>No manual decision</x:v>
      </x:c>
      <x:c r="E22" s="42" t="str">
        <x:v>Resolve open manual committee decisions</x:v>
      </x:c>
      <x:c r="F22" s="42" t="str">
        <x:v>Stewardship Committee</x:v>
      </x:c>
      <x:c r="G22" s="42" t="str">
        <x:f>IF($B$11&gt;0,"DECISION REQUIRED","NO DECISION")</x:f>
        <x:v>NO DECISION</x:v>
      </x:c>
      <x:c r="H22" s="42" t="str">
        <x:v>Manual Decision Register</x:v>
      </x:c>
      <x:c r="I22" s="42" t="str">
        <x:v>Chief Investment Steward</x:v>
      </x:c>
      <x:c r="J22" s="141"/>
      <x:c r="K22" s="42" t="str"/>
    </x:row>
    <x:row r="23" ht="19" customHeight="1">
      <x:c r="A23" s="42" t="str">
        <x:v>DC-SYS-005</x:v>
      </x:c>
      <x:c r="B23" s="42" t="str">
        <x:v>Publication</x:v>
      </x:c>
      <x:c r="C23" s="42" t="str">
        <x:v>MWIR scheduled</x:v>
      </x:c>
      <x:c r="D23" s="42" t="str">
        <x:v>No committee decision unless recommendation changes</x:v>
      </x:c>
      <x:c r="E23" s="42" t="str">
        <x:v>Complete institutional publication workflow</x:v>
      </x:c>
      <x:c r="F23" s="42" t="str">
        <x:v>Publication Division</x:v>
      </x:c>
      <x:c r="G23" s="42" t="str">
        <x:v>Operational</x:v>
      </x:c>
      <x:c r="H23" s="42" t="str">
        <x:v>Committee Operations</x:v>
      </x:c>
      <x:c r="I23" s="42" t="str">
        <x:v>Publication Division</x:v>
      </x:c>
      <x:c r="J23" s="141" t="n">
        <x:v>46230</x:v>
      </x:c>
      <x:c r="K23" s="42" t="str"/>
    </x:row>
    <x:row r="24" ht="19" customHeight="1">
      <x:c r="A24" s="42"/>
      <x:c r="B24" s="42"/>
      <x:c r="C24" s="42"/>
      <x:c r="D24" s="42"/>
      <x:c r="E24" s="42"/>
      <x:c r="F24" s="42"/>
      <x:c r="G24" s="42"/>
      <x:c r="H24" s="42"/>
      <x:c r="I24" s="42"/>
      <x:c r="J24" s="42"/>
      <x:c r="K24" s="42"/>
    </x:row>
    <x:row r="25" ht="19" customHeight="1">
      <x:c r="A25" s="42"/>
      <x:c r="B25" s="42"/>
      <x:c r="C25" s="42"/>
      <x:c r="D25" s="42"/>
      <x:c r="E25" s="42"/>
      <x:c r="F25" s="42"/>
      <x:c r="G25" s="42"/>
      <x:c r="H25" s="42"/>
      <x:c r="I25" s="42"/>
      <x:c r="J25" s="42"/>
      <x:c r="K25" s="42"/>
    </x:row>
    <x:row r="26" ht="19" customHeight="1">
      <x:c r="A26" s="129" t="str">
        <x:v>MANUAL DECISION REGISTER</x:v>
      </x:c>
      <x:c r="B26" s="129"/>
      <x:c r="C26" s="129"/>
      <x:c r="D26" s="129"/>
      <x:c r="E26" s="129"/>
      <x:c r="F26" s="129"/>
      <x:c r="G26" s="129"/>
      <x:c r="H26" s="129"/>
      <x:c r="I26" s="129"/>
      <x:c r="J26" s="129"/>
      <x:c r="K26" s="129"/>
    </x:row>
    <x:row r="27" ht="19" customHeight="1">
      <x:c r="A27" s="90" t="str">
        <x:v>ID</x:v>
      </x:c>
      <x:c r="B27" s="90" t="str">
        <x:v>Date Opened</x:v>
      </x:c>
      <x:c r="C27" s="90" t="str">
        <x:v>Category</x:v>
      </x:c>
      <x:c r="D27" s="90" t="str">
        <x:v>Decision</x:v>
      </x:c>
      <x:c r="E27" s="90" t="str">
        <x:v>Evidence</x:v>
      </x:c>
      <x:c r="F27" s="90" t="str">
        <x:v>Recommendation</x:v>
      </x:c>
      <x:c r="G27" s="90" t="str">
        <x:v>Authority</x:v>
      </x:c>
      <x:c r="H27" s="90" t="str">
        <x:v>Owner</x:v>
      </x:c>
      <x:c r="I27" s="90" t="str">
        <x:v>Due Date</x:v>
      </x:c>
      <x:c r="J27" s="90" t="str">
        <x:v>Requires Committee Decision?</x:v>
      </x:c>
      <x:c r="K27" s="90" t="str">
        <x:v>Status</x:v>
      </x:c>
    </x:row>
    <x:row r="28" ht="19" customHeight="1">
      <x:c r="A28" s="117" t="str">
        <x:v>DC-001</x:v>
      </x:c>
      <x:c r="B28" s="130" t="n">
        <x:v>46229</x:v>
      </x:c>
      <x:c r="C28" s="117" t="str">
        <x:v>Governance</x:v>
      </x:c>
      <x:c r="D28" s="117" t="str">
        <x:v>Freeze CISC-001 as the five-panel visual reference standard</x:v>
      </x:c>
      <x:c r="E28" s="117" t="str">
        <x:v>Approved console design plus Manifest Decision Center</x:v>
      </x:c>
      <x:c r="F28" s="117" t="str">
        <x:v>Frozen as CISC-001 Founders Edition v1.0</x:v>
      </x:c>
      <x:c r="G28" s="117" t="str">
        <x:v>Chief Investment Steward</x:v>
      </x:c>
      <x:c r="H28" s="117" t="str">
        <x:v>Chief Investment Steward</x:v>
      </x:c>
      <x:c r="I28" s="130" t="n">
        <x:v>46229</x:v>
      </x:c>
      <x:c r="J28" s="117" t="str">
        <x:v>No</x:v>
      </x:c>
      <x:c r="K28" s="117" t="str">
        <x:v>Closed</x:v>
      </x:c>
    </x:row>
    <x:row r="29" ht="19" customHeight="1">
      <x:c r="A29" s="117" t="str">
        <x:v>DC-002</x:v>
      </x:c>
      <x:c r="B29" s="130" t="n">
        <x:v>46229</x:v>
      </x:c>
      <x:c r="C29" s="117" t="str">
        <x:v>Operations</x:v>
      </x:c>
      <x:c r="D29" s="117" t="str">
        <x:v>Establish Manifest Workbench on the certified MFPDF foundation</x:v>
      </x:c>
      <x:c r="E29" s="117" t="str">
        <x:v>Canonical 47-position Portfolio B workbook</x:v>
      </x:c>
      <x:c r="F29" s="117" t="str">
        <x:v>Implement workbench without altering certified target weights</x:v>
      </x:c>
      <x:c r="G29" s="117" t="str">
        <x:v>Chief Investment Steward</x:v>
      </x:c>
      <x:c r="H29" s="117" t="str">
        <x:v>Portfolio Operations</x:v>
      </x:c>
      <x:c r="I29" s="130" t="n">
        <x:v>46229</x:v>
      </x:c>
      <x:c r="J29" s="117" t="str">
        <x:v>No</x:v>
      </x:c>
      <x:c r="K29" s="117" t="str">
        <x:v>Closed</x:v>
      </x:c>
    </x:row>
    <x:row r="30" ht="19" customHeight="1">
      <x:c r="A30" s="117" t="str">
        <x:v>DC-003</x:v>
      </x:c>
      <x:c r="B30" s="130" t="n">
        <x:v>46229</x:v>
      </x:c>
      <x:c r="C30" s="117" t="str">
        <x:v>Data</x:v>
      </x:c>
      <x:c r="D30" s="117" t="str">
        <x:v>Load current actual portfolio weights</x:v>
      </x:c>
      <x:c r="E30" s="117" t="str">
        <x:v>Certified Allocation column I is blank</x:v>
      </x:c>
      <x:c r="F30" s="117" t="str">
        <x:v>Complete data update before live band review</x:v>
      </x:c>
      <x:c r="G30" s="117" t="str">
        <x:v>Portfolio Operations</x:v>
      </x:c>
      <x:c r="H30" s="117" t="str">
        <x:v>Portfolio Operations</x:v>
      </x:c>
      <x:c r="I30" s="130" t="n">
        <x:v>46230</x:v>
      </x:c>
      <x:c r="J30" s="117" t="str">
        <x:v>No</x:v>
      </x:c>
      <x:c r="K30" s="117" t="str">
        <x:v>Open</x:v>
      </x:c>
    </x:row>
    <x:row r="31" ht="19" customHeight="1">
      <x:c r="A31" s="117"/>
      <x:c r="B31" s="130"/>
      <x:c r="C31" s="117"/>
      <x:c r="D31" s="117"/>
      <x:c r="E31" s="117"/>
      <x:c r="F31" s="117"/>
      <x:c r="G31" s="117"/>
      <x:c r="H31" s="117"/>
      <x:c r="I31" s="130"/>
      <x:c r="J31" s="117"/>
      <x:c r="K31" s="117"/>
    </x:row>
    <x:row r="32" ht="19" customHeight="1">
      <x:c r="A32" s="117"/>
      <x:c r="B32" s="130"/>
      <x:c r="C32" s="117"/>
      <x:c r="D32" s="117"/>
      <x:c r="E32" s="117"/>
      <x:c r="F32" s="117"/>
      <x:c r="G32" s="117"/>
      <x:c r="H32" s="117"/>
      <x:c r="I32" s="130"/>
      <x:c r="J32" s="117"/>
      <x:c r="K32" s="117"/>
    </x:row>
    <x:row r="33" ht="19" customHeight="1">
      <x:c r="A33" s="117"/>
      <x:c r="B33" s="130"/>
      <x:c r="C33" s="117"/>
      <x:c r="D33" s="117"/>
      <x:c r="E33" s="117"/>
      <x:c r="F33" s="117"/>
      <x:c r="G33" s="117"/>
      <x:c r="H33" s="117"/>
      <x:c r="I33" s="130"/>
      <x:c r="J33" s="117"/>
      <x:c r="K33" s="117"/>
    </x:row>
    <x:row r="34" ht="19" customHeight="1">
      <x:c r="A34" s="117"/>
      <x:c r="B34" s="130"/>
      <x:c r="C34" s="117"/>
      <x:c r="D34" s="117"/>
      <x:c r="E34" s="117"/>
      <x:c r="F34" s="117"/>
      <x:c r="G34" s="117"/>
      <x:c r="H34" s="117"/>
      <x:c r="I34" s="130"/>
      <x:c r="J34" s="117"/>
      <x:c r="K34" s="117"/>
    </x:row>
    <x:row r="35" ht="19" customHeight="1">
      <x:c r="A35" s="117"/>
      <x:c r="B35" s="130"/>
      <x:c r="C35" s="117"/>
      <x:c r="D35" s="117"/>
      <x:c r="E35" s="117"/>
      <x:c r="F35" s="117"/>
      <x:c r="G35" s="117"/>
      <x:c r="H35" s="117"/>
      <x:c r="I35" s="130"/>
      <x:c r="J35" s="117"/>
      <x:c r="K35" s="117"/>
    </x:row>
    <x:row r="36" ht="19" customHeight="1">
      <x:c r="A36" s="117"/>
      <x:c r="B36" s="130"/>
      <x:c r="C36" s="117"/>
      <x:c r="D36" s="117"/>
      <x:c r="E36" s="117"/>
      <x:c r="F36" s="117"/>
      <x:c r="G36" s="117"/>
      <x:c r="H36" s="117"/>
      <x:c r="I36" s="130"/>
      <x:c r="J36" s="117"/>
      <x:c r="K36" s="117"/>
    </x:row>
    <x:row r="37" ht="19" customHeight="1">
      <x:c r="A37" s="117"/>
      <x:c r="B37" s="130"/>
      <x:c r="C37" s="117"/>
      <x:c r="D37" s="117"/>
      <x:c r="E37" s="117"/>
      <x:c r="F37" s="117"/>
      <x:c r="G37" s="117"/>
      <x:c r="H37" s="117"/>
      <x:c r="I37" s="130"/>
      <x:c r="J37" s="117"/>
      <x:c r="K37" s="117"/>
    </x:row>
    <x:row r="38" ht="19" customHeight="1">
      <x:c r="A38" s="117"/>
      <x:c r="B38" s="130"/>
      <x:c r="C38" s="117"/>
      <x:c r="D38" s="117"/>
      <x:c r="E38" s="117"/>
      <x:c r="F38" s="117"/>
      <x:c r="G38" s="117"/>
      <x:c r="H38" s="117"/>
      <x:c r="I38" s="130"/>
      <x:c r="J38" s="117"/>
      <x:c r="K38" s="117"/>
    </x:row>
    <x:row r="39" ht="19" customHeight="1">
      <x:c r="A39" s="117"/>
      <x:c r="B39" s="130"/>
      <x:c r="C39" s="117"/>
      <x:c r="D39" s="117"/>
      <x:c r="E39" s="117"/>
      <x:c r="F39" s="117"/>
      <x:c r="G39" s="117"/>
      <x:c r="H39" s="117"/>
      <x:c r="I39" s="130"/>
      <x:c r="J39" s="117"/>
      <x:c r="K39" s="117"/>
    </x:row>
    <x:row r="40" ht="19" customHeight="1">
      <x:c r="A40" s="117"/>
      <x:c r="B40" s="130"/>
      <x:c r="C40" s="117"/>
      <x:c r="D40" s="117"/>
      <x:c r="E40" s="117"/>
      <x:c r="F40" s="117"/>
      <x:c r="G40" s="117"/>
      <x:c r="H40" s="117"/>
      <x:c r="I40" s="130"/>
      <x:c r="J40" s="117"/>
      <x:c r="K40" s="117"/>
    </x:row>
    <x:row r="41" ht="19" customHeight="1">
      <x:c r="A41" s="117"/>
      <x:c r="B41" s="130"/>
      <x:c r="C41" s="117"/>
      <x:c r="D41" s="117"/>
      <x:c r="E41" s="117"/>
      <x:c r="F41" s="117"/>
      <x:c r="G41" s="117"/>
      <x:c r="H41" s="117"/>
      <x:c r="I41" s="130"/>
      <x:c r="J41" s="117"/>
      <x:c r="K41" s="117"/>
    </x:row>
    <x:row r="42" ht="19" customHeight="1">
      <x:c r="A42" s="117"/>
      <x:c r="B42" s="130"/>
      <x:c r="C42" s="117"/>
      <x:c r="D42" s="117"/>
      <x:c r="E42" s="117"/>
      <x:c r="F42" s="117"/>
      <x:c r="G42" s="117"/>
      <x:c r="H42" s="117"/>
      <x:c r="I42" s="130"/>
      <x:c r="J42" s="117"/>
      <x:c r="K42" s="117"/>
    </x:row>
    <x:row r="43" ht="19" customHeight="1">
      <x:c r="A43" s="117"/>
      <x:c r="B43" s="130"/>
      <x:c r="C43" s="117"/>
      <x:c r="D43" s="117"/>
      <x:c r="E43" s="117"/>
      <x:c r="F43" s="117"/>
      <x:c r="G43" s="117"/>
      <x:c r="H43" s="117"/>
      <x:c r="I43" s="130"/>
      <x:c r="J43" s="117"/>
      <x:c r="K43" s="117"/>
    </x:row>
    <x:row r="44" ht="19" customHeight="1">
      <x:c r="A44" s="117"/>
      <x:c r="B44" s="130"/>
      <x:c r="C44" s="117"/>
      <x:c r="D44" s="117"/>
      <x:c r="E44" s="117"/>
      <x:c r="F44" s="117"/>
      <x:c r="G44" s="117"/>
      <x:c r="H44" s="117"/>
      <x:c r="I44" s="130"/>
      <x:c r="J44" s="117"/>
      <x:c r="K44" s="117"/>
    </x:row>
    <x:row r="45" ht="19" customHeight="1">
      <x:c r="A45" s="117"/>
      <x:c r="B45" s="130"/>
      <x:c r="C45" s="117"/>
      <x:c r="D45" s="117"/>
      <x:c r="E45" s="117"/>
      <x:c r="F45" s="117"/>
      <x:c r="G45" s="117"/>
      <x:c r="H45" s="117"/>
      <x:c r="I45" s="130"/>
      <x:c r="J45" s="117"/>
      <x:c r="K45" s="117"/>
    </x:row>
    <x:row r="46" ht="19" customHeight="1">
      <x:c r="A46" s="117"/>
      <x:c r="B46" s="130"/>
      <x:c r="C46" s="117"/>
      <x:c r="D46" s="117"/>
      <x:c r="E46" s="117"/>
      <x:c r="F46" s="117"/>
      <x:c r="G46" s="117"/>
      <x:c r="H46" s="117"/>
      <x:c r="I46" s="130"/>
      <x:c r="J46" s="117"/>
      <x:c r="K46" s="117"/>
    </x:row>
    <x:row r="47" ht="19" customHeight="1">
      <x:c r="A47" s="117"/>
      <x:c r="B47" s="130"/>
      <x:c r="C47" s="117"/>
      <x:c r="D47" s="117"/>
      <x:c r="E47" s="117"/>
      <x:c r="F47" s="117"/>
      <x:c r="G47" s="117"/>
      <x:c r="H47" s="117"/>
      <x:c r="I47" s="130"/>
      <x:c r="J47" s="117"/>
      <x:c r="K47" s="117"/>
    </x:row>
    <x:row r="48" ht="19" customHeight="1">
      <x:c r="A48" s="42"/>
      <x:c r="B48" s="42"/>
      <x:c r="C48" s="42"/>
      <x:c r="D48" s="42"/>
      <x:c r="E48" s="42"/>
      <x:c r="F48" s="42"/>
      <x:c r="G48" s="42"/>
      <x:c r="H48" s="42"/>
      <x:c r="I48" s="42"/>
      <x:c r="J48" s="42"/>
      <x:c r="K48" s="42"/>
    </x:row>
    <x:row r="49" ht="19" customHeight="1">
      <x:c r="A49" s="42"/>
      <x:c r="B49" s="42"/>
      <x:c r="C49" s="42"/>
      <x:c r="D49" s="42"/>
      <x:c r="E49" s="42"/>
      <x:c r="F49" s="42"/>
      <x:c r="G49" s="42"/>
      <x:c r="H49" s="42"/>
      <x:c r="I49" s="42"/>
      <x:c r="J49" s="42"/>
      <x:c r="K49" s="42"/>
    </x:row>
    <x:row r="50" ht="19" customHeight="1">
      <x:c r="A50" s="42"/>
      <x:c r="B50" s="42"/>
      <x:c r="C50" s="42"/>
      <x:c r="D50" s="42"/>
      <x:c r="E50" s="42"/>
      <x:c r="F50" s="42"/>
      <x:c r="G50" s="42"/>
      <x:c r="H50" s="42"/>
      <x:c r="I50" s="42"/>
      <x:c r="J50" s="42"/>
      <x:c r="K50" s="42"/>
    </x:row>
  </x:sheetData>
  <x:mergeCells>
    <x:mergeCell ref="A1:K2"/>
    <x:mergeCell ref="A3:K3"/>
    <x:mergeCell ref="A17:K17"/>
    <x:mergeCell ref="A26:K26"/>
  </x:mergeCells>
  <x:conditionalFormatting sqref="B6:F6">
    <x:cfRule type="expression" dxfId="2" priority="1">
      <x:formula>$B$6="NO COMMITTEE ACTION REQUIRED"</x:formula>
    </x:cfRule>
    <x:cfRule type="expression" dxfId="3" priority="2">
      <x:formula>$B$6="DATA UPDATE REQUIRED"</x:formula>
    </x:cfRule>
    <x:cfRule type="expression" dxfId="4" priority="3">
      <x:formula>$B$6="COMMITTEE ACTION REQUIRED"</x:formula>
    </x:cfRule>
  </x:conditionalFormatting>
  <x:dataValidations count="2">
    <x:dataValidation type="list" sqref="J28:J47">
      <x:formula1>"Yes,No"</x:formula1>
    </x:dataValidation>
    <x:dataValidation type="list" sqref="K28:K47">
      <x:formula1>"Open,In Review,Closed,Deferred"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26" hidden="0" customWidth="1"/>
    <x:col min="4" max="4" width="26" hidden="0" customWidth="1"/>
    <x:col min="5" max="5" width="20" hidden="0" customWidth="1"/>
    <x:col min="6" max="6" width="20" hidden="0" customWidth="1"/>
    <x:col min="7" max="7" width="20" hidden="0" customWidth="1"/>
    <x:col min="8" max="8" width="18" hidden="0" customWidth="1"/>
  </x:cols>
  <x:sheetData>
    <x:row r="1" ht="18" customHeight="1">
      <x:c r="A1" s="127" t="str">
        <x:v>RESEARCH INTELLIGENCE WORKSPACE</x:v>
      </x:c>
      <x:c r="B1" s="127"/>
      <x:c r="C1" s="127"/>
      <x:c r="D1" s="127"/>
      <x:c r="E1" s="127"/>
      <x:c r="F1" s="127"/>
      <x:c r="G1" s="127"/>
      <x:c r="H1" s="127"/>
    </x:row>
    <x:row r="2" ht="18" customHeight="1">
      <x:c r="A2" s="127"/>
      <x:c r="B2" s="127"/>
      <x:c r="C2" s="127"/>
      <x:c r="D2" s="127"/>
      <x:c r="E2" s="127"/>
      <x:c r="F2" s="127"/>
      <x:c r="G2" s="127"/>
      <x:c r="H2" s="127"/>
    </x:row>
    <x:row r="3" ht="18" customHeight="1">
      <x:c r="A3" s="128" t="str">
        <x:v>Populate only verified current research. The dashboard reads the first active entries from each section.</x:v>
      </x:c>
      <x:c r="B3" s="128"/>
      <x:c r="C3" s="128"/>
      <x:c r="D3" s="128"/>
      <x:c r="E3" s="128"/>
      <x:c r="F3" s="128"/>
      <x:c r="G3" s="128"/>
      <x:c r="H3" s="128"/>
    </x:row>
    <x:row r="4" ht="18" customHeight="1">
      <x:c r="A4" s="42"/>
      <x:c r="B4" s="42"/>
      <x:c r="C4" s="42"/>
      <x:c r="D4" s="42"/>
      <x:c r="E4" s="42"/>
      <x:c r="F4" s="42"/>
      <x:c r="G4" s="42"/>
      <x:c r="H4" s="42"/>
    </x:row>
    <x:row r="5" ht="18" customHeight="1">
      <x:c r="A5" s="129" t="str">
        <x:v>COMPANIES REQUIRING REVIEW</x:v>
      </x:c>
      <x:c r="B5" s="129"/>
      <x:c r="C5" s="129"/>
      <x:c r="D5" s="129"/>
      <x:c r="E5" s="129"/>
      <x:c r="F5" s="129"/>
      <x:c r="G5" s="129"/>
      <x:c r="H5" s="42"/>
    </x:row>
    <x:row r="6" ht="18" customHeight="1">
      <x:c r="A6" s="90" t="str">
        <x:v>Symbol</x:v>
      </x:c>
      <x:c r="B6" s="90" t="str">
        <x:v>Company</x:v>
      </x:c>
      <x:c r="C6" s="90" t="str">
        <x:v>Reason</x:v>
      </x:c>
      <x:c r="D6" s="90" t="str">
        <x:v>Trigger</x:v>
      </x:c>
      <x:c r="E6" s="90" t="str">
        <x:v>Priority</x:v>
      </x:c>
      <x:c r="F6" s="90" t="str">
        <x:v>Due Date</x:v>
      </x:c>
      <x:c r="G6" s="90" t="str">
        <x:v>Status</x:v>
      </x:c>
      <x:c r="H6" s="42"/>
    </x:row>
    <x:row r="7" ht="18" customHeight="1">
      <x:c r="A7" s="117"/>
      <x:c r="B7" s="117"/>
      <x:c r="C7" s="117"/>
      <x:c r="D7" s="117"/>
      <x:c r="E7" s="117"/>
      <x:c r="F7" s="130"/>
      <x:c r="G7" s="117"/>
      <x:c r="H7" s="42"/>
    </x:row>
    <x:row r="8" ht="18" customHeight="1">
      <x:c r="A8" s="117"/>
      <x:c r="B8" s="117"/>
      <x:c r="C8" s="117"/>
      <x:c r="D8" s="117"/>
      <x:c r="E8" s="117"/>
      <x:c r="F8" s="130"/>
      <x:c r="G8" s="117"/>
      <x:c r="H8" s="42"/>
    </x:row>
    <x:row r="9" ht="18" customHeight="1">
      <x:c r="A9" s="117"/>
      <x:c r="B9" s="117"/>
      <x:c r="C9" s="117"/>
      <x:c r="D9" s="117"/>
      <x:c r="E9" s="117"/>
      <x:c r="F9" s="130"/>
      <x:c r="G9" s="117"/>
      <x:c r="H9" s="42"/>
    </x:row>
    <x:row r="10" ht="18" customHeight="1">
      <x:c r="A10" s="117"/>
      <x:c r="B10" s="117"/>
      <x:c r="C10" s="117"/>
      <x:c r="D10" s="117"/>
      <x:c r="E10" s="117"/>
      <x:c r="F10" s="130"/>
      <x:c r="G10" s="117"/>
      <x:c r="H10" s="42"/>
    </x:row>
    <x:row r="11" ht="18" customHeight="1">
      <x:c r="A11" s="117"/>
      <x:c r="B11" s="117"/>
      <x:c r="C11" s="117"/>
      <x:c r="D11" s="117"/>
      <x:c r="E11" s="117"/>
      <x:c r="F11" s="130"/>
      <x:c r="G11" s="117"/>
      <x:c r="H11" s="42"/>
    </x:row>
    <x:row r="12" ht="18" customHeight="1">
      <x:c r="A12" s="117"/>
      <x:c r="B12" s="117"/>
      <x:c r="C12" s="117"/>
      <x:c r="D12" s="117"/>
      <x:c r="E12" s="117"/>
      <x:c r="F12" s="130"/>
      <x:c r="G12" s="117"/>
      <x:c r="H12" s="42"/>
    </x:row>
    <x:row r="13" ht="18" customHeight="1">
      <x:c r="A13" s="117"/>
      <x:c r="B13" s="117"/>
      <x:c r="C13" s="117"/>
      <x:c r="D13" s="117"/>
      <x:c r="E13" s="117"/>
      <x:c r="F13" s="130"/>
      <x:c r="G13" s="117"/>
      <x:c r="H13" s="42"/>
    </x:row>
    <x:row r="14" ht="18" customHeight="1">
      <x:c r="A14" s="117"/>
      <x:c r="B14" s="117"/>
      <x:c r="C14" s="117"/>
      <x:c r="D14" s="117"/>
      <x:c r="E14" s="117"/>
      <x:c r="F14" s="130"/>
      <x:c r="G14" s="117"/>
      <x:c r="H14" s="42"/>
    </x:row>
    <x:row r="15" ht="18" customHeight="1">
      <x:c r="A15" s="42"/>
      <x:c r="B15" s="42"/>
      <x:c r="C15" s="42"/>
      <x:c r="D15" s="42"/>
      <x:c r="E15" s="42"/>
      <x:c r="F15" s="42"/>
      <x:c r="G15" s="42"/>
      <x:c r="H15" s="42"/>
    </x:row>
    <x:row r="16" ht="18" customHeight="1">
      <x:c r="A16" s="42"/>
      <x:c r="B16" s="42"/>
      <x:c r="C16" s="42"/>
      <x:c r="D16" s="42"/>
      <x:c r="E16" s="42"/>
      <x:c r="F16" s="42"/>
      <x:c r="G16" s="42"/>
      <x:c r="H16" s="42"/>
    </x:row>
    <x:row r="17" ht="18" customHeight="1">
      <x:c r="A17" s="129" t="str">
        <x:v>EARNINGS / EVENT CALENDAR</x:v>
      </x:c>
      <x:c r="B17" s="129"/>
      <x:c r="C17" s="129"/>
      <x:c r="D17" s="129"/>
      <x:c r="E17" s="129"/>
      <x:c r="F17" s="42"/>
      <x:c r="G17" s="42"/>
      <x:c r="H17" s="42"/>
    </x:row>
    <x:row r="18" ht="18" customHeight="1">
      <x:c r="A18" s="90" t="str">
        <x:v>Date</x:v>
      </x:c>
      <x:c r="B18" s="90" t="str">
        <x:v>Symbol</x:v>
      </x:c>
      <x:c r="C18" s="90" t="str">
        <x:v>Company</x:v>
      </x:c>
      <x:c r="D18" s="90" t="str">
        <x:v>Event</x:v>
      </x:c>
      <x:c r="E18" s="90" t="str">
        <x:v>Status</x:v>
      </x:c>
      <x:c r="F18" s="42"/>
      <x:c r="G18" s="42"/>
      <x:c r="H18" s="42"/>
    </x:row>
    <x:row r="19" ht="18" customHeight="1">
      <x:c r="A19" s="130"/>
      <x:c r="B19" s="117"/>
      <x:c r="C19" s="117"/>
      <x:c r="D19" s="117"/>
      <x:c r="E19" s="117"/>
      <x:c r="F19" s="42"/>
      <x:c r="G19" s="42"/>
      <x:c r="H19" s="42"/>
    </x:row>
    <x:row r="20" ht="18" customHeight="1">
      <x:c r="A20" s="130"/>
      <x:c r="B20" s="117"/>
      <x:c r="C20" s="117"/>
      <x:c r="D20" s="117"/>
      <x:c r="E20" s="117"/>
      <x:c r="F20" s="42"/>
      <x:c r="G20" s="42"/>
      <x:c r="H20" s="42"/>
    </x:row>
    <x:row r="21" ht="18" customHeight="1">
      <x:c r="A21" s="130"/>
      <x:c r="B21" s="117"/>
      <x:c r="C21" s="117"/>
      <x:c r="D21" s="117"/>
      <x:c r="E21" s="117"/>
      <x:c r="F21" s="42"/>
      <x:c r="G21" s="42"/>
      <x:c r="H21" s="42"/>
    </x:row>
    <x:row r="22" ht="18" customHeight="1">
      <x:c r="A22" s="130"/>
      <x:c r="B22" s="117"/>
      <x:c r="C22" s="117"/>
      <x:c r="D22" s="117"/>
      <x:c r="E22" s="117"/>
      <x:c r="F22" s="42"/>
      <x:c r="G22" s="42"/>
      <x:c r="H22" s="42"/>
    </x:row>
    <x:row r="23" ht="18" customHeight="1">
      <x:c r="A23" s="130"/>
      <x:c r="B23" s="117"/>
      <x:c r="C23" s="117"/>
      <x:c r="D23" s="117"/>
      <x:c r="E23" s="117"/>
      <x:c r="F23" s="42"/>
      <x:c r="G23" s="42"/>
      <x:c r="H23" s="42"/>
    </x:row>
    <x:row r="24" ht="18" customHeight="1">
      <x:c r="A24" s="130"/>
      <x:c r="B24" s="117"/>
      <x:c r="C24" s="117"/>
      <x:c r="D24" s="117"/>
      <x:c r="E24" s="117"/>
      <x:c r="F24" s="42"/>
      <x:c r="G24" s="42"/>
      <x:c r="H24" s="42"/>
    </x:row>
    <x:row r="25" ht="18" customHeight="1">
      <x:c r="A25" s="130"/>
      <x:c r="B25" s="117"/>
      <x:c r="C25" s="117"/>
      <x:c r="D25" s="117"/>
      <x:c r="E25" s="117"/>
      <x:c r="F25" s="42"/>
      <x:c r="G25" s="42"/>
      <x:c r="H25" s="42"/>
    </x:row>
    <x:row r="26" ht="18" customHeight="1">
      <x:c r="A26" s="130"/>
      <x:c r="B26" s="117"/>
      <x:c r="C26" s="117"/>
      <x:c r="D26" s="117"/>
      <x:c r="E26" s="117"/>
      <x:c r="F26" s="42"/>
      <x:c r="G26" s="42"/>
      <x:c r="H26" s="42"/>
    </x:row>
    <x:row r="27" ht="18" customHeight="1">
      <x:c r="A27" s="42"/>
      <x:c r="B27" s="42"/>
      <x:c r="C27" s="42"/>
      <x:c r="D27" s="42"/>
      <x:c r="E27" s="42"/>
      <x:c r="F27" s="42"/>
      <x:c r="G27" s="42"/>
      <x:c r="H27" s="42"/>
    </x:row>
    <x:row r="28" ht="18" customHeight="1">
      <x:c r="A28" s="42"/>
      <x:c r="B28" s="42"/>
      <x:c r="C28" s="42"/>
      <x:c r="D28" s="42"/>
      <x:c r="E28" s="42"/>
      <x:c r="F28" s="42"/>
      <x:c r="G28" s="42"/>
      <x:c r="H28" s="42"/>
    </x:row>
    <x:row r="29" ht="18" customHeight="1">
      <x:c r="A29" s="129" t="str">
        <x:v>ZACKS RANK CHANGES</x:v>
      </x:c>
      <x:c r="B29" s="129"/>
      <x:c r="C29" s="129"/>
      <x:c r="D29" s="129"/>
      <x:c r="E29" s="129"/>
      <x:c r="F29" s="129"/>
      <x:c r="G29" s="42"/>
      <x:c r="H29" s="42"/>
    </x:row>
    <x:row r="30" ht="18" customHeight="1">
      <x:c r="A30" s="90" t="str">
        <x:v>Date</x:v>
      </x:c>
      <x:c r="B30" s="90" t="str">
        <x:v>Symbol</x:v>
      </x:c>
      <x:c r="C30" s="90" t="str">
        <x:v>Prior Rank</x:v>
      </x:c>
      <x:c r="D30" s="90" t="str">
        <x:v>Current Rank</x:v>
      </x:c>
      <x:c r="E30" s="90" t="str">
        <x:v>Direction</x:v>
      </x:c>
      <x:c r="F30" s="90" t="str">
        <x:v>Notes</x:v>
      </x:c>
      <x:c r="G30" s="42"/>
      <x:c r="H30" s="42"/>
    </x:row>
    <x:row r="31" ht="18" customHeight="1">
      <x:c r="A31" s="130"/>
      <x:c r="B31" s="117"/>
      <x:c r="C31" s="117"/>
      <x:c r="D31" s="117"/>
      <x:c r="E31" s="117"/>
      <x:c r="F31" s="117"/>
      <x:c r="G31" s="42"/>
      <x:c r="H31" s="42"/>
    </x:row>
    <x:row r="32" ht="18" customHeight="1">
      <x:c r="A32" s="130"/>
      <x:c r="B32" s="117"/>
      <x:c r="C32" s="117"/>
      <x:c r="D32" s="117"/>
      <x:c r="E32" s="117"/>
      <x:c r="F32" s="117"/>
      <x:c r="G32" s="42"/>
      <x:c r="H32" s="42"/>
    </x:row>
    <x:row r="33" ht="18" customHeight="1">
      <x:c r="A33" s="130"/>
      <x:c r="B33" s="117"/>
      <x:c r="C33" s="117"/>
      <x:c r="D33" s="117"/>
      <x:c r="E33" s="117"/>
      <x:c r="F33" s="117"/>
      <x:c r="G33" s="42"/>
      <x:c r="H33" s="42"/>
    </x:row>
    <x:row r="34" ht="18" customHeight="1">
      <x:c r="A34" s="130"/>
      <x:c r="B34" s="117"/>
      <x:c r="C34" s="117"/>
      <x:c r="D34" s="117"/>
      <x:c r="E34" s="117"/>
      <x:c r="F34" s="117"/>
      <x:c r="G34" s="42"/>
      <x:c r="H34" s="42"/>
    </x:row>
    <x:row r="35" ht="18" customHeight="1">
      <x:c r="A35" s="130"/>
      <x:c r="B35" s="117"/>
      <x:c r="C35" s="117"/>
      <x:c r="D35" s="117"/>
      <x:c r="E35" s="117"/>
      <x:c r="F35" s="117"/>
      <x:c r="G35" s="42"/>
      <x:c r="H35" s="42"/>
    </x:row>
    <x:row r="36" ht="18" customHeight="1">
      <x:c r="A36" s="130"/>
      <x:c r="B36" s="117"/>
      <x:c r="C36" s="117"/>
      <x:c r="D36" s="117"/>
      <x:c r="E36" s="117"/>
      <x:c r="F36" s="117"/>
      <x:c r="G36" s="42"/>
      <x:c r="H36" s="42"/>
    </x:row>
    <x:row r="37" ht="18" customHeight="1">
      <x:c r="A37" s="130"/>
      <x:c r="B37" s="117"/>
      <x:c r="C37" s="117"/>
      <x:c r="D37" s="117"/>
      <x:c r="E37" s="117"/>
      <x:c r="F37" s="117"/>
      <x:c r="G37" s="42"/>
      <x:c r="H37" s="42"/>
    </x:row>
    <x:row r="38" ht="18" customHeight="1">
      <x:c r="A38" s="130"/>
      <x:c r="B38" s="117"/>
      <x:c r="C38" s="117"/>
      <x:c r="D38" s="117"/>
      <x:c r="E38" s="117"/>
      <x:c r="F38" s="117"/>
      <x:c r="G38" s="42"/>
      <x:c r="H38" s="42"/>
    </x:row>
    <x:row r="39" ht="18" customHeight="1">
      <x:c r="A39" s="42"/>
      <x:c r="B39" s="42"/>
      <x:c r="C39" s="42"/>
      <x:c r="D39" s="42"/>
      <x:c r="E39" s="42"/>
      <x:c r="F39" s="42"/>
      <x:c r="G39" s="42"/>
      <x:c r="H39" s="42"/>
    </x:row>
    <x:row r="40" ht="18" customHeight="1">
      <x:c r="A40" s="42"/>
      <x:c r="B40" s="42"/>
      <x:c r="C40" s="42"/>
      <x:c r="D40" s="42"/>
      <x:c r="E40" s="42"/>
      <x:c r="F40" s="42"/>
      <x:c r="G40" s="42"/>
      <x:c r="H40" s="42"/>
    </x:row>
    <x:row r="41" ht="18" customHeight="1">
      <x:c r="A41" s="129" t="str">
        <x:v>MERRILL RESEARCH UPDATES</x:v>
      </x:c>
      <x:c r="B41" s="129"/>
      <x:c r="C41" s="129"/>
      <x:c r="D41" s="129"/>
      <x:c r="E41" s="129"/>
      <x:c r="F41" s="129"/>
      <x:c r="G41" s="129"/>
      <x:c r="H41" s="42"/>
    </x:row>
    <x:row r="42" ht="18" customHeight="1">
      <x:c r="A42" s="90" t="str">
        <x:v>Date</x:v>
      </x:c>
      <x:c r="B42" s="90" t="str">
        <x:v>Symbol</x:v>
      </x:c>
      <x:c r="C42" s="90" t="str">
        <x:v>Rating / Action</x:v>
      </x:c>
      <x:c r="D42" s="90" t="str">
        <x:v>Price Target Change</x:v>
      </x:c>
      <x:c r="E42" s="90" t="str">
        <x:v>Thesis Impact</x:v>
      </x:c>
      <x:c r="F42" s="90" t="str">
        <x:v>Source Reference</x:v>
      </x:c>
      <x:c r="G42" s="90" t="str">
        <x:v>Status</x:v>
      </x:c>
      <x:c r="H42" s="42"/>
    </x:row>
    <x:row r="43" ht="18" customHeight="1">
      <x:c r="A43" s="130"/>
      <x:c r="B43" s="117"/>
      <x:c r="C43" s="117"/>
      <x:c r="D43" s="117"/>
      <x:c r="E43" s="117"/>
      <x:c r="F43" s="117"/>
      <x:c r="G43" s="117"/>
      <x:c r="H43" s="42"/>
    </x:row>
    <x:row r="44" ht="18" customHeight="1">
      <x:c r="A44" s="130"/>
      <x:c r="B44" s="117"/>
      <x:c r="C44" s="117"/>
      <x:c r="D44" s="117"/>
      <x:c r="E44" s="117"/>
      <x:c r="F44" s="117"/>
      <x:c r="G44" s="117"/>
      <x:c r="H44" s="42"/>
    </x:row>
    <x:row r="45" ht="18" customHeight="1">
      <x:c r="A45" s="130"/>
      <x:c r="B45" s="117"/>
      <x:c r="C45" s="117"/>
      <x:c r="D45" s="117"/>
      <x:c r="E45" s="117"/>
      <x:c r="F45" s="117"/>
      <x:c r="G45" s="117"/>
      <x:c r="H45" s="42"/>
    </x:row>
    <x:row r="46" ht="18" customHeight="1">
      <x:c r="A46" s="130"/>
      <x:c r="B46" s="117"/>
      <x:c r="C46" s="117"/>
      <x:c r="D46" s="117"/>
      <x:c r="E46" s="117"/>
      <x:c r="F46" s="117"/>
      <x:c r="G46" s="117"/>
      <x:c r="H46" s="42"/>
    </x:row>
    <x:row r="47" ht="18" customHeight="1">
      <x:c r="A47" s="130"/>
      <x:c r="B47" s="117"/>
      <x:c r="C47" s="117"/>
      <x:c r="D47" s="117"/>
      <x:c r="E47" s="117"/>
      <x:c r="F47" s="117"/>
      <x:c r="G47" s="117"/>
      <x:c r="H47" s="42"/>
    </x:row>
    <x:row r="48" ht="18" customHeight="1">
      <x:c r="A48" s="130"/>
      <x:c r="B48" s="117"/>
      <x:c r="C48" s="117"/>
      <x:c r="D48" s="117"/>
      <x:c r="E48" s="117"/>
      <x:c r="F48" s="117"/>
      <x:c r="G48" s="117"/>
      <x:c r="H48" s="42"/>
    </x:row>
    <x:row r="49" ht="18" customHeight="1">
      <x:c r="A49" s="130"/>
      <x:c r="B49" s="117"/>
      <x:c r="C49" s="117"/>
      <x:c r="D49" s="117"/>
      <x:c r="E49" s="117"/>
      <x:c r="F49" s="117"/>
      <x:c r="G49" s="117"/>
      <x:c r="H49" s="42"/>
    </x:row>
    <x:row r="50" ht="18" customHeight="1">
      <x:c r="A50" s="130"/>
      <x:c r="B50" s="117"/>
      <x:c r="C50" s="117"/>
      <x:c r="D50" s="117"/>
      <x:c r="E50" s="117"/>
      <x:c r="F50" s="117"/>
      <x:c r="G50" s="117"/>
      <x:c r="H50" s="42"/>
    </x:row>
    <x:row r="51" ht="18" customHeight="1">
      <x:c r="A51" s="42"/>
      <x:c r="B51" s="42"/>
      <x:c r="C51" s="42"/>
      <x:c r="D51" s="42"/>
      <x:c r="E51" s="42"/>
      <x:c r="F51" s="42"/>
      <x:c r="G51" s="42"/>
      <x:c r="H51" s="42"/>
    </x:row>
    <x:row r="52" ht="18" customHeight="1">
      <x:c r="A52" s="42"/>
      <x:c r="B52" s="42"/>
      <x:c r="C52" s="42"/>
      <x:c r="D52" s="42"/>
      <x:c r="E52" s="42"/>
      <x:c r="F52" s="42"/>
      <x:c r="G52" s="42"/>
      <x:c r="H52" s="42"/>
    </x:row>
    <x:row r="53" ht="18" customHeight="1">
      <x:c r="A53" s="129" t="str">
        <x:v>MIAR UPDATES</x:v>
      </x:c>
      <x:c r="B53" s="129"/>
      <x:c r="C53" s="129"/>
      <x:c r="D53" s="129"/>
      <x:c r="E53" s="129"/>
      <x:c r="F53" s="129"/>
      <x:c r="G53" s="42"/>
      <x:c r="H53" s="42"/>
    </x:row>
    <x:row r="54" ht="18" customHeight="1">
      <x:c r="A54" s="90" t="str">
        <x:v>Symbol</x:v>
      </x:c>
      <x:c r="B54" s="90" t="str">
        <x:v>Review Type</x:v>
      </x:c>
      <x:c r="C54" s="90" t="str">
        <x:v>Last Updated</x:v>
      </x:c>
      <x:c r="D54" s="90" t="str">
        <x:v>Due Date</x:v>
      </x:c>
      <x:c r="E54" s="90" t="str">
        <x:v>Owner</x:v>
      </x:c>
      <x:c r="F54" s="90" t="str">
        <x:v>Status</x:v>
      </x:c>
      <x:c r="G54" s="42"/>
      <x:c r="H54" s="42"/>
    </x:row>
    <x:row r="55" ht="18" customHeight="1">
      <x:c r="A55" s="117"/>
      <x:c r="B55" s="117"/>
      <x:c r="C55" s="130"/>
      <x:c r="D55" s="130"/>
      <x:c r="E55" s="117"/>
      <x:c r="F55" s="117"/>
      <x:c r="G55" s="42"/>
      <x:c r="H55" s="42"/>
    </x:row>
    <x:row r="56" ht="18" customHeight="1">
      <x:c r="A56" s="117"/>
      <x:c r="B56" s="117"/>
      <x:c r="C56" s="130"/>
      <x:c r="D56" s="130"/>
      <x:c r="E56" s="117"/>
      <x:c r="F56" s="117"/>
      <x:c r="G56" s="42"/>
      <x:c r="H56" s="42"/>
    </x:row>
    <x:row r="57" ht="18" customHeight="1">
      <x:c r="A57" s="117"/>
      <x:c r="B57" s="117"/>
      <x:c r="C57" s="130"/>
      <x:c r="D57" s="130"/>
      <x:c r="E57" s="117"/>
      <x:c r="F57" s="117"/>
      <x:c r="G57" s="42"/>
      <x:c r="H57" s="42"/>
    </x:row>
    <x:row r="58" ht="18" customHeight="1">
      <x:c r="A58" s="117"/>
      <x:c r="B58" s="117"/>
      <x:c r="C58" s="130"/>
      <x:c r="D58" s="130"/>
      <x:c r="E58" s="117"/>
      <x:c r="F58" s="117"/>
      <x:c r="G58" s="42"/>
      <x:c r="H58" s="42"/>
    </x:row>
    <x:row r="59" ht="18" customHeight="1">
      <x:c r="A59" s="117"/>
      <x:c r="B59" s="117"/>
      <x:c r="C59" s="130"/>
      <x:c r="D59" s="130"/>
      <x:c r="E59" s="117"/>
      <x:c r="F59" s="117"/>
      <x:c r="G59" s="42"/>
      <x:c r="H59" s="42"/>
    </x:row>
    <x:row r="60" ht="18" customHeight="1">
      <x:c r="A60" s="117"/>
      <x:c r="B60" s="117"/>
      <x:c r="C60" s="130"/>
      <x:c r="D60" s="130"/>
      <x:c r="E60" s="117"/>
      <x:c r="F60" s="117"/>
      <x:c r="G60" s="42"/>
      <x:c r="H60" s="42"/>
    </x:row>
    <x:row r="61" ht="18" customHeight="1">
      <x:c r="A61" s="117"/>
      <x:c r="B61" s="117"/>
      <x:c r="C61" s="130"/>
      <x:c r="D61" s="130"/>
      <x:c r="E61" s="117"/>
      <x:c r="F61" s="117"/>
      <x:c r="G61" s="42"/>
      <x:c r="H61" s="42"/>
    </x:row>
    <x:row r="62" ht="18" customHeight="1">
      <x:c r="A62" s="117"/>
      <x:c r="B62" s="117"/>
      <x:c r="C62" s="130"/>
      <x:c r="D62" s="130"/>
      <x:c r="E62" s="117"/>
      <x:c r="F62" s="117"/>
      <x:c r="G62" s="42"/>
      <x:c r="H62" s="42"/>
    </x:row>
    <x:row r="63" ht="18" customHeight="1">
      <x:c r="A63" s="42"/>
      <x:c r="B63" s="42"/>
      <x:c r="C63" s="42"/>
      <x:c r="D63" s="42"/>
      <x:c r="E63" s="42"/>
      <x:c r="F63" s="42"/>
      <x:c r="G63" s="42"/>
      <x:c r="H63" s="42"/>
    </x:row>
    <x:row r="64" ht="18" customHeight="1">
      <x:c r="A64" s="42"/>
      <x:c r="B64" s="42"/>
      <x:c r="C64" s="42"/>
      <x:c r="D64" s="42"/>
      <x:c r="E64" s="42"/>
      <x:c r="F64" s="42"/>
      <x:c r="G64" s="42"/>
      <x:c r="H64" s="42"/>
    </x:row>
    <x:row r="65" ht="18" customHeight="1">
      <x:c r="A65" s="129" t="str">
        <x:v>THESIS / CONVICTION REVIEWS</x:v>
      </x:c>
      <x:c r="B65" s="129"/>
      <x:c r="C65" s="129"/>
      <x:c r="D65" s="129"/>
      <x:c r="E65" s="129"/>
      <x:c r="F65" s="129"/>
      <x:c r="G65" s="129"/>
      <x:c r="H65" s="42"/>
    </x:row>
    <x:row r="66" ht="18" customHeight="1">
      <x:c r="A66" s="90" t="str">
        <x:v>Symbol</x:v>
      </x:c>
      <x:c r="B66" s="90" t="str">
        <x:v>Current Conviction</x:v>
      </x:c>
      <x:c r="C66" s="90" t="str">
        <x:v>Proposed Conviction</x:v>
      </x:c>
      <x:c r="D66" s="90" t="str">
        <x:v>Reason</x:v>
      </x:c>
      <x:c r="E66" s="90" t="str">
        <x:v>Due Date</x:v>
      </x:c>
      <x:c r="F66" s="90" t="str">
        <x:v>Authority</x:v>
      </x:c>
      <x:c r="G66" s="90" t="str">
        <x:v>Status</x:v>
      </x:c>
      <x:c r="H66" s="42"/>
    </x:row>
    <x:row r="67" ht="18" customHeight="1">
      <x:c r="A67" s="117"/>
      <x:c r="B67" s="117"/>
      <x:c r="C67" s="117"/>
      <x:c r="D67" s="117"/>
      <x:c r="E67" s="130"/>
      <x:c r="F67" s="117"/>
      <x:c r="G67" s="117"/>
      <x:c r="H67" s="42"/>
    </x:row>
    <x:row r="68" ht="18" customHeight="1">
      <x:c r="A68" s="117"/>
      <x:c r="B68" s="117"/>
      <x:c r="C68" s="117"/>
      <x:c r="D68" s="117"/>
      <x:c r="E68" s="130"/>
      <x:c r="F68" s="117"/>
      <x:c r="G68" s="117"/>
      <x:c r="H68" s="42"/>
    </x:row>
    <x:row r="69" ht="18" customHeight="1">
      <x:c r="A69" s="117"/>
      <x:c r="B69" s="117"/>
      <x:c r="C69" s="117"/>
      <x:c r="D69" s="117"/>
      <x:c r="E69" s="130"/>
      <x:c r="F69" s="117"/>
      <x:c r="G69" s="117"/>
      <x:c r="H69" s="42"/>
    </x:row>
    <x:row r="70" ht="18" customHeight="1">
      <x:c r="A70" s="117"/>
      <x:c r="B70" s="117"/>
      <x:c r="C70" s="117"/>
      <x:c r="D70" s="117"/>
      <x:c r="E70" s="130"/>
      <x:c r="F70" s="117"/>
      <x:c r="G70" s="117"/>
      <x:c r="H70" s="42"/>
    </x:row>
    <x:row r="71" ht="18" customHeight="1">
      <x:c r="A71" s="117"/>
      <x:c r="B71" s="117"/>
      <x:c r="C71" s="117"/>
      <x:c r="D71" s="117"/>
      <x:c r="E71" s="130"/>
      <x:c r="F71" s="117"/>
      <x:c r="G71" s="117"/>
      <x:c r="H71" s="42"/>
    </x:row>
    <x:row r="72" ht="18" customHeight="1">
      <x:c r="A72" s="117"/>
      <x:c r="B72" s="117"/>
      <x:c r="C72" s="117"/>
      <x:c r="D72" s="117"/>
      <x:c r="E72" s="130"/>
      <x:c r="F72" s="117"/>
      <x:c r="G72" s="117"/>
      <x:c r="H72" s="42"/>
    </x:row>
    <x:row r="73" ht="18" customHeight="1">
      <x:c r="A73" s="117"/>
      <x:c r="B73" s="117"/>
      <x:c r="C73" s="117"/>
      <x:c r="D73" s="117"/>
      <x:c r="E73" s="130"/>
      <x:c r="F73" s="117"/>
      <x:c r="G73" s="117"/>
      <x:c r="H73" s="42"/>
    </x:row>
    <x:row r="74" ht="18" customHeight="1">
      <x:c r="A74" s="117"/>
      <x:c r="B74" s="117"/>
      <x:c r="C74" s="117"/>
      <x:c r="D74" s="117"/>
      <x:c r="E74" s="130"/>
      <x:c r="F74" s="117"/>
      <x:c r="G74" s="117"/>
      <x:c r="H74" s="42"/>
    </x:row>
    <x:row r="75" ht="18" customHeight="1">
      <x:c r="A75" s="42"/>
      <x:c r="B75" s="42"/>
      <x:c r="C75" s="42"/>
      <x:c r="D75" s="42"/>
      <x:c r="E75" s="42"/>
      <x:c r="F75" s="42"/>
      <x:c r="G75" s="42"/>
      <x:c r="H75" s="42"/>
    </x:row>
    <x:row r="76" ht="18" customHeight="1">
      <x:c r="A76" s="42"/>
      <x:c r="B76" s="42"/>
      <x:c r="C76" s="42"/>
      <x:c r="D76" s="42"/>
      <x:c r="E76" s="42"/>
      <x:c r="F76" s="42"/>
      <x:c r="G76" s="42"/>
      <x:c r="H76" s="42"/>
    </x:row>
    <x:row r="77" ht="18" customHeight="1">
      <x:c r="A77" s="42"/>
      <x:c r="B77" s="42"/>
      <x:c r="C77" s="42"/>
      <x:c r="D77" s="42"/>
      <x:c r="E77" s="42"/>
      <x:c r="F77" s="42"/>
      <x:c r="G77" s="42"/>
      <x:c r="H77" s="42"/>
    </x:row>
    <x:row r="78" ht="18" customHeight="1">
      <x:c r="A78" s="42"/>
      <x:c r="B78" s="42"/>
      <x:c r="C78" s="42"/>
      <x:c r="D78" s="42"/>
      <x:c r="E78" s="42"/>
      <x:c r="F78" s="42"/>
      <x:c r="G78" s="42"/>
      <x:c r="H78" s="42"/>
    </x:row>
    <x:row r="79" ht="18" customHeight="1">
      <x:c r="A79" s="42"/>
      <x:c r="B79" s="42"/>
      <x:c r="C79" s="42"/>
      <x:c r="D79" s="42"/>
      <x:c r="E79" s="42"/>
      <x:c r="F79" s="42"/>
      <x:c r="G79" s="42"/>
      <x:c r="H79" s="42"/>
    </x:row>
    <x:row r="80" ht="18" customHeight="1">
      <x:c r="A80" s="42"/>
      <x:c r="B80" s="42"/>
      <x:c r="C80" s="42"/>
      <x:c r="D80" s="42"/>
      <x:c r="E80" s="42"/>
      <x:c r="F80" s="42"/>
      <x:c r="G80" s="42"/>
      <x:c r="H80" s="42"/>
    </x:row>
  </x:sheetData>
  <x:mergeCells>
    <x:mergeCell ref="A1:H2"/>
    <x:mergeCell ref="A3:H3"/>
    <x:mergeCell ref="A5:G5"/>
    <x:mergeCell ref="A17:E17"/>
    <x:mergeCell ref="A29:F29"/>
    <x:mergeCell ref="A41:G41"/>
    <x:mergeCell ref="A53:F53"/>
    <x:mergeCell ref="A65:G65"/>
  </x:mergeCells>
  <x:dataValidations count="7">
    <x:dataValidation type="list" sqref="E7:E14">
      <x:formula1>"High,Medium,Low"</x:formula1>
    </x:dataValidation>
    <x:dataValidation type="list" sqref="G7:G14">
      <x:formula1>"Open,In Review,Decision Required,Closed"</x:formula1>
    </x:dataValidation>
    <x:dataValidation type="list" sqref="E19:E26">
      <x:formula1>"Scheduled,Complete,Canceled"</x:formula1>
    </x:dataValidation>
    <x:dataValidation type="list" sqref="E31:E38">
      <x:formula1>"Upgrade,Downgrade,No Change"</x:formula1>
    </x:dataValidation>
    <x:dataValidation type="list" sqref="G43:G50">
      <x:formula1>"New,Reviewed,Decision Required,Archived"</x:formula1>
    </x:dataValidation>
    <x:dataValidation type="list" sqref="F55:F62">
      <x:formula1>"Current,Due,Overdue,Complete"</x:formula1>
    </x:dataValidation>
    <x:dataValidation type="list" sqref="G67:G74">
      <x:formula1>"Open,In Review,Decision Required,Closed"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42" hidden="0" customWidth="1"/>
    <x:col min="4" max="4" width="23" hidden="0" customWidth="1"/>
    <x:col min="5" max="5" width="14" hidden="0" customWidth="1"/>
    <x:col min="6" max="6" width="14" hidden="0" customWidth="1"/>
    <x:col min="7" max="7" width="18" hidden="0" customWidth="1"/>
    <x:col min="8" max="8" width="18" hidden="0" customWidth="1"/>
    <x:col min="9" max="9" width="17" hidden="0" customWidth="1"/>
    <x:col min="10" max="10" width="8" hidden="0" customWidth="1"/>
    <x:col min="11" max="11" width="34" hidden="0" customWidth="1"/>
    <x:col min="12" max="12" width="22" hidden="0" customWidth="1"/>
    <x:col min="13" max="13" width="15" hidden="0" customWidth="1"/>
    <x:col min="14" max="14" width="16" hidden="0" customWidth="1"/>
  </x:cols>
  <x:sheetData>
    <x:row r="1" ht="18" customHeight="1">
      <x:c r="A1" s="127" t="str">
        <x:v>COMMITTEE OPERATIONS &amp; STEWARD'S NOTEBOOK</x:v>
      </x:c>
      <x:c r="B1" s="127"/>
      <x:c r="C1" s="127"/>
      <x:c r="D1" s="127"/>
      <x:c r="E1" s="127"/>
      <x:c r="F1" s="127"/>
      <x:c r="G1" s="127"/>
      <x:c r="H1" s="127"/>
      <x:c r="I1" s="127"/>
      <x:c r="J1" s="127"/>
      <x:c r="K1" s="127"/>
      <x:c r="L1" s="127"/>
      <x:c r="M1" s="127"/>
      <x:c r="N1" s="127"/>
    </x:row>
    <x:row r="2" ht="18" customHeight="1">
      <x:c r="A2" s="127"/>
      <x:c r="B2" s="127"/>
      <x:c r="C2" s="127"/>
      <x:c r="D2" s="127"/>
      <x:c r="E2" s="127"/>
      <x:c r="F2" s="127"/>
      <x:c r="G2" s="127"/>
      <x:c r="H2" s="127"/>
      <x:c r="I2" s="127"/>
      <x:c r="J2" s="127"/>
      <x:c r="K2" s="127"/>
      <x:c r="L2" s="127"/>
      <x:c r="M2" s="127"/>
      <x:c r="N2" s="127"/>
    </x:row>
    <x:row r="3" ht="18" customHeight="1">
      <x:c r="A3" s="128" t="str">
        <x:v>Operating actions remain distinct from committee decisions. Use the explicit decision flag.</x:v>
      </x:c>
      <x:c r="B3" s="128"/>
      <x:c r="C3" s="128"/>
      <x:c r="D3" s="128"/>
      <x:c r="E3" s="128"/>
      <x:c r="F3" s="128"/>
      <x:c r="G3" s="128"/>
      <x:c r="H3" s="128"/>
      <x:c r="I3" s="128"/>
      <x:c r="J3" s="128"/>
      <x:c r="K3" s="128"/>
      <x:c r="L3" s="128"/>
      <x:c r="M3" s="128"/>
      <x:c r="N3" s="128"/>
    </x:row>
    <x:row r="4" ht="18" customHeight="1">
      <x:c r="A4" s="42"/>
      <x:c r="B4" s="42"/>
      <x:c r="C4" s="42"/>
      <x:c r="D4" s="42"/>
      <x:c r="E4" s="42"/>
      <x:c r="F4" s="42"/>
      <x:c r="G4" s="42"/>
      <x:c r="H4" s="42"/>
      <x:c r="I4" s="42"/>
      <x:c r="J4" s="42"/>
      <x:c r="K4" s="42"/>
      <x:c r="L4" s="42"/>
      <x:c r="M4" s="42"/>
      <x:c r="N4" s="42"/>
    </x:row>
    <x:row r="5" ht="18" customHeight="1">
      <x:c r="A5" s="129" t="str">
        <x:v>ACTION REGISTER</x:v>
      </x:c>
      <x:c r="B5" s="129"/>
      <x:c r="C5" s="129"/>
      <x:c r="D5" s="129"/>
      <x:c r="E5" s="129"/>
      <x:c r="F5" s="129"/>
      <x:c r="G5" s="129"/>
      <x:c r="H5" s="129"/>
      <x:c r="I5" s="129"/>
      <x:c r="J5" s="129" t="str">
        <x:v>STEWARD'S NOTEBOOK</x:v>
      </x:c>
      <x:c r="K5" s="129"/>
      <x:c r="L5" s="129"/>
      <x:c r="M5" s="129"/>
      <x:c r="N5" s="129"/>
    </x:row>
    <x:row r="6" ht="18" customHeight="1">
      <x:c r="A6" s="90" t="str">
        <x:v>ID</x:v>
      </x:c>
      <x:c r="B6" s="90" t="str">
        <x:v>Category</x:v>
      </x:c>
      <x:c r="C6" s="90" t="str">
        <x:v>Action</x:v>
      </x:c>
      <x:c r="D6" s="90" t="str">
        <x:v>Owner</x:v>
      </x:c>
      <x:c r="E6" s="90" t="str">
        <x:v>Due Date</x:v>
      </x:c>
      <x:c r="F6" s="90" t="str">
        <x:v>Priority</x:v>
      </x:c>
      <x:c r="G6" s="90" t="str">
        <x:v>Status</x:v>
      </x:c>
      <x:c r="H6" s="90" t="str">
        <x:v>Requires Committee Decision?</x:v>
      </x:c>
      <x:c r="I6" s="90" t="str">
        <x:v>Linked Record</x:v>
      </x:c>
      <x:c r="J6" s="42"/>
      <x:c r="K6" s="42"/>
      <x:c r="L6" s="42"/>
      <x:c r="M6" s="42"/>
      <x:c r="N6" s="42"/>
    </x:row>
    <x:row r="7" ht="18" customHeight="1">
      <x:c r="A7" s="117" t="str">
        <x:v>OP-001</x:v>
      </x:c>
      <x:c r="B7" s="117" t="str">
        <x:v>Governance</x:v>
      </x:c>
      <x:c r="C7" s="117" t="str">
        <x:v>Freeze CISC-001 visual dashboard with five panels</x:v>
      </x:c>
      <x:c r="D7" s="117" t="str">
        <x:v>Chief Investment Steward</x:v>
      </x:c>
      <x:c r="E7" s="130" t="n">
        <x:v>46229</x:v>
      </x:c>
      <x:c r="F7" s="117" t="str">
        <x:v>High</x:v>
      </x:c>
      <x:c r="G7" s="117" t="str">
        <x:v>Completed</x:v>
      </x:c>
      <x:c r="H7" s="117" t="str">
        <x:v>No</x:v>
      </x:c>
      <x:c r="I7" s="117" t="str">
        <x:v>CISC-001</x:v>
      </x:c>
      <x:c r="J7" s="90" t="str">
        <x:v>THIS WEEK'S PRIORITIES</x:v>
      </x:c>
      <x:c r="K7" s="90"/>
      <x:c r="L7" s="90"/>
      <x:c r="M7" s="90"/>
      <x:c r="N7" s="90"/>
    </x:row>
    <x:row r="8" ht="18" customHeight="1">
      <x:c r="A8" s="117" t="str">
        <x:v>OP-002</x:v>
      </x:c>
      <x:c r="B8" s="117" t="str">
        <x:v>Operations</x:v>
      </x:c>
      <x:c r="C8" s="117" t="str">
        <x:v>Establish Manifest Workbench from canonical MFPDF</x:v>
      </x:c>
      <x:c r="D8" s="117" t="str">
        <x:v>Portfolio Operations</x:v>
      </x:c>
      <x:c r="E8" s="130" t="n">
        <x:v>46229</x:v>
      </x:c>
      <x:c r="F8" s="117" t="str">
        <x:v>High</x:v>
      </x:c>
      <x:c r="G8" s="117" t="str">
        <x:v>Completed</x:v>
      </x:c>
      <x:c r="H8" s="117" t="str">
        <x:v>No</x:v>
      </x:c>
      <x:c r="I8" s="117" t="str">
        <x:v>CISC-001</x:v>
      </x:c>
      <x:c r="J8" s="117" t="str">
        <x:v>1</x:v>
      </x:c>
      <x:c r="K8" s="117" t="str">
        <x:v>Load current actual portfolio weights</x:v>
      </x:c>
      <x:c r="L8" s="117" t="str">
        <x:v>Portfolio Operations</x:v>
      </x:c>
      <x:c r="M8" s="130" t="n">
        <x:v>46230</x:v>
      </x:c>
      <x:c r="N8" s="117" t="str">
        <x:v>Open</x:v>
      </x:c>
    </x:row>
    <x:row r="9" ht="18" customHeight="1">
      <x:c r="A9" s="117" t="str">
        <x:v>OP-003</x:v>
      </x:c>
      <x:c r="B9" s="117" t="str">
        <x:v>Data</x:v>
      </x:c>
      <x:c r="C9" s="117" t="str">
        <x:v>Load current actual portfolio weights</x:v>
      </x:c>
      <x:c r="D9" s="117" t="str">
        <x:v>Portfolio Operations</x:v>
      </x:c>
      <x:c r="E9" s="130" t="n">
        <x:v>46230</x:v>
      </x:c>
      <x:c r="F9" s="117" t="str">
        <x:v>High</x:v>
      </x:c>
      <x:c r="G9" s="117" t="str">
        <x:v>Open</x:v>
      </x:c>
      <x:c r="H9" s="117" t="str">
        <x:v>No</x:v>
      </x:c>
      <x:c r="I9" s="117" t="str">
        <x:v>DC-SYS-001</x:v>
      </x:c>
      <x:c r="J9" s="117" t="str">
        <x:v>2</x:v>
      </x:c>
      <x:c r="K9" s="117" t="str">
        <x:v>Populate current research intelligence</x:v>
      </x:c>
      <x:c r="L9" s="117" t="str">
        <x:v>Research Division</x:v>
      </x:c>
      <x:c r="M9" s="130" t="n">
        <x:v>46230</x:v>
      </x:c>
      <x:c r="N9" s="117" t="str">
        <x:v>Open</x:v>
      </x:c>
    </x:row>
    <x:row r="10" ht="18" customHeight="1">
      <x:c r="A10" s="117" t="str">
        <x:v>OP-004</x:v>
      </x:c>
      <x:c r="B10" s="117" t="str">
        <x:v>Research</x:v>
      </x:c>
      <x:c r="C10" s="117" t="str">
        <x:v>Populate current research intelligence</x:v>
      </x:c>
      <x:c r="D10" s="117" t="str">
        <x:v>Research Division</x:v>
      </x:c>
      <x:c r="E10" s="130" t="n">
        <x:v>46230</x:v>
      </x:c>
      <x:c r="F10" s="117" t="str">
        <x:v>High</x:v>
      </x:c>
      <x:c r="G10" s="117" t="str">
        <x:v>Open</x:v>
      </x:c>
      <x:c r="H10" s="117" t="str">
        <x:v>No</x:v>
      </x:c>
      <x:c r="I10" s="117" t="str">
        <x:v>DC-SYS-003</x:v>
      </x:c>
      <x:c r="J10" s="117" t="str">
        <x:v>3</x:v>
      </x:c>
      <x:c r="K10" s="117" t="str">
        <x:v>Publish next MWIR</x:v>
      </x:c>
      <x:c r="L10" s="117" t="str">
        <x:v>Publication Division</x:v>
      </x:c>
      <x:c r="M10" s="130" t="n">
        <x:v>46230</x:v>
      </x:c>
      <x:c r="N10" s="117" t="str">
        <x:v>Planned</x:v>
      </x:c>
    </x:row>
    <x:row r="11" ht="18" customHeight="1">
      <x:c r="A11" s="117" t="str">
        <x:v>OP-005</x:v>
      </x:c>
      <x:c r="B11" s="117" t="str">
        <x:v>Publication</x:v>
      </x:c>
      <x:c r="C11" s="117" t="str">
        <x:v>Publish next MWIR</x:v>
      </x:c>
      <x:c r="D11" s="117" t="str">
        <x:v>Publication Division</x:v>
      </x:c>
      <x:c r="E11" s="130" t="n">
        <x:v>46230</x:v>
      </x:c>
      <x:c r="F11" s="117" t="str">
        <x:v>High</x:v>
      </x:c>
      <x:c r="G11" s="117" t="str">
        <x:v>Planned</x:v>
      </x:c>
      <x:c r="H11" s="117" t="str">
        <x:v>No</x:v>
      </x:c>
      <x:c r="I11" s="117" t="str">
        <x:v>MWIR</x:v>
      </x:c>
      <x:c r="J11" s="117" t="str">
        <x:v>4</x:v>
      </x:c>
      <x:c r="K11" s="117" t="str">
        <x:v>Run Monte Carlo on canonical Portfolio B</x:v>
      </x:c>
      <x:c r="L11" s="117" t="str">
        <x:v>Portfolio Engineering</x:v>
      </x:c>
      <x:c r="M11" s="130"/>
      <x:c r="N11" s="117" t="str">
        <x:v>Planned</x:v>
      </x:c>
    </x:row>
    <x:row r="12" ht="18" customHeight="1">
      <x:c r="A12" s="117" t="str">
        <x:v>OP-006</x:v>
      </x:c>
      <x:c r="B12" s="117" t="str">
        <x:v>Analytics</x:v>
      </x:c>
      <x:c r="C12" s="117" t="str">
        <x:v>Run Monte Carlo on canonical Portfolio B</x:v>
      </x:c>
      <x:c r="D12" s="117" t="str">
        <x:v>Portfolio Engineering</x:v>
      </x:c>
      <x:c r="E12" s="130"/>
      <x:c r="F12" s="117" t="str">
        <x:v>Medium</x:v>
      </x:c>
      <x:c r="G12" s="117" t="str">
        <x:v>Planned</x:v>
      </x:c>
      <x:c r="H12" s="117" t="str">
        <x:v>No</x:v>
      </x:c>
      <x:c r="I12" s="117" t="str">
        <x:v>MFPDF v1.0</x:v>
      </x:c>
      <x:c r="J12" s="117" t="str">
        <x:v>5</x:v>
      </x:c>
      <x:c r="K12" s="117" t="str">
        <x:v>Assign conviction tiers</x:v>
      </x:c>
      <x:c r="L12" s="117" t="str">
        <x:v>Stewardship Committee</x:v>
      </x:c>
      <x:c r="M12" s="130"/>
      <x:c r="N12" s="117" t="str">
        <x:v>Planned</x:v>
      </x:c>
    </x:row>
    <x:row r="13" ht="18" customHeight="1">
      <x:c r="A13" s="117"/>
      <x:c r="B13" s="117"/>
      <x:c r="C13" s="117"/>
      <x:c r="D13" s="117"/>
      <x:c r="E13" s="130"/>
      <x:c r="F13" s="117"/>
      <x:c r="G13" s="117"/>
      <x:c r="H13" s="117"/>
      <x:c r="I13" s="117"/>
      <x:c r="J13" s="117"/>
      <x:c r="K13" s="117"/>
      <x:c r="L13" s="117"/>
      <x:c r="M13" s="130"/>
      <x:c r="N13" s="117"/>
    </x:row>
    <x:row r="14" ht="18" customHeight="1">
      <x:c r="A14" s="117"/>
      <x:c r="B14" s="117"/>
      <x:c r="C14" s="117"/>
      <x:c r="D14" s="117"/>
      <x:c r="E14" s="130"/>
      <x:c r="F14" s="117"/>
      <x:c r="G14" s="117"/>
      <x:c r="H14" s="117"/>
      <x:c r="I14" s="117"/>
      <x:c r="J14" s="117"/>
      <x:c r="K14" s="117"/>
      <x:c r="L14" s="117"/>
      <x:c r="M14" s="130"/>
      <x:c r="N14" s="117"/>
    </x:row>
    <x:row r="15" ht="18" customHeight="1">
      <x:c r="A15" s="117"/>
      <x:c r="B15" s="117"/>
      <x:c r="C15" s="117"/>
      <x:c r="D15" s="117"/>
      <x:c r="E15" s="130"/>
      <x:c r="F15" s="117"/>
      <x:c r="G15" s="117"/>
      <x:c r="H15" s="117"/>
      <x:c r="I15" s="117"/>
      <x:c r="J15" s="117"/>
      <x:c r="K15" s="117"/>
      <x:c r="L15" s="117"/>
      <x:c r="M15" s="130"/>
      <x:c r="N15" s="117"/>
    </x:row>
    <x:row r="16" ht="18" customHeight="1">
      <x:c r="A16" s="117"/>
      <x:c r="B16" s="117"/>
      <x:c r="C16" s="117"/>
      <x:c r="D16" s="117"/>
      <x:c r="E16" s="130"/>
      <x:c r="F16" s="117"/>
      <x:c r="G16" s="117"/>
      <x:c r="H16" s="117"/>
      <x:c r="I16" s="117"/>
      <x:c r="J16" s="117"/>
      <x:c r="K16" s="117"/>
      <x:c r="L16" s="117"/>
      <x:c r="M16" s="130"/>
      <x:c r="N16" s="117"/>
    </x:row>
    <x:row r="17" ht="18" customHeight="1">
      <x:c r="A17" s="117"/>
      <x:c r="B17" s="117"/>
      <x:c r="C17" s="117"/>
      <x:c r="D17" s="117"/>
      <x:c r="E17" s="130"/>
      <x:c r="F17" s="117"/>
      <x:c r="G17" s="117"/>
      <x:c r="H17" s="117"/>
      <x:c r="I17" s="117"/>
      <x:c r="J17" s="117"/>
      <x:c r="K17" s="117"/>
      <x:c r="L17" s="117"/>
      <x:c r="M17" s="130"/>
      <x:c r="N17" s="117"/>
    </x:row>
    <x:row r="18" ht="18" customHeight="1">
      <x:c r="A18" s="117"/>
      <x:c r="B18" s="117"/>
      <x:c r="C18" s="117"/>
      <x:c r="D18" s="117"/>
      <x:c r="E18" s="130"/>
      <x:c r="F18" s="117"/>
      <x:c r="G18" s="117"/>
      <x:c r="H18" s="117"/>
      <x:c r="I18" s="117"/>
      <x:c r="J18" s="42"/>
      <x:c r="K18" s="42"/>
      <x:c r="L18" s="42"/>
      <x:c r="M18" s="42"/>
      <x:c r="N18" s="42"/>
    </x:row>
    <x:row r="19" ht="18" customHeight="1">
      <x:c r="A19" s="117"/>
      <x:c r="B19" s="117"/>
      <x:c r="C19" s="117"/>
      <x:c r="D19" s="117"/>
      <x:c r="E19" s="130"/>
      <x:c r="F19" s="117"/>
      <x:c r="G19" s="117"/>
      <x:c r="H19" s="117"/>
      <x:c r="I19" s="117"/>
      <x:c r="J19" s="42"/>
      <x:c r="K19" s="42"/>
      <x:c r="L19" s="42"/>
      <x:c r="M19" s="42"/>
      <x:c r="N19" s="42"/>
    </x:row>
    <x:row r="20" ht="18" customHeight="1">
      <x:c r="A20" s="117"/>
      <x:c r="B20" s="117"/>
      <x:c r="C20" s="117"/>
      <x:c r="D20" s="117"/>
      <x:c r="E20" s="130"/>
      <x:c r="F20" s="117"/>
      <x:c r="G20" s="117"/>
      <x:c r="H20" s="117"/>
      <x:c r="I20" s="117"/>
      <x:c r="J20" s="90" t="str">
        <x:v>QUESTIONS FOR COMMITTEE</x:v>
      </x:c>
      <x:c r="K20" s="90"/>
      <x:c r="L20" s="90"/>
      <x:c r="M20" s="90"/>
      <x:c r="N20" s="90"/>
    </x:row>
    <x:row r="21" ht="18" customHeight="1">
      <x:c r="A21" s="42"/>
      <x:c r="B21" s="42"/>
      <x:c r="C21" s="42"/>
      <x:c r="D21" s="42"/>
      <x:c r="E21" s="42"/>
      <x:c r="F21" s="42"/>
      <x:c r="G21" s="42"/>
      <x:c r="H21" s="42"/>
      <x:c r="I21" s="42"/>
      <x:c r="J21" s="117" t="str">
        <x:v>Q1</x:v>
      </x:c>
      <x:c r="K21" s="117" t="str">
        <x:v>Are any actual weights outside certified bands?</x:v>
      </x:c>
      <x:c r="L21" s="117" t="str">
        <x:v>Current weights</x:v>
      </x:c>
      <x:c r="M21" s="117" t="str">
        <x:v>Portfolio Operations</x:v>
      </x:c>
      <x:c r="N21" s="117" t="str">
        <x:v>Pending Data</x:v>
      </x:c>
    </x:row>
    <x:row r="22" ht="18" customHeight="1">
      <x:c r="A22" s="42"/>
      <x:c r="B22" s="42"/>
      <x:c r="C22" s="42"/>
      <x:c r="D22" s="42"/>
      <x:c r="E22" s="42"/>
      <x:c r="F22" s="42"/>
      <x:c r="G22" s="42"/>
      <x:c r="H22" s="42"/>
      <x:c r="I22" s="42"/>
      <x:c r="J22" s="117" t="str">
        <x:v>Q2</x:v>
      </x:c>
      <x:c r="K22" s="117" t="str">
        <x:v>Does MU require a conviction change?</x:v>
      </x:c>
      <x:c r="L22" s="117" t="str">
        <x:v>Current research</x:v>
      </x:c>
      <x:c r="M22" s="117" t="str">
        <x:v>Research Division</x:v>
      </x:c>
      <x:c r="N22" s="117" t="str">
        <x:v>Open</x:v>
      </x:c>
    </x:row>
    <x:row r="23" ht="18" customHeight="1">
      <x:c r="A23" s="129" t="str">
        <x:v>PUBLICATION STATUS</x:v>
      </x:c>
      <x:c r="B23" s="129"/>
      <x:c r="C23" s="129"/>
      <x:c r="D23" s="129"/>
      <x:c r="E23" s="129"/>
      <x:c r="F23" s="129"/>
      <x:c r="G23" s="42"/>
      <x:c r="H23" s="42"/>
      <x:c r="I23" s="42"/>
      <x:c r="J23" s="117" t="str">
        <x:v>Q3</x:v>
      </x:c>
      <x:c r="K23" s="117" t="str">
        <x:v>Are any holdings carrying a Zacks #4 rating?</x:v>
      </x:c>
      <x:c r="L23" s="117" t="str">
        <x:v>Current Zacks file</x:v>
      </x:c>
      <x:c r="M23" s="117" t="str">
        <x:v>Research Division</x:v>
      </x:c>
      <x:c r="N23" s="117" t="str">
        <x:v>Open</x:v>
      </x:c>
    </x:row>
    <x:row r="24" ht="18" customHeight="1">
      <x:c r="A24" s="90" t="str">
        <x:v>Publication</x:v>
      </x:c>
      <x:c r="B24" s="90" t="str">
        <x:v>Latest Issue</x:v>
      </x:c>
      <x:c r="C24" s="90" t="str">
        <x:v>Last Published</x:v>
      </x:c>
      <x:c r="D24" s="90" t="str">
        <x:v>Next Due</x:v>
      </x:c>
      <x:c r="E24" s="90" t="str">
        <x:v>Status</x:v>
      </x:c>
      <x:c r="F24" s="90" t="str">
        <x:v>Owner</x:v>
      </x:c>
      <x:c r="G24" s="42"/>
      <x:c r="H24" s="42"/>
      <x:c r="I24" s="42"/>
      <x:c r="J24" s="117" t="str">
        <x:v>Q4</x:v>
      </x:c>
      <x:c r="K24" s="117" t="str">
        <x:v>Are new candidates eligible for MASR review?</x:v>
      </x:c>
      <x:c r="L24" s="117" t="str">
        <x:v>Candidate dossiers</x:v>
      </x:c>
      <x:c r="M24" s="117" t="str">
        <x:v>Research Division</x:v>
      </x:c>
      <x:c r="N24" s="117" t="str">
        <x:v>Open</x:v>
      </x:c>
    </x:row>
    <x:row r="25" ht="18" customHeight="1">
      <x:c r="A25" s="117" t="str">
        <x:v>MWIR</x:v>
      </x:c>
      <x:c r="B25" s="117" t="str">
        <x:v>Week ending Jul. 24, 2026</x:v>
      </x:c>
      <x:c r="C25" s="130" t="n">
        <x:v>46228</x:v>
      </x:c>
      <x:c r="D25" s="130" t="n">
        <x:v>46230</x:v>
      </x:c>
      <x:c r="E25" s="117" t="str">
        <x:v>Planned</x:v>
      </x:c>
      <x:c r="F25" s="117" t="str">
        <x:v>Publication Division</x:v>
      </x:c>
      <x:c r="G25" s="42"/>
      <x:c r="H25" s="42"/>
      <x:c r="I25" s="42"/>
      <x:c r="J25" s="117" t="str">
        <x:v>Q5</x:v>
      </x:c>
      <x:c r="K25" s="117" t="str">
        <x:v>Is any sleeve outside its target allocation?</x:v>
      </x:c>
      <x:c r="L25" s="117" t="str">
        <x:v>Current weights</x:v>
      </x:c>
      <x:c r="M25" s="117" t="str">
        <x:v>Portfolio Engineering</x:v>
      </x:c>
      <x:c r="N25" s="117" t="str">
        <x:v>Pending Data</x:v>
      </x:c>
    </x:row>
    <x:row r="26" ht="18" customHeight="1">
      <x:c r="A26" s="117" t="str">
        <x:v>MOR</x:v>
      </x:c>
      <x:c r="B26" s="117" t="str">
        <x:v>MOR-001</x:v>
      </x:c>
      <x:c r="C26" s="130" t="n">
        <x:v>46223</x:v>
      </x:c>
      <x:c r="D26" s="130"/>
      <x:c r="E26" s="117" t="str">
        <x:v>Scheduled</x:v>
      </x:c>
      <x:c r="F26" s="117" t="str">
        <x:v>Publication Division</x:v>
      </x:c>
      <x:c r="G26" s="42"/>
      <x:c r="H26" s="42"/>
      <x:c r="I26" s="42"/>
      <x:c r="J26" s="117"/>
      <x:c r="K26" s="117"/>
      <x:c r="L26" s="117"/>
      <x:c r="M26" s="117"/>
      <x:c r="N26" s="117"/>
    </x:row>
    <x:row r="27" ht="18" customHeight="1">
      <x:c r="A27" s="117" t="str">
        <x:v>MIRD</x:v>
      </x:c>
      <x:c r="B27" s="117" t="str">
        <x:v>Weekly risk dashboard</x:v>
      </x:c>
      <x:c r="C27" s="130" t="n">
        <x:v>46228</x:v>
      </x:c>
      <x:c r="D27" s="130" t="n">
        <x:v>46230</x:v>
      </x:c>
      <x:c r="E27" s="117" t="str">
        <x:v>Scheduled</x:v>
      </x:c>
      <x:c r="F27" s="117" t="str">
        <x:v>Risk Division</x:v>
      </x:c>
      <x:c r="G27" s="42"/>
      <x:c r="H27" s="42"/>
      <x:c r="I27" s="42"/>
      <x:c r="J27" s="117"/>
      <x:c r="K27" s="117"/>
      <x:c r="L27" s="117"/>
      <x:c r="M27" s="117"/>
      <x:c r="N27" s="117"/>
    </x:row>
    <x:row r="28" ht="18" customHeight="1">
      <x:c r="A28" s="117" t="str">
        <x:v>MIPR</x:v>
      </x:c>
      <x:c r="B28" s="117" t="str">
        <x:v>Institutional portfolio review</x:v>
      </x:c>
      <x:c r="C28" s="130"/>
      <x:c r="D28" s="130"/>
      <x:c r="E28" s="117" t="str">
        <x:v>Not Started</x:v>
      </x:c>
      <x:c r="F28" s="117" t="str">
        <x:v>Portfolio Division</x:v>
      </x:c>
      <x:c r="G28" s="42"/>
      <x:c r="H28" s="42"/>
      <x:c r="I28" s="42"/>
      <x:c r="J28" s="117"/>
      <x:c r="K28" s="117"/>
      <x:c r="L28" s="117"/>
      <x:c r="M28" s="117"/>
      <x:c r="N28" s="117"/>
    </x:row>
    <x:row r="29" ht="18" customHeight="1">
      <x:c r="A29" s="117"/>
      <x:c r="B29" s="117"/>
      <x:c r="C29" s="130"/>
      <x:c r="D29" s="130"/>
      <x:c r="E29" s="117"/>
      <x:c r="F29" s="117"/>
      <x:c r="G29" s="42"/>
      <x:c r="H29" s="42"/>
      <x:c r="I29" s="42"/>
      <x:c r="J29" s="117"/>
      <x:c r="K29" s="117"/>
      <x:c r="L29" s="117"/>
      <x:c r="M29" s="117"/>
      <x:c r="N29" s="117"/>
    </x:row>
    <x:row r="30" ht="18" customHeight="1">
      <x:c r="A30" s="117"/>
      <x:c r="B30" s="117"/>
      <x:c r="C30" s="130"/>
      <x:c r="D30" s="130"/>
      <x:c r="E30" s="117"/>
      <x:c r="F30" s="117"/>
      <x:c r="G30" s="42"/>
      <x:c r="H30" s="42"/>
      <x:c r="I30" s="42"/>
      <x:c r="J30" s="117"/>
      <x:c r="K30" s="117"/>
      <x:c r="L30" s="117"/>
      <x:c r="M30" s="117"/>
      <x:c r="N30" s="117"/>
    </x:row>
    <x:row r="31" ht="18" customHeight="1">
      <x:c r="A31" s="117"/>
      <x:c r="B31" s="117"/>
      <x:c r="C31" s="130"/>
      <x:c r="D31" s="130"/>
      <x:c r="E31" s="117"/>
      <x:c r="F31" s="117"/>
      <x:c r="G31" s="42"/>
      <x:c r="H31" s="42"/>
      <x:c r="I31" s="42"/>
      <x:c r="J31" s="42"/>
      <x:c r="K31" s="42"/>
      <x:c r="L31" s="42"/>
      <x:c r="M31" s="42"/>
      <x:c r="N31" s="42"/>
    </x:row>
    <x:row r="32" ht="18" customHeight="1">
      <x:c r="A32" s="117"/>
      <x:c r="B32" s="117"/>
      <x:c r="C32" s="130"/>
      <x:c r="D32" s="130"/>
      <x:c r="E32" s="117"/>
      <x:c r="F32" s="117"/>
      <x:c r="G32" s="42"/>
      <x:c r="H32" s="42"/>
      <x:c r="I32" s="42"/>
      <x:c r="J32" s="42"/>
      <x:c r="K32" s="42"/>
      <x:c r="L32" s="42"/>
      <x:c r="M32" s="42"/>
      <x:c r="N32" s="42"/>
    </x:row>
    <x:row r="33" ht="18" customHeight="1">
      <x:c r="A33" s="42"/>
      <x:c r="B33" s="42"/>
      <x:c r="C33" s="42"/>
      <x:c r="D33" s="42"/>
      <x:c r="E33" s="42"/>
      <x:c r="F33" s="42"/>
      <x:c r="G33" s="42"/>
      <x:c r="H33" s="42"/>
      <x:c r="I33" s="42"/>
      <x:c r="J33" s="90" t="str">
        <x:v>LONG-TERM PROJECTS</x:v>
      </x:c>
      <x:c r="K33" s="90"/>
      <x:c r="L33" s="90"/>
      <x:c r="M33" s="90"/>
      <x:c r="N33" s="90"/>
    </x:row>
    <x:row r="34" ht="18" customHeight="1">
      <x:c r="A34" s="42"/>
      <x:c r="B34" s="42"/>
      <x:c r="C34" s="42"/>
      <x:c r="D34" s="42"/>
      <x:c r="E34" s="42"/>
      <x:c r="F34" s="42"/>
      <x:c r="G34" s="42"/>
      <x:c r="H34" s="42"/>
      <x:c r="I34" s="42"/>
      <x:c r="J34" s="117" t="str">
        <x:v>P1</x:v>
      </x:c>
      <x:c r="K34" s="117" t="str">
        <x:v>Monte Carlo Enhancement</x:v>
      </x:c>
      <x:c r="L34" s="117" t="str">
        <x:v>Portfolio Engineering</x:v>
      </x:c>
      <x:c r="M34" s="117" t="str">
        <x:v>Institutional simulation engine</x:v>
      </x:c>
      <x:c r="N34" s="117" t="str">
        <x:v>In Progress</x:v>
      </x:c>
    </x:row>
    <x:row r="35" ht="18" customHeight="1">
      <x:c r="A35" s="129" t="str">
        <x:v>OPERATIONAL CALENDAR</x:v>
      </x:c>
      <x:c r="B35" s="129"/>
      <x:c r="C35" s="129"/>
      <x:c r="D35" s="129"/>
      <x:c r="E35" s="129"/>
      <x:c r="F35" s="42"/>
      <x:c r="G35" s="42"/>
      <x:c r="H35" s="42"/>
      <x:c r="I35" s="42"/>
      <x:c r="J35" s="117" t="str">
        <x:v>P2</x:v>
      </x:c>
      <x:c r="K35" s="117" t="str">
        <x:v>Advisor Handbook</x:v>
      </x:c>
      <x:c r="L35" s="117" t="str">
        <x:v>Manifest Academy</x:v>
      </x:c>
      <x:c r="M35" s="117" t="str">
        <x:v>Operating handbook</x:v>
      </x:c>
      <x:c r="N35" s="117" t="str">
        <x:v>Planned</x:v>
      </x:c>
    </x:row>
    <x:row r="36" ht="18" customHeight="1">
      <x:c r="A36" s="90" t="str">
        <x:v>Date</x:v>
      </x:c>
      <x:c r="B36" s="90" t="str">
        <x:v>Event</x:v>
      </x:c>
      <x:c r="C36" s="90" t="str">
        <x:v>Cadence</x:v>
      </x:c>
      <x:c r="D36" s="90" t="str">
        <x:v>Authority</x:v>
      </x:c>
      <x:c r="E36" s="90" t="str">
        <x:v>Status</x:v>
      </x:c>
      <x:c r="F36" s="42"/>
      <x:c r="G36" s="42"/>
      <x:c r="H36" s="42"/>
      <x:c r="I36" s="42"/>
      <x:c r="J36" s="117" t="str">
        <x:v>P3</x:v>
      </x:c>
      <x:c r="K36" s="117" t="str">
        <x:v>Client Presentation</x:v>
      </x:c>
      <x:c r="L36" s="117" t="str">
        <x:v>Publication Division</x:v>
      </x:c>
      <x:c r="M36" s="117" t="str">
        <x:v>Client-ready deck</x:v>
      </x:c>
      <x:c r="N36" s="117" t="str">
        <x:v>Planned</x:v>
      </x:c>
    </x:row>
    <x:row r="37" ht="18" customHeight="1">
      <x:c r="A37" s="130" t="n">
        <x:v>46230</x:v>
      </x:c>
      <x:c r="B37" s="117" t="str">
        <x:v>Monday workflow</x:v>
      </x:c>
      <x:c r="C37" s="117" t="str">
        <x:v>Weekly</x:v>
      </x:c>
      <x:c r="D37" s="117" t="str">
        <x:v>Chief Investment Steward</x:v>
      </x:c>
      <x:c r="E37" s="117" t="str">
        <x:v>Scheduled</x:v>
      </x:c>
      <x:c r="F37" s="42"/>
      <x:c r="G37" s="42"/>
      <x:c r="H37" s="42"/>
      <x:c r="I37" s="42"/>
      <x:c r="J37" s="117" t="str">
        <x:v>P4</x:v>
      </x:c>
      <x:c r="K37" s="117" t="str">
        <x:v>Casebook Development</x:v>
      </x:c>
      <x:c r="L37" s="117" t="str">
        <x:v>Manifest Academy</x:v>
      </x:c>
      <x:c r="M37" s="117" t="str">
        <x:v>Founders casebook</x:v>
      </x:c>
      <x:c r="N37" s="117" t="str">
        <x:v>Planned</x:v>
      </x:c>
    </x:row>
    <x:row r="38" ht="18" customHeight="1">
      <x:c r="A38" s="130" t="n">
        <x:v>46230</x:v>
      </x:c>
      <x:c r="B38" s="117" t="str">
        <x:v>MWIR publication</x:v>
      </x:c>
      <x:c r="C38" s="117" t="str">
        <x:v>Weekly</x:v>
      </x:c>
      <x:c r="D38" s="117" t="str">
        <x:v>Publication Division</x:v>
      </x:c>
      <x:c r="E38" s="117" t="str">
        <x:v>Scheduled</x:v>
      </x:c>
      <x:c r="F38" s="42"/>
      <x:c r="G38" s="42"/>
      <x:c r="H38" s="42"/>
      <x:c r="I38" s="42"/>
      <x:c r="J38" s="117" t="str">
        <x:v>P5</x:v>
      </x:c>
      <x:c r="K38" s="117" t="str">
        <x:v>Library Expansion Plan</x:v>
      </x:c>
      <x:c r="L38" s="117" t="str">
        <x:v>Editorial Board</x:v>
      </x:c>
      <x:c r="M38" s="117" t="str">
        <x:v>Master library integration</x:v>
      </x:c>
      <x:c r="N38" s="117" t="str">
        <x:v>In Progress</x:v>
      </x:c>
    </x:row>
    <x:row r="39" ht="18" customHeight="1">
      <x:c r="A39" s="130"/>
      <x:c r="B39" s="117" t="str">
        <x:v>Monthly allocation review</x:v>
      </x:c>
      <x:c r="C39" s="117" t="str">
        <x:v>Monthly</x:v>
      </x:c>
      <x:c r="D39" s="117" t="str">
        <x:v>Stewardship Committee</x:v>
      </x:c>
      <x:c r="E39" s="117" t="str">
        <x:v>TBD</x:v>
      </x:c>
      <x:c r="F39" s="42"/>
      <x:c r="G39" s="42"/>
      <x:c r="H39" s="42"/>
      <x:c r="I39" s="42"/>
      <x:c r="J39" s="117"/>
      <x:c r="K39" s="117"/>
      <x:c r="L39" s="117"/>
      <x:c r="M39" s="117"/>
      <x:c r="N39" s="117"/>
    </x:row>
    <x:row r="40" ht="18" customHeight="1">
      <x:c r="A40" s="130"/>
      <x:c r="B40" s="117" t="str">
        <x:v>Quarterly engineering review</x:v>
      </x:c>
      <x:c r="C40" s="117" t="str">
        <x:v>Quarterly</x:v>
      </x:c>
      <x:c r="D40" s="117" t="str">
        <x:v>Portfolio Engineering</x:v>
      </x:c>
      <x:c r="E40" s="117" t="str">
        <x:v>TBD</x:v>
      </x:c>
      <x:c r="F40" s="42"/>
      <x:c r="G40" s="42"/>
      <x:c r="H40" s="42"/>
      <x:c r="I40" s="42"/>
      <x:c r="J40" s="117"/>
      <x:c r="K40" s="117"/>
      <x:c r="L40" s="117"/>
      <x:c r="M40" s="117"/>
      <x:c r="N40" s="117"/>
    </x:row>
    <x:row r="41" ht="18" customHeight="1">
      <x:c r="A41" s="130"/>
      <x:c r="B41" s="117" t="str">
        <x:v>MOR publication</x:v>
      </x:c>
      <x:c r="C41" s="117" t="str">
        <x:v>Monthly</x:v>
      </x:c>
      <x:c r="D41" s="117" t="str">
        <x:v>Publication Division</x:v>
      </x:c>
      <x:c r="E41" s="117" t="str">
        <x:v>TBD</x:v>
      </x:c>
      <x:c r="F41" s="42"/>
      <x:c r="G41" s="42"/>
      <x:c r="H41" s="42"/>
      <x:c r="I41" s="42"/>
      <x:c r="J41" s="117"/>
      <x:c r="K41" s="117"/>
      <x:c r="L41" s="117"/>
      <x:c r="M41" s="117"/>
      <x:c r="N41" s="117"/>
    </x:row>
    <x:row r="42" ht="18" customHeight="1">
      <x:c r="A42" s="130"/>
      <x:c r="B42" s="117"/>
      <x:c r="C42" s="117"/>
      <x:c r="D42" s="117"/>
      <x:c r="E42" s="117"/>
      <x:c r="F42" s="42"/>
      <x:c r="G42" s="42"/>
      <x:c r="H42" s="42"/>
      <x:c r="I42" s="42"/>
      <x:c r="J42" s="117"/>
      <x:c r="K42" s="117"/>
      <x:c r="L42" s="117"/>
      <x:c r="M42" s="117"/>
      <x:c r="N42" s="117"/>
    </x:row>
    <x:row r="43" ht="18" customHeight="1">
      <x:c r="A43" s="130"/>
      <x:c r="B43" s="117"/>
      <x:c r="C43" s="117"/>
      <x:c r="D43" s="117"/>
      <x:c r="E43" s="117"/>
      <x:c r="F43" s="42"/>
      <x:c r="G43" s="42"/>
      <x:c r="H43" s="42"/>
      <x:c r="I43" s="42"/>
      <x:c r="J43" s="117"/>
      <x:c r="K43" s="117"/>
      <x:c r="L43" s="117"/>
      <x:c r="M43" s="117"/>
      <x:c r="N43" s="117"/>
    </x:row>
    <x:row r="44" ht="18" customHeight="1">
      <x:c r="A44" s="130"/>
      <x:c r="B44" s="117"/>
      <x:c r="C44" s="117"/>
      <x:c r="D44" s="117"/>
      <x:c r="E44" s="117"/>
      <x:c r="F44" s="42"/>
      <x:c r="G44" s="42"/>
      <x:c r="H44" s="42"/>
      <x:c r="I44" s="42"/>
      <x:c r="J44" s="42"/>
      <x:c r="K44" s="42"/>
      <x:c r="L44" s="42"/>
      <x:c r="M44" s="42"/>
      <x:c r="N44" s="42"/>
    </x:row>
    <x:row r="45" ht="18" customHeight="1">
      <x:c r="A45" s="130"/>
      <x:c r="B45" s="117"/>
      <x:c r="C45" s="117"/>
      <x:c r="D45" s="117"/>
      <x:c r="E45" s="117"/>
      <x:c r="F45" s="42"/>
      <x:c r="G45" s="42"/>
      <x:c r="H45" s="42"/>
      <x:c r="I45" s="42"/>
      <x:c r="J45" s="42"/>
      <x:c r="K45" s="42"/>
      <x:c r="L45" s="42"/>
      <x:c r="M45" s="42"/>
      <x:c r="N45" s="42"/>
    </x:row>
    <x:row r="46" ht="18" customHeight="1">
      <x:c r="A46" s="130"/>
      <x:c r="B46" s="117"/>
      <x:c r="C46" s="117"/>
      <x:c r="D46" s="117"/>
      <x:c r="E46" s="117"/>
      <x:c r="F46" s="42"/>
      <x:c r="G46" s="42"/>
      <x:c r="H46" s="42"/>
      <x:c r="I46" s="42"/>
      <x:c r="J46" s="42"/>
      <x:c r="K46" s="42"/>
      <x:c r="L46" s="42"/>
      <x:c r="M46" s="42"/>
      <x:c r="N46" s="42"/>
    </x:row>
    <x:row r="47" ht="18" customHeight="1">
      <x:c r="A47" s="42"/>
      <x:c r="B47" s="42"/>
      <x:c r="C47" s="42"/>
      <x:c r="D47" s="42"/>
      <x:c r="E47" s="42"/>
      <x:c r="F47" s="42"/>
      <x:c r="G47" s="42"/>
      <x:c r="H47" s="42"/>
      <x:c r="I47" s="42"/>
      <x:c r="J47" s="42"/>
      <x:c r="K47" s="42"/>
      <x:c r="L47" s="42"/>
      <x:c r="M47" s="42"/>
      <x:c r="N47" s="42"/>
    </x:row>
    <x:row r="48" ht="18" customHeight="1">
      <x:c r="A48" s="42"/>
      <x:c r="B48" s="42"/>
      <x:c r="C48" s="42"/>
      <x:c r="D48" s="42"/>
      <x:c r="E48" s="42"/>
      <x:c r="F48" s="42"/>
      <x:c r="G48" s="42"/>
      <x:c r="H48" s="42"/>
      <x:c r="I48" s="42"/>
      <x:c r="J48" s="42"/>
      <x:c r="K48" s="42"/>
      <x:c r="L48" s="42"/>
      <x:c r="M48" s="42"/>
      <x:c r="N48" s="42"/>
    </x:row>
    <x:row r="49" ht="18" customHeight="1">
      <x:c r="A49" s="129" t="str">
        <x:v>CERTIFICATION REGISTER</x:v>
      </x:c>
      <x:c r="B49" s="129"/>
      <x:c r="C49" s="129"/>
      <x:c r="D49" s="129"/>
      <x:c r="E49" s="129"/>
      <x:c r="F49" s="129"/>
      <x:c r="G49" s="42"/>
      <x:c r="H49" s="42"/>
      <x:c r="I49" s="42"/>
      <x:c r="J49" s="42"/>
      <x:c r="K49" s="42"/>
      <x:c r="L49" s="42"/>
      <x:c r="M49" s="42"/>
      <x:c r="N49" s="42"/>
    </x:row>
    <x:row r="50" ht="18" customHeight="1">
      <x:c r="A50" s="90" t="str">
        <x:v>Record</x:v>
      </x:c>
      <x:c r="B50" s="90" t="str">
        <x:v>Version</x:v>
      </x:c>
      <x:c r="C50" s="90" t="str">
        <x:v>Certified / Frozen</x:v>
      </x:c>
      <x:c r="D50" s="90" t="str">
        <x:v>Review Cadence</x:v>
      </x:c>
      <x:c r="E50" s="90" t="str">
        <x:v>Status</x:v>
      </x:c>
      <x:c r="F50" s="90" t="str">
        <x:v>Authority</x:v>
      </x:c>
      <x:c r="G50" s="42"/>
      <x:c r="H50" s="42"/>
      <x:c r="I50" s="42"/>
      <x:c r="J50" s="42"/>
      <x:c r="K50" s="42"/>
      <x:c r="L50" s="42"/>
      <x:c r="M50" s="42"/>
      <x:c r="N50" s="42"/>
    </x:row>
    <x:row r="51" ht="18" customHeight="1">
      <x:c r="A51" s="117" t="str">
        <x:v>Chief Investment Steward Console</x:v>
      </x:c>
      <x:c r="B51" s="117" t="str">
        <x:v>CISC-001 / v1.0</x:v>
      </x:c>
      <x:c r="C51" s="130" t="n">
        <x:v>46229</x:v>
      </x:c>
      <x:c r="D51" s="117" t="str">
        <x:v>Event-driven</x:v>
      </x:c>
      <x:c r="E51" s="117" t="str">
        <x:v>Frozen</x:v>
      </x:c>
      <x:c r="F51" s="117" t="str">
        <x:v>Chief Investment Steward</x:v>
      </x:c>
      <x:c r="G51" s="42"/>
      <x:c r="H51" s="42"/>
      <x:c r="I51" s="42"/>
      <x:c r="J51" s="42"/>
      <x:c r="K51" s="42"/>
      <x:c r="L51" s="42"/>
      <x:c r="M51" s="42"/>
      <x:c r="N51" s="42"/>
    </x:row>
    <x:row r="52" ht="18" customHeight="1">
      <x:c r="A52" s="117" t="str">
        <x:v>Manifest Flagship Portfolio Definition File</x:v>
      </x:c>
      <x:c r="B52" s="117" t="str">
        <x:v>MFPDF v1.0</x:v>
      </x:c>
      <x:c r="C52" s="130" t="n">
        <x:v>46223</x:v>
      </x:c>
      <x:c r="D52" s="117" t="str">
        <x:v>Quarterly + material event</x:v>
      </x:c>
      <x:c r="E52" s="117" t="str">
        <x:v>Certified</x:v>
      </x:c>
      <x:c r="F52" s="117" t="str">
        <x:v>Stewardship Committee</x:v>
      </x:c>
      <x:c r="G52" s="42"/>
      <x:c r="H52" s="42"/>
      <x:c r="I52" s="42"/>
      <x:c r="J52" s="42"/>
      <x:c r="K52" s="42"/>
      <x:c r="L52" s="42"/>
      <x:c r="M52" s="42"/>
      <x:c r="N52" s="42"/>
    </x:row>
    <x:row r="53" ht="18" customHeight="1">
      <x:c r="A53" s="117" t="str">
        <x:v>Manifest Visual Design System</x:v>
      </x:c>
      <x:c r="B53" s="117" t="str">
        <x:v>MVDS v1.0</x:v>
      </x:c>
      <x:c r="C53" s="130" t="n">
        <x:v>46223</x:v>
      </x:c>
      <x:c r="D53" s="117" t="str">
        <x:v>Amendment only</x:v>
      </x:c>
      <x:c r="E53" s="117" t="str">
        <x:v>Frozen</x:v>
      </x:c>
      <x:c r="F53" s="117" t="str">
        <x:v>Publication Committee</x:v>
      </x:c>
      <x:c r="G53" s="42"/>
      <x:c r="H53" s="42"/>
      <x:c r="I53" s="42"/>
      <x:c r="J53" s="42"/>
      <x:c r="K53" s="42"/>
      <x:c r="L53" s="42"/>
      <x:c r="M53" s="42"/>
      <x:c r="N53" s="42"/>
    </x:row>
    <x:row r="54" ht="18" customHeight="1">
      <x:c r="A54" s="117" t="str">
        <x:v>Manifest Founders Edition</x:v>
      </x:c>
      <x:c r="B54" s="117" t="str">
        <x:v>v1.0</x:v>
      </x:c>
      <x:c r="C54" s="130" t="n">
        <x:v>46222</x:v>
      </x:c>
      <x:c r="D54" s="117" t="str">
        <x:v>Constitutional amendment only</x:v>
      </x:c>
      <x:c r="E54" s="117" t="str">
        <x:v>Complete</x:v>
      </x:c>
      <x:c r="F54" s="117" t="str">
        <x:v>Founding Authority</x:v>
      </x:c>
      <x:c r="G54" s="42"/>
      <x:c r="H54" s="42"/>
      <x:c r="I54" s="42"/>
      <x:c r="J54" s="42"/>
      <x:c r="K54" s="42"/>
      <x:c r="L54" s="42"/>
      <x:c r="M54" s="42"/>
      <x:c r="N54" s="42"/>
    </x:row>
    <x:row r="55" ht="18" customHeight="1">
      <x:c r="A55" s="117"/>
      <x:c r="B55" s="117"/>
      <x:c r="C55" s="130"/>
      <x:c r="D55" s="117"/>
      <x:c r="E55" s="117"/>
      <x:c r="F55" s="117"/>
      <x:c r="G55" s="42"/>
      <x:c r="H55" s="42"/>
      <x:c r="I55" s="42"/>
      <x:c r="J55" s="42"/>
      <x:c r="K55" s="42"/>
      <x:c r="L55" s="42"/>
      <x:c r="M55" s="42"/>
      <x:c r="N55" s="42"/>
    </x:row>
    <x:row r="56" ht="18" customHeight="1">
      <x:c r="A56" s="117"/>
      <x:c r="B56" s="117"/>
      <x:c r="C56" s="130"/>
      <x:c r="D56" s="117"/>
      <x:c r="E56" s="117"/>
      <x:c r="F56" s="117"/>
      <x:c r="G56" s="42"/>
      <x:c r="H56" s="42"/>
      <x:c r="I56" s="42"/>
      <x:c r="J56" s="42"/>
      <x:c r="K56" s="42"/>
      <x:c r="L56" s="42"/>
      <x:c r="M56" s="42"/>
      <x:c r="N56" s="42"/>
    </x:row>
    <x:row r="57" ht="18" customHeight="1">
      <x:c r="A57" s="117"/>
      <x:c r="B57" s="117"/>
      <x:c r="C57" s="130"/>
      <x:c r="D57" s="117"/>
      <x:c r="E57" s="117"/>
      <x:c r="F57" s="117"/>
      <x:c r="G57" s="42"/>
      <x:c r="H57" s="42"/>
      <x:c r="I57" s="42"/>
      <x:c r="J57" s="42"/>
      <x:c r="K57" s="42"/>
      <x:c r="L57" s="42"/>
      <x:c r="M57" s="42"/>
      <x:c r="N57" s="42"/>
    </x:row>
    <x:row r="58" ht="18" customHeight="1">
      <x:c r="A58" s="117"/>
      <x:c r="B58" s="117"/>
      <x:c r="C58" s="130"/>
      <x:c r="D58" s="117"/>
      <x:c r="E58" s="117"/>
      <x:c r="F58" s="117"/>
      <x:c r="G58" s="42"/>
      <x:c r="H58" s="42"/>
      <x:c r="I58" s="42"/>
      <x:c r="J58" s="42"/>
      <x:c r="K58" s="42"/>
      <x:c r="L58" s="42"/>
      <x:c r="M58" s="42"/>
      <x:c r="N58" s="42"/>
    </x:row>
    <x:row r="59" ht="18" customHeight="1">
      <x:c r="A59" s="117"/>
      <x:c r="B59" s="117"/>
      <x:c r="C59" s="130"/>
      <x:c r="D59" s="117"/>
      <x:c r="E59" s="117"/>
      <x:c r="F59" s="117"/>
      <x:c r="G59" s="42"/>
      <x:c r="H59" s="42"/>
      <x:c r="I59" s="42"/>
      <x:c r="J59" s="42"/>
      <x:c r="K59" s="42"/>
      <x:c r="L59" s="42"/>
      <x:c r="M59" s="42"/>
      <x:c r="N59" s="42"/>
    </x:row>
    <x:row r="60" ht="18" customHeight="1">
      <x:c r="A60" s="117"/>
      <x:c r="B60" s="117"/>
      <x:c r="C60" s="130"/>
      <x:c r="D60" s="117"/>
      <x:c r="E60" s="117"/>
      <x:c r="F60" s="117"/>
      <x:c r="G60" s="42"/>
      <x:c r="H60" s="42"/>
      <x:c r="I60" s="42"/>
      <x:c r="J60" s="42"/>
      <x:c r="K60" s="42"/>
      <x:c r="L60" s="42"/>
      <x:c r="M60" s="42"/>
      <x:c r="N60" s="42"/>
    </x:row>
    <x:row r="61" ht="18" customHeight="1">
      <x:c r="A61" s="42"/>
      <x:c r="B61" s="42"/>
      <x:c r="C61" s="42"/>
      <x:c r="D61" s="42"/>
      <x:c r="E61" s="42"/>
      <x:c r="F61" s="42"/>
      <x:c r="G61" s="42"/>
      <x:c r="H61" s="42"/>
      <x:c r="I61" s="42"/>
      <x:c r="J61" s="42"/>
      <x:c r="K61" s="42"/>
      <x:c r="L61" s="42"/>
      <x:c r="M61" s="42"/>
      <x:c r="N61" s="42"/>
    </x:row>
    <x:row r="62" ht="18" customHeight="1">
      <x:c r="A62" s="42"/>
      <x:c r="B62" s="42"/>
      <x:c r="C62" s="42"/>
      <x:c r="D62" s="42"/>
      <x:c r="E62" s="42"/>
      <x:c r="F62" s="42"/>
      <x:c r="G62" s="42"/>
      <x:c r="H62" s="42"/>
      <x:c r="I62" s="42"/>
      <x:c r="J62" s="42"/>
      <x:c r="K62" s="42"/>
      <x:c r="L62" s="42"/>
      <x:c r="M62" s="42"/>
      <x:c r="N62" s="42"/>
    </x:row>
  </x:sheetData>
  <x:mergeCells>
    <x:mergeCell ref="A1:N2"/>
    <x:mergeCell ref="A3:N3"/>
    <x:mergeCell ref="A5:I5"/>
    <x:mergeCell ref="A23:F23"/>
    <x:mergeCell ref="A35:E35"/>
    <x:mergeCell ref="A49:F49"/>
    <x:mergeCell ref="J5:N5"/>
    <x:mergeCell ref="J7:N7"/>
    <x:mergeCell ref="J20:N20"/>
    <x:mergeCell ref="J33:N33"/>
  </x:mergeCells>
  <x:dataValidations count="4">
    <x:dataValidation type="list" sqref="F7:F20">
      <x:formula1>"High,Medium,Low"</x:formula1>
    </x:dataValidation>
    <x:dataValidation type="list" sqref="G7:G20">
      <x:formula1>"Open,In Progress,Planned,Completed,Deferred"</x:formula1>
    </x:dataValidation>
    <x:dataValidation type="list" sqref="H7:H20">
      <x:formula1>"Yes,No"</x:formula1>
    </x:dataValidation>
    <x:dataValidation type="list" sqref="E25:E32">
      <x:formula1>"Not Started,Planned,Draft,In Review,Published,Scheduled"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18" hidden="0" customWidth="1"/>
    <x:col min="4" max="4" width="44" hidden="0" customWidth="1"/>
    <x:col min="5" max="5" width="4" hidden="0" customWidth="1"/>
    <x:col min="6" max="6" width="24" hidden="0" customWidth="1"/>
    <x:col min="7" max="7" width="36" hidden="0" customWidth="1"/>
    <x:col min="8" max="8" width="20" hidden="0" customWidth="1"/>
  </x:cols>
  <x:sheetData>
    <x:row r="1" ht="20" customHeight="1">
      <x:c r="A1" s="102" t="str">
        <x:v>MANIFEST WORKBENCH — OPERATING GUIDE &amp; FREEZE RECORD</x:v>
      </x:c>
      <x:c r="B1" s="102"/>
      <x:c r="C1" s="102"/>
      <x:c r="D1" s="102"/>
      <x:c r="E1" s="102"/>
      <x:c r="F1" s="102"/>
      <x:c r="G1" s="102"/>
      <x:c r="H1" s="102"/>
    </x:row>
    <x:row r="2" ht="20" customHeight="1">
      <x:c r="A2" s="102"/>
      <x:c r="B2" s="102"/>
      <x:c r="C2" s="102"/>
      <x:c r="D2" s="102"/>
      <x:c r="E2" s="102"/>
      <x:c r="F2" s="102"/>
      <x:c r="G2" s="102"/>
      <x:c r="H2" s="102"/>
    </x:row>
    <x:row r="3" ht="20" customHeight="1">
      <x:c r="A3" s="106" t="str">
        <x:v>CISC-001 is the frozen visual foundation. MFPDF v1.0 remains the sole portfolio-allocation authority.</x:v>
      </x:c>
      <x:c r="B3" s="106"/>
      <x:c r="C3" s="106"/>
      <x:c r="D3" s="106"/>
      <x:c r="E3" s="106"/>
      <x:c r="F3" s="106"/>
      <x:c r="G3" s="106"/>
      <x:c r="H3" s="106"/>
    </x:row>
    <x:row r="4" ht="20" customHeight="1"/>
    <x:row r="5" ht="20" customHeight="1">
      <x:c r="A5" s="90" t="str">
        <x:v>Freeze Field</x:v>
      </x:c>
      <x:c r="B5" s="90" t="str">
        <x:v>Adopted Standard</x:v>
      </x:c>
      <x:c r="C5" s="90" t="str">
        <x:v>Status</x:v>
      </x:c>
      <x:c r="D5" s="90" t="str">
        <x:v>Operating Effect</x:v>
      </x:c>
      <x:c r="F5" s="90" t="str">
        <x:v>Workbook Authority</x:v>
      </x:c>
      <x:c r="G5" s="90" t="str">
        <x:v>Standard</x:v>
      </x:c>
      <x:c r="H5" s="90" t="str">
        <x:v>Status</x:v>
      </x:c>
    </x:row>
    <x:row r="6" ht="20" customHeight="1">
      <x:c r="A6" s="42" t="str">
        <x:v>Visual Standard</x:v>
      </x:c>
      <x:c r="B6" s="42" t="str">
        <x:v>Chief Investment Steward Console (CISC-001)</x:v>
      </x:c>
      <x:c r="C6" s="42" t="str">
        <x:v>Frozen</x:v>
      </x:c>
      <x:c r="D6" s="42" t="str">
        <x:v>All future executive interfaces inherit this architecture.</x:v>
      </x:c>
      <x:c r="F6" s="42" t="str">
        <x:v>Canonical Portfolio</x:v>
      </x:c>
      <x:c r="G6" s="42" t="str">
        <x:v>Portfolio B / 47 positions</x:v>
      </x:c>
      <x:c r="H6" s="42" t="str">
        <x:v>MFPDF v1.0</x:v>
      </x:c>
    </x:row>
    <x:row r="7" ht="20" customHeight="1">
      <x:c r="A7" s="42" t="str">
        <x:v>Edition</x:v>
      </x:c>
      <x:c r="B7" s="42" t="str">
        <x:v>Founders Edition v1.0</x:v>
      </x:c>
      <x:c r="C7" s="42" t="str">
        <x:v>Frozen</x:v>
      </x:c>
      <x:c r="D7" s="42" t="str">
        <x:v>Changes require explicit amendment.</x:v>
      </x:c>
      <x:c r="F7" s="42" t="str">
        <x:v>Certified Target Total</x:v>
      </x:c>
      <x:c r="G7" s="42" t="str">
        <x:v>100.00%</x:v>
      </x:c>
      <x:c r="H7" s="42" t="str">
        <x:v>Locked</x:v>
      </x:c>
    </x:row>
    <x:row r="8" ht="20" customHeight="1">
      <x:c r="A8" s="42" t="str">
        <x:v>Panel 1</x:v>
      </x:c>
      <x:c r="B8" s="42" t="str">
        <x:v>Executive Status</x:v>
      </x:c>
      <x:c r="C8" s="42" t="str">
        <x:v>Required</x:v>
      </x:c>
      <x:c r="D8" s="42" t="str">
        <x:v>Composite gauge, institutional compass and executive recommendation.</x:v>
      </x:c>
      <x:c r="F8" s="42" t="str">
        <x:v>Lower Band</x:v>
      </x:c>
      <x:c r="G8" s="42" t="str">
        <x:v>MAX(1.00%, 75% of target)</x:v>
      </x:c>
      <x:c r="H8" s="42" t="str">
        <x:v>Active</x:v>
      </x:c>
    </x:row>
    <x:row r="9" ht="20" customHeight="1">
      <x:c r="A9" s="42" t="str">
        <x:v>Panel 2</x:v>
      </x:c>
      <x:c r="B9" s="42" t="str">
        <x:v>Portfolio Health</x:v>
      </x:c>
      <x:c r="C9" s="42" t="str">
        <x:v>Required</x:v>
      </x:c>
      <x:c r="D9" s="42" t="str">
        <x:v>Sleeves, top holdings and allocation alerts.</x:v>
      </x:c>
      <x:c r="F9" s="42" t="str">
        <x:v>Upper Band</x:v>
      </x:c>
      <x:c r="G9" s="42" t="str">
        <x:v>MIN(4.00%, 125% of target)</x:v>
      </x:c>
      <x:c r="H9" s="42" t="str">
        <x:v>Active</x:v>
      </x:c>
    </x:row>
    <x:row r="10" ht="20" customHeight="1">
      <x:c r="A10" s="42" t="str">
        <x:v>Panel 3</x:v>
      </x:c>
      <x:c r="B10" s="42" t="str">
        <x:v>Research Intelligence</x:v>
      </x:c>
      <x:c r="C10" s="42" t="str">
        <x:v>Required</x:v>
      </x:c>
      <x:c r="D10" s="42" t="str">
        <x:v>Current research queue, MIAR and conviction maintenance.</x:v>
      </x:c>
      <x:c r="F10" s="42" t="str">
        <x:v>Automatic Trading</x:v>
      </x:c>
      <x:c r="G10" s="42" t="str">
        <x:v>Not authorized</x:v>
      </x:c>
      <x:c r="H10" s="42" t="str">
        <x:v>Prohibited</x:v>
      </x:c>
    </x:row>
    <x:row r="11" ht="20" customHeight="1">
      <x:c r="A11" s="42" t="str">
        <x:v>Panel 4</x:v>
      </x:c>
      <x:c r="B11" s="42" t="str">
        <x:v>Committee Operations</x:v>
      </x:c>
      <x:c r="C11" s="42" t="str">
        <x:v>Required</x:v>
      </x:c>
      <x:c r="D11" s="42" t="str">
        <x:v>Actions, publications, calendar, certifications and steward notebook.</x:v>
      </x:c>
      <x:c r="F11" s="42" t="str">
        <x:v>Committee Review</x:v>
      </x:c>
      <x:c r="G11" s="42" t="str">
        <x:v>Precedes implementation</x:v>
      </x:c>
      <x:c r="H11" s="42" t="str">
        <x:v>Required when triggered</x:v>
      </x:c>
    </x:row>
    <x:row r="12" ht="20" customHeight="1">
      <x:c r="A12" s="42" t="str">
        <x:v>Panel 5</x:v>
      </x:c>
      <x:c r="B12" s="42" t="str">
        <x:v>Manifest Decision Center</x:v>
      </x:c>
      <x:c r="C12" s="42" t="str">
        <x:v>Required</x:v>
      </x:c>
      <x:c r="D12" s="42" t="str">
        <x:v>Answers what decisions are actually required this week.</x:v>
      </x:c>
      <x:c r="F12" s="42" t="str">
        <x:v>Actual Weights</x:v>
      </x:c>
      <x:c r="G12" s="42" t="str">
        <x:v>User-entered</x:v>
      </x:c>
      <x:c r="H12" s="42" t="str">
        <x:v>Currently required</x:v>
      </x:c>
    </x:row>
    <x:row r="13" ht="20" customHeight="1"/>
    <x:row r="14" ht="20" customHeight="1"/>
    <x:row r="15" ht="20" customHeight="1">
      <x:c r="A15" s="90" t="str">
        <x:v>Weekly Workflow</x:v>
      </x:c>
      <x:c r="B15" s="90" t="str">
        <x:v>Action</x:v>
      </x:c>
      <x:c r="C15" s="90" t="str">
        <x:v>Primary Sheet</x:v>
      </x:c>
      <x:c r="D15" s="90" t="str">
        <x:v>Control</x:v>
      </x:c>
      <x:c r="F15" s="90" t="str">
        <x:v>Color / Entry Convention</x:v>
      </x:c>
      <x:c r="G15" s="90" t="str">
        <x:v>Meaning</x:v>
      </x:c>
      <x:c r="H15" s="90" t="str">
        <x:v>Use</x:v>
      </x:c>
    </x:row>
    <x:row r="16" ht="20" customHeight="1">
      <x:c r="A16" s="42" t="str">
        <x:v>1</x:v>
      </x:c>
      <x:c r="B16" s="42" t="str">
        <x:v>Update report date, score components and confidence</x:v>
      </x:c>
      <x:c r="C16" s="42" t="str">
        <x:v>01 Dashboard Controls</x:v>
      </x:c>
      <x:c r="D16" s="42" t="str">
        <x:v>Blue/yellow input cells</x:v>
      </x:c>
      <x:c r="F16" s="42" t="str">
        <x:v>Blue text + yellow fill</x:v>
      </x:c>
      <x:c r="G16" s="42" t="str">
        <x:v>Hardcoded operating input</x:v>
      </x:c>
      <x:c r="H16" s="42" t="str">
        <x:v>Update each reporting cycle</x:v>
      </x:c>
    </x:row>
    <x:row r="17" ht="20" customHeight="1">
      <x:c r="A17" s="42" t="str">
        <x:v>2</x:v>
      </x:c>
      <x:c r="B17" s="42" t="str">
        <x:v>Load all 47 actual portfolio weights</x:v>
      </x:c>
      <x:c r="C17" s="42" t="str">
        <x:v>Certified Allocation — column I</x:v>
      </x:c>
      <x:c r="D17" s="42" t="str">
        <x:v>Required before live band decisions</x:v>
      </x:c>
      <x:c r="F17" s="42" t="str">
        <x:v>Green text</x:v>
      </x:c>
      <x:c r="G17" s="42" t="str">
        <x:v>Link to another worksheet</x:v>
      </x:c>
      <x:c r="H17" s="42" t="str">
        <x:v>Do not overwrite</x:v>
      </x:c>
    </x:row>
    <x:row r="18" ht="20" customHeight="1">
      <x:c r="A18" s="42" t="str">
        <x:v>3</x:v>
      </x:c>
      <x:c r="B18" s="42" t="str">
        <x:v>Assign conviction and research status</x:v>
      </x:c>
      <x:c r="C18" s="42" t="str">
        <x:v>Certified Allocation — columns M–N</x:v>
      </x:c>
      <x:c r="D18" s="42" t="str">
        <x:v>Used by top-holdings and research panels</x:v>
      </x:c>
      <x:c r="F18" s="42" t="str">
        <x:v>Black text</x:v>
      </x:c>
      <x:c r="G18" s="42" t="str">
        <x:v>Formula / calculation</x:v>
      </x:c>
      <x:c r="H18" s="42" t="str">
        <x:v>Do not hardcode over formula</x:v>
      </x:c>
    </x:row>
    <x:row r="19" ht="20" customHeight="1">
      <x:c r="A19" s="42" t="str">
        <x:v>4</x:v>
      </x:c>
      <x:c r="B19" s="42" t="str">
        <x:v>Update research and committee workspaces</x:v>
      </x:c>
      <x:c r="C19" s="42" t="str">
        <x:v>03 Research Intelligence / 04 Committee Operations</x:v>
      </x:c>
      <x:c r="D19" s="42" t="str">
        <x:v>Use verified current information</x:v>
      </x:c>
      <x:c r="F19" s="42" t="str">
        <x:v>Red exception state</x:v>
      </x:c>
      <x:c r="G19" s="42" t="str">
        <x:v>Decision or band exception</x:v>
      </x:c>
      <x:c r="H19" s="42" t="str">
        <x:v>Review promptly</x:v>
      </x:c>
    </x:row>
    <x:row r="20" ht="20" customHeight="1">
      <x:c r="A20" s="42" t="str">
        <x:v>5</x:v>
      </x:c>
      <x:c r="B20" s="42" t="str">
        <x:v>Review the Manifest Decision Center</x:v>
      </x:c>
      <x:c r="C20" s="42" t="str">
        <x:v>02 Decision Center</x:v>
      </x:c>
      <x:c r="D20" s="42" t="str">
        <x:v>No-action state is valid and explicit</x:v>
      </x:c>
      <x:c r="F20" s="42" t="str">
        <x:v>Green status</x:v>
      </x:c>
      <x:c r="G20" s="42" t="str">
        <x:v>Aligned / no decision required</x:v>
      </x:c>
      <x:c r="H20" s="42" t="str">
        <x:v>Continue monitoring</x:v>
      </x:c>
    </x:row>
    <x:row r="21" ht="20" customHeight="1">
      <x:c r="A21" s="42" t="str">
        <x:v>6</x:v>
      </x:c>
      <x:c r="B21" s="42" t="str">
        <x:v>Publish the MWIR and related dashboards</x:v>
      </x:c>
      <x:c r="C21" s="42" t="str">
        <x:v>00 CISC Dashboard</x:v>
      </x:c>
      <x:c r="D21" s="42" t="str">
        <x:v>No automatic trading</x:v>
      </x:c>
    </x:row>
    <x:row r="22" ht="20" customHeight="1"/>
    <x:row r="23" ht="20" customHeight="1"/>
    <x:row r="24" ht="20" customHeight="1">
      <x:c r="A24" s="147" t="str">
        <x:v>Operating Rule: the workbench is an executive decision-support interface. It does not modify the frozen portfolio merely because a band is breached, and it never authorizes automatic trades. The correct weekly output may be “NO COMMITTEE ACTION REQUIRED.”</x:v>
      </x:c>
      <x:c r="B24" s="147"/>
      <x:c r="C24" s="147"/>
      <x:c r="D24" s="147"/>
      <x:c r="E24" s="147"/>
      <x:c r="F24" s="147"/>
      <x:c r="G24" s="147"/>
      <x:c r="H24" s="147"/>
    </x:row>
    <x:row r="25" ht="20" customHeight="1">
      <x:c r="A25" s="147"/>
      <x:c r="B25" s="147"/>
      <x:c r="C25" s="147"/>
      <x:c r="D25" s="147"/>
      <x:c r="E25" s="147"/>
      <x:c r="F25" s="147"/>
      <x:c r="G25" s="147"/>
      <x:c r="H25" s="147"/>
    </x:row>
    <x:row r="26" ht="24" customHeight="1">
      <x:c r="A26" s="856" t="str">
        <x:v>MOPS-003 RESEARCH OPERATING ADDENDUM — RCC-001 &amp; RCC-002 INSTALLED</x:v>
      </x:c>
      <x:c r="B26" s="856"/>
      <x:c r="C26" s="856"/>
      <x:c r="D26" s="856"/>
      <x:c r="E26" s="856"/>
      <x:c r="F26" s="856"/>
      <x:c r="G26" s="856"/>
      <x:c r="H26" s="856"/>
    </x:row>
    <x:row r="27" ht="24" customHeight="1">
      <x:c r="A27" s="809" t="str">
        <x:v>Research Step</x:v>
      </x:c>
      <x:c r="B27" s="809" t="str">
        <x:v>Action</x:v>
      </x:c>
      <x:c r="C27" s="809" t="str">
        <x:v>Primary Sheet</x:v>
      </x:c>
      <x:c r="D27" s="809" t="str">
        <x:v>Control</x:v>
      </x:c>
      <x:c r="E27" s="809"/>
      <x:c r="F27" s="809" t="str">
        <x:v>Authority</x:v>
      </x:c>
      <x:c r="G27" s="809" t="str">
        <x:v>Output</x:v>
      </x:c>
      <x:c r="H27" s="809" t="str">
        <x:v>Portfolio Effect</x:v>
      </x:c>
    </x:row>
    <x:row r="28" ht="24" customHeight="1">
      <x:c r="A28" s="860" t="str">
        <x:v>1</x:v>
      </x:c>
      <x:c r="B28" s="860" t="str">
        <x:v>Enter one verified or pending signal per row</x:v>
      </x:c>
      <x:c r="C28" s="860" t="str">
        <x:v>18 RCC-002 Evidence Ledger</x:v>
      </x:c>
      <x:c r="D28" s="860" t="str">
        <x:v>Unique Evidence ID</x:v>
      </x:c>
      <x:c r="E28" s="860"/>
      <x:c r="F28" s="860" t="str">
        <x:v>Research Operations</x:v>
      </x:c>
      <x:c r="G28" s="860" t="str">
        <x:v>Auditable intake record</x:v>
      </x:c>
      <x:c r="H28" s="860" t="str">
        <x:v>None</x:v>
      </x:c>
    </x:row>
    <x:row r="29" ht="24" customHeight="1">
      <x:c r="A29" s="853" t="str">
        <x:v>2</x:v>
      </x:c>
      <x:c r="B29" s="853" t="str">
        <x:v>Review materiality, reliability and routing</x:v>
      </x:c>
      <x:c r="C29" s="853" t="str">
        <x:v>17 RCC-002 Control Center</x:v>
      </x:c>
      <x:c r="D29" s="853" t="str">
        <x:v>Verification and referral gates</x:v>
      </x:c>
      <x:c r="E29" s="853"/>
      <x:c r="F29" s="853" t="str">
        <x:v>Research Committee</x:v>
      </x:c>
      <x:c r="G29" s="853" t="str">
        <x:v>MIAR / thesis / conviction / PEW referral</x:v>
      </x:c>
      <x:c r="H29" s="853" t="str">
        <x:v>Scenario only</x:v>
      </x:c>
    </x:row>
    <x:row r="30" ht="24" customHeight="1">
      <x:c r="A30" s="853" t="str">
        <x:v>3</x:v>
      </x:c>
      <x:c r="B30" s="853" t="str">
        <x:v>Monitor research readiness and exceptions</x:v>
      </x:c>
      <x:c r="C30" s="853" t="str">
        <x:v>16 RCC-001 Control Center</x:v>
      </x:c>
      <x:c r="D30" s="853" t="str">
        <x:v>RCC-001 executive aggregation</x:v>
      </x:c>
      <x:c r="E30" s="853"/>
      <x:c r="F30" s="853" t="str">
        <x:v>Chief Investment Steward</x:v>
      </x:c>
      <x:c r="G30" s="853" t="str">
        <x:v>Decision queue</x:v>
      </x:c>
      <x:c r="H30" s="853" t="str">
        <x:v>No direct allocation authority</x:v>
      </x:c>
    </x:row>
  </x:sheetData>
  <x:mergeCells>
    <x:mergeCell ref="A1:H2"/>
    <x:mergeCell ref="A3:H3"/>
    <x:mergeCell ref="A24:H28"/>
    <x:mergeCell ref="A26:H26"/>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7" t="str">
        <x:v>MANIFEST FLAGSHIP PORTFOLIO DEFINITION FILE</x:v>
      </x:c>
      <x:c r="B1" s="67"/>
      <x:c r="C1" s="67"/>
      <x:c r="D1" s="67"/>
      <x:c r="E1" s="67"/>
      <x:c r="F1" s="67"/>
      <x:c r="G1" s="67"/>
      <x:c r="H1" s="67"/>
    </x:row>
    <x:row r="2">
      <x:c r="A2" s="72" t="str">
        <x:v>Founders Edition Version 1.0 — Canonical Implementation Workbook</x:v>
      </x:c>
      <x:c r="B2" s="72"/>
      <x:c r="C2" s="72"/>
      <x:c r="D2" s="72"/>
      <x:c r="E2" s="72"/>
      <x:c r="F2" s="72"/>
      <x:c r="G2" s="72"/>
      <x:c r="H2" s="72"/>
    </x:row>
    <x:row r="4">
      <x:c r="A4" s="58" t="str">
        <x:v>Certification Field</x:v>
      </x:c>
      <x:c r="B4" s="58" t="str">
        <x:v>Value</x:v>
      </x:c>
      <x:c r="D4" s="59" t="str">
        <x:v>Executive Certification</x:v>
      </x:c>
      <x:c r="E4" s="59"/>
      <x:c r="F4" s="59"/>
      <x:c r="G4" s="59"/>
      <x:c r="H4" s="59"/>
    </x:row>
    <x:row r="5">
      <x:c r="A5" t="str">
        <x:v>Canonical portfolio</x:v>
      </x:c>
      <x:c r="B5" t="str">
        <x:v>Portfolio B</x:v>
      </x:c>
      <x:c r="D5" s="78" t="str">
        <x:v>This workbook supersedes all prior preliminary allocation workbooks. It reconciles the 47-symbol Portfolio B export with the MQOC-006 empirical optimizer. The optimizer's 2.00% placeholder has been assigned to MMC, the sole Portfolio B symbol absent from the provisional weight file. No other target weight was changed.</x:v>
      </x:c>
      <x:c r="E5" s="78"/>
      <x:c r="F5" s="78"/>
      <x:c r="G5" s="78"/>
      <x:c r="H5" s="78"/>
    </x:row>
    <x:row r="6">
      <x:c r="A6" t="str">
        <x:v>Total positions</x:v>
      </x:c>
      <x:c r="B6" t="n">
        <x:v>47</x:v>
      </x:c>
      <x:c r="D6" s="78"/>
      <x:c r="E6" s="78"/>
      <x:c r="F6" s="78"/>
      <x:c r="G6" s="78"/>
      <x:c r="H6" s="78"/>
    </x:row>
    <x:row r="7">
      <x:c r="A7" t="str">
        <x:v>Equities</x:v>
      </x:c>
      <x:c r="B7" t="n">
        <x:v>40</x:v>
      </x:c>
      <x:c r="D7" s="78"/>
      <x:c r="E7" s="78"/>
      <x:c r="F7" s="78"/>
      <x:c r="G7" s="78"/>
      <x:c r="H7" s="78"/>
    </x:row>
    <x:row r="8">
      <x:c r="A8" t="str">
        <x:v>ETFs</x:v>
      </x:c>
      <x:c r="B8" t="n">
        <x:v>7</x:v>
      </x:c>
      <x:c r="D8" s="78"/>
      <x:c r="E8" s="78"/>
      <x:c r="F8" s="78"/>
      <x:c r="G8" s="78"/>
      <x:c r="H8" s="78"/>
    </x:row>
    <x:row r="9">
      <x:c r="A9" t="str">
        <x:v>Certified target total</x:v>
      </x:c>
      <x:c r="B9" s="62" t="n">
        <x:f>'Certified Allocation'!F53</x:f>
        <x:v>0.9999999999999994</x:v>
      </x:c>
      <x:c r="D9" s="78"/>
      <x:c r="E9" s="78"/>
      <x:c r="F9" s="78"/>
      <x:c r="G9" s="78"/>
      <x:c r="H9" s="78"/>
    </x:row>
    <x:row r="10">
      <x:c r="A10" t="str">
        <x:v>Rebalancing policy</x:v>
      </x:c>
      <x:c r="B10" t="str">
        <x:v>Band-based; review before trade</x:v>
      </x:c>
      <x:c r="D10" s="78"/>
      <x:c r="E10" s="78"/>
      <x:c r="F10" s="78"/>
      <x:c r="G10" s="78"/>
      <x:c r="H10" s="78"/>
    </x:row>
    <x:row r="12">
      <x:c r="A12" s="16" t="str">
        <x:v>Operating Rules</x:v>
      </x:c>
      <x:c r="B12" s="16"/>
      <x:c r="C12" s="16"/>
      <x:c r="D12" s="16"/>
      <x:c r="E12" s="16"/>
      <x:c r="F12" s="16"/>
      <x:c r="G12" s="16"/>
      <x:c r="H12" s="16"/>
    </x:row>
    <x:row r="13">
      <x:c r="A13" s="42" t="str">
        <x:v>Rule</x:v>
      </x:c>
      <x:c r="B13" s="42" t="str">
        <x:v>Standard</x:v>
      </x:c>
      <x:c r="C13" t="str"/>
      <x:c r="D13" t="str"/>
      <x:c r="E13" t="str"/>
      <x:c r="F13" t="str"/>
      <x:c r="G13" t="str"/>
      <x:c r="H13" t="str"/>
    </x:row>
    <x:row r="14">
      <x:c r="A14" s="42" t="str">
        <x:v>Target allocation</x:v>
      </x:c>
      <x:c r="B14" s="42" t="str">
        <x:v>100.00%</x:v>
      </x:c>
      <x:c r="C14" t="str"/>
      <x:c r="D14" t="str"/>
      <x:c r="E14" t="str"/>
      <x:c r="F14" t="str"/>
      <x:c r="G14" t="str"/>
      <x:c r="H14" t="str"/>
    </x:row>
    <x:row r="15">
      <x:c r="A15" s="42" t="str">
        <x:v>Position minimum</x:v>
      </x:c>
      <x:c r="B15" s="42" t="str">
        <x:v>1.00% lower-band floor</x:v>
      </x:c>
      <x:c r="C15" t="str"/>
      <x:c r="D15" t="str"/>
      <x:c r="E15" t="str"/>
      <x:c r="F15" t="str"/>
      <x:c r="G15" t="str"/>
      <x:c r="H15" t="str"/>
    </x:row>
    <x:row r="16">
      <x:c r="A16" s="42" t="str">
        <x:v>Position maximum</x:v>
      </x:c>
      <x:c r="B16" s="42" t="str">
        <x:v>4.00% upper-band cap</x:v>
      </x:c>
      <x:c r="C16" t="str"/>
      <x:c r="D16" t="str"/>
      <x:c r="E16" t="str"/>
      <x:c r="F16" t="str"/>
      <x:c r="G16" t="str"/>
      <x:c r="H16" t="str"/>
    </x:row>
    <x:row r="17">
      <x:c r="A17" s="42" t="str">
        <x:v>Review trigger</x:v>
      </x:c>
      <x:c r="B17" s="42" t="str">
        <x:v>Actual weight outside allowable band; committee review precedes implementation</x:v>
      </x:c>
      <x:c r="C17" t="str"/>
      <x:c r="D17" t="str"/>
      <x:c r="E17" t="str"/>
      <x:c r="F17" t="str"/>
      <x:c r="G17" t="str"/>
      <x:c r="H17" t="str"/>
    </x:row>
  </x:sheetData>
  <x:mergeCells>
    <x:mergeCell ref="A1:H1"/>
    <x:mergeCell ref="A2:H2"/>
    <x:mergeCell ref="D4:H4"/>
    <x:mergeCell ref="D5:H10"/>
    <x:mergeCell ref="A12:H12"/>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0" hidden="0" customWidth="1"/>
    <x:col min="3" max="3" width="30" hidden="0" customWidth="1"/>
    <x:col min="4" max="4" width="12" hidden="0" customWidth="1"/>
    <x:col min="5" max="5" width="38"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8" hidden="0" customWidth="1"/>
    <x:col min="14" max="14" width="20" hidden="0" customWidth="1"/>
  </x:cols>
  <x:sheetData>
    <x:row r="1">
      <x:c r="A1" s="40" t="str">
        <x:v>Manifest Flagship Portfolio Definition File (MFPDF) — Founders Edition v1.0</x:v>
      </x:c>
      <x:c r="B1" s="40"/>
      <x:c r="C1" s="40"/>
      <x:c r="D1" s="40"/>
      <x:c r="E1" s="40"/>
      <x:c r="F1" s="40"/>
      <x:c r="G1" s="40"/>
      <x:c r="H1" s="40"/>
      <x:c r="I1" s="40"/>
      <x:c r="J1" s="40"/>
      <x:c r="K1" s="40"/>
      <x:c r="L1" s="40"/>
    </x:row>
    <x:row r="2">
      <x:c r="A2" s="41" t="str">
        <x:v>Certified Target Allocation Schedule | Canonical Portfolio B | 47 positions</x:v>
      </x:c>
      <x:c r="B2" s="41"/>
      <x:c r="C2" s="41"/>
      <x:c r="D2" s="41"/>
      <x:c r="E2" s="41"/>
      <x:c r="F2" s="41"/>
      <x:c r="G2" s="41"/>
      <x:c r="H2" s="41"/>
      <x:c r="I2" s="41"/>
      <x:c r="J2" s="41"/>
      <x:c r="K2" s="41"/>
      <x:c r="L2" s="41"/>
    </x:row>
    <x:row r="3">
      <x:c r="A3" s="42"/>
      <x:c r="B3" s="42"/>
      <x:c r="C3" s="42"/>
      <x:c r="D3" s="42"/>
      <x:c r="E3" s="42"/>
      <x:c r="F3" s="42"/>
      <x:c r="G3" s="42"/>
      <x:c r="H3" s="42"/>
      <x:c r="I3" s="42"/>
      <x:c r="J3" s="42"/>
      <x:c r="K3" s="42"/>
      <x:c r="L3" s="42"/>
    </x:row>
    <x:row r="4">
      <x:c r="A4" s="18" t="str">
        <x:v>Production Sleeve</x:v>
      </x:c>
      <x:c r="B4" s="18" t="str">
        <x:v>Symbol</x:v>
      </x:c>
      <x:c r="C4" s="18" t="str">
        <x:v>Security</x:v>
      </x:c>
      <x:c r="D4" s="18" t="str">
        <x:v>Security Type</x:v>
      </x:c>
      <x:c r="E4" s="18" t="str">
        <x:v>Portfolio Role</x:v>
      </x:c>
      <x:c r="F4" s="18" t="str">
        <x:v>Target Weight</x:v>
      </x:c>
      <x:c r="G4" s="18" t="str">
        <x:v>Lower Band</x:v>
      </x:c>
      <x:c r="H4" s="18" t="str">
        <x:v>Upper Band</x:v>
      </x:c>
      <x:c r="I4" s="90" t="str">
        <x:v>Actual Weight (Input)</x:v>
      </x:c>
      <x:c r="J4" s="18" t="str">
        <x:v>Variance to Target</x:v>
      </x:c>
      <x:c r="K4" s="18" t="str">
        <x:v>Band Status</x:v>
      </x:c>
      <x:c r="L4" s="18" t="str">
        <x:v>Rebalancing Action</x:v>
      </x:c>
      <x:c r="M4" s="90" t="str">
        <x:v>Conviction Tier (Input)</x:v>
      </x:c>
      <x:c r="N4" s="90" t="str">
        <x:v>Research Status (Input)</x:v>
      </x:c>
    </x:row>
    <x:row r="5">
      <x:c r="A5" s="43" t="str">
        <x:v>Strategic Anchors</x:v>
      </x:c>
      <x:c r="B5" s="43" t="str">
        <x:v>BRK.B</x:v>
      </x:c>
      <x:c r="C5" s="43" t="str">
        <x:v>Berkshire Hathaway Inc. Class B</x:v>
      </x:c>
      <x:c r="D5" s="43" t="str">
        <x:v>Equity</x:v>
      </x:c>
      <x:c r="E5" s="43" t="str">
        <x:v>Diversified capital-allocation anchor</x:v>
      </x:c>
      <x:c r="F5" s="44" t="n">
        <x:v>0.0302</x:v>
      </x:c>
      <x:c r="G5" s="44" t="n">
        <x:f>MAX(1%,F5*75%)</x:f>
        <x:v>0.02265</x:v>
      </x:c>
      <x:c r="H5" s="44" t="n">
        <x:f>MIN(4%,F5*125%)</x:f>
        <x:v>0.03775</x:v>
      </x:c>
      <x:c r="I5" s="95"/>
      <x:c r="J5" s="96" t="str">
        <x:f>IF(I5="","",I5-F5)</x:f>
      </x:c>
      <x:c r="K5" s="43" t="str">
        <x:f>IF(I5="","Not entered",IF(I5&lt;G5,"Below band",IF(I5&gt;H5,"Above band","Within band")))</x:f>
        <x:v>Not entered</x:v>
      </x:c>
      <x:c r="L5" s="43" t="str">
        <x:f>IF(I5="","Enter actual weight",IF(I5&lt;G5,"Review / Add",IF(I5&gt;H5,"Review / Trim","No action")))</x:f>
        <x:v>Enter actual weight</x:v>
      </x:c>
      <x:c r="M5" s="93" t="str">
        <x:v>Unassigned</x:v>
      </x:c>
      <x:c r="N5" s="93" t="str">
        <x:v>Current</x:v>
      </x:c>
    </x:row>
    <x:row r="6">
      <x:c r="A6" s="43" t="str">
        <x:v>Strategic Anchors</x:v>
      </x:c>
      <x:c r="B6" s="43" t="str">
        <x:v>COST</x:v>
      </x:c>
      <x:c r="C6" s="43" t="str">
        <x:v>Costco Wholesale Corporation</x:v>
      </x:c>
      <x:c r="D6" s="43" t="str">
        <x:v>Equity</x:v>
      </x:c>
      <x:c r="E6" s="43" t="str">
        <x:v>Consumer-resilience anchor</x:v>
      </x:c>
      <x:c r="F6" s="44" t="n">
        <x:v>0.0302</x:v>
      </x:c>
      <x:c r="G6" s="44" t="n">
        <x:f>MAX(1%,F6*75%)</x:f>
        <x:v>0.02265</x:v>
      </x:c>
      <x:c r="H6" s="44" t="n">
        <x:f>MIN(4%,F6*125%)</x:f>
        <x:v>0.03775</x:v>
      </x:c>
      <x:c r="I6" s="95"/>
      <x:c r="J6" s="96" t="str">
        <x:f>IF(I6="","",I6-F6)</x:f>
      </x:c>
      <x:c r="K6" s="43" t="str">
        <x:f>IF(I6="","Not entered",IF(I6&lt;G6,"Below band",IF(I6&gt;H6,"Above band","Within band")))</x:f>
        <x:v>Not entered</x:v>
      </x:c>
      <x:c r="L6" s="43" t="str">
        <x:f>IF(I6="","Enter actual weight",IF(I6&lt;G6,"Review / Add",IF(I6&gt;H6,"Review / Trim","No action")))</x:f>
        <x:v>Enter actual weight</x:v>
      </x:c>
      <x:c r="M6" s="93" t="str">
        <x:v>Unassigned</x:v>
      </x:c>
      <x:c r="N6" s="93" t="str">
        <x:v>Current</x:v>
      </x:c>
    </x:row>
    <x:row r="7">
      <x:c r="A7" s="43" t="str">
        <x:v>Strategic Anchors</x:v>
      </x:c>
      <x:c r="B7" s="43" t="str">
        <x:v>JNJ</x:v>
      </x:c>
      <x:c r="C7" s="43" t="str">
        <x:v>Johnson &amp; Johnson</x:v>
      </x:c>
      <x:c r="D7" s="43" t="str">
        <x:v>Equity</x:v>
      </x:c>
      <x:c r="E7" s="43" t="str">
        <x:v>Healthcare and life-sciences resilience anchor</x:v>
      </x:c>
      <x:c r="F7" s="44" t="n">
        <x:v>0.0302</x:v>
      </x:c>
      <x:c r="G7" s="44" t="n">
        <x:f>MAX(1%,F7*75%)</x:f>
        <x:v>0.02265</x:v>
      </x:c>
      <x:c r="H7" s="44" t="n">
        <x:f>MIN(4%,F7*125%)</x:f>
        <x:v>0.03775</x:v>
      </x:c>
      <x:c r="I7" s="95"/>
      <x:c r="J7" s="96" t="str">
        <x:f>IF(I7="","",I7-F7)</x:f>
      </x:c>
      <x:c r="K7" s="43" t="str">
        <x:f>IF(I7="","Not entered",IF(I7&lt;G7,"Below band",IF(I7&gt;H7,"Above band","Within band")))</x:f>
        <x:v>Not entered</x:v>
      </x:c>
      <x:c r="L7" s="43" t="str">
        <x:f>IF(I7="","Enter actual weight",IF(I7&lt;G7,"Review / Add",IF(I7&gt;H7,"Review / Trim","No action")))</x:f>
        <x:v>Enter actual weight</x:v>
      </x:c>
      <x:c r="M7" s="93" t="str">
        <x:v>Unassigned</x:v>
      </x:c>
      <x:c r="N7" s="93" t="str">
        <x:v>Current</x:v>
      </x:c>
    </x:row>
    <x:row r="8">
      <x:c r="A8" s="43" t="str">
        <x:v>Strategic Anchors</x:v>
      </x:c>
      <x:c r="B8" s="43" t="str">
        <x:v>MSFT</x:v>
      </x:c>
      <x:c r="C8" s="43" t="str">
        <x:v>Microsoft Corporation</x:v>
      </x:c>
      <x:c r="D8" s="43" t="str">
        <x:v>Equity</x:v>
      </x:c>
      <x:c r="E8" s="43" t="str">
        <x:v>Enterprise technology and AI platform anchor</x:v>
      </x:c>
      <x:c r="F8" s="44" t="n">
        <x:v>0.0302</x:v>
      </x:c>
      <x:c r="G8" s="44" t="n">
        <x:f>MAX(1%,F8*75%)</x:f>
        <x:v>0.02265</x:v>
      </x:c>
      <x:c r="H8" s="44" t="n">
        <x:f>MIN(4%,F8*125%)</x:f>
        <x:v>0.03775</x:v>
      </x:c>
      <x:c r="I8" s="95"/>
      <x:c r="J8" s="96" t="str">
        <x:f>IF(I8="","",I8-F8)</x:f>
      </x:c>
      <x:c r="K8" s="43" t="str">
        <x:f>IF(I8="","Not entered",IF(I8&lt;G8,"Below band",IF(I8&gt;H8,"Above band","Within band")))</x:f>
        <x:v>Not entered</x:v>
      </x:c>
      <x:c r="L8" s="43" t="str">
        <x:f>IF(I8="","Enter actual weight",IF(I8&lt;G8,"Review / Add",IF(I8&gt;H8,"Review / Trim","No action")))</x:f>
        <x:v>Enter actual weight</x:v>
      </x:c>
      <x:c r="M8" s="93" t="str">
        <x:v>Unassigned</x:v>
      </x:c>
      <x:c r="N8" s="93" t="str">
        <x:v>Current</x:v>
      </x:c>
    </x:row>
    <x:row r="9">
      <x:c r="A9" s="43" t="str">
        <x:v>Strategic Anchors</x:v>
      </x:c>
      <x:c r="B9" s="43" t="str">
        <x:v>V</x:v>
      </x:c>
      <x:c r="C9" s="43" t="str">
        <x:v>Visa Inc.</x:v>
      </x:c>
      <x:c r="D9" s="43" t="str">
        <x:v>Equity</x:v>
      </x:c>
      <x:c r="E9" s="43" t="str">
        <x:v>Global payments infrastructure anchor</x:v>
      </x:c>
      <x:c r="F9" s="44" t="n">
        <x:v>0.0288</x:v>
      </x:c>
      <x:c r="G9" s="44" t="n">
        <x:f>MAX(1%,F9*75%)</x:f>
        <x:v>0.0216</x:v>
      </x:c>
      <x:c r="H9" s="44" t="n">
        <x:f>MIN(4%,F9*125%)</x:f>
        <x:v>0.036</x:v>
      </x:c>
      <x:c r="I9" s="95"/>
      <x:c r="J9" s="96" t="str">
        <x:f>IF(I9="","",I9-F9)</x:f>
      </x:c>
      <x:c r="K9" s="43" t="str">
        <x:f>IF(I9="","Not entered",IF(I9&lt;G9,"Below band",IF(I9&gt;H9,"Above band","Within band")))</x:f>
        <x:v>Not entered</x:v>
      </x:c>
      <x:c r="L9" s="43" t="str">
        <x:f>IF(I9="","Enter actual weight",IF(I9&lt;G9,"Review / Add",IF(I9&gt;H9,"Review / Trim","No action")))</x:f>
        <x:v>Enter actual weight</x:v>
      </x:c>
      <x:c r="M9" s="93" t="str">
        <x:v>Unassigned</x:v>
      </x:c>
      <x:c r="N9" s="93" t="str">
        <x:v>Current</x:v>
      </x:c>
    </x:row>
    <x:row r="10">
      <x:c r="A10" s="43" t="str">
        <x:v>Strategic Anchors</x:v>
      </x:c>
      <x:c r="B10" s="43" t="str">
        <x:v>GOOGL</x:v>
      </x:c>
      <x:c r="C10" s="43" t="str">
        <x:v>Alphabet Inc. Class A</x:v>
      </x:c>
      <x:c r="D10" s="43" t="str">
        <x:v>Equity</x:v>
      </x:c>
      <x:c r="E10" s="43" t="str">
        <x:v>Digital platform and AI anchor</x:v>
      </x:c>
      <x:c r="F10" s="44" t="n">
        <x:v>0.0284</x:v>
      </x:c>
      <x:c r="G10" s="44" t="n">
        <x:f>MAX(1%,F10*75%)</x:f>
        <x:v>0.0213</x:v>
      </x:c>
      <x:c r="H10" s="44" t="n">
        <x:f>MIN(4%,F10*125%)</x:f>
        <x:v>0.035500000000000004</x:v>
      </x:c>
      <x:c r="I10" s="95"/>
      <x:c r="J10" s="96" t="str">
        <x:f>IF(I10="","",I10-F10)</x:f>
      </x:c>
      <x:c r="K10" s="43" t="str">
        <x:f>IF(I10="","Not entered",IF(I10&lt;G10,"Below band",IF(I10&gt;H10,"Above band","Within band")))</x:f>
        <x:v>Not entered</x:v>
      </x:c>
      <x:c r="L10" s="43" t="str">
        <x:f>IF(I10="","Enter actual weight",IF(I10&lt;G10,"Review / Add",IF(I10&gt;H10,"Review / Trim","No action")))</x:f>
        <x:v>Enter actual weight</x:v>
      </x:c>
      <x:c r="M10" s="93" t="str">
        <x:v>Unassigned</x:v>
      </x:c>
      <x:c r="N10" s="93" t="str">
        <x:v>Current</x:v>
      </x:c>
    </x:row>
    <x:row r="11">
      <x:c r="A11" s="43" t="str">
        <x:v>Strategic Anchors</x:v>
      </x:c>
      <x:c r="B11" s="43" t="str">
        <x:v>MA</x:v>
      </x:c>
      <x:c r="C11" s="43" t="str">
        <x:v>Mastercard Incorporated</x:v>
      </x:c>
      <x:c r="D11" s="43" t="str">
        <x:v>Equity</x:v>
      </x:c>
      <x:c r="E11" s="43" t="str">
        <x:v>Global payments infrastructure anchor</x:v>
      </x:c>
      <x:c r="F11" s="44" t="n">
        <x:v>0.016</x:v>
      </x:c>
      <x:c r="G11" s="44" t="n">
        <x:f>MAX(1%,F11*75%)</x:f>
        <x:v>0.012</x:v>
      </x:c>
      <x:c r="H11" s="44" t="n">
        <x:f>MIN(4%,F11*125%)</x:f>
        <x:v>0.02</x:v>
      </x:c>
      <x:c r="I11" s="95"/>
      <x:c r="J11" s="96" t="str">
        <x:f>IF(I11="","",I11-F11)</x:f>
      </x:c>
      <x:c r="K11" s="43" t="str">
        <x:f>IF(I11="","Not entered",IF(I11&lt;G11,"Below band",IF(I11&gt;H11,"Above band","Within band")))</x:f>
        <x:v>Not entered</x:v>
      </x:c>
      <x:c r="L11" s="43" t="str">
        <x:f>IF(I11="","Enter actual weight",IF(I11&lt;G11,"Review / Add",IF(I11&gt;H11,"Review / Trim","No action")))</x:f>
        <x:v>Enter actual weight</x:v>
      </x:c>
      <x:c r="M11" s="93" t="str">
        <x:v>Unassigned</x:v>
      </x:c>
      <x:c r="N11" s="93" t="str">
        <x:v>Current</x:v>
      </x:c>
    </x:row>
    <x:row r="12">
      <x:c r="A12" s="43" t="str">
        <x:v>Strategic Anchors</x:v>
      </x:c>
      <x:c r="B12" s="43" t="str">
        <x:v>AAPL</x:v>
      </x:c>
      <x:c r="C12" s="43" t="str">
        <x:v>Apple Inc.</x:v>
      </x:c>
      <x:c r="D12" s="43" t="str">
        <x:v>Equity</x:v>
      </x:c>
      <x:c r="E12" s="43" t="str">
        <x:v>Consumer technology ecosystem anchor</x:v>
      </x:c>
      <x:c r="F12" s="44" t="n">
        <x:v>0.0156</x:v>
      </x:c>
      <x:c r="G12" s="44" t="n">
        <x:f>MAX(1%,F12*75%)</x:f>
        <x:v>0.011699999999999999</x:v>
      </x:c>
      <x:c r="H12" s="44" t="n">
        <x:f>MIN(4%,F12*125%)</x:f>
        <x:v>0.0195</x:v>
      </x:c>
      <x:c r="I12" s="95"/>
      <x:c r="J12" s="96" t="str">
        <x:f>IF(I12="","",I12-F12)</x:f>
      </x:c>
      <x:c r="K12" s="43" t="str">
        <x:f>IF(I12="","Not entered",IF(I12&lt;G12,"Below band",IF(I12&gt;H12,"Above band","Within band")))</x:f>
        <x:v>Not entered</x:v>
      </x:c>
      <x:c r="L12" s="43" t="str">
        <x:f>IF(I12="","Enter actual weight",IF(I12&lt;G12,"Review / Add",IF(I12&gt;H12,"Review / Trim","No action")))</x:f>
        <x:v>Enter actual weight</x:v>
      </x:c>
      <x:c r="M12" s="93" t="str">
        <x:v>Unassigned</x:v>
      </x:c>
      <x:c r="N12" s="93" t="str">
        <x:v>Current</x:v>
      </x:c>
    </x:row>
    <x:row r="13">
      <x:c r="A13" s="43" t="str">
        <x:v>Strategic Anchors</x:v>
      </x:c>
      <x:c r="B13" s="43" t="str">
        <x:v>AMZN</x:v>
      </x:c>
      <x:c r="C13" s="43" t="str">
        <x:v>Amazon.com, Inc.</x:v>
      </x:c>
      <x:c r="D13" s="43" t="str">
        <x:v>Equity</x:v>
      </x:c>
      <x:c r="E13" s="43" t="str">
        <x:v>Cloud, commerce and logistics anchor</x:v>
      </x:c>
      <x:c r="F13" s="44" t="n">
        <x:v>0.0155</x:v>
      </x:c>
      <x:c r="G13" s="44" t="n">
        <x:f>MAX(1%,F13*75%)</x:f>
        <x:v>0.011625</x:v>
      </x:c>
      <x:c r="H13" s="44" t="n">
        <x:f>MIN(4%,F13*125%)</x:f>
        <x:v>0.019375</x:v>
      </x:c>
      <x:c r="I13" s="95"/>
      <x:c r="J13" s="96" t="str">
        <x:f>IF(I13="","",I13-F13)</x:f>
      </x:c>
      <x:c r="K13" s="43" t="str">
        <x:f>IF(I13="","Not entered",IF(I13&lt;G13,"Below band",IF(I13&gt;H13,"Above band","Within band")))</x:f>
        <x:v>Not entered</x:v>
      </x:c>
      <x:c r="L13" s="43" t="str">
        <x:f>IF(I13="","Enter actual weight",IF(I13&lt;G13,"Review / Add",IF(I13&gt;H13,"Review / Trim","No action")))</x:f>
        <x:v>Enter actual weight</x:v>
      </x:c>
      <x:c r="M13" s="93" t="str">
        <x:v>Unassigned</x:v>
      </x:c>
      <x:c r="N13" s="93" t="str">
        <x:v>Current</x:v>
      </x:c>
    </x:row>
    <x:row r="14">
      <x:c r="A14" s="43" t="str">
        <x:v>Growth Compounders</x:v>
      </x:c>
      <x:c r="B14" s="43" t="str">
        <x:v>AVGO</x:v>
      </x:c>
      <x:c r="C14" s="43" t="str">
        <x:v>Broadcom Inc.</x:v>
      </x:c>
      <x:c r="D14" s="43" t="str">
        <x:v>Equity</x:v>
      </x:c>
      <x:c r="E14" s="43" t="str">
        <x:v>Semiconductor and infrastructure-software compounder</x:v>
      </x:c>
      <x:c r="F14" s="44" t="n">
        <x:v>0.0302</x:v>
      </x:c>
      <x:c r="G14" s="44" t="n">
        <x:f>MAX(1%,F14*75%)</x:f>
        <x:v>0.02265</x:v>
      </x:c>
      <x:c r="H14" s="44" t="n">
        <x:f>MIN(4%,F14*125%)</x:f>
        <x:v>0.03775</x:v>
      </x:c>
      <x:c r="I14" s="95"/>
      <x:c r="J14" s="96" t="str">
        <x:f>IF(I14="","",I14-F14)</x:f>
      </x:c>
      <x:c r="K14" s="43" t="str">
        <x:f>IF(I14="","Not entered",IF(I14&lt;G14,"Below band",IF(I14&gt;H14,"Above band","Within band")))</x:f>
        <x:v>Not entered</x:v>
      </x:c>
      <x:c r="L14" s="43" t="str">
        <x:f>IF(I14="","Enter actual weight",IF(I14&lt;G14,"Review / Add",IF(I14&gt;H14,"Review / Trim","No action")))</x:f>
        <x:v>Enter actual weight</x:v>
      </x:c>
      <x:c r="M14" s="93" t="str">
        <x:v>Unassigned</x:v>
      </x:c>
      <x:c r="N14" s="93" t="str">
        <x:v>Current</x:v>
      </x:c>
    </x:row>
    <x:row r="15">
      <x:c r="A15" s="43" t="str">
        <x:v>Growth Compounders</x:v>
      </x:c>
      <x:c r="B15" s="43" t="str">
        <x:v>LLY</x:v>
      </x:c>
      <x:c r="C15" s="43" t="str">
        <x:v>Eli Lilly and Company</x:v>
      </x:c>
      <x:c r="D15" s="43" t="str">
        <x:v>Equity</x:v>
      </x:c>
      <x:c r="E15" s="43" t="str">
        <x:v>Healthcare innovation compounder</x:v>
      </x:c>
      <x:c r="F15" s="44" t="n">
        <x:v>0.0302</x:v>
      </x:c>
      <x:c r="G15" s="44" t="n">
        <x:f>MAX(1%,F15*75%)</x:f>
        <x:v>0.02265</x:v>
      </x:c>
      <x:c r="H15" s="44" t="n">
        <x:f>MIN(4%,F15*125%)</x:f>
        <x:v>0.03775</x:v>
      </x:c>
      <x:c r="I15" s="95"/>
      <x:c r="J15" s="96" t="str">
        <x:f>IF(I15="","",I15-F15)</x:f>
      </x:c>
      <x:c r="K15" s="43" t="str">
        <x:f>IF(I15="","Not entered",IF(I15&lt;G15,"Below band",IF(I15&gt;H15,"Above band","Within band")))</x:f>
        <x:v>Not entered</x:v>
      </x:c>
      <x:c r="L15" s="43" t="str">
        <x:f>IF(I15="","Enter actual weight",IF(I15&lt;G15,"Review / Add",IF(I15&gt;H15,"Review / Trim","No action")))</x:f>
        <x:v>Enter actual weight</x:v>
      </x:c>
      <x:c r="M15" s="93" t="str">
        <x:v>Unassigned</x:v>
      </x:c>
      <x:c r="N15" s="93" t="str">
        <x:v>Current</x:v>
      </x:c>
    </x:row>
    <x:row r="16">
      <x:c r="A16" s="43" t="str">
        <x:v>Growth Compounders</x:v>
      </x:c>
      <x:c r="B16" s="43" t="str">
        <x:v>NVDA</x:v>
      </x:c>
      <x:c r="C16" s="43" t="str">
        <x:v>NVIDIA Corporation</x:v>
      </x:c>
      <x:c r="D16" s="43" t="str">
        <x:v>Equity</x:v>
      </x:c>
      <x:c r="E16" s="43" t="str">
        <x:v>AI compute growth engine</x:v>
      </x:c>
      <x:c r="F16" s="44" t="n">
        <x:v>0.0268</x:v>
      </x:c>
      <x:c r="G16" s="44" t="n">
        <x:f>MAX(1%,F16*75%)</x:f>
        <x:v>0.0201</x:v>
      </x:c>
      <x:c r="H16" s="44" t="n">
        <x:f>MIN(4%,F16*125%)</x:f>
        <x:v>0.0335</x:v>
      </x:c>
      <x:c r="I16" s="95"/>
      <x:c r="J16" s="96" t="str">
        <x:f>IF(I16="","",I16-F16)</x:f>
      </x:c>
      <x:c r="K16" s="43" t="str">
        <x:f>IF(I16="","Not entered",IF(I16&lt;G16,"Below band",IF(I16&gt;H16,"Above band","Within band")))</x:f>
        <x:v>Not entered</x:v>
      </x:c>
      <x:c r="L16" s="43" t="str">
        <x:f>IF(I16="","Enter actual weight",IF(I16&lt;G16,"Review / Add",IF(I16&gt;H16,"Review / Trim","No action")))</x:f>
        <x:v>Enter actual weight</x:v>
      </x:c>
      <x:c r="M16" s="93" t="str">
        <x:v>Unassigned</x:v>
      </x:c>
      <x:c r="N16" s="93" t="str">
        <x:v>Current</x:v>
      </x:c>
    </x:row>
    <x:row r="17">
      <x:c r="A17" s="43" t="str">
        <x:v>Growth Compounders</x:v>
      </x:c>
      <x:c r="B17" s="43" t="str">
        <x:v>HD</x:v>
      </x:c>
      <x:c r="C17" s="43" t="str">
        <x:v>The Home Depot, Inc.</x:v>
      </x:c>
      <x:c r="D17" s="43" t="str">
        <x:v>Equity</x:v>
      </x:c>
      <x:c r="E17" s="43" t="str">
        <x:v>Housing and professional distribution compounder</x:v>
      </x:c>
      <x:c r="F17" s="44" t="n">
        <x:v>0.0156</x:v>
      </x:c>
      <x:c r="G17" s="44" t="n">
        <x:f>MAX(1%,F17*75%)</x:f>
        <x:v>0.011699999999999999</x:v>
      </x:c>
      <x:c r="H17" s="44" t="n">
        <x:f>MIN(4%,F17*125%)</x:f>
        <x:v>0.0195</x:v>
      </x:c>
      <x:c r="I17" s="95"/>
      <x:c r="J17" s="96" t="str">
        <x:f>IF(I17="","",I17-F17)</x:f>
      </x:c>
      <x:c r="K17" s="43" t="str">
        <x:f>IF(I17="","Not entered",IF(I17&lt;G17,"Below band",IF(I17&gt;H17,"Above band","Within band")))</x:f>
        <x:v>Not entered</x:v>
      </x:c>
      <x:c r="L17" s="43" t="str">
        <x:f>IF(I17="","Enter actual weight",IF(I17&lt;G17,"Review / Add",IF(I17&gt;H17,"Review / Trim","No action")))</x:f>
        <x:v>Enter actual weight</x:v>
      </x:c>
      <x:c r="M17" s="93" t="str">
        <x:v>Unassigned</x:v>
      </x:c>
      <x:c r="N17" s="93" t="str">
        <x:v>Current</x:v>
      </x:c>
    </x:row>
    <x:row r="18">
      <x:c r="A18" s="43" t="str">
        <x:v>Growth Compounders</x:v>
      </x:c>
      <x:c r="B18" s="43" t="str">
        <x:v>META</x:v>
      </x:c>
      <x:c r="C18" s="43" t="str">
        <x:v>Meta Platforms, Inc.</x:v>
      </x:c>
      <x:c r="D18" s="43" t="str">
        <x:v>Equity</x:v>
      </x:c>
      <x:c r="E18" s="43" t="str">
        <x:v>Digital platform and AI compounder</x:v>
      </x:c>
      <x:c r="F18" s="44" t="n">
        <x:v>0.0156</x:v>
      </x:c>
      <x:c r="G18" s="44" t="n">
        <x:f>MAX(1%,F18*75%)</x:f>
        <x:v>0.011699999999999999</x:v>
      </x:c>
      <x:c r="H18" s="44" t="n">
        <x:f>MIN(4%,F18*125%)</x:f>
        <x:v>0.0195</x:v>
      </x:c>
      <x:c r="I18" s="95"/>
      <x:c r="J18" s="96" t="str">
        <x:f>IF(I18="","",I18-F18)</x:f>
      </x:c>
      <x:c r="K18" s="43" t="str">
        <x:f>IF(I18="","Not entered",IF(I18&lt;G18,"Below band",IF(I18&gt;H18,"Above band","Within band")))</x:f>
        <x:v>Not entered</x:v>
      </x:c>
      <x:c r="L18" s="43" t="str">
        <x:f>IF(I18="","Enter actual weight",IF(I18&lt;G18,"Review / Add",IF(I18&gt;H18,"Review / Trim","No action")))</x:f>
        <x:v>Enter actual weight</x:v>
      </x:c>
      <x:c r="M18" s="93" t="str">
        <x:v>Unassigned</x:v>
      </x:c>
      <x:c r="N18" s="93" t="str">
        <x:v>Current</x:v>
      </x:c>
    </x:row>
    <x:row r="19">
      <x:c r="A19" s="43" t="str">
        <x:v>Growth Compounders</x:v>
      </x:c>
      <x:c r="B19" s="43" t="str">
        <x:v>ANET</x:v>
      </x:c>
      <x:c r="C19" s="43" t="str">
        <x:v>Arista Networks, Inc.</x:v>
      </x:c>
      <x:c r="D19" s="43" t="str">
        <x:v>Equity</x:v>
      </x:c>
      <x:c r="E19" s="43" t="str">
        <x:v>AI networking compounder</x:v>
      </x:c>
      <x:c r="F19" s="44" t="n">
        <x:v>0.0155</x:v>
      </x:c>
      <x:c r="G19" s="44" t="n">
        <x:f>MAX(1%,F19*75%)</x:f>
        <x:v>0.011625</x:v>
      </x:c>
      <x:c r="H19" s="44" t="n">
        <x:f>MIN(4%,F19*125%)</x:f>
        <x:v>0.019375</x:v>
      </x:c>
      <x:c r="I19" s="95"/>
      <x:c r="J19" s="96" t="str">
        <x:f>IF(I19="","",I19-F19)</x:f>
      </x:c>
      <x:c r="K19" s="43" t="str">
        <x:f>IF(I19="","Not entered",IF(I19&lt;G19,"Below band",IF(I19&gt;H19,"Above band","Within band")))</x:f>
        <x:v>Not entered</x:v>
      </x:c>
      <x:c r="L19" s="43" t="str">
        <x:f>IF(I19="","Enter actual weight",IF(I19&lt;G19,"Review / Add",IF(I19&gt;H19,"Review / Trim","No action")))</x:f>
        <x:v>Enter actual weight</x:v>
      </x:c>
      <x:c r="M19" s="93" t="str">
        <x:v>Unassigned</x:v>
      </x:c>
      <x:c r="N19" s="93" t="str">
        <x:v>Current</x:v>
      </x:c>
    </x:row>
    <x:row r="20">
      <x:c r="A20" s="43" t="str">
        <x:v>Digital Infrastructure &amp; AI</x:v>
      </x:c>
      <x:c r="B20" s="43" t="str">
        <x:v>PANW</x:v>
      </x:c>
      <x:c r="C20" s="43" t="str">
        <x:v>Palo Alto Networks, Inc.</x:v>
      </x:c>
      <x:c r="D20" s="43" t="str">
        <x:v>Equity</x:v>
      </x:c>
      <x:c r="E20" s="43" t="str">
        <x:v>Cybersecurity infrastructure leader</x:v>
      </x:c>
      <x:c r="F20" s="44" t="n">
        <x:v>0.0199</x:v>
      </x:c>
      <x:c r="G20" s="44" t="n">
        <x:f>MAX(1%,F20*75%)</x:f>
        <x:v>0.014925</x:v>
      </x:c>
      <x:c r="H20" s="44" t="n">
        <x:f>MIN(4%,F20*125%)</x:f>
        <x:v>0.024875</x:v>
      </x:c>
      <x:c r="I20" s="95"/>
      <x:c r="J20" s="96" t="str">
        <x:f>IF(I20="","",I20-F20)</x:f>
      </x:c>
      <x:c r="K20" s="43" t="str">
        <x:f>IF(I20="","Not entered",IF(I20&lt;G20,"Below band",IF(I20&gt;H20,"Above band","Within band")))</x:f>
        <x:v>Not entered</x:v>
      </x:c>
      <x:c r="L20" s="43" t="str">
        <x:f>IF(I20="","Enter actual weight",IF(I20&lt;G20,"Review / Add",IF(I20&gt;H20,"Review / Trim","No action")))</x:f>
        <x:v>Enter actual weight</x:v>
      </x:c>
      <x:c r="M20" s="93" t="str">
        <x:v>Unassigned</x:v>
      </x:c>
      <x:c r="N20" s="93" t="str">
        <x:v>Current</x:v>
      </x:c>
    </x:row>
    <x:row r="21">
      <x:c r="A21" s="43" t="str">
        <x:v>Digital Infrastructure &amp; AI</x:v>
      </x:c>
      <x:c r="B21" s="43" t="str">
        <x:v>AMAT</x:v>
      </x:c>
      <x:c r="C21" s="43" t="str">
        <x:v>Applied Materials, Inc.</x:v>
      </x:c>
      <x:c r="D21" s="43" t="str">
        <x:v>Equity</x:v>
      </x:c>
      <x:c r="E21" s="43" t="str">
        <x:v>Semiconductor equipment enabler</x:v>
      </x:c>
      <x:c r="F21" s="44" t="n">
        <x:v>0.0156</x:v>
      </x:c>
      <x:c r="G21" s="44" t="n">
        <x:f>MAX(1%,F21*75%)</x:f>
        <x:v>0.011699999999999999</x:v>
      </x:c>
      <x:c r="H21" s="44" t="n">
        <x:f>MIN(4%,F21*125%)</x:f>
        <x:v>0.0195</x:v>
      </x:c>
      <x:c r="I21" s="95"/>
      <x:c r="J21" s="96" t="str">
        <x:f>IF(I21="","",I21-F21)</x:f>
      </x:c>
      <x:c r="K21" s="43" t="str">
        <x:f>IF(I21="","Not entered",IF(I21&lt;G21,"Below band",IF(I21&gt;H21,"Above band","Within band")))</x:f>
        <x:v>Not entered</x:v>
      </x:c>
      <x:c r="L21" s="43" t="str">
        <x:f>IF(I21="","Enter actual weight",IF(I21&lt;G21,"Review / Add",IF(I21&gt;H21,"Review / Trim","No action")))</x:f>
        <x:v>Enter actual weight</x:v>
      </x:c>
      <x:c r="M21" s="93" t="str">
        <x:v>Unassigned</x:v>
      </x:c>
      <x:c r="N21" s="93" t="str">
        <x:v>Current</x:v>
      </x:c>
    </x:row>
    <x:row r="22">
      <x:c r="A22" s="43" t="str">
        <x:v>Digital Infrastructure &amp; AI</x:v>
      </x:c>
      <x:c r="B22" s="43" t="str">
        <x:v>CSCO</x:v>
      </x:c>
      <x:c r="C22" s="43" t="str">
        <x:v>Cisco Systems, Inc.</x:v>
      </x:c>
      <x:c r="D22" s="43" t="str">
        <x:v>Equity</x:v>
      </x:c>
      <x:c r="E22" s="43" t="str">
        <x:v>Enterprise networking and secure infrastructure</x:v>
      </x:c>
      <x:c r="F22" s="44" t="n">
        <x:v>0.0156</x:v>
      </x:c>
      <x:c r="G22" s="44" t="n">
        <x:f>MAX(1%,F22*75%)</x:f>
        <x:v>0.011699999999999999</x:v>
      </x:c>
      <x:c r="H22" s="44" t="n">
        <x:f>MIN(4%,F22*125%)</x:f>
        <x:v>0.0195</x:v>
      </x:c>
      <x:c r="I22" s="95"/>
      <x:c r="J22" s="96" t="str">
        <x:f>IF(I22="","",I22-F22)</x:f>
      </x:c>
      <x:c r="K22" s="43" t="str">
        <x:f>IF(I22="","Not entered",IF(I22&lt;G22,"Below band",IF(I22&gt;H22,"Above band","Within band")))</x:f>
        <x:v>Not entered</x:v>
      </x:c>
      <x:c r="L22" s="43" t="str">
        <x:f>IF(I22="","Enter actual weight",IF(I22&lt;G22,"Review / Add",IF(I22&gt;H22,"Review / Trim","No action")))</x:f>
        <x:v>Enter actual weight</x:v>
      </x:c>
      <x:c r="M22" s="93" t="str">
        <x:v>Unassigned</x:v>
      </x:c>
      <x:c r="N22" s="93" t="str">
        <x:v>Current</x:v>
      </x:c>
    </x:row>
    <x:row r="23">
      <x:c r="A23" s="43" t="str">
        <x:v>Digital Infrastructure &amp; AI</x:v>
      </x:c>
      <x:c r="B23" s="43" t="str">
        <x:v>KLAC</x:v>
      </x:c>
      <x:c r="C23" s="43" t="str">
        <x:v>KLA Corporation</x:v>
      </x:c>
      <x:c r="D23" s="43" t="str">
        <x:v>Equity</x:v>
      </x:c>
      <x:c r="E23" s="43" t="str">
        <x:v>Semiconductor process-control enabler</x:v>
      </x:c>
      <x:c r="F23" s="44" t="n">
        <x:v>0.0156</x:v>
      </x:c>
      <x:c r="G23" s="44" t="n">
        <x:f>MAX(1%,F23*75%)</x:f>
        <x:v>0.011699999999999999</x:v>
      </x:c>
      <x:c r="H23" s="44" t="n">
        <x:f>MIN(4%,F23*125%)</x:f>
        <x:v>0.0195</x:v>
      </x:c>
      <x:c r="I23" s="95"/>
      <x:c r="J23" s="96" t="str">
        <x:f>IF(I23="","",I23-F23)</x:f>
      </x:c>
      <x:c r="K23" s="43" t="str">
        <x:f>IF(I23="","Not entered",IF(I23&lt;G23,"Below band",IF(I23&gt;H23,"Above band","Within band")))</x:f>
        <x:v>Not entered</x:v>
      </x:c>
      <x:c r="L23" s="43" t="str">
        <x:f>IF(I23="","Enter actual weight",IF(I23&lt;G23,"Review / Add",IF(I23&gt;H23,"Review / Trim","No action")))</x:f>
        <x:v>Enter actual weight</x:v>
      </x:c>
      <x:c r="M23" s="93" t="str">
        <x:v>Unassigned</x:v>
      </x:c>
      <x:c r="N23" s="93" t="str">
        <x:v>Current</x:v>
      </x:c>
    </x:row>
    <x:row r="24">
      <x:c r="A24" s="43" t="str">
        <x:v>Digital Infrastructure &amp; AI</x:v>
      </x:c>
      <x:c r="B24" s="43" t="str">
        <x:v>MU</x:v>
      </x:c>
      <x:c r="C24" s="43" t="str">
        <x:v>Micron Technology, Inc.</x:v>
      </x:c>
      <x:c r="D24" s="43" t="str">
        <x:v>Equity</x:v>
      </x:c>
      <x:c r="E24" s="43" t="str">
        <x:v>Memory and AI data-cycle enabler</x:v>
      </x:c>
      <x:c r="F24" s="44" t="n">
        <x:v>0.0156</x:v>
      </x:c>
      <x:c r="G24" s="44" t="n">
        <x:f>MAX(1%,F24*75%)</x:f>
        <x:v>0.011699999999999999</x:v>
      </x:c>
      <x:c r="H24" s="44" t="n">
        <x:f>MIN(4%,F24*125%)</x:f>
        <x:v>0.0195</x:v>
      </x:c>
      <x:c r="I24" s="95"/>
      <x:c r="J24" s="96" t="str">
        <x:f>IF(I24="","",I24-F24)</x:f>
      </x:c>
      <x:c r="K24" s="43" t="str">
        <x:f>IF(I24="","Not entered",IF(I24&lt;G24,"Below band",IF(I24&gt;H24,"Above band","Within band")))</x:f>
        <x:v>Not entered</x:v>
      </x:c>
      <x:c r="L24" s="43" t="str">
        <x:f>IF(I24="","Enter actual weight",IF(I24&lt;G24,"Review / Add",IF(I24&gt;H24,"Review / Trim","No action")))</x:f>
        <x:v>Enter actual weight</x:v>
      </x:c>
      <x:c r="M24" s="93" t="str">
        <x:v>Unassigned</x:v>
      </x:c>
      <x:c r="N24" s="93" t="str">
        <x:v>Current</x:v>
      </x:c>
    </x:row>
    <x:row r="25">
      <x:c r="A25" s="43" t="str">
        <x:v>Digital Infrastructure &amp; AI</x:v>
      </x:c>
      <x:c r="B25" s="43" t="str">
        <x:v>ORCL</x:v>
      </x:c>
      <x:c r="C25" s="43" t="str">
        <x:v>Oracle Corporation</x:v>
      </x:c>
      <x:c r="D25" s="43" t="str">
        <x:v>Equity</x:v>
      </x:c>
      <x:c r="E25" s="43" t="str">
        <x:v>Enterprise cloud and database platform</x:v>
      </x:c>
      <x:c r="F25" s="44" t="n">
        <x:v>0.0156</x:v>
      </x:c>
      <x:c r="G25" s="44" t="n">
        <x:f>MAX(1%,F25*75%)</x:f>
        <x:v>0.011699999999999999</x:v>
      </x:c>
      <x:c r="H25" s="44" t="n">
        <x:f>MIN(4%,F25*125%)</x:f>
        <x:v>0.0195</x:v>
      </x:c>
      <x:c r="I25" s="95"/>
      <x:c r="J25" s="96" t="str">
        <x:f>IF(I25="","",I25-F25)</x:f>
      </x:c>
      <x:c r="K25" s="43" t="str">
        <x:f>IF(I25="","Not entered",IF(I25&lt;G25,"Below band",IF(I25&gt;H25,"Above band","Within band")))</x:f>
        <x:v>Not entered</x:v>
      </x:c>
      <x:c r="L25" s="43" t="str">
        <x:f>IF(I25="","Enter actual weight",IF(I25&lt;G25,"Review / Add",IF(I25&gt;H25,"Review / Trim","No action")))</x:f>
        <x:v>Enter actual weight</x:v>
      </x:c>
      <x:c r="M25" s="93" t="str">
        <x:v>Unassigned</x:v>
      </x:c>
      <x:c r="N25" s="93" t="str">
        <x:v>Current</x:v>
      </x:c>
    </x:row>
    <x:row r="26">
      <x:c r="A26" s="43" t="str">
        <x:v>Digital Infrastructure &amp; AI</x:v>
      </x:c>
      <x:c r="B26" s="43" t="str">
        <x:v>TXN</x:v>
      </x:c>
      <x:c r="C26" s="43" t="str">
        <x:v>Texas Instruments Incorporated</x:v>
      </x:c>
      <x:c r="D26" s="43" t="str">
        <x:v>Equity</x:v>
      </x:c>
      <x:c r="E26" s="43" t="str">
        <x:v>Analog semiconductor infrastructure</x:v>
      </x:c>
      <x:c r="F26" s="44" t="n">
        <x:v>0.0156</x:v>
      </x:c>
      <x:c r="G26" s="44" t="n">
        <x:f>MAX(1%,F26*75%)</x:f>
        <x:v>0.011699999999999999</x:v>
      </x:c>
      <x:c r="H26" s="44" t="n">
        <x:f>MIN(4%,F26*125%)</x:f>
        <x:v>0.0195</x:v>
      </x:c>
      <x:c r="I26" s="95"/>
      <x:c r="J26" s="96" t="str">
        <x:f>IF(I26="","",I26-F26)</x:f>
      </x:c>
      <x:c r="K26" s="43" t="str">
        <x:f>IF(I26="","Not entered",IF(I26&lt;G26,"Below band",IF(I26&gt;H26,"Above band","Within band")))</x:f>
        <x:v>Not entered</x:v>
      </x:c>
      <x:c r="L26" s="43" t="str">
        <x:f>IF(I26="","Enter actual weight",IF(I26&lt;G26,"Review / Add",IF(I26&gt;H26,"Review / Trim","No action")))</x:f>
        <x:v>Enter actual weight</x:v>
      </x:c>
      <x:c r="M26" s="93" t="str">
        <x:v>Unassigned</x:v>
      </x:c>
      <x:c r="N26" s="93" t="str">
        <x:v>Current</x:v>
      </x:c>
    </x:row>
    <x:row r="27">
      <x:c r="A27" s="43" t="str">
        <x:v>Digital Infrastructure &amp; AI</x:v>
      </x:c>
      <x:c r="B27" s="43" t="str">
        <x:v>VRT</x:v>
      </x:c>
      <x:c r="C27" s="43" t="str">
        <x:v>Vertiv Holdings Co.</x:v>
      </x:c>
      <x:c r="D27" s="43" t="str">
        <x:v>Equity</x:v>
      </x:c>
      <x:c r="E27" s="43" t="str">
        <x:v>Critical data-center infrastructure</x:v>
      </x:c>
      <x:c r="F27" s="44" t="n">
        <x:v>0.0155</x:v>
      </x:c>
      <x:c r="G27" s="44" t="n">
        <x:f>MAX(1%,F27*75%)</x:f>
        <x:v>0.011625</x:v>
      </x:c>
      <x:c r="H27" s="44" t="n">
        <x:f>MIN(4%,F27*125%)</x:f>
        <x:v>0.019375</x:v>
      </x:c>
      <x:c r="I27" s="95"/>
      <x:c r="J27" s="96" t="str">
        <x:f>IF(I27="","",I27-F27)</x:f>
      </x:c>
      <x:c r="K27" s="43" t="str">
        <x:f>IF(I27="","Not entered",IF(I27&lt;G27,"Below band",IF(I27&gt;H27,"Above band","Within band")))</x:f>
        <x:v>Not entered</x:v>
      </x:c>
      <x:c r="L27" s="43" t="str">
        <x:f>IF(I27="","Enter actual weight",IF(I27&lt;G27,"Review / Add",IF(I27&gt;H27,"Review / Trim","No action")))</x:f>
        <x:v>Enter actual weight</x:v>
      </x:c>
      <x:c r="M27" s="93" t="str">
        <x:v>Unassigned</x:v>
      </x:c>
      <x:c r="N27" s="93" t="str">
        <x:v>Current</x:v>
      </x:c>
    </x:row>
    <x:row r="28">
      <x:c r="A28" s="43" t="str">
        <x:v>Industrials &amp; Infrastructure</x:v>
      </x:c>
      <x:c r="B28" s="43" t="str">
        <x:v>DHR</x:v>
      </x:c>
      <x:c r="C28" s="43" t="str">
        <x:v>Danaher Corporation</x:v>
      </x:c>
      <x:c r="D28" s="43" t="str">
        <x:v>Equity</x:v>
      </x:c>
      <x:c r="E28" s="43" t="str">
        <x:v>Life-science tools and industrial quality</x:v>
      </x:c>
      <x:c r="F28" s="44" t="n">
        <x:v>0.03</x:v>
      </x:c>
      <x:c r="G28" s="44" t="n">
        <x:f>MAX(1%,F28*75%)</x:f>
        <x:v>0.0225</x:v>
      </x:c>
      <x:c r="H28" s="44" t="n">
        <x:f>MIN(4%,F28*125%)</x:f>
        <x:v>0.0375</x:v>
      </x:c>
      <x:c r="I28" s="95"/>
      <x:c r="J28" s="96" t="str">
        <x:f>IF(I28="","",I28-F28)</x:f>
      </x:c>
      <x:c r="K28" s="43" t="str">
        <x:f>IF(I28="","Not entered",IF(I28&lt;G28,"Below band",IF(I28&gt;H28,"Above band","Within band")))</x:f>
        <x:v>Not entered</x:v>
      </x:c>
      <x:c r="L28" s="43" t="str">
        <x:f>IF(I28="","Enter actual weight",IF(I28&lt;G28,"Review / Add",IF(I28&gt;H28,"Review / Trim","No action")))</x:f>
        <x:v>Enter actual weight</x:v>
      </x:c>
      <x:c r="M28" s="93" t="str">
        <x:v>Unassigned</x:v>
      </x:c>
      <x:c r="N28" s="93" t="str">
        <x:v>Current</x:v>
      </x:c>
    </x:row>
    <x:row r="29">
      <x:c r="A29" s="43" t="str">
        <x:v>Industrials &amp; Infrastructure</x:v>
      </x:c>
      <x:c r="B29" s="43" t="str">
        <x:v>RTX</x:v>
      </x:c>
      <x:c r="C29" s="43" t="str">
        <x:v>RTX Corporation</x:v>
      </x:c>
      <x:c r="D29" s="43" t="str">
        <x:v>Equity</x:v>
      </x:c>
      <x:c r="E29" s="43" t="str">
        <x:v>Aerospace and defense systems leader</x:v>
      </x:c>
      <x:c r="F29" s="44" t="n">
        <x:v>0.0299</x:v>
      </x:c>
      <x:c r="G29" s="44" t="n">
        <x:f>MAX(1%,F29*75%)</x:f>
        <x:v>0.022425</x:v>
      </x:c>
      <x:c r="H29" s="44" t="n">
        <x:f>MIN(4%,F29*125%)</x:f>
        <x:v>0.037375</x:v>
      </x:c>
      <x:c r="I29" s="95"/>
      <x:c r="J29" s="96" t="str">
        <x:f>IF(I29="","",I29-F29)</x:f>
      </x:c>
      <x:c r="K29" s="43" t="str">
        <x:f>IF(I29="","Not entered",IF(I29&lt;G29,"Below band",IF(I29&gt;H29,"Above band","Within band")))</x:f>
        <x:v>Not entered</x:v>
      </x:c>
      <x:c r="L29" s="43" t="str">
        <x:f>IF(I29="","Enter actual weight",IF(I29&lt;G29,"Review / Add",IF(I29&gt;H29,"Review / Trim","No action")))</x:f>
        <x:v>Enter actual weight</x:v>
      </x:c>
      <x:c r="M29" s="93" t="str">
        <x:v>Unassigned</x:v>
      </x:c>
      <x:c r="N29" s="93" t="str">
        <x:v>Current</x:v>
      </x:c>
    </x:row>
    <x:row r="30">
      <x:c r="A30" s="43" t="str">
        <x:v>Industrials &amp; Infrastructure</x:v>
      </x:c>
      <x:c r="B30" s="43" t="str">
        <x:v>DE</x:v>
      </x:c>
      <x:c r="C30" s="43" t="str">
        <x:v>Deere &amp; Company</x:v>
      </x:c>
      <x:c r="D30" s="43" t="str">
        <x:v>Equity</x:v>
      </x:c>
      <x:c r="E30" s="43" t="str">
        <x:v>Precision agriculture and equipment leader</x:v>
      </x:c>
      <x:c r="F30" s="44" t="n">
        <x:v>0.0177</x:v>
      </x:c>
      <x:c r="G30" s="44" t="n">
        <x:f>MAX(1%,F30*75%)</x:f>
        <x:v>0.013275</x:v>
      </x:c>
      <x:c r="H30" s="44" t="n">
        <x:f>MIN(4%,F30*125%)</x:f>
        <x:v>0.022125</x:v>
      </x:c>
      <x:c r="I30" s="95"/>
      <x:c r="J30" s="96" t="str">
        <x:f>IF(I30="","",I30-F30)</x:f>
      </x:c>
      <x:c r="K30" s="43" t="str">
        <x:f>IF(I30="","Not entered",IF(I30&lt;G30,"Below band",IF(I30&gt;H30,"Above band","Within band")))</x:f>
        <x:v>Not entered</x:v>
      </x:c>
      <x:c r="L30" s="43" t="str">
        <x:f>IF(I30="","Enter actual weight",IF(I30&lt;G30,"Review / Add",IF(I30&gt;H30,"Review / Trim","No action")))</x:f>
        <x:v>Enter actual weight</x:v>
      </x:c>
      <x:c r="M30" s="93" t="str">
        <x:v>Unassigned</x:v>
      </x:c>
      <x:c r="N30" s="93" t="str">
        <x:v>Current</x:v>
      </x:c>
    </x:row>
    <x:row r="31">
      <x:c r="A31" s="43" t="str">
        <x:v>Industrials &amp; Infrastructure</x:v>
      </x:c>
      <x:c r="B31" s="43" t="str">
        <x:v>CAT</x:v>
      </x:c>
      <x:c r="C31" s="43" t="str">
        <x:v>Caterpillar Inc.</x:v>
      </x:c>
      <x:c r="D31" s="43" t="str">
        <x:v>Equity</x:v>
      </x:c>
      <x:c r="E31" s="43" t="str">
        <x:v>Heavy equipment and infrastructure leader</x:v>
      </x:c>
      <x:c r="F31" s="44" t="n">
        <x:v>0.0156</x:v>
      </x:c>
      <x:c r="G31" s="44" t="n">
        <x:f>MAX(1%,F31*75%)</x:f>
        <x:v>0.011699999999999999</x:v>
      </x:c>
      <x:c r="H31" s="44" t="n">
        <x:f>MIN(4%,F31*125%)</x:f>
        <x:v>0.0195</x:v>
      </x:c>
      <x:c r="I31" s="95"/>
      <x:c r="J31" s="96" t="str">
        <x:f>IF(I31="","",I31-F31)</x:f>
      </x:c>
      <x:c r="K31" s="43" t="str">
        <x:f>IF(I31="","Not entered",IF(I31&lt;G31,"Below band",IF(I31&gt;H31,"Above band","Within band")))</x:f>
        <x:v>Not entered</x:v>
      </x:c>
      <x:c r="L31" s="43" t="str">
        <x:f>IF(I31="","Enter actual weight",IF(I31&lt;G31,"Review / Add",IF(I31&gt;H31,"Review / Trim","No action")))</x:f>
        <x:v>Enter actual weight</x:v>
      </x:c>
      <x:c r="M31" s="93" t="str">
        <x:v>Unassigned</x:v>
      </x:c>
      <x:c r="N31" s="93" t="str">
        <x:v>Current</x:v>
      </x:c>
    </x:row>
    <x:row r="32">
      <x:c r="A32" s="43" t="str">
        <x:v>Industrials &amp; Infrastructure</x:v>
      </x:c>
      <x:c r="B32" s="43" t="str">
        <x:v>ETN</x:v>
      </x:c>
      <x:c r="C32" s="43" t="str">
        <x:v>Eaton Corporation plc</x:v>
      </x:c>
      <x:c r="D32" s="43" t="str">
        <x:v>Equity</x:v>
      </x:c>
      <x:c r="E32" s="43" t="str">
        <x:v>Electrification and power-management leader</x:v>
      </x:c>
      <x:c r="F32" s="44" t="n">
        <x:v>0.0156</x:v>
      </x:c>
      <x:c r="G32" s="44" t="n">
        <x:f>MAX(1%,F32*75%)</x:f>
        <x:v>0.011699999999999999</x:v>
      </x:c>
      <x:c r="H32" s="44" t="n">
        <x:f>MIN(4%,F32*125%)</x:f>
        <x:v>0.0195</x:v>
      </x:c>
      <x:c r="I32" s="95"/>
      <x:c r="J32" s="96" t="str">
        <x:f>IF(I32="","",I32-F32)</x:f>
      </x:c>
      <x:c r="K32" s="43" t="str">
        <x:f>IF(I32="","Not entered",IF(I32&lt;G32,"Below band",IF(I32&gt;H32,"Above band","Within band")))</x:f>
        <x:v>Not entered</x:v>
      </x:c>
      <x:c r="L32" s="43" t="str">
        <x:f>IF(I32="","Enter actual weight",IF(I32&lt;G32,"Review / Add",IF(I32&gt;H32,"Review / Trim","No action")))</x:f>
        <x:v>Enter actual weight</x:v>
      </x:c>
      <x:c r="M32" s="93" t="str">
        <x:v>Unassigned</x:v>
      </x:c>
      <x:c r="N32" s="93" t="str">
        <x:v>Current</x:v>
      </x:c>
    </x:row>
    <x:row r="33">
      <x:c r="A33" s="43" t="str">
        <x:v>Industrials &amp; Infrastructure</x:v>
      </x:c>
      <x:c r="B33" s="43" t="str">
        <x:v>GE</x:v>
      </x:c>
      <x:c r="C33" s="43" t="str">
        <x:v>GE Aerospace</x:v>
      </x:c>
      <x:c r="D33" s="43" t="str">
        <x:v>Equity</x:v>
      </x:c>
      <x:c r="E33" s="43" t="str">
        <x:v>Aerospace propulsion leader</x:v>
      </x:c>
      <x:c r="F33" s="44" t="n">
        <x:v>0.0156</x:v>
      </x:c>
      <x:c r="G33" s="44" t="n">
        <x:f>MAX(1%,F33*75%)</x:f>
        <x:v>0.011699999999999999</x:v>
      </x:c>
      <x:c r="H33" s="44" t="n">
        <x:f>MIN(4%,F33*125%)</x:f>
        <x:v>0.0195</x:v>
      </x:c>
      <x:c r="I33" s="95"/>
      <x:c r="J33" s="96" t="str">
        <x:f>IF(I33="","",I33-F33)</x:f>
      </x:c>
      <x:c r="K33" s="43" t="str">
        <x:f>IF(I33="","Not entered",IF(I33&lt;G33,"Below band",IF(I33&gt;H33,"Above band","Within band")))</x:f>
        <x:v>Not entered</x:v>
      </x:c>
      <x:c r="L33" s="43" t="str">
        <x:f>IF(I33="","Enter actual weight",IF(I33&lt;G33,"Review / Add",IF(I33&gt;H33,"Review / Trim","No action")))</x:f>
        <x:v>Enter actual weight</x:v>
      </x:c>
      <x:c r="M33" s="93" t="str">
        <x:v>Unassigned</x:v>
      </x:c>
      <x:c r="N33" s="93" t="str">
        <x:v>Current</x:v>
      </x:c>
    </x:row>
    <x:row r="34">
      <x:c r="A34" s="43" t="str">
        <x:v>Industrials &amp; Infrastructure</x:v>
      </x:c>
      <x:c r="B34" s="43" t="str">
        <x:v>PH</x:v>
      </x:c>
      <x:c r="C34" s="43" t="str">
        <x:v>Parker-Hannifin Corporation</x:v>
      </x:c>
      <x:c r="D34" s="43" t="str">
        <x:v>Equity</x:v>
      </x:c>
      <x:c r="E34" s="43" t="str">
        <x:v>Motion and control systems leader</x:v>
      </x:c>
      <x:c r="F34" s="44" t="n">
        <x:v>0.0156</x:v>
      </x:c>
      <x:c r="G34" s="44" t="n">
        <x:f>MAX(1%,F34*75%)</x:f>
        <x:v>0.011699999999999999</x:v>
      </x:c>
      <x:c r="H34" s="44" t="n">
        <x:f>MIN(4%,F34*125%)</x:f>
        <x:v>0.0195</x:v>
      </x:c>
      <x:c r="I34" s="95"/>
      <x:c r="J34" s="96" t="str">
        <x:f>IF(I34="","",I34-F34)</x:f>
      </x:c>
      <x:c r="K34" s="43" t="str">
        <x:f>IF(I34="","Not entered",IF(I34&lt;G34,"Below band",IF(I34&gt;H34,"Above band","Within band")))</x:f>
        <x:v>Not entered</x:v>
      </x:c>
      <x:c r="L34" s="43" t="str">
        <x:f>IF(I34="","Enter actual weight",IF(I34&lt;G34,"Review / Add",IF(I34&gt;H34,"Review / Trim","No action")))</x:f>
        <x:v>Enter actual weight</x:v>
      </x:c>
      <x:c r="M34" s="93" t="str">
        <x:v>Unassigned</x:v>
      </x:c>
      <x:c r="N34" s="93" t="str">
        <x:v>Current</x:v>
      </x:c>
    </x:row>
    <x:row r="35">
      <x:c r="A35" s="43" t="str">
        <x:v>Industrials &amp; Infrastructure</x:v>
      </x:c>
      <x:c r="B35" s="43" t="str">
        <x:v>TT</x:v>
      </x:c>
      <x:c r="C35" s="43" t="str">
        <x:v>Trane Technologies plc</x:v>
      </x:c>
      <x:c r="D35" s="43" t="str">
        <x:v>Equity</x:v>
      </x:c>
      <x:c r="E35" s="43" t="str">
        <x:v>Climate and building efficiency leader</x:v>
      </x:c>
      <x:c r="F35" s="44" t="n">
        <x:v>0.0156</x:v>
      </x:c>
      <x:c r="G35" s="44" t="n">
        <x:f>MAX(1%,F35*75%)</x:f>
        <x:v>0.011699999999999999</x:v>
      </x:c>
      <x:c r="H35" s="44" t="n">
        <x:f>MIN(4%,F35*125%)</x:f>
        <x:v>0.0195</x:v>
      </x:c>
      <x:c r="I35" s="95"/>
      <x:c r="J35" s="96" t="str">
        <x:f>IF(I35="","",I35-F35)</x:f>
      </x:c>
      <x:c r="K35" s="43" t="str">
        <x:f>IF(I35="","Not entered",IF(I35&lt;G35,"Below band",IF(I35&gt;H35,"Above band","Within band")))</x:f>
        <x:v>Not entered</x:v>
      </x:c>
      <x:c r="L35" s="43" t="str">
        <x:f>IF(I35="","Enter actual weight",IF(I35&lt;G35,"Review / Add",IF(I35&gt;H35,"Review / Trim","No action")))</x:f>
        <x:v>Enter actual weight</x:v>
      </x:c>
      <x:c r="M35" s="93" t="str">
        <x:v>Unassigned</x:v>
      </x:c>
      <x:c r="N35" s="93" t="str">
        <x:v>Current</x:v>
      </x:c>
    </x:row>
    <x:row r="36">
      <x:c r="A36" s="43" t="str">
        <x:v>Industrials &amp; Infrastructure</x:v>
      </x:c>
      <x:c r="B36" s="43" t="str">
        <x:v>UNP</x:v>
      </x:c>
      <x:c r="C36" s="43" t="str">
        <x:v>Union Pacific Corporation</x:v>
      </x:c>
      <x:c r="D36" s="43" t="str">
        <x:v>Equity</x:v>
      </x:c>
      <x:c r="E36" s="43" t="str">
        <x:v>Freight rail infrastructure</x:v>
      </x:c>
      <x:c r="F36" s="44" t="n">
        <x:v>0.0155</x:v>
      </x:c>
      <x:c r="G36" s="44" t="n">
        <x:f>MAX(1%,F36*75%)</x:f>
        <x:v>0.011625</x:v>
      </x:c>
      <x:c r="H36" s="44" t="n">
        <x:f>MIN(4%,F36*125%)</x:f>
        <x:v>0.019375</x:v>
      </x:c>
      <x:c r="I36" s="95"/>
      <x:c r="J36" s="96" t="str">
        <x:f>IF(I36="","",I36-F36)</x:f>
      </x:c>
      <x:c r="K36" s="43" t="str">
        <x:f>IF(I36="","Not entered",IF(I36&lt;G36,"Below band",IF(I36&gt;H36,"Above band","Within band")))</x:f>
        <x:v>Not entered</x:v>
      </x:c>
      <x:c r="L36" s="43" t="str">
        <x:f>IF(I36="","Enter actual weight",IF(I36&lt;G36,"Review / Add",IF(I36&gt;H36,"Review / Trim","No action")))</x:f>
        <x:v>Enter actual weight</x:v>
      </x:c>
      <x:c r="M36" s="93" t="str">
        <x:v>Unassigned</x:v>
      </x:c>
      <x:c r="N36" s="93" t="str">
        <x:v>Current</x:v>
      </x:c>
    </x:row>
    <x:row r="37">
      <x:c r="A37" s="43" t="str">
        <x:v>Financial Infrastructure</x:v>
      </x:c>
      <x:c r="B37" s="43" t="str">
        <x:v>CME</x:v>
      </x:c>
      <x:c r="C37" s="43" t="str">
        <x:v>CME Group Inc.</x:v>
      </x:c>
      <x:c r="D37" s="43" t="str">
        <x:v>Equity</x:v>
      </x:c>
      <x:c r="E37" s="43" t="str">
        <x:v>Market infrastructure and derivatives exchange</x:v>
      </x:c>
      <x:c r="F37" s="44" t="n">
        <x:v>0.0302</x:v>
      </x:c>
      <x:c r="G37" s="44" t="n">
        <x:f>MAX(1%,F37*75%)</x:f>
        <x:v>0.02265</x:v>
      </x:c>
      <x:c r="H37" s="44" t="n">
        <x:f>MIN(4%,F37*125%)</x:f>
        <x:v>0.03775</x:v>
      </x:c>
      <x:c r="I37" s="95"/>
      <x:c r="J37" s="96" t="str">
        <x:f>IF(I37="","",I37-F37)</x:f>
      </x:c>
      <x:c r="K37" s="43" t="str">
        <x:f>IF(I37="","Not entered",IF(I37&lt;G37,"Below band",IF(I37&gt;H37,"Above band","Within band")))</x:f>
        <x:v>Not entered</x:v>
      </x:c>
      <x:c r="L37" s="43" t="str">
        <x:f>IF(I37="","Enter actual weight",IF(I37&lt;G37,"Review / Add",IF(I37&gt;H37,"Review / Trim","No action")))</x:f>
        <x:v>Enter actual weight</x:v>
      </x:c>
      <x:c r="M37" s="93" t="str">
        <x:v>Unassigned</x:v>
      </x:c>
      <x:c r="N37" s="93" t="str">
        <x:v>Current</x:v>
      </x:c>
    </x:row>
    <x:row r="38">
      <x:c r="A38" s="43" t="str">
        <x:v>Financial Infrastructure</x:v>
      </x:c>
      <x:c r="B38" s="43" t="str">
        <x:v>MMC</x:v>
      </x:c>
      <x:c r="C38" s="43" t="str">
        <x:v>Marsh &amp; McLennan Companies, Inc.</x:v>
      </x:c>
      <x:c r="D38" s="43" t="str">
        <x:v>Equity</x:v>
      </x:c>
      <x:c r="E38" s="43" t="str">
        <x:v>Risk, insurance and advisory infrastructure</x:v>
      </x:c>
      <x:c r="F38" s="44" t="n">
        <x:v>0.02</x:v>
      </x:c>
      <x:c r="G38" s="44" t="n">
        <x:f>MAX(1%,F38*75%)</x:f>
        <x:v>0.015</x:v>
      </x:c>
      <x:c r="H38" s="44" t="n">
        <x:f>MIN(4%,F38*125%)</x:f>
        <x:v>0.025</x:v>
      </x:c>
      <x:c r="I38" s="95"/>
      <x:c r="J38" s="96" t="str">
        <x:f>IF(I38="","",I38-F38)</x:f>
      </x:c>
      <x:c r="K38" s="43" t="str">
        <x:f>IF(I38="","Not entered",IF(I38&lt;G38,"Below band",IF(I38&gt;H38,"Above band","Within band")))</x:f>
        <x:v>Not entered</x:v>
      </x:c>
      <x:c r="L38" s="43" t="str">
        <x:f>IF(I38="","Enter actual weight",IF(I38&lt;G38,"Review / Add",IF(I38&gt;H38,"Review / Trim","No action")))</x:f>
        <x:v>Enter actual weight</x:v>
      </x:c>
      <x:c r="M38" s="93" t="str">
        <x:v>Unassigned</x:v>
      </x:c>
      <x:c r="N38" s="93" t="str">
        <x:v>Current</x:v>
      </x:c>
    </x:row>
    <x:row r="39">
      <x:c r="A39" s="43" t="str">
        <x:v>Financial Infrastructure</x:v>
      </x:c>
      <x:c r="B39" s="43" t="str">
        <x:v>GS</x:v>
      </x:c>
      <x:c r="C39" s="43" t="str">
        <x:v>The Goldman Sachs Group, Inc.</x:v>
      </x:c>
      <x:c r="D39" s="43" t="str">
        <x:v>Equity</x:v>
      </x:c>
      <x:c r="E39" s="43" t="str">
        <x:v>Investment banking and capital markets</x:v>
      </x:c>
      <x:c r="F39" s="44" t="n">
        <x:v>0.0156</x:v>
      </x:c>
      <x:c r="G39" s="44" t="n">
        <x:f>MAX(1%,F39*75%)</x:f>
        <x:v>0.011699999999999999</x:v>
      </x:c>
      <x:c r="H39" s="44" t="n">
        <x:f>MIN(4%,F39*125%)</x:f>
        <x:v>0.0195</x:v>
      </x:c>
      <x:c r="I39" s="95"/>
      <x:c r="J39" s="96" t="str">
        <x:f>IF(I39="","",I39-F39)</x:f>
      </x:c>
      <x:c r="K39" s="43" t="str">
        <x:f>IF(I39="","Not entered",IF(I39&lt;G39,"Below band",IF(I39&gt;H39,"Above band","Within band")))</x:f>
        <x:v>Not entered</x:v>
      </x:c>
      <x:c r="L39" s="43" t="str">
        <x:f>IF(I39="","Enter actual weight",IF(I39&lt;G39,"Review / Add",IF(I39&gt;H39,"Review / Trim","No action")))</x:f>
        <x:v>Enter actual weight</x:v>
      </x:c>
      <x:c r="M39" s="93" t="str">
        <x:v>Unassigned</x:v>
      </x:c>
      <x:c r="N39" s="93" t="str">
        <x:v>Current</x:v>
      </x:c>
    </x:row>
    <x:row r="40">
      <x:c r="A40" s="43" t="str">
        <x:v>Financial Infrastructure</x:v>
      </x:c>
      <x:c r="B40" s="43" t="str">
        <x:v>JPM</x:v>
      </x:c>
      <x:c r="C40" s="43" t="str">
        <x:v>JPMorgan Chase &amp; Co.</x:v>
      </x:c>
      <x:c r="D40" s="43" t="str">
        <x:v>Equity</x:v>
      </x:c>
      <x:c r="E40" s="43" t="str">
        <x:v>Diversified banking and capital markets anchor</x:v>
      </x:c>
      <x:c r="F40" s="44" t="n">
        <x:v>0.0156</x:v>
      </x:c>
      <x:c r="G40" s="44" t="n">
        <x:f>MAX(1%,F40*75%)</x:f>
        <x:v>0.011699999999999999</x:v>
      </x:c>
      <x:c r="H40" s="44" t="n">
        <x:f>MIN(4%,F40*125%)</x:f>
        <x:v>0.0195</x:v>
      </x:c>
      <x:c r="I40" s="95"/>
      <x:c r="J40" s="96" t="str">
        <x:f>IF(I40="","",I40-F40)</x:f>
      </x:c>
      <x:c r="K40" s="43" t="str">
        <x:f>IF(I40="","Not entered",IF(I40&lt;G40,"Below band",IF(I40&gt;H40,"Above band","Within band")))</x:f>
        <x:v>Not entered</x:v>
      </x:c>
      <x:c r="L40" s="43" t="str">
        <x:f>IF(I40="","Enter actual weight",IF(I40&lt;G40,"Review / Add",IF(I40&gt;H40,"Review / Trim","No action")))</x:f>
        <x:v>Enter actual weight</x:v>
      </x:c>
      <x:c r="M40" s="93" t="str">
        <x:v>Unassigned</x:v>
      </x:c>
      <x:c r="N40" s="93" t="str">
        <x:v>Current</x:v>
      </x:c>
    </x:row>
    <x:row r="41">
      <x:c r="A41" s="43" t="str">
        <x:v>Financial Infrastructure</x:v>
      </x:c>
      <x:c r="B41" s="43" t="str">
        <x:v>VFH</x:v>
      </x:c>
      <x:c r="C41" s="43" t="str">
        <x:v>Vanguard Financials ETF</x:v>
      </x:c>
      <x:c r="D41" s="43" t="str">
        <x:v>ETF</x:v>
      </x:c>
      <x:c r="E41" s="43" t="str">
        <x:v>Diversified financial-sector implementation ETF</x:v>
      </x:c>
      <x:c r="F41" s="44" t="n">
        <x:v>0.0156</x:v>
      </x:c>
      <x:c r="G41" s="44" t="n">
        <x:f>MAX(1%,F41*75%)</x:f>
        <x:v>0.011699999999999999</x:v>
      </x:c>
      <x:c r="H41" s="44" t="n">
        <x:f>MIN(4%,F41*125%)</x:f>
        <x:v>0.0195</x:v>
      </x:c>
      <x:c r="I41" s="95"/>
      <x:c r="J41" s="96" t="str">
        <x:f>IF(I41="","",I41-F41)</x:f>
      </x:c>
      <x:c r="K41" s="43" t="str">
        <x:f>IF(I41="","Not entered",IF(I41&lt;G41,"Below band",IF(I41&gt;H41,"Above band","Within band")))</x:f>
        <x:v>Not entered</x:v>
      </x:c>
      <x:c r="L41" s="43" t="str">
        <x:f>IF(I41="","Enter actual weight",IF(I41&lt;G41,"Review / Add",IF(I41&gt;H41,"Review / Trim","No action")))</x:f>
        <x:v>Enter actual weight</x:v>
      </x:c>
      <x:c r="M41" s="93" t="str">
        <x:v>Unassigned</x:v>
      </x:c>
      <x:c r="N41" s="93" t="str">
        <x:v>Current</x:v>
      </x:c>
    </x:row>
    <x:row r="42">
      <x:c r="A42" s="43" t="str">
        <x:v>Healthcare Leadership</x:v>
      </x:c>
      <x:c r="B42" s="43" t="str">
        <x:v>VHT</x:v>
      </x:c>
      <x:c r="C42" s="43" t="str">
        <x:v>Vanguard Health Care ETF</x:v>
      </x:c>
      <x:c r="D42" s="43" t="str">
        <x:v>ETF</x:v>
      </x:c>
      <x:c r="E42" s="43" t="str">
        <x:v>Diversified healthcare implementation ETF</x:v>
      </x:c>
      <x:c r="F42" s="44" t="n">
        <x:v>0.0206</x:v>
      </x:c>
      <x:c r="G42" s="44" t="n">
        <x:f>MAX(1%,F42*75%)</x:f>
        <x:v>0.01545</x:v>
      </x:c>
      <x:c r="H42" s="44" t="n">
        <x:f>MIN(4%,F42*125%)</x:f>
        <x:v>0.025750000000000002</x:v>
      </x:c>
      <x:c r="I42" s="95"/>
      <x:c r="J42" s="96" t="str">
        <x:f>IF(I42="","",I42-F42)</x:f>
      </x:c>
      <x:c r="K42" s="43" t="str">
        <x:f>IF(I42="","Not entered",IF(I42&lt;G42,"Below band",IF(I42&gt;H42,"Above band","Within band")))</x:f>
        <x:v>Not entered</x:v>
      </x:c>
      <x:c r="L42" s="43" t="str">
        <x:f>IF(I42="","Enter actual weight",IF(I42&lt;G42,"Review / Add",IF(I42&gt;H42,"Review / Trim","No action")))</x:f>
        <x:v>Enter actual weight</x:v>
      </x:c>
      <x:c r="M42" s="93" t="str">
        <x:v>Unassigned</x:v>
      </x:c>
      <x:c r="N42" s="93" t="str">
        <x:v>Current</x:v>
      </x:c>
    </x:row>
    <x:row r="43">
      <x:c r="A43" s="43" t="str">
        <x:v>Healthcare Leadership</x:v>
      </x:c>
      <x:c r="B43" s="43" t="str">
        <x:v>SYK</x:v>
      </x:c>
      <x:c r="C43" s="43" t="str">
        <x:v>Stryker Corporation</x:v>
      </x:c>
      <x:c r="D43" s="43" t="str">
        <x:v>Equity</x:v>
      </x:c>
      <x:c r="E43" s="43" t="str">
        <x:v>Medical technology leader</x:v>
      </x:c>
      <x:c r="F43" s="44" t="n">
        <x:v>0.0155</x:v>
      </x:c>
      <x:c r="G43" s="44" t="n">
        <x:f>MAX(1%,F43*75%)</x:f>
        <x:v>0.011625</x:v>
      </x:c>
      <x:c r="H43" s="44" t="n">
        <x:f>MIN(4%,F43*125%)</x:f>
        <x:v>0.019375</x:v>
      </x:c>
      <x:c r="I43" s="95"/>
      <x:c r="J43" s="96" t="str">
        <x:f>IF(I43="","",I43-F43)</x:f>
      </x:c>
      <x:c r="K43" s="43" t="str">
        <x:f>IF(I43="","Not entered",IF(I43&lt;G43,"Below band",IF(I43&gt;H43,"Above band","Within band")))</x:f>
        <x:v>Not entered</x:v>
      </x:c>
      <x:c r="L43" s="43" t="str">
        <x:f>IF(I43="","Enter actual weight",IF(I43&lt;G43,"Review / Add",IF(I43&gt;H43,"Review / Trim","No action")))</x:f>
        <x:v>Enter actual weight</x:v>
      </x:c>
      <x:c r="M43" s="93" t="str">
        <x:v>Unassigned</x:v>
      </x:c>
      <x:c r="N43" s="93" t="str">
        <x:v>Current</x:v>
      </x:c>
    </x:row>
    <x:row r="44">
      <x:c r="A44" s="43" t="str">
        <x:v>Energy &amp; Natural Resources</x:v>
      </x:c>
      <x:c r="B44" s="43" t="str">
        <x:v>LNG</x:v>
      </x:c>
      <x:c r="C44" s="43" t="str">
        <x:v>Cheniere Energy, Inc.</x:v>
      </x:c>
      <x:c r="D44" s="43" t="str">
        <x:v>Equity</x:v>
      </x:c>
      <x:c r="E44" s="43" t="str">
        <x:v>LNG export infrastructure</x:v>
      </x:c>
      <x:c r="F44" s="44" t="n">
        <x:v>0.0302</x:v>
      </x:c>
      <x:c r="G44" s="44" t="n">
        <x:f>MAX(1%,F44*75%)</x:f>
        <x:v>0.02265</x:v>
      </x:c>
      <x:c r="H44" s="44" t="n">
        <x:f>MIN(4%,F44*125%)</x:f>
        <x:v>0.03775</x:v>
      </x:c>
      <x:c r="I44" s="95"/>
      <x:c r="J44" s="96" t="str">
        <x:f>IF(I44="","",I44-F44)</x:f>
      </x:c>
      <x:c r="K44" s="43" t="str">
        <x:f>IF(I44="","Not entered",IF(I44&lt;G44,"Below band",IF(I44&gt;H44,"Above band","Within band")))</x:f>
        <x:v>Not entered</x:v>
      </x:c>
      <x:c r="L44" s="43" t="str">
        <x:f>IF(I44="","Enter actual weight",IF(I44&lt;G44,"Review / Add",IF(I44&gt;H44,"Review / Trim","No action")))</x:f>
        <x:v>Enter actual weight</x:v>
      </x:c>
      <x:c r="M44" s="93" t="str">
        <x:v>Unassigned</x:v>
      </x:c>
      <x:c r="N44" s="93" t="str">
        <x:v>Current</x:v>
      </x:c>
    </x:row>
    <x:row r="45">
      <x:c r="A45" s="43" t="str">
        <x:v>Energy &amp; Natural Resources</x:v>
      </x:c>
      <x:c r="B45" s="43" t="str">
        <x:v>VPU</x:v>
      </x:c>
      <x:c r="C45" s="43" t="str">
        <x:v>Vanguard Utilities ETF</x:v>
      </x:c>
      <x:c r="D45" s="43" t="str">
        <x:v>ETF</x:v>
      </x:c>
      <x:c r="E45" s="43" t="str">
        <x:v>Utilities and defensive infrastructure ETF</x:v>
      </x:c>
      <x:c r="F45" s="44" t="n">
        <x:v>0.0302</x:v>
      </x:c>
      <x:c r="G45" s="44" t="n">
        <x:f>MAX(1%,F45*75%)</x:f>
        <x:v>0.02265</x:v>
      </x:c>
      <x:c r="H45" s="44" t="n">
        <x:f>MIN(4%,F45*125%)</x:f>
        <x:v>0.03775</x:v>
      </x:c>
      <x:c r="I45" s="95"/>
      <x:c r="J45" s="96" t="str">
        <x:f>IF(I45="","",I45-F45)</x:f>
      </x:c>
      <x:c r="K45" s="43" t="str">
        <x:f>IF(I45="","Not entered",IF(I45&lt;G45,"Below band",IF(I45&gt;H45,"Above band","Within band")))</x:f>
        <x:v>Not entered</x:v>
      </x:c>
      <x:c r="L45" s="43" t="str">
        <x:f>IF(I45="","Enter actual weight",IF(I45&lt;G45,"Review / Add",IF(I45&gt;H45,"Review / Trim","No action")))</x:f>
        <x:v>Enter actual weight</x:v>
      </x:c>
      <x:c r="M45" s="93" t="str">
        <x:v>Unassigned</x:v>
      </x:c>
      <x:c r="N45" s="93" t="str">
        <x:v>Current</x:v>
      </x:c>
    </x:row>
    <x:row r="46">
      <x:c r="A46" s="43" t="str">
        <x:v>Energy &amp; Natural Resources</x:v>
      </x:c>
      <x:c r="B46" s="43" t="str">
        <x:v>XOM</x:v>
      </x:c>
      <x:c r="C46" s="43" t="str">
        <x:v>Exxon Mobil Corporation</x:v>
      </x:c>
      <x:c r="D46" s="43" t="str">
        <x:v>Equity</x:v>
      </x:c>
      <x:c r="E46" s="43" t="str">
        <x:v>Integrated energy leader</x:v>
      </x:c>
      <x:c r="F46" s="44" t="n">
        <x:v>0.0256</x:v>
      </x:c>
      <x:c r="G46" s="44" t="n">
        <x:f>MAX(1%,F46*75%)</x:f>
        <x:v>0.019200000000000002</x:v>
      </x:c>
      <x:c r="H46" s="44" t="n">
        <x:f>MIN(4%,F46*125%)</x:f>
        <x:v>0.032</x:v>
      </x:c>
      <x:c r="I46" s="95"/>
      <x:c r="J46" s="96" t="str">
        <x:f>IF(I46="","",I46-F46)</x:f>
      </x:c>
      <x:c r="K46" s="43" t="str">
        <x:f>IF(I46="","Not entered",IF(I46&lt;G46,"Below band",IF(I46&gt;H46,"Above band","Within band")))</x:f>
        <x:v>Not entered</x:v>
      </x:c>
      <x:c r="L46" s="43" t="str">
        <x:f>IF(I46="","Enter actual weight",IF(I46&lt;G46,"Review / Add",IF(I46&gt;H46,"Review / Trim","No action")))</x:f>
        <x:v>Enter actual weight</x:v>
      </x:c>
      <x:c r="M46" s="93" t="str">
        <x:v>Unassigned</x:v>
      </x:c>
      <x:c r="N46" s="93" t="str">
        <x:v>Current</x:v>
      </x:c>
    </x:row>
    <x:row r="47">
      <x:c r="A47" s="43" t="str">
        <x:v>Energy &amp; Natural Resources</x:v>
      </x:c>
      <x:c r="B47" s="43" t="str">
        <x:v>CVX</x:v>
      </x:c>
      <x:c r="C47" s="43" t="str">
        <x:v>Chevron Corporation</x:v>
      </x:c>
      <x:c r="D47" s="43" t="str">
        <x:v>Equity</x:v>
      </x:c>
      <x:c r="E47" s="43" t="str">
        <x:v>Integrated energy leader</x:v>
      </x:c>
      <x:c r="F47" s="44" t="n">
        <x:v>0.0156</x:v>
      </x:c>
      <x:c r="G47" s="44" t="n">
        <x:f>MAX(1%,F47*75%)</x:f>
        <x:v>0.011699999999999999</x:v>
      </x:c>
      <x:c r="H47" s="44" t="n">
        <x:f>MIN(4%,F47*125%)</x:f>
        <x:v>0.0195</x:v>
      </x:c>
      <x:c r="I47" s="95"/>
      <x:c r="J47" s="96" t="str">
        <x:f>IF(I47="","",I47-F47)</x:f>
      </x:c>
      <x:c r="K47" s="43" t="str">
        <x:f>IF(I47="","Not entered",IF(I47&lt;G47,"Below band",IF(I47&gt;H47,"Above band","Within band")))</x:f>
        <x:v>Not entered</x:v>
      </x:c>
      <x:c r="L47" s="43" t="str">
        <x:f>IF(I47="","Enter actual weight",IF(I47&lt;G47,"Review / Add",IF(I47&gt;H47,"Review / Trim","No action")))</x:f>
        <x:v>Enter actual weight</x:v>
      </x:c>
      <x:c r="M47" s="93" t="str">
        <x:v>Unassigned</x:v>
      </x:c>
      <x:c r="N47" s="93" t="str">
        <x:v>Current</x:v>
      </x:c>
    </x:row>
    <x:row r="48">
      <x:c r="A48" s="43" t="str">
        <x:v>Energy &amp; Natural Resources</x:v>
      </x:c>
      <x:c r="B48" s="43" t="str">
        <x:v>VDE</x:v>
      </x:c>
      <x:c r="C48" s="43" t="str">
        <x:v>Vanguard Energy ETF</x:v>
      </x:c>
      <x:c r="D48" s="43" t="str">
        <x:v>ETF</x:v>
      </x:c>
      <x:c r="E48" s="43" t="str">
        <x:v>Diversified energy implementation ETF</x:v>
      </x:c>
      <x:c r="F48" s="44" t="n">
        <x:v>0.0156</x:v>
      </x:c>
      <x:c r="G48" s="44" t="n">
        <x:f>MAX(1%,F48*75%)</x:f>
        <x:v>0.011699999999999999</x:v>
      </x:c>
      <x:c r="H48" s="44" t="n">
        <x:f>MIN(4%,F48*125%)</x:f>
        <x:v>0.0195</x:v>
      </x:c>
      <x:c r="I48" s="95"/>
      <x:c r="J48" s="96" t="str">
        <x:f>IF(I48="","",I48-F48)</x:f>
      </x:c>
      <x:c r="K48" s="43" t="str">
        <x:f>IF(I48="","Not entered",IF(I48&lt;G48,"Below band",IF(I48&gt;H48,"Above band","Within band")))</x:f>
        <x:v>Not entered</x:v>
      </x:c>
      <x:c r="L48" s="43" t="str">
        <x:f>IF(I48="","Enter actual weight",IF(I48&lt;G48,"Review / Add",IF(I48&gt;H48,"Review / Trim","No action")))</x:f>
        <x:v>Enter actual weight</x:v>
      </x:c>
      <x:c r="M48" s="93" t="str">
        <x:v>Unassigned</x:v>
      </x:c>
      <x:c r="N48" s="93" t="str">
        <x:v>Current</x:v>
      </x:c>
    </x:row>
    <x:row r="49">
      <x:c r="A49" s="43" t="str">
        <x:v>Income &amp; Risk Management</x:v>
      </x:c>
      <x:c r="B49" s="43" t="str">
        <x:v>JEPI</x:v>
      </x:c>
      <x:c r="C49" s="43" t="str">
        <x:v>JPMorgan Equity Premium Income ETF</x:v>
      </x:c>
      <x:c r="D49" s="43" t="str">
        <x:v>ETF</x:v>
      </x:c>
      <x:c r="E49" s="43" t="str">
        <x:v>Diversified equity income and volatility moderation</x:v>
      </x:c>
      <x:c r="F49" s="44" t="n">
        <x:v>0.0302</x:v>
      </x:c>
      <x:c r="G49" s="44" t="n">
        <x:f>MAX(1%,F49*75%)</x:f>
        <x:v>0.02265</x:v>
      </x:c>
      <x:c r="H49" s="44" t="n">
        <x:f>MIN(4%,F49*125%)</x:f>
        <x:v>0.03775</x:v>
      </x:c>
      <x:c r="I49" s="95"/>
      <x:c r="J49" s="96" t="str">
        <x:f>IF(I49="","",I49-F49)</x:f>
      </x:c>
      <x:c r="K49" s="43" t="str">
        <x:f>IF(I49="","Not entered",IF(I49&lt;G49,"Below band",IF(I49&gt;H49,"Above band","Within band")))</x:f>
        <x:v>Not entered</x:v>
      </x:c>
      <x:c r="L49" s="43" t="str">
        <x:f>IF(I49="","Enter actual weight",IF(I49&lt;G49,"Review / Add",IF(I49&gt;H49,"Review / Trim","No action")))</x:f>
        <x:v>Enter actual weight</x:v>
      </x:c>
      <x:c r="M49" s="93" t="str">
        <x:v>Unassigned</x:v>
      </x:c>
      <x:c r="N49" s="93" t="str">
        <x:v>Current</x:v>
      </x:c>
    </x:row>
    <x:row r="50">
      <x:c r="A50" s="43" t="str">
        <x:v>Income &amp; Risk Management</x:v>
      </x:c>
      <x:c r="B50" s="43" t="str">
        <x:v>JEPQ</x:v>
      </x:c>
      <x:c r="C50" s="43" t="str">
        <x:v>JPMorgan Nasdaq Equity Premium Income ETF</x:v>
      </x:c>
      <x:c r="D50" s="43" t="str">
        <x:v>ETF</x:v>
      </x:c>
      <x:c r="E50" s="43" t="str">
        <x:v>Technology equity income implementation</x:v>
      </x:c>
      <x:c r="F50" s="44" t="n">
        <x:v>0.0302</x:v>
      </x:c>
      <x:c r="G50" s="44" t="n">
        <x:f>MAX(1%,F50*75%)</x:f>
        <x:v>0.02265</x:v>
      </x:c>
      <x:c r="H50" s="44" t="n">
        <x:f>MIN(4%,F50*125%)</x:f>
        <x:v>0.03775</x:v>
      </x:c>
      <x:c r="I50" s="95"/>
      <x:c r="J50" s="96" t="str">
        <x:f>IF(I50="","",I50-F50)</x:f>
      </x:c>
      <x:c r="K50" s="43" t="str">
        <x:f>IF(I50="","Not entered",IF(I50&lt;G50,"Below band",IF(I50&gt;H50,"Above band","Within band")))</x:f>
        <x:v>Not entered</x:v>
      </x:c>
      <x:c r="L50" s="43" t="str">
        <x:f>IF(I50="","Enter actual weight",IF(I50&lt;G50,"Review / Add",IF(I50&gt;H50,"Review / Trim","No action")))</x:f>
        <x:v>Enter actual weight</x:v>
      </x:c>
      <x:c r="M50" s="93" t="str">
        <x:v>Unassigned</x:v>
      </x:c>
      <x:c r="N50" s="93" t="str">
        <x:v>Current</x:v>
      </x:c>
    </x:row>
    <x:row r="51">
      <x:c r="A51" s="43" t="str">
        <x:v>Income &amp; Risk Management</x:v>
      </x:c>
      <x:c r="B51" s="43" t="str">
        <x:v>PFF</x:v>
      </x:c>
      <x:c r="C51" s="43" t="str">
        <x:v>iShares Preferred and Income Securities ETF</x:v>
      </x:c>
      <x:c r="D51" s="43" t="str">
        <x:v>ETF</x:v>
      </x:c>
      <x:c r="E51" s="43" t="str">
        <x:v>Preferred securities income diversification</x:v>
      </x:c>
      <x:c r="F51" s="44" t="n">
        <x:v>0.0302</x:v>
      </x:c>
      <x:c r="G51" s="44" t="n">
        <x:f>MAX(1%,F51*75%)</x:f>
        <x:v>0.02265</x:v>
      </x:c>
      <x:c r="H51" s="44" t="n">
        <x:f>MIN(4%,F51*125%)</x:f>
        <x:v>0.03775</x:v>
      </x:c>
      <x:c r="I51" s="95"/>
      <x:c r="J51" s="96" t="str">
        <x:f>IF(I51="","",I51-F51)</x:f>
      </x:c>
      <x:c r="K51" s="43" t="str">
        <x:f>IF(I51="","Not entered",IF(I51&lt;G51,"Below band",IF(I51&gt;H51,"Above band","Within band")))</x:f>
        <x:v>Not entered</x:v>
      </x:c>
      <x:c r="L51" s="43" t="str">
        <x:f>IF(I51="","Enter actual weight",IF(I51&lt;G51,"Review / Add",IF(I51&gt;H51,"Review / Trim","No action")))</x:f>
        <x:v>Enter actual weight</x:v>
      </x:c>
      <x:c r="M51" s="93" t="str">
        <x:v>Unassigned</x:v>
      </x:c>
      <x:c r="N51" s="93" t="str">
        <x:v>Current</x:v>
      </x:c>
    </x:row>
    <x:row r="52">
      <x:c r="A52" s="42"/>
      <x:c r="B52" s="42"/>
      <x:c r="C52" s="42"/>
      <x:c r="D52" s="42"/>
      <x:c r="E52" s="42"/>
      <x:c r="F52" s="47"/>
      <x:c r="G52" s="47"/>
      <x:c r="H52" s="47"/>
      <x:c r="I52" s="47"/>
      <x:c r="J52" s="97"/>
      <x:c r="K52" s="42"/>
      <x:c r="L52" s="42"/>
    </x:row>
    <x:row r="53">
      <x:c r="A53" s="17" t="str">
        <x:v>PORTFOLIO TOTAL</x:v>
      </x:c>
      <x:c r="B53" s="17"/>
      <x:c r="C53" s="17"/>
      <x:c r="D53" s="17"/>
      <x:c r="E53" s="17"/>
      <x:c r="F53" s="48" t="n">
        <x:f>SUM(F5:F51)</x:f>
        <x:v>0.9999999999999994</x:v>
      </x:c>
      <x:c r="G53" s="48"/>
      <x:c r="H53" s="48"/>
      <x:c r="I53" s="48" t="n">
        <x:f>SUM(I5:I51)</x:f>
        <x:v>0</x:v>
      </x:c>
      <x:c r="J53" s="98" t="n">
        <x:f>I53-F53</x:f>
        <x:v>-0.9999999999999994</x:v>
      </x:c>
      <x:c r="K53" s="17" t="str">
        <x:f>IF(ABS(F53-100%)&lt;0.000001,"Certified 100.00%","ERROR")</x:f>
        <x:v>Certified 100.00%</x:v>
      </x:c>
      <x:c r="L53" s="17"/>
    </x:row>
  </x:sheetData>
  <x:mergeCells>
    <x:mergeCell ref="A1:L1"/>
    <x:mergeCell ref="A2:L2"/>
    <x:mergeCell ref="A53:E53"/>
  </x:mergeCells>
  <x:conditionalFormatting sqref="K5:K51">
    <x:cfRule type="expression" dxfId="0" priority="1">
      <x:formula>K5="Within band"</x:formula>
    </x:cfRule>
    <x:cfRule type="expression" dxfId="1" priority="2">
      <x:formula>OR(K5="Below band",K5="Above band")</x:formula>
    </x:cfRule>
    <x:cfRule type="expression" dxfId="8" priority="3">
      <x:formula>K5="Within band"</x:formula>
    </x:cfRule>
    <x:cfRule type="expression" dxfId="9" priority="4">
      <x:formula>OR(K5="Below band",K5="Above band")</x:formula>
    </x:cfRule>
    <x:cfRule type="expression" dxfId="10" priority="5">
      <x:formula>K5="Not entered"</x:formula>
    </x:cfRule>
  </x:conditionalFormatting>
  <x:dataValidations count="2">
    <x:dataValidation type="list" sqref="M5:M51">
      <x:formula1>"Tier 1,Tier 2,Tier 3,Unassigned"</x:formula1>
    </x:dataValidation>
    <x:dataValidation type="list" sqref="N5:N51">
      <x:formula1>"Current,Review Due,Decision Required,Suspended"</x:formula1>
    </x:dataValidation>
  </x:dataValidations>
  <x:pageMargins left="0.7" right="0.7" top="0.75" bottom="0.75" header="0.3" footer="0.3"/>
  <x:tableParts count="1">
    <x:tablePart xmlns:r="http://schemas.openxmlformats.org/officeDocument/2006/relationships" r:id="R4de87f4421f14fd6"/>
  </x:tableParts>
</x:worksheet>
</file>

<file path=xl/worksheets/sheet9.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2" hidden="0" customWidth="1"/>
    <x:col min="5" max="5" width="18" hidden="0" customWidth="1"/>
    <x:col min="6" max="6" width="18" hidden="0" customWidth="1"/>
  </x:cols>
  <x:sheetData>
    <x:row r="1">
      <x:c r="A1" s="4" t="str">
        <x:v>MFPDF v1.0 — Sleeve Allocation Summary</x:v>
      </x:c>
      <x:c r="B1" s="4"/>
      <x:c r="C1" s="4"/>
      <x:c r="D1" s="4"/>
      <x:c r="E1" s="4"/>
      <x:c r="F1" s="4"/>
    </x:row>
    <x:row r="3">
      <x:c r="A3" s="59" t="str">
        <x:v>Production Sleeve</x:v>
      </x:c>
      <x:c r="B3" s="59" t="str">
        <x:v>Positions</x:v>
      </x:c>
      <x:c r="C3" s="59" t="str">
        <x:v>Equities</x:v>
      </x:c>
      <x:c r="D3" s="59" t="str">
        <x:v>ETFs</x:v>
      </x:c>
      <x:c r="E3" s="59" t="str">
        <x:v>Target Allocation</x:v>
      </x:c>
      <x:c r="F3" s="59" t="str">
        <x:v>Share of Portfolio</x:v>
      </x:c>
    </x:row>
    <x:row r="4">
      <x:c r="A4" t="str">
        <x:v>Strategic Anchors</x:v>
      </x:c>
      <x:c r="B4" t="n">
        <x:f>COUNTIF('Certified Allocation'!$A$5:$A$51,A4)</x:f>
        <x:v>9</x:v>
      </x:c>
      <x:c r="C4" t="n">
        <x:f>COUNTIFS('Certified Allocation'!$A$5:$A$51,A4,'Certified Allocation'!$D$5:$D$51,"Equity")</x:f>
        <x:v>9</x:v>
      </x:c>
      <x:c r="D4" t="n">
        <x:f>COUNTIFS('Certified Allocation'!$A$5:$A$51,A4,'Certified Allocation'!$D$5:$D$51,"ETF")</x:f>
        <x:v>0</x:v>
      </x:c>
      <x:c r="E4" s="62" t="n">
        <x:f>SUMIF('Certified Allocation'!$A$5:$A$51,A4,'Certified Allocation'!$F$5:$F$51)</x:f>
        <x:v>0.22510000000000002</x:v>
      </x:c>
      <x:c r="F4" s="62" t="n">
        <x:f>E4</x:f>
        <x:v>0.22510000000000002</x:v>
      </x:c>
    </x:row>
    <x:row r="5">
      <x:c r="A5" t="str">
        <x:v>Growth Compounders</x:v>
      </x:c>
      <x:c r="B5" t="n">
        <x:f>COUNTIF('Certified Allocation'!$A$5:$A$51,A5)</x:f>
        <x:v>6</x:v>
      </x:c>
      <x:c r="C5" t="n">
        <x:f>COUNTIFS('Certified Allocation'!$A$5:$A$51,A5,'Certified Allocation'!$D$5:$D$51,"Equity")</x:f>
        <x:v>6</x:v>
      </x:c>
      <x:c r="D5" t="n">
        <x:f>COUNTIFS('Certified Allocation'!$A$5:$A$51,A5,'Certified Allocation'!$D$5:$D$51,"ETF")</x:f>
        <x:v>0</x:v>
      </x:c>
      <x:c r="E5" s="62" t="n">
        <x:f>SUMIF('Certified Allocation'!$A$5:$A$51,A5,'Certified Allocation'!$F$5:$F$51)</x:f>
        <x:v>0.13390000000000002</x:v>
      </x:c>
      <x:c r="F5" s="62" t="n">
        <x:f>E5</x:f>
        <x:v>0.13390000000000002</x:v>
      </x:c>
    </x:row>
    <x:row r="6">
      <x:c r="A6" t="str">
        <x:v>Digital Infrastructure &amp; AI</x:v>
      </x:c>
      <x:c r="B6" t="n">
        <x:f>COUNTIF('Certified Allocation'!$A$5:$A$51,A6)</x:f>
        <x:v>8</x:v>
      </x:c>
      <x:c r="C6" t="n">
        <x:f>COUNTIFS('Certified Allocation'!$A$5:$A$51,A6,'Certified Allocation'!$D$5:$D$51,"Equity")</x:f>
        <x:v>8</x:v>
      </x:c>
      <x:c r="D6" t="n">
        <x:f>COUNTIFS('Certified Allocation'!$A$5:$A$51,A6,'Certified Allocation'!$D$5:$D$51,"ETF")</x:f>
        <x:v>0</x:v>
      </x:c>
      <x:c r="E6" s="62" t="n">
        <x:f>SUMIF('Certified Allocation'!$A$5:$A$51,A6,'Certified Allocation'!$F$5:$F$51)</x:f>
        <x:v>0.129</x:v>
      </x:c>
      <x:c r="F6" s="62" t="n">
        <x:f>E6</x:f>
        <x:v>0.129</x:v>
      </x:c>
    </x:row>
    <x:row r="7">
      <x:c r="A7" t="str">
        <x:v>Industrials &amp; Infrastructure</x:v>
      </x:c>
      <x:c r="B7" t="n">
        <x:f>COUNTIF('Certified Allocation'!$A$5:$A$51,A7)</x:f>
        <x:v>9</x:v>
      </x:c>
      <x:c r="C7" t="n">
        <x:f>COUNTIFS('Certified Allocation'!$A$5:$A$51,A7,'Certified Allocation'!$D$5:$D$51,"Equity")</x:f>
        <x:v>9</x:v>
      </x:c>
      <x:c r="D7" t="n">
        <x:f>COUNTIFS('Certified Allocation'!$A$5:$A$51,A7,'Certified Allocation'!$D$5:$D$51,"ETF")</x:f>
        <x:v>0</x:v>
      </x:c>
      <x:c r="E7" s="62" t="n">
        <x:f>SUMIF('Certified Allocation'!$A$5:$A$51,A7,'Certified Allocation'!$F$5:$F$51)</x:f>
        <x:v>0.17110000000000003</x:v>
      </x:c>
      <x:c r="F7" s="62" t="n">
        <x:f>E7</x:f>
        <x:v>0.17110000000000003</x:v>
      </x:c>
    </x:row>
    <x:row r="8">
      <x:c r="A8" t="str">
        <x:v>Financial Infrastructure</x:v>
      </x:c>
      <x:c r="B8" t="n">
        <x:f>COUNTIF('Certified Allocation'!$A$5:$A$51,A8)</x:f>
        <x:v>5</x:v>
      </x:c>
      <x:c r="C8" t="n">
        <x:f>COUNTIFS('Certified Allocation'!$A$5:$A$51,A8,'Certified Allocation'!$D$5:$D$51,"Equity")</x:f>
        <x:v>4</x:v>
      </x:c>
      <x:c r="D8" t="n">
        <x:f>COUNTIFS('Certified Allocation'!$A$5:$A$51,A8,'Certified Allocation'!$D$5:$D$51,"ETF")</x:f>
        <x:v>1</x:v>
      </x:c>
      <x:c r="E8" s="62" t="n">
        <x:f>SUMIF('Certified Allocation'!$A$5:$A$51,A8,'Certified Allocation'!$F$5:$F$51)</x:f>
        <x:v>0.097</x:v>
      </x:c>
      <x:c r="F8" s="62" t="n">
        <x:f>E8</x:f>
        <x:v>0.097</x:v>
      </x:c>
    </x:row>
    <x:row r="9">
      <x:c r="A9" t="str">
        <x:v>Healthcare Leadership</x:v>
      </x:c>
      <x:c r="B9" t="n">
        <x:f>COUNTIF('Certified Allocation'!$A$5:$A$51,A9)</x:f>
        <x:v>2</x:v>
      </x:c>
      <x:c r="C9" t="n">
        <x:f>COUNTIFS('Certified Allocation'!$A$5:$A$51,A9,'Certified Allocation'!$D$5:$D$51,"Equity")</x:f>
        <x:v>1</x:v>
      </x:c>
      <x:c r="D9" t="n">
        <x:f>COUNTIFS('Certified Allocation'!$A$5:$A$51,A9,'Certified Allocation'!$D$5:$D$51,"ETF")</x:f>
        <x:v>1</x:v>
      </x:c>
      <x:c r="E9" s="62" t="n">
        <x:f>SUMIF('Certified Allocation'!$A$5:$A$51,A9,'Certified Allocation'!$F$5:$F$51)</x:f>
        <x:v>0.0361</x:v>
      </x:c>
      <x:c r="F9" s="62" t="n">
        <x:f>E9</x:f>
        <x:v>0.0361</x:v>
      </x:c>
    </x:row>
    <x:row r="10">
      <x:c r="A10" t="str">
        <x:v>Energy &amp; Natural Resources</x:v>
      </x:c>
      <x:c r="B10" t="n">
        <x:f>COUNTIF('Certified Allocation'!$A$5:$A$51,A10)</x:f>
        <x:v>5</x:v>
      </x:c>
      <x:c r="C10" t="n">
        <x:f>COUNTIFS('Certified Allocation'!$A$5:$A$51,A10,'Certified Allocation'!$D$5:$D$51,"Equity")</x:f>
        <x:v>3</x:v>
      </x:c>
      <x:c r="D10" t="n">
        <x:f>COUNTIFS('Certified Allocation'!$A$5:$A$51,A10,'Certified Allocation'!$D$5:$D$51,"ETF")</x:f>
        <x:v>2</x:v>
      </x:c>
      <x:c r="E10" s="62" t="n">
        <x:f>SUMIF('Certified Allocation'!$A$5:$A$51,A10,'Certified Allocation'!$F$5:$F$51)</x:f>
        <x:v>0.11720000000000001</x:v>
      </x:c>
      <x:c r="F10" s="62" t="n">
        <x:f>E10</x:f>
        <x:v>0.11720000000000001</x:v>
      </x:c>
    </x:row>
    <x:row r="11">
      <x:c r="A11" t="str">
        <x:v>Income &amp; Risk Management</x:v>
      </x:c>
      <x:c r="B11" t="n">
        <x:f>COUNTIF('Certified Allocation'!$A$5:$A$51,A11)</x:f>
        <x:v>3</x:v>
      </x:c>
      <x:c r="C11" t="n">
        <x:f>COUNTIFS('Certified Allocation'!$A$5:$A$51,A11,'Certified Allocation'!$D$5:$D$51,"Equity")</x:f>
        <x:v>0</x:v>
      </x:c>
      <x:c r="D11" t="n">
        <x:f>COUNTIFS('Certified Allocation'!$A$5:$A$51,A11,'Certified Allocation'!$D$5:$D$51,"ETF")</x:f>
        <x:v>3</x:v>
      </x:c>
      <x:c r="E11" s="62" t="n">
        <x:f>SUMIF('Certified Allocation'!$A$5:$A$51,A11,'Certified Allocation'!$F$5:$F$51)</x:f>
        <x:v>0.0906</x:v>
      </x:c>
      <x:c r="F11" s="62" t="n">
        <x:f>E11</x:f>
        <x:v>0.0906</x:v>
      </x:c>
    </x:row>
    <x:row r="12">
      <x:c r="A12" s="16" t="str">
        <x:v>TOTAL</x:v>
      </x:c>
      <x:c r="B12" s="16" t="n">
        <x:f>SUM(B4:B11)</x:f>
        <x:v>47</x:v>
      </x:c>
      <x:c r="C12" s="16" t="n">
        <x:f>SUM(C4:C11)</x:f>
        <x:v>40</x:v>
      </x:c>
      <x:c r="D12" s="16" t="n">
        <x:f>SUM(D4:D11)</x:f>
        <x:v>7</x:v>
      </x:c>
      <x:c r="E12" s="63" t="n">
        <x:f>SUM(E4:E11)</x:f>
        <x:v>1</x:v>
      </x:c>
      <x:c r="F12" s="63" t="n">
        <x:f>SUM(F4:F11)</x:f>
        <x:v>1</x:v>
      </x:c>
    </x:row>
  </x:sheetData>
  <x:mergeCells>
    <x:mergeCell ref="A1:F1"/>
    <x:mergeCell ref="A12:D12"/>
  </x:mergeCells>
  <x:pageMargins left="0.7" right="0.7" top="0.75" bottom="0.75" header="0.3" footer="0.3"/>
  <x:drawing xmlns:r="http://schemas.openxmlformats.org/officeDocument/2006/relationships" r:id="Rf6a31a1ab7894c2d"/>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4" t="str">
        <x:v>MFPDF v1.0 — Rebalancing Control Framework</x:v>
      </x:c>
      <x:c r="B1" s="4"/>
      <x:c r="C1" s="4"/>
      <x:c r="D1" s="4"/>
      <x:c r="E1" s="4"/>
      <x:c r="F1" s="4"/>
      <x:c r="G1" s="4"/>
    </x:row>
    <x:row r="3">
      <x:c r="A3" s="82" t="str">
        <x:v>Control</x:v>
      </x:c>
      <x:c r="B3" s="82" t="str">
        <x:v>Definition</x:v>
      </x:c>
      <x:c r="C3" s="82" t="str">
        <x:v>Formula / Trigger</x:v>
      </x:c>
      <x:c r="D3" s="82" t="str">
        <x:v>Required Action</x:v>
      </x:c>
      <x:c r="E3" s="82" t="str">
        <x:v>Authority</x:v>
      </x:c>
      <x:c r="F3" s="82" t="str">
        <x:v>Frequency</x:v>
      </x:c>
      <x:c r="G3" s="82" t="str">
        <x:v>Status</x:v>
      </x:c>
    </x:row>
    <x:row r="4">
      <x:c r="A4" s="42" t="str">
        <x:v>Target weight</x:v>
      </x:c>
      <x:c r="B4" s="42" t="str">
        <x:v>Certified strategic allocation for each holding</x:v>
      </x:c>
      <x:c r="C4" s="42" t="str">
        <x:v>Certified Allocation column F</x:v>
      </x:c>
      <x:c r="D4" s="42" t="str">
        <x:v>Benchmark actual portfolio</x:v>
      </x:c>
      <x:c r="E4" s="42" t="str">
        <x:v>MFPDF v1.0</x:v>
      </x:c>
      <x:c r="F4" s="42" t="str">
        <x:v>Continuous</x:v>
      </x:c>
      <x:c r="G4" s="42" t="str">
        <x:v>Active</x:v>
      </x:c>
    </x:row>
    <x:row r="5">
      <x:c r="A5" s="42" t="str">
        <x:v>Lower band</x:v>
      </x:c>
      <x:c r="B5" s="42" t="str">
        <x:v>75% of target, floored at 1.00%</x:v>
      </x:c>
      <x:c r="C5" s="42" t="str">
        <x:v>MAX(1%, Target × 75%)</x:v>
      </x:c>
      <x:c r="D5" s="42" t="str">
        <x:v>Review potential add</x:v>
      </x:c>
      <x:c r="E5" s="42" t="str">
        <x:v>Stewardship Committee</x:v>
      </x:c>
      <x:c r="F5" s="42" t="str">
        <x:v>When breached</x:v>
      </x:c>
      <x:c r="G5" s="42" t="str">
        <x:v>Active</x:v>
      </x:c>
    </x:row>
    <x:row r="6">
      <x:c r="A6" s="42" t="str">
        <x:v>Upper band</x:v>
      </x:c>
      <x:c r="B6" s="42" t="str">
        <x:v>125% of target, capped at 4.00%</x:v>
      </x:c>
      <x:c r="C6" s="42" t="str">
        <x:v>MIN(4%, Target × 125%)</x:v>
      </x:c>
      <x:c r="D6" s="42" t="str">
        <x:v>Review potential trim</x:v>
      </x:c>
      <x:c r="E6" s="42" t="str">
        <x:v>Stewardship Committee</x:v>
      </x:c>
      <x:c r="F6" s="42" t="str">
        <x:v>When breached</x:v>
      </x:c>
      <x:c r="G6" s="42" t="str">
        <x:v>Active</x:v>
      </x:c>
    </x:row>
    <x:row r="7">
      <x:c r="A7" s="42" t="str">
        <x:v>Actual weight</x:v>
      </x:c>
      <x:c r="B7" s="42" t="str">
        <x:v>Current account/model weight</x:v>
      </x:c>
      <x:c r="C7" s="42" t="str">
        <x:v>User-entered in column I</x:v>
      </x:c>
      <x:c r="D7" s="42" t="str">
        <x:v>Update before review</x:v>
      </x:c>
      <x:c r="E7" s="42" t="str">
        <x:v>Portfolio Operations</x:v>
      </x:c>
      <x:c r="F7" s="42" t="str">
        <x:v>Weekly / as needed</x:v>
      </x:c>
      <x:c r="G7" s="42" t="str">
        <x:v>Input required</x:v>
      </x:c>
    </x:row>
    <x:row r="8">
      <x:c r="A8" s="42" t="str">
        <x:v>Automatic trading</x:v>
      </x:c>
      <x:c r="B8" s="42" t="str">
        <x:v>Not authorized</x:v>
      </x:c>
      <x:c r="C8" s="42" t="str">
        <x:v>No automatic execution</x:v>
      </x:c>
      <x:c r="D8" s="42" t="str">
        <x:v>Committee review required</x:v>
      </x:c>
      <x:c r="E8" s="42" t="str">
        <x:v>Stewardship Committee</x:v>
      </x:c>
      <x:c r="F8" s="42" t="str">
        <x:v>As needed</x:v>
      </x:c>
      <x:c r="G8" s="42" t="str">
        <x:v>Prohibited</x:v>
      </x:c>
    </x:row>
    <x:row r="9">
      <x:c r="A9" s="42" t="str">
        <x:v>Scheduled review</x:v>
      </x:c>
      <x:c r="B9" s="42" t="str">
        <x:v>Portfolio-level reconciliation</x:v>
      </x:c>
      <x:c r="C9" s="42" t="str">
        <x:v>Quarterly plus material-event review</x:v>
      </x:c>
      <x:c r="D9" s="42" t="str">
        <x:v>Rebalance only when justified</x:v>
      </x:c>
      <x:c r="E9" s="42" t="str">
        <x:v>Stewardship Committee</x:v>
      </x:c>
      <x:c r="F9" s="42" t="str">
        <x:v>Quarterly</x:v>
      </x:c>
      <x:c r="G9" s="42" t="str">
        <x:v>Active</x:v>
      </x:c>
    </x:row>
  </x:sheetData>
  <x:mergeCells>
    <x:mergeCell ref="A1:G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32" hidden="0" customWidth="1"/>
    <x:col min="3" max="3" width="32" hidden="0" customWidth="1"/>
    <x:col min="4" max="4" width="32" hidden="0" customWidth="1"/>
    <x:col min="5" max="5" width="32" hidden="0" customWidth="1"/>
    <x:col min="6" max="6" width="20" hidden="0" customWidth="1"/>
  </x:cols>
  <x:sheetData>
    <x:row r="1">
      <x:c r="A1" s="4" t="str">
        <x:v>Sources, Reconciliation Record &amp; Certification</x:v>
      </x:c>
      <x:c r="B1" s="4"/>
      <x:c r="C1" s="4"/>
      <x:c r="D1" s="4"/>
      <x:c r="E1" s="4"/>
      <x:c r="F1" s="4"/>
    </x:row>
    <x:row r="3">
      <x:c r="A3" s="82" t="str">
        <x:v>Source / Record</x:v>
      </x:c>
      <x:c r="B3" s="82" t="str">
        <x:v>Use</x:v>
      </x:c>
      <x:c r="C3" s="82" t="str">
        <x:v>Key Finding</x:v>
      </x:c>
      <x:c r="D3" s="82" t="str">
        <x:v>Disposition</x:v>
      </x:c>
      <x:c r="E3" s="82" t="str">
        <x:v>Reference</x:v>
      </x:c>
      <x:c r="F3" s="82" t="str">
        <x:v>Status</x:v>
      </x:c>
    </x:row>
    <x:row r="4">
      <x:c r="A4" s="42" t="str">
        <x:v>MQOC-005 Portfolio B YCharts Export</x:v>
      </x:c>
      <x:c r="B4" s="42" t="str">
        <x:v>Canonical constituent list</x:v>
      </x:c>
      <x:c r="C4" s="42" t="str">
        <x:v>47 symbols including MMC</x:v>
      </x:c>
      <x:c r="D4" s="42" t="str">
        <x:v>Adopted as Portfolio B constituent control</x:v>
      </x:c>
      <x:c r="E4" s="42" t="str">
        <x:v>ChatGPT Library: MQOC-005_Portfolio_B_YCharts_Export.csv</x:v>
      </x:c>
      <x:c r="F4" s="42" t="str">
        <x:v>Certified</x:v>
      </x:c>
    </x:row>
    <x:row r="5">
      <x:c r="A5" s="42" t="str">
        <x:v>MQOC-006 Provisional Optimized Portfolio Weights</x:v>
      </x:c>
      <x:c r="B5" s="42" t="str">
        <x:v>Empirical target weights</x:v>
      </x:c>
      <x:c r="C5" s="42" t="str">
        <x:v>46 named positions + 2.00% placeholder</x:v>
      </x:c>
      <x:c r="D5" s="42" t="str">
        <x:v>Placeholder reconciled to MMC; all other weights unchanged</x:v>
      </x:c>
      <x:c r="E5" s="42" t="str">
        <x:v>ChatGPT Library: MQOC-006_Provisional_Optimized_Portfolio_Weights.xlsx</x:v>
      </x:c>
      <x:c r="F5" s="42" t="str">
        <x:v>Reconciled</x:v>
      </x:c>
    </x:row>
    <x:row r="6">
      <x:c r="A6" s="42" t="str">
        <x:v>Prior allocation workbook</x:v>
      </x:c>
      <x:c r="B6" s="42" t="str">
        <x:v>Preliminary 56-position ranges</x:v>
      </x:c>
      <x:c r="C6" s="42" t="str">
        <x:v>Different draft portfolio; not Portfolio B</x:v>
      </x:c>
      <x:c r="D6" s="42" t="str">
        <x:v>Declared obsolete and superseded</x:v>
      </x:c>
      <x:c r="E6" s="42" t="str">
        <x:v>Manifest_Flagship_Portfolio_V1_0_Allocation_Schedule.xlsx</x:v>
      </x:c>
      <x:c r="F6" s="42" t="str">
        <x:v>Obsolete</x:v>
      </x:c>
    </x:row>
    <x:row r="7">
      <x:c r="A7" s="42" t="str">
        <x:v>Position count reconciliation</x:v>
      </x:c>
      <x:c r="B7" s="42" t="str">
        <x:v>Constituent classification</x:v>
      </x:c>
      <x:c r="C7" s="42" t="str">
        <x:v>40 equities + 7 ETFs = 47 positions</x:v>
      </x:c>
      <x:c r="D7" s="42" t="str">
        <x:v>Workbook reflects actual Portfolio B export</x:v>
      </x:c>
      <x:c r="E7" s="42" t="str">
        <x:v>Certified Allocation sheet</x:v>
      </x:c>
      <x:c r="F7" s="42" t="str">
        <x:v>Verified</x:v>
      </x:c>
    </x:row>
    <x:row r="8">
      <x:c r="A8" s="42" t="str">
        <x:v>Weight reconciliation</x:v>
      </x:c>
      <x:c r="B8" s="42" t="str">
        <x:v>Portfolio total</x:v>
      </x:c>
      <x:c r="C8" s="42" t="str">
        <x:v>100.00% after MMC substitution</x:v>
      </x:c>
      <x:c r="D8" s="42" t="str">
        <x:v>No residual or unallocated cash</x:v>
      </x:c>
      <x:c r="E8" s="42" t="str">
        <x:v>Certified Allocation total</x:v>
      </x:c>
      <x:c r="F8" s="42" t="str">
        <x:v>Verified</x:v>
      </x:c>
    </x:row>
    <x:row r="9">
      <x:c r="A9" s="42" t="str">
        <x:v>Certification date</x:v>
      </x:c>
      <x:c r="B9" s="42" t="str">
        <x:v>Founders Edition operational record</x:v>
      </x:c>
      <x:c r="C9" s="84" t="n">
        <x:v>46223</x:v>
      </x:c>
      <x:c r="D9" s="42" t="str">
        <x:v>Effective upon publication</x:v>
      </x:c>
      <x:c r="E9" s="42" t="str">
        <x:v>MPEC / MFPDF record</x:v>
      </x:c>
      <x:c r="F9" s="42" t="str">
        <x:v>Certified</x:v>
      </x:c>
    </x:row>
    <x:row r="11">
      <x:c r="A11" s="16" t="str">
        <x:v>Certification Statement</x:v>
      </x:c>
      <x:c r="B11" s="16"/>
      <x:c r="C11" s="16"/>
      <x:c r="D11" s="16"/>
      <x:c r="E11" s="16"/>
      <x:c r="F11" s="16"/>
    </x:row>
    <x:row r="12" ht="28" customHeight="1">
      <x:c r="A12" s="584" t="str">
        <x:v>Portfolio B is designated as the sole canonical Manifest Flagship Portfolio implementation. This workbook is the authoritative MFPDF Founders Edition v1.0 target allocation schedule for MWIR benchmarking, stewardship review, optimization, Monte Carlo analysis, performance attribution and institutional publication.</x:v>
      </x:c>
      <x:c r="B12" s="584"/>
      <x:c r="C12" s="584"/>
      <x:c r="D12" s="584"/>
      <x:c r="E12" s="584"/>
      <x:c r="F12" s="584"/>
    </x:row>
    <x:row r="13" ht="28" customHeight="1">
      <x:c r="A13" s="584"/>
      <x:c r="B13" s="584"/>
      <x:c r="C13" s="584"/>
      <x:c r="D13" s="584"/>
      <x:c r="E13" s="584"/>
      <x:c r="F13" s="584"/>
    </x:row>
    <x:row r="14">
      <x:c r="A14" s="566"/>
      <x:c r="B14" s="566"/>
      <x:c r="C14" s="566"/>
      <x:c r="D14" s="566"/>
      <x:c r="E14" s="566"/>
      <x:c r="F14" s="566"/>
    </x:row>
    <x:row r="15" ht="22" customHeight="1">
      <x:c r="A15" s="566" t="str">
        <x:v>MOPS-002 Workspace Certification</x:v>
      </x:c>
      <x:c r="B15" s="566"/>
      <x:c r="C15" s="566"/>
      <x:c r="D15" s="566"/>
      <x:c r="E15" s="566"/>
      <x:c r="F15" s="566"/>
    </x:row>
    <x:row r="16" ht="24" customHeight="1">
      <x:c r="A16" s="588" t="str">
        <x:v>Resolution</x:v>
      </x:c>
      <x:c r="B16" s="588" t="str">
        <x:v>Use</x:v>
      </x:c>
      <x:c r="C16" s="588" t="str">
        <x:v>Certified Scope</x:v>
      </x:c>
      <x:c r="D16" s="588" t="str">
        <x:v>Disposition</x:v>
      </x:c>
      <x:c r="E16" s="588" t="str">
        <x:v>Reference</x:v>
      </x:c>
      <x:c r="F16" s="588" t="str">
        <x:v>Status</x:v>
      </x:c>
    </x:row>
    <x:row r="17" ht="42" customHeight="1">
      <x:c r="A17" s="574" t="str">
        <x:v>MOPS-002-FR-001</x:v>
      </x:c>
      <x:c r="B17" s="574" t="str">
        <x:v>Workspace architecture certification</x:v>
      </x:c>
      <x:c r="C17" s="574" t="str">
        <x:v>PEW-001 through PEW-007, control principles and workflow</x:v>
      </x:c>
      <x:c r="D17" s="574" t="str">
        <x:v>Adopted, certified and frozen effective July 26, 2026</x:v>
      </x:c>
      <x:c r="E17" s="574" t="str">
        <x:v>15 MOPS-002 Freeze Record</x:v>
      </x:c>
      <x:c r="F17" s="574" t="str">
        <x:v>Certified &amp; Frozen</x:v>
      </x:c>
    </x:row>
    <x:row r="18">
      <x:c r="A18" s="580"/>
      <x:c r="B18" s="580"/>
      <x:c r="C18" s="580"/>
      <x:c r="D18" s="580"/>
      <x:c r="E18" s="580"/>
      <x:c r="F18" s="580"/>
    </x:row>
    <x:row r="19" ht="24" customHeight="1">
      <x:c r="A19" s="590" t="str">
        <x:v>Workspace certification does not certify a portfolio scenario, a trade, or a new MFPDF issuance. The existing certified Portfolio B allocation remains unchanged.</x:v>
      </x:c>
      <x:c r="B19" s="590"/>
      <x:c r="C19" s="590"/>
      <x:c r="D19" s="590"/>
      <x:c r="E19" s="590"/>
      <x:c r="F19" s="590"/>
    </x:row>
    <x:row r="20" ht="24" customHeight="1">
      <x:c r="A20" s="851" t="str">
        <x:v>MOPS-003 Research Command Center — Construction Record</x:v>
      </x:c>
      <x:c r="B20" s="851"/>
      <x:c r="C20" s="851"/>
      <x:c r="D20" s="851"/>
      <x:c r="E20" s="851"/>
      <x:c r="F20" s="851"/>
    </x:row>
    <x:row r="21">
      <x:c r="A21" s="809" t="str">
        <x:v>Resolution / Module</x:v>
      </x:c>
      <x:c r="B21" s="809" t="str">
        <x:v>Use</x:v>
      </x:c>
      <x:c r="C21" s="809" t="str">
        <x:v>Installed Scope</x:v>
      </x:c>
      <x:c r="D21" s="809" t="str">
        <x:v>Disposition</x:v>
      </x:c>
      <x:c r="E21" s="809" t="str">
        <x:v>Reference</x:v>
      </x:c>
      <x:c r="F21" s="809" t="str">
        <x:v>Status</x:v>
      </x:c>
    </x:row>
    <x:row r="22">
      <x:c r="A22" s="853" t="str">
        <x:v>MOPS-003 / RCC-001</x:v>
      </x:c>
      <x:c r="B22" s="853" t="str">
        <x:v>Executive research command view</x:v>
      </x:c>
      <x:c r="C22" s="853" t="str">
        <x:v>Research readiness, exception queue, module roadmap and referrals</x:v>
      </x:c>
      <x:c r="D22" s="853" t="str">
        <x:v>Installed as construction candidate</x:v>
      </x:c>
      <x:c r="E22" s="853" t="str">
        <x:v>16 RCC-001 Control Center</x:v>
      </x:c>
      <x:c r="F22" s="853" t="str">
        <x:v>Active — Installed</x:v>
      </x:c>
    </x:row>
    <x:row r="23">
      <x:c r="A23" s="853" t="str">
        <x:v>MOPS-003 / RCC-002</x:v>
      </x:c>
      <x:c r="B23" s="853" t="str">
        <x:v>Research intake and chain-of-evidence control</x:v>
      </x:c>
      <x:c r="C23" s="853" t="str">
        <x:v>Evidence ledger, verification, materiality, routing and referral gates</x:v>
      </x:c>
      <x:c r="D23" s="853" t="str">
        <x:v>Installed as construction candidate</x:v>
      </x:c>
      <x:c r="E23" s="853" t="str">
        <x:v>17 RCC-002 Control Center / 18 RCC-002 Evidence Ledger</x:v>
      </x:c>
      <x:c r="F23" s="853" t="str">
        <x:v>Active — Installed</x:v>
      </x:c>
    </x:row>
    <x:row r="24">
      <x:c r="A24" t="str">
        <x:v>MOPS-003 / RCC-003</x:v>
      </x:c>
      <x:c r="B24" t="str">
        <x:v>MIAR dossier identity, freshness and review control</x:v>
      </x:c>
      <x:c r="C24" t="str">
        <x:v>47-holding MIAR registry, review log, scores, cadence, exception controls and RCC-007 referral state</x:v>
      </x:c>
      <x:c r="D24" t="str">
        <x:v>Installed as construction candidate</x:v>
      </x:c>
      <x:c r="E24" t="str">
        <x:v>19 RCC-003 Control Center / 20 RCC-003 MIAR Registry / 21 RCC-003 MIAR Review Log</x:v>
      </x:c>
      <x:c r="F24" t="str">
        <x:v>Active — Installed</x:v>
      </x:c>
    </x:row>
    <x:row r="25" ht="42" customHeight="1">
      <x:c r="A25" s="1285" t="str">
        <x:v>MOPS-003 / RCC-004</x:v>
      </x:c>
      <x:c r="B25" s="1285" t="str">
        <x:v>MASR registry, candidate stage-gate and PEW referral control</x:v>
      </x:c>
      <x:c r="C25" s="1285" t="str">
        <x:v>150-slot controlled MASR registry, 47 certified holdings seeded, 200-row candidate pipeline, eligibility and exception gates, committee disposition and PEW-004 linkage</x:v>
      </x:c>
      <x:c r="D25" s="1285" t="str">
        <x:v>Installed as construction candidate</x:v>
      </x:c>
      <x:c r="E25" s="1285" t="str">
        <x:v>22 RCC-004 Control Center / 23 RCC-004 MASR Registry / 24 RCC-004 Candidate Pipeline</x:v>
      </x:c>
      <x:c r="F25" s="1285" t="str">
        <x:v>Active — Installed</x:v>
      </x:c>
    </x:row>
    <x:row r="26">
      <x:c r="A26" s="1284" t="str">
        <x:v>MOPS-003 remains in construction and is not frozen. RCC-001 through RCC-004 certify neither a research conclusion nor a portfolio action. They create an auditable evidence-to-dossier-to-registry-to-candidate control path while preserving the certified MFPDF as the sole portfolio system of record.</x:v>
      </x:c>
      <x:c r="B26" s="1284"/>
      <x:c r="C26" s="1284"/>
      <x:c r="D26" s="1284"/>
      <x:c r="E26" s="1284"/>
      <x:c r="F26" s="1284"/>
    </x:row>
  </x:sheetData>
  <x:mergeCells>
    <x:mergeCell ref="A1:F1"/>
    <x:mergeCell ref="A11:F11"/>
    <x:mergeCell ref="A12:F13"/>
    <x:mergeCell ref="A15:F15"/>
    <x:mergeCell ref="A19:F20"/>
    <x:mergeCell ref="A20:F20"/>
    <x:mergeCell ref="A25:F25"/>
    <x:mergeCell ref="A26:F26"/>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30" hidden="0" customWidth="1"/>
    <x:col min="4" max="4" width="16" hidden="0" customWidth="1"/>
    <x:col min="5" max="5" width="16" hidden="0" customWidth="1"/>
    <x:col min="6" max="6" width="16" hidden="0" customWidth="1"/>
    <x:col min="7" max="7" width="16" hidden="0" customWidth="1"/>
    <x:col min="8" max="8" width="16" hidden="0" customWidth="1"/>
    <x:col min="9" max="9" width="3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28" hidden="0" customWidth="1"/>
    <x:col min="21" max="21" width="16" hidden="0" customWidth="1"/>
    <x:col min="22" max="22" width="38" hidden="0" customWidth="1"/>
    <x:col min="23" max="23" width="16" hidden="0" customWidth="1"/>
    <x:col min="24" max="24" width="16" hidden="0" customWidth="1"/>
  </x:cols>
  <x:sheetData>
    <x:row r="1">
      <x:c r="A1" s="90" t="str">
        <x:v>Sleeve</x:v>
      </x:c>
      <x:c r="B1" s="90" t="str">
        <x:v>Target</x:v>
      </x:c>
      <x:c r="C1" s="90" t="str">
        <x:v>Actual</x:v>
      </x:c>
      <x:c r="D1" s="90" t="str">
        <x:v>Variance</x:v>
      </x:c>
      <x:c r="R1" s="90" t="str">
        <x:v>Rank</x:v>
      </x:c>
      <x:c r="S1" s="90" t="str">
        <x:v>Symbol</x:v>
      </x:c>
      <x:c r="T1" s="90" t="str">
        <x:v>Security</x:v>
      </x:c>
      <x:c r="U1" s="90" t="str">
        <x:v>Weight</x:v>
      </x:c>
      <x:c r="V1" s="90" t="str">
        <x:v>Portfolio Role</x:v>
      </x:c>
      <x:c r="W1" s="90" t="str">
        <x:v>Conviction</x:v>
      </x:c>
    </x:row>
    <x:row r="2">
      <x:c r="A2" t="str">
        <x:f>'Sleeve Summary'!A4</x:f>
        <x:v>Strategic Anchors</x:v>
      </x:c>
      <x:c r="B2" s="27" t="n">
        <x:f>'Sleeve Summary'!E4</x:f>
        <x:v>0.22510000000000002</x:v>
      </x:c>
      <x:c r="C2" s="27" t="n">
        <x:f>IF($B$61=0,SUMIF('Certified Allocation'!$A$5:$A$51,A2,'Certified Allocation'!$I$5:$I$51),0)</x:f>
        <x:v>0</x:v>
      </x:c>
      <x:c r="D2" s="27" t="n">
        <x:f>C2-B2</x:f>
        <x:v>-0.22510000000000002</x:v>
      </x:c>
      <x:c r="R2" t="n">
        <x:v>1</x:v>
      </x:c>
      <x:c r="S2" t="str">
        <x:f>IFERROR(INDEX($B$12:$B$58,MATCH(R2,$H$12:$H$58,0)),"")</x:f>
        <x:v>BRK.B</x:v>
      </x:c>
      <x:c r="T2" t="str">
        <x:f>IFERROR(INDEX($C$12:$C$58,MATCH(R2,$H$12:$H$58,0)),"")</x:f>
        <x:v>Berkshire Hathaway Inc. Class B</x:v>
      </x:c>
      <x:c r="U2" s="27" t="n">
        <x:f>IFERROR(INDEX($G$12:$G$58,MATCH(R2,$H$12:$H$58,0)),"")</x:f>
        <x:v>0.0302</x:v>
      </x:c>
      <x:c r="V2" t="str">
        <x:f>IFERROR(INDEX($I$12:$I$58,MATCH(R2,$H$12:$H$58,0)),"")</x:f>
        <x:v>Diversified capital-allocation anchor</x:v>
      </x:c>
      <x:c r="W2" t="str">
        <x:f>IFERROR(INDEX($J$12:$J$58,MATCH(R2,$H$12:$H$58,0)),"")</x:f>
        <x:v>Unassigned</x:v>
      </x:c>
    </x:row>
    <x:row r="3">
      <x:c r="A3" t="str">
        <x:f>'Sleeve Summary'!A5</x:f>
        <x:v>Growth Compounders</x:v>
      </x:c>
      <x:c r="B3" s="27" t="n">
        <x:f>'Sleeve Summary'!E5</x:f>
        <x:v>0.13390000000000002</x:v>
      </x:c>
      <x:c r="C3" s="27" t="n">
        <x:f>IF($B$61=0,SUMIF('Certified Allocation'!$A$5:$A$51,A3,'Certified Allocation'!$I$5:$I$51),0)</x:f>
        <x:v>0</x:v>
      </x:c>
      <x:c r="D3" s="27" t="n">
        <x:f>C3-B3</x:f>
        <x:v>-0.13390000000000002</x:v>
      </x:c>
      <x:c r="R3" t="n">
        <x:v>2</x:v>
      </x:c>
      <x:c r="S3" t="str">
        <x:f>IFERROR(INDEX($B$12:$B$58,MATCH(R3,$H$12:$H$58,0)),"")</x:f>
        <x:v>COST</x:v>
      </x:c>
      <x:c r="T3" t="str">
        <x:f>IFERROR(INDEX($C$12:$C$58,MATCH(R3,$H$12:$H$58,0)),"")</x:f>
        <x:v>Costco Wholesale Corporation</x:v>
      </x:c>
      <x:c r="U3" s="27" t="n">
        <x:f>IFERROR(INDEX($G$12:$G$58,MATCH(R3,$H$12:$H$58,0)),"")</x:f>
        <x:v>0.0302</x:v>
      </x:c>
      <x:c r="V3" t="str">
        <x:f>IFERROR(INDEX($I$12:$I$58,MATCH(R3,$H$12:$H$58,0)),"")</x:f>
        <x:v>Consumer-resilience anchor</x:v>
      </x:c>
      <x:c r="W3" t="str">
        <x:f>IFERROR(INDEX($J$12:$J$58,MATCH(R3,$H$12:$H$58,0)),"")</x:f>
        <x:v>Unassigned</x:v>
      </x:c>
    </x:row>
    <x:row r="4">
      <x:c r="A4" t="str">
        <x:f>'Sleeve Summary'!A6</x:f>
        <x:v>Digital Infrastructure &amp; AI</x:v>
      </x:c>
      <x:c r="B4" s="27" t="n">
        <x:f>'Sleeve Summary'!E6</x:f>
        <x:v>0.129</x:v>
      </x:c>
      <x:c r="C4" s="27" t="n">
        <x:f>IF($B$61=0,SUMIF('Certified Allocation'!$A$5:$A$51,A4,'Certified Allocation'!$I$5:$I$51),0)</x:f>
        <x:v>0</x:v>
      </x:c>
      <x:c r="D4" s="27" t="n">
        <x:f>C4-B4</x:f>
        <x:v>-0.129</x:v>
      </x:c>
      <x:c r="R4" t="n">
        <x:v>3</x:v>
      </x:c>
      <x:c r="S4" t="str">
        <x:f>IFERROR(INDEX($B$12:$B$58,MATCH(R4,$H$12:$H$58,0)),"")</x:f>
        <x:v>JNJ</x:v>
      </x:c>
      <x:c r="T4" t="str">
        <x:f>IFERROR(INDEX($C$12:$C$58,MATCH(R4,$H$12:$H$58,0)),"")</x:f>
        <x:v>Johnson &amp; Johnson</x:v>
      </x:c>
      <x:c r="U4" s="27" t="n">
        <x:f>IFERROR(INDEX($G$12:$G$58,MATCH(R4,$H$12:$H$58,0)),"")</x:f>
        <x:v>0.0302</x:v>
      </x:c>
      <x:c r="V4" t="str">
        <x:f>IFERROR(INDEX($I$12:$I$58,MATCH(R4,$H$12:$H$58,0)),"")</x:f>
        <x:v>Healthcare and life-sciences resilience anchor</x:v>
      </x:c>
      <x:c r="W4" t="str">
        <x:f>IFERROR(INDEX($J$12:$J$58,MATCH(R4,$H$12:$H$58,0)),"")</x:f>
        <x:v>Unassigned</x:v>
      </x:c>
    </x:row>
    <x:row r="5">
      <x:c r="A5" t="str">
        <x:f>'Sleeve Summary'!A7</x:f>
        <x:v>Industrials &amp; Infrastructure</x:v>
      </x:c>
      <x:c r="B5" s="27" t="n">
        <x:f>'Sleeve Summary'!E7</x:f>
        <x:v>0.17110000000000003</x:v>
      </x:c>
      <x:c r="C5" s="27" t="n">
        <x:f>IF($B$61=0,SUMIF('Certified Allocation'!$A$5:$A$51,A5,'Certified Allocation'!$I$5:$I$51),0)</x:f>
        <x:v>0</x:v>
      </x:c>
      <x:c r="D5" s="27" t="n">
        <x:f>C5-B5</x:f>
        <x:v>-0.17110000000000003</x:v>
      </x:c>
      <x:c r="R5" t="n">
        <x:v>4</x:v>
      </x:c>
      <x:c r="S5" t="str">
        <x:f>IFERROR(INDEX($B$12:$B$58,MATCH(R5,$H$12:$H$58,0)),"")</x:f>
        <x:v>MSFT</x:v>
      </x:c>
      <x:c r="T5" t="str">
        <x:f>IFERROR(INDEX($C$12:$C$58,MATCH(R5,$H$12:$H$58,0)),"")</x:f>
        <x:v>Microsoft Corporation</x:v>
      </x:c>
      <x:c r="U5" s="27" t="n">
        <x:f>IFERROR(INDEX($G$12:$G$58,MATCH(R5,$H$12:$H$58,0)),"")</x:f>
        <x:v>0.0302</x:v>
      </x:c>
      <x:c r="V5" t="str">
        <x:f>IFERROR(INDEX($I$12:$I$58,MATCH(R5,$H$12:$H$58,0)),"")</x:f>
        <x:v>Enterprise technology and AI platform anchor</x:v>
      </x:c>
      <x:c r="W5" t="str">
        <x:f>IFERROR(INDEX($J$12:$J$58,MATCH(R5,$H$12:$H$58,0)),"")</x:f>
        <x:v>Unassigned</x:v>
      </x:c>
    </x:row>
    <x:row r="6">
      <x:c r="A6" t="str">
        <x:f>'Sleeve Summary'!A8</x:f>
        <x:v>Financial Infrastructure</x:v>
      </x:c>
      <x:c r="B6" s="27" t="n">
        <x:f>'Sleeve Summary'!E8</x:f>
        <x:v>0.097</x:v>
      </x:c>
      <x:c r="C6" s="27" t="n">
        <x:f>IF($B$61=0,SUMIF('Certified Allocation'!$A$5:$A$51,A6,'Certified Allocation'!$I$5:$I$51),0)</x:f>
        <x:v>0</x:v>
      </x:c>
      <x:c r="D6" s="27" t="n">
        <x:f>C6-B6</x:f>
        <x:v>-0.097</x:v>
      </x:c>
      <x:c r="R6" t="n">
        <x:v>5</x:v>
      </x:c>
      <x:c r="S6" t="str">
        <x:f>IFERROR(INDEX($B$12:$B$58,MATCH(R6,$H$12:$H$58,0)),"")</x:f>
        <x:v>AVGO</x:v>
      </x:c>
      <x:c r="T6" t="str">
        <x:f>IFERROR(INDEX($C$12:$C$58,MATCH(R6,$H$12:$H$58,0)),"")</x:f>
        <x:v>Broadcom Inc.</x:v>
      </x:c>
      <x:c r="U6" s="27" t="n">
        <x:f>IFERROR(INDEX($G$12:$G$58,MATCH(R6,$H$12:$H$58,0)),"")</x:f>
        <x:v>0.0302</x:v>
      </x:c>
      <x:c r="V6" t="str">
        <x:f>IFERROR(INDEX($I$12:$I$58,MATCH(R6,$H$12:$H$58,0)),"")</x:f>
        <x:v>Semiconductor and infrastructure-software compounder</x:v>
      </x:c>
      <x:c r="W6" t="str">
        <x:f>IFERROR(INDEX($J$12:$J$58,MATCH(R6,$H$12:$H$58,0)),"")</x:f>
        <x:v>Unassigned</x:v>
      </x:c>
    </x:row>
    <x:row r="7">
      <x:c r="A7" t="str">
        <x:f>'Sleeve Summary'!A9</x:f>
        <x:v>Healthcare Leadership</x:v>
      </x:c>
      <x:c r="B7" s="27" t="n">
        <x:f>'Sleeve Summary'!E9</x:f>
        <x:v>0.0361</x:v>
      </x:c>
      <x:c r="C7" s="27" t="n">
        <x:f>IF($B$61=0,SUMIF('Certified Allocation'!$A$5:$A$51,A7,'Certified Allocation'!$I$5:$I$51),0)</x:f>
        <x:v>0</x:v>
      </x:c>
      <x:c r="D7" s="27" t="n">
        <x:f>C7-B7</x:f>
        <x:v>-0.0361</x:v>
      </x:c>
      <x:c r="R7" t="n">
        <x:v>6</x:v>
      </x:c>
      <x:c r="S7" t="str">
        <x:f>IFERROR(INDEX($B$12:$B$58,MATCH(R7,$H$12:$H$58,0)),"")</x:f>
        <x:v>LLY</x:v>
      </x:c>
      <x:c r="T7" t="str">
        <x:f>IFERROR(INDEX($C$12:$C$58,MATCH(R7,$H$12:$H$58,0)),"")</x:f>
        <x:v>Eli Lilly and Company</x:v>
      </x:c>
      <x:c r="U7" s="27" t="n">
        <x:f>IFERROR(INDEX($G$12:$G$58,MATCH(R7,$H$12:$H$58,0)),"")</x:f>
        <x:v>0.0302</x:v>
      </x:c>
      <x:c r="V7" t="str">
        <x:f>IFERROR(INDEX($I$12:$I$58,MATCH(R7,$H$12:$H$58,0)),"")</x:f>
        <x:v>Healthcare innovation compounder</x:v>
      </x:c>
      <x:c r="W7" t="str">
        <x:f>IFERROR(INDEX($J$12:$J$58,MATCH(R7,$H$12:$H$58,0)),"")</x:f>
        <x:v>Unassigned</x:v>
      </x:c>
    </x:row>
    <x:row r="8">
      <x:c r="A8" t="str">
        <x:f>'Sleeve Summary'!A10</x:f>
        <x:v>Energy &amp; Natural Resources</x:v>
      </x:c>
      <x:c r="B8" s="27" t="n">
        <x:f>'Sleeve Summary'!E10</x:f>
        <x:v>0.11720000000000001</x:v>
      </x:c>
      <x:c r="C8" s="27" t="n">
        <x:f>IF($B$61=0,SUMIF('Certified Allocation'!$A$5:$A$51,A8,'Certified Allocation'!$I$5:$I$51),0)</x:f>
        <x:v>0</x:v>
      </x:c>
      <x:c r="D8" s="27" t="n">
        <x:f>C8-B8</x:f>
        <x:v>-0.11720000000000001</x:v>
      </x:c>
      <x:c r="R8" t="n">
        <x:v>7</x:v>
      </x:c>
      <x:c r="S8" t="str">
        <x:f>IFERROR(INDEX($B$12:$B$58,MATCH(R8,$H$12:$H$58,0)),"")</x:f>
        <x:v>CME</x:v>
      </x:c>
      <x:c r="T8" t="str">
        <x:f>IFERROR(INDEX($C$12:$C$58,MATCH(R8,$H$12:$H$58,0)),"")</x:f>
        <x:v>CME Group Inc.</x:v>
      </x:c>
      <x:c r="U8" s="27" t="n">
        <x:f>IFERROR(INDEX($G$12:$G$58,MATCH(R8,$H$12:$H$58,0)),"")</x:f>
        <x:v>0.0302</x:v>
      </x:c>
      <x:c r="V8" t="str">
        <x:f>IFERROR(INDEX($I$12:$I$58,MATCH(R8,$H$12:$H$58,0)),"")</x:f>
        <x:v>Market infrastructure and derivatives exchange</x:v>
      </x:c>
      <x:c r="W8" t="str">
        <x:f>IFERROR(INDEX($J$12:$J$58,MATCH(R8,$H$12:$H$58,0)),"")</x:f>
        <x:v>Unassigned</x:v>
      </x:c>
    </x:row>
    <x:row r="9">
      <x:c r="A9" t="str">
        <x:f>'Sleeve Summary'!A11</x:f>
        <x:v>Income &amp; Risk Management</x:v>
      </x:c>
      <x:c r="B9" s="27" t="n">
        <x:f>'Sleeve Summary'!E11</x:f>
        <x:v>0.0906</x:v>
      </x:c>
      <x:c r="C9" s="27" t="n">
        <x:f>IF($B$61=0,SUMIF('Certified Allocation'!$A$5:$A$51,A9,'Certified Allocation'!$I$5:$I$51),0)</x:f>
        <x:v>0</x:v>
      </x:c>
      <x:c r="D9" s="27" t="n">
        <x:f>C9-B9</x:f>
        <x:v>-0.0906</x:v>
      </x:c>
      <x:c r="R9" t="n">
        <x:v>8</x:v>
      </x:c>
      <x:c r="S9" t="str">
        <x:f>IFERROR(INDEX($B$12:$B$58,MATCH(R9,$H$12:$H$58,0)),"")</x:f>
        <x:v>LNG</x:v>
      </x:c>
      <x:c r="T9" t="str">
        <x:f>IFERROR(INDEX($C$12:$C$58,MATCH(R9,$H$12:$H$58,0)),"")</x:f>
        <x:v>Cheniere Energy, Inc.</x:v>
      </x:c>
      <x:c r="U9" s="27" t="n">
        <x:f>IFERROR(INDEX($G$12:$G$58,MATCH(R9,$H$12:$H$58,0)),"")</x:f>
        <x:v>0.0302</x:v>
      </x:c>
      <x:c r="V9" t="str">
        <x:f>IFERROR(INDEX($I$12:$I$58,MATCH(R9,$H$12:$H$58,0)),"")</x:f>
        <x:v>LNG export infrastructure</x:v>
      </x:c>
      <x:c r="W9" t="str">
        <x:f>IFERROR(INDEX($J$12:$J$58,MATCH(R9,$H$12:$H$58,0)),"")</x:f>
        <x:v>Unassigned</x:v>
      </x:c>
    </x:row>
    <x:row r="10">
      <x:c r="R10" t="n">
        <x:v>9</x:v>
      </x:c>
      <x:c r="S10" t="str">
        <x:f>IFERROR(INDEX($B$12:$B$58,MATCH(R10,$H$12:$H$58,0)),"")</x:f>
        <x:v>VPU</x:v>
      </x:c>
      <x:c r="T10" t="str">
        <x:f>IFERROR(INDEX($C$12:$C$58,MATCH(R10,$H$12:$H$58,0)),"")</x:f>
        <x:v>Vanguard Utilities ETF</x:v>
      </x:c>
      <x:c r="U10" s="27" t="n">
        <x:f>IFERROR(INDEX($G$12:$G$58,MATCH(R10,$H$12:$H$58,0)),"")</x:f>
        <x:v>0.0302</x:v>
      </x:c>
      <x:c r="V10" t="str">
        <x:f>IFERROR(INDEX($I$12:$I$58,MATCH(R10,$H$12:$H$58,0)),"")</x:f>
        <x:v>Utilities and defensive infrastructure ETF</x:v>
      </x:c>
      <x:c r="W10" t="str">
        <x:f>IFERROR(INDEX($J$12:$J$58,MATCH(R10,$H$12:$H$58,0)),"")</x:f>
        <x:v>Unassigned</x:v>
      </x:c>
    </x:row>
    <x:row r="11">
      <x:c r="A11" s="90" t="str">
        <x:v>Source Row</x:v>
      </x:c>
      <x:c r="B11" s="90" t="str">
        <x:v>Symbol</x:v>
      </x:c>
      <x:c r="C11" s="90" t="str">
        <x:v>Security</x:v>
      </x:c>
      <x:c r="D11" s="90" t="str">
        <x:v>Sleeve</x:v>
      </x:c>
      <x:c r="E11" s="90" t="str">
        <x:v>Target</x:v>
      </x:c>
      <x:c r="F11" s="90" t="str">
        <x:v>Actual</x:v>
      </x:c>
      <x:c r="G11" s="90" t="str">
        <x:v>Ranking Weight</x:v>
      </x:c>
      <x:c r="H11" s="90" t="str">
        <x:v>Rank</x:v>
      </x:c>
      <x:c r="I11" s="90" t="str">
        <x:v>Portfolio Role</x:v>
      </x:c>
      <x:c r="J11" s="90" t="str">
        <x:v>Conviction</x:v>
      </x:c>
      <x:c r="K11" s="90" t="str">
        <x:v>Lower</x:v>
      </x:c>
      <x:c r="L11" s="90" t="str">
        <x:v>Upper</x:v>
      </x:c>
      <x:c r="M11" s="90" t="str">
        <x:v>Band Status</x:v>
      </x:c>
      <x:c r="N11" s="90" t="str">
        <x:v>Action</x:v>
      </x:c>
      <x:c r="O11" s="90" t="str">
        <x:v>Alert Score</x:v>
      </x:c>
      <x:c r="P11" s="90" t="str">
        <x:v>Alert Rank</x:v>
      </x:c>
      <x:c r="R11" t="n">
        <x:v>10</x:v>
      </x:c>
      <x:c r="S11" t="str">
        <x:f>IFERROR(INDEX($B$12:$B$58,MATCH(R11,$H$12:$H$58,0)),"")</x:f>
        <x:v>JEPI</x:v>
      </x:c>
      <x:c r="T11" t="str">
        <x:f>IFERROR(INDEX($C$12:$C$58,MATCH(R11,$H$12:$H$58,0)),"")</x:f>
        <x:v>JPMorgan Equity Premium Income ETF</x:v>
      </x:c>
      <x:c r="U11" s="27" t="n">
        <x:f>IFERROR(INDEX($G$12:$G$58,MATCH(R11,$H$12:$H$58,0)),"")</x:f>
        <x:v>0.0302</x:v>
      </x:c>
      <x:c r="V11" t="str">
        <x:f>IFERROR(INDEX($I$12:$I$58,MATCH(R11,$H$12:$H$58,0)),"")</x:f>
        <x:v>Diversified equity income and volatility moderation</x:v>
      </x:c>
      <x:c r="W11" t="str">
        <x:f>IFERROR(INDEX($J$12:$J$58,MATCH(R11,$H$12:$H$58,0)),"")</x:f>
        <x:v>Unassigned</x:v>
      </x:c>
    </x:row>
    <x:row r="12">
      <x:c r="A12" t="n">
        <x:v>5</x:v>
      </x:c>
      <x:c r="B12" t="str">
        <x:f>'Certified Allocation'!B5</x:f>
        <x:v>BRK.B</x:v>
      </x:c>
      <x:c r="C12" t="str">
        <x:f>'Certified Allocation'!C5</x:f>
        <x:v>Berkshire Hathaway Inc. Class B</x:v>
      </x:c>
      <x:c r="D12" t="str">
        <x:f>'Certified Allocation'!A5</x:f>
        <x:v>Strategic Anchors</x:v>
      </x:c>
      <x:c r="E12" s="27" t="n">
        <x:f>'Certified Allocation'!F5</x:f>
        <x:v>0.0302</x:v>
      </x:c>
      <x:c r="F12" s="27" t="n">
        <x:f>'Certified Allocation'!I5</x:f>
        <x:v>0</x:v>
      </x:c>
      <x:c r="G12" s="27" t="n">
        <x:f>IF($B$61=0,F12,E12)</x:f>
        <x:v>0.0302</x:v>
      </x:c>
      <x:c r="H12" t="n">
        <x:f>RANK(G12,$G$12:$G$58,0)+COUNTIF($G$12:G12,G12)-1</x:f>
        <x:v>1</x:v>
      </x:c>
      <x:c r="I12" t="str">
        <x:f>'Certified Allocation'!E5</x:f>
        <x:v>Diversified capital-allocation anchor</x:v>
      </x:c>
      <x:c r="J12" t="str">
        <x:f>'Certified Allocation'!M5</x:f>
        <x:v>Unassigned</x:v>
      </x:c>
      <x:c r="K12" s="27" t="n">
        <x:f>'Certified Allocation'!G5</x:f>
        <x:v>0.02265</x:v>
      </x:c>
      <x:c r="L12" s="27" t="n">
        <x:f>'Certified Allocation'!H5</x:f>
        <x:v>0.03775</x:v>
      </x:c>
      <x:c r="M12" t="str">
        <x:f>'Certified Allocation'!K5</x:f>
        <x:v>Not entered</x:v>
      </x:c>
      <x:c r="N12" t="str">
        <x:f>'Certified Allocation'!L5</x:f>
        <x:v>Enter actual weight</x:v>
      </x:c>
      <x:c r="O12" s="27" t="n">
        <x:f>IF(F12="",0,IF(OR(F12&lt;K12,F12&gt;L12),ABS(F12-E12),0))</x:f>
        <x:v>0.0302</x:v>
      </x:c>
      <x:c r="P12" t="n">
        <x:f>IF(O12=0,"",RANK(O12,$O$12:$O$58,0)+COUNTIF($O$12:O12,O12)-1)</x:f>
        <x:v>1</x:v>
      </x:c>
    </x:row>
    <x:row r="13">
      <x:c r="A13" t="n">
        <x:v>6</x:v>
      </x:c>
      <x:c r="B13" t="str">
        <x:f>'Certified Allocation'!B6</x:f>
        <x:v>COST</x:v>
      </x:c>
      <x:c r="C13" t="str">
        <x:f>'Certified Allocation'!C6</x:f>
        <x:v>Costco Wholesale Corporation</x:v>
      </x:c>
      <x:c r="D13" t="str">
        <x:f>'Certified Allocation'!A6</x:f>
        <x:v>Strategic Anchors</x:v>
      </x:c>
      <x:c r="E13" s="27" t="n">
        <x:f>'Certified Allocation'!F6</x:f>
        <x:v>0.0302</x:v>
      </x:c>
      <x:c r="F13" s="27" t="n">
        <x:f>'Certified Allocation'!I6</x:f>
        <x:v>0</x:v>
      </x:c>
      <x:c r="G13" s="27" t="n">
        <x:f>IF($B$61=0,F13,E13)</x:f>
        <x:v>0.0302</x:v>
      </x:c>
      <x:c r="H13" t="n">
        <x:f>RANK(G13,$G$12:$G$58,0)+COUNTIF($G$12:G13,G13)-1</x:f>
        <x:v>2</x:v>
      </x:c>
      <x:c r="I13" t="str">
        <x:f>'Certified Allocation'!E6</x:f>
        <x:v>Consumer-resilience anchor</x:v>
      </x:c>
      <x:c r="J13" t="str">
        <x:f>'Certified Allocation'!M6</x:f>
        <x:v>Unassigned</x:v>
      </x:c>
      <x:c r="K13" s="27" t="n">
        <x:f>'Certified Allocation'!G6</x:f>
        <x:v>0.02265</x:v>
      </x:c>
      <x:c r="L13" s="27" t="n">
        <x:f>'Certified Allocation'!H6</x:f>
        <x:v>0.03775</x:v>
      </x:c>
      <x:c r="M13" t="str">
        <x:f>'Certified Allocation'!K6</x:f>
        <x:v>Not entered</x:v>
      </x:c>
      <x:c r="N13" t="str">
        <x:f>'Certified Allocation'!L6</x:f>
        <x:v>Enter actual weight</x:v>
      </x:c>
      <x:c r="O13" s="27" t="n">
        <x:f>IF(F13="",0,IF(OR(F13&lt;K13,F13&gt;L13),ABS(F13-E13),0))</x:f>
        <x:v>0.0302</x:v>
      </x:c>
      <x:c r="P13" t="n">
        <x:f>IF(O13=0,"",RANK(O13,$O$12:$O$58,0)+COUNTIF($O$12:O13,O13)-1)</x:f>
        <x:v>2</x:v>
      </x:c>
    </x:row>
    <x:row r="14">
      <x:c r="A14" t="n">
        <x:v>7</x:v>
      </x:c>
      <x:c r="B14" t="str">
        <x:f>'Certified Allocation'!B7</x:f>
        <x:v>JNJ</x:v>
      </x:c>
      <x:c r="C14" t="str">
        <x:f>'Certified Allocation'!C7</x:f>
        <x:v>Johnson &amp; Johnson</x:v>
      </x:c>
      <x:c r="D14" t="str">
        <x:f>'Certified Allocation'!A7</x:f>
        <x:v>Strategic Anchors</x:v>
      </x:c>
      <x:c r="E14" s="27" t="n">
        <x:f>'Certified Allocation'!F7</x:f>
        <x:v>0.0302</x:v>
      </x:c>
      <x:c r="F14" s="27" t="n">
        <x:f>'Certified Allocation'!I7</x:f>
        <x:v>0</x:v>
      </x:c>
      <x:c r="G14" s="27" t="n">
        <x:f>IF($B$61=0,F14,E14)</x:f>
        <x:v>0.0302</x:v>
      </x:c>
      <x:c r="H14" t="n">
        <x:f>RANK(G14,$G$12:$G$58,0)+COUNTIF($G$12:G14,G14)-1</x:f>
        <x:v>3</x:v>
      </x:c>
      <x:c r="I14" t="str">
        <x:f>'Certified Allocation'!E7</x:f>
        <x:v>Healthcare and life-sciences resilience anchor</x:v>
      </x:c>
      <x:c r="J14" t="str">
        <x:f>'Certified Allocation'!M7</x:f>
        <x:v>Unassigned</x:v>
      </x:c>
      <x:c r="K14" s="27" t="n">
        <x:f>'Certified Allocation'!G7</x:f>
        <x:v>0.02265</x:v>
      </x:c>
      <x:c r="L14" s="27" t="n">
        <x:f>'Certified Allocation'!H7</x:f>
        <x:v>0.03775</x:v>
      </x:c>
      <x:c r="M14" t="str">
        <x:f>'Certified Allocation'!K7</x:f>
        <x:v>Not entered</x:v>
      </x:c>
      <x:c r="N14" t="str">
        <x:f>'Certified Allocation'!L7</x:f>
        <x:v>Enter actual weight</x:v>
      </x:c>
      <x:c r="O14" s="27" t="n">
        <x:f>IF(F14="",0,IF(OR(F14&lt;K14,F14&gt;L14),ABS(F14-E14),0))</x:f>
        <x:v>0.0302</x:v>
      </x:c>
      <x:c r="P14" t="n">
        <x:f>IF(O14=0,"",RANK(O14,$O$12:$O$58,0)+COUNTIF($O$12:O14,O14)-1)</x:f>
        <x:v>3</x:v>
      </x:c>
      <x:c r="R14" s="90" t="str">
        <x:v>Rank</x:v>
      </x:c>
      <x:c r="S14" s="90" t="str">
        <x:v>Symbol</x:v>
      </x:c>
      <x:c r="T14" s="90" t="str">
        <x:v>Actual</x:v>
      </x:c>
      <x:c r="U14" s="90" t="str">
        <x:v>Target</x:v>
      </x:c>
      <x:c r="V14" s="90" t="str">
        <x:v>Variance</x:v>
      </x:c>
      <x:c r="W14" s="90" t="str">
        <x:v>Band Status</x:v>
      </x:c>
      <x:c r="X14" s="90" t="str">
        <x:v>Action</x:v>
      </x:c>
    </x:row>
    <x:row r="15">
      <x:c r="A15" t="n">
        <x:v>8</x:v>
      </x:c>
      <x:c r="B15" t="str">
        <x:f>'Certified Allocation'!B8</x:f>
        <x:v>MSFT</x:v>
      </x:c>
      <x:c r="C15" t="str">
        <x:f>'Certified Allocation'!C8</x:f>
        <x:v>Microsoft Corporation</x:v>
      </x:c>
      <x:c r="D15" t="str">
        <x:f>'Certified Allocation'!A8</x:f>
        <x:v>Strategic Anchors</x:v>
      </x:c>
      <x:c r="E15" s="27" t="n">
        <x:f>'Certified Allocation'!F8</x:f>
        <x:v>0.0302</x:v>
      </x:c>
      <x:c r="F15" s="27" t="n">
        <x:f>'Certified Allocation'!I8</x:f>
        <x:v>0</x:v>
      </x:c>
      <x:c r="G15" s="27" t="n">
        <x:f>IF($B$61=0,F15,E15)</x:f>
        <x:v>0.0302</x:v>
      </x:c>
      <x:c r="H15" t="n">
        <x:f>RANK(G15,$G$12:$G$58,0)+COUNTIF($G$12:G15,G15)-1</x:f>
        <x:v>4</x:v>
      </x:c>
      <x:c r="I15" t="str">
        <x:f>'Certified Allocation'!E8</x:f>
        <x:v>Enterprise technology and AI platform anchor</x:v>
      </x:c>
      <x:c r="J15" t="str">
        <x:f>'Certified Allocation'!M8</x:f>
        <x:v>Unassigned</x:v>
      </x:c>
      <x:c r="K15" s="27" t="n">
        <x:f>'Certified Allocation'!G8</x:f>
        <x:v>0.02265</x:v>
      </x:c>
      <x:c r="L15" s="27" t="n">
        <x:f>'Certified Allocation'!H8</x:f>
        <x:v>0.03775</x:v>
      </x:c>
      <x:c r="M15" t="str">
        <x:f>'Certified Allocation'!K8</x:f>
        <x:v>Not entered</x:v>
      </x:c>
      <x:c r="N15" t="str">
        <x:f>'Certified Allocation'!L8</x:f>
        <x:v>Enter actual weight</x:v>
      </x:c>
      <x:c r="O15" s="27" t="n">
        <x:f>IF(F15="",0,IF(OR(F15&lt;K15,F15&gt;L15),ABS(F15-E15),0))</x:f>
        <x:v>0.0302</x:v>
      </x:c>
      <x:c r="P15" t="n">
        <x:f>IF(O15=0,"",RANK(O15,$O$12:$O$58,0)+COUNTIF($O$12:O15,O15)-1)</x:f>
        <x:v>4</x:v>
      </x:c>
      <x:c r="R15" t="n">
        <x:v>1</x:v>
      </x:c>
      <x:c r="S15" t="str">
        <x:f>IFERROR(INDEX($B$12:$B$58,MATCH(R15,$P$12:$P$58,0)),"")</x:f>
        <x:v>BRK.B</x:v>
      </x:c>
      <x:c r="T15" s="27" t="n">
        <x:f>IF(S15="","",INDEX($F$12:$F$58,MATCH(R15,$P$12:$P$58,0)))</x:f>
        <x:v>0</x:v>
      </x:c>
      <x:c r="U15" s="27" t="n">
        <x:f>IF(S15="","",INDEX($E$12:$E$58,MATCH(R15,$P$12:$P$58,0)))</x:f>
        <x:v>0.0302</x:v>
      </x:c>
      <x:c r="V15" s="27" t="n">
        <x:f>IF(S15="","",T15-U15)</x:f>
        <x:v>-0.0302</x:v>
      </x:c>
      <x:c r="W15" t="str">
        <x:f>IF(S15="","",INDEX($M$12:$M$58,MATCH(R15,$P$12:$P$58,0)))</x:f>
        <x:v>Not entered</x:v>
      </x:c>
      <x:c r="X15" t="str">
        <x:f>IF(S15="","",INDEX($N$12:$N$58,MATCH(R15,$P$12:$P$58,0)))</x:f>
        <x:v>Enter actual weight</x:v>
      </x:c>
    </x:row>
    <x:row r="16">
      <x:c r="A16" t="n">
        <x:v>9</x:v>
      </x:c>
      <x:c r="B16" t="str">
        <x:f>'Certified Allocation'!B9</x:f>
        <x:v>V</x:v>
      </x:c>
      <x:c r="C16" t="str">
        <x:f>'Certified Allocation'!C9</x:f>
        <x:v>Visa Inc.</x:v>
      </x:c>
      <x:c r="D16" t="str">
        <x:f>'Certified Allocation'!A9</x:f>
        <x:v>Strategic Anchors</x:v>
      </x:c>
      <x:c r="E16" s="27" t="n">
        <x:f>'Certified Allocation'!F9</x:f>
        <x:v>0.0288</x:v>
      </x:c>
      <x:c r="F16" s="27" t="n">
        <x:f>'Certified Allocation'!I9</x:f>
        <x:v>0</x:v>
      </x:c>
      <x:c r="G16" s="27" t="n">
        <x:f>IF($B$61=0,F16,E16)</x:f>
        <x:v>0.0288</x:v>
      </x:c>
      <x:c r="H16" t="n">
        <x:f>RANK(G16,$G$12:$G$58,0)+COUNTIF($G$12:G16,G16)-1</x:f>
        <x:v>15</x:v>
      </x:c>
      <x:c r="I16" t="str">
        <x:f>'Certified Allocation'!E9</x:f>
        <x:v>Global payments infrastructure anchor</x:v>
      </x:c>
      <x:c r="J16" t="str">
        <x:f>'Certified Allocation'!M9</x:f>
        <x:v>Unassigned</x:v>
      </x:c>
      <x:c r="K16" s="27" t="n">
        <x:f>'Certified Allocation'!G9</x:f>
        <x:v>0.0216</x:v>
      </x:c>
      <x:c r="L16" s="27" t="n">
        <x:f>'Certified Allocation'!H9</x:f>
        <x:v>0.036</x:v>
      </x:c>
      <x:c r="M16" t="str">
        <x:f>'Certified Allocation'!K9</x:f>
        <x:v>Not entered</x:v>
      </x:c>
      <x:c r="N16" t="str">
        <x:f>'Certified Allocation'!L9</x:f>
        <x:v>Enter actual weight</x:v>
      </x:c>
      <x:c r="O16" s="27" t="n">
        <x:f>IF(F16="",0,IF(OR(F16&lt;K16,F16&gt;L16),ABS(F16-E16),0))</x:f>
        <x:v>0.0288</x:v>
      </x:c>
      <x:c r="P16" t="n">
        <x:f>IF(O16=0,"",RANK(O16,$O$12:$O$58,0)+COUNTIF($O$12:O16,O16)-1)</x:f>
        <x:v>15</x:v>
      </x:c>
      <x:c r="R16" t="n">
        <x:v>2</x:v>
      </x:c>
      <x:c r="S16" t="str">
        <x:f>IFERROR(INDEX($B$12:$B$58,MATCH(R16,$P$12:$P$58,0)),"")</x:f>
        <x:v>COST</x:v>
      </x:c>
      <x:c r="T16" s="27" t="n">
        <x:f>IF(S16="","",INDEX($F$12:$F$58,MATCH(R16,$P$12:$P$58,0)))</x:f>
        <x:v>0</x:v>
      </x:c>
      <x:c r="U16" s="27" t="n">
        <x:f>IF(S16="","",INDEX($E$12:$E$58,MATCH(R16,$P$12:$P$58,0)))</x:f>
        <x:v>0.0302</x:v>
      </x:c>
      <x:c r="V16" s="27" t="n">
        <x:f>IF(S16="","",T16-U16)</x:f>
        <x:v>-0.0302</x:v>
      </x:c>
      <x:c r="W16" t="str">
        <x:f>IF(S16="","",INDEX($M$12:$M$58,MATCH(R16,$P$12:$P$58,0)))</x:f>
        <x:v>Not entered</x:v>
      </x:c>
      <x:c r="X16" t="str">
        <x:f>IF(S16="","",INDEX($N$12:$N$58,MATCH(R16,$P$12:$P$58,0)))</x:f>
        <x:v>Enter actual weight</x:v>
      </x:c>
    </x:row>
    <x:row r="17">
      <x:c r="A17" t="n">
        <x:v>10</x:v>
      </x:c>
      <x:c r="B17" t="str">
        <x:f>'Certified Allocation'!B10</x:f>
        <x:v>GOOGL</x:v>
      </x:c>
      <x:c r="C17" t="str">
        <x:f>'Certified Allocation'!C10</x:f>
        <x:v>Alphabet Inc. Class A</x:v>
      </x:c>
      <x:c r="D17" t="str">
        <x:f>'Certified Allocation'!A10</x:f>
        <x:v>Strategic Anchors</x:v>
      </x:c>
      <x:c r="E17" s="27" t="n">
        <x:f>'Certified Allocation'!F10</x:f>
        <x:v>0.0284</x:v>
      </x:c>
      <x:c r="F17" s="27" t="n">
        <x:f>'Certified Allocation'!I10</x:f>
        <x:v>0</x:v>
      </x:c>
      <x:c r="G17" s="27" t="n">
        <x:f>IF($B$61=0,F17,E17)</x:f>
        <x:v>0.0284</x:v>
      </x:c>
      <x:c r="H17" t="n">
        <x:f>RANK(G17,$G$12:$G$58,0)+COUNTIF($G$12:G17,G17)-1</x:f>
        <x:v>16</x:v>
      </x:c>
      <x:c r="I17" t="str">
        <x:f>'Certified Allocation'!E10</x:f>
        <x:v>Digital platform and AI anchor</x:v>
      </x:c>
      <x:c r="J17" t="str">
        <x:f>'Certified Allocation'!M10</x:f>
        <x:v>Unassigned</x:v>
      </x:c>
      <x:c r="K17" s="27" t="n">
        <x:f>'Certified Allocation'!G10</x:f>
        <x:v>0.0213</x:v>
      </x:c>
      <x:c r="L17" s="27" t="n">
        <x:f>'Certified Allocation'!H10</x:f>
        <x:v>0.035500000000000004</x:v>
      </x:c>
      <x:c r="M17" t="str">
        <x:f>'Certified Allocation'!K10</x:f>
        <x:v>Not entered</x:v>
      </x:c>
      <x:c r="N17" t="str">
        <x:f>'Certified Allocation'!L10</x:f>
        <x:v>Enter actual weight</x:v>
      </x:c>
      <x:c r="O17" s="27" t="n">
        <x:f>IF(F17="",0,IF(OR(F17&lt;K17,F17&gt;L17),ABS(F17-E17),0))</x:f>
        <x:v>0.0284</x:v>
      </x:c>
      <x:c r="P17" t="n">
        <x:f>IF(O17=0,"",RANK(O17,$O$12:$O$58,0)+COUNTIF($O$12:O17,O17)-1)</x:f>
        <x:v>16</x:v>
      </x:c>
      <x:c r="R17" t="n">
        <x:v>3</x:v>
      </x:c>
      <x:c r="S17" t="str">
        <x:f>IFERROR(INDEX($B$12:$B$58,MATCH(R17,$P$12:$P$58,0)),"")</x:f>
        <x:v>JNJ</x:v>
      </x:c>
      <x:c r="T17" s="27" t="n">
        <x:f>IF(S17="","",INDEX($F$12:$F$58,MATCH(R17,$P$12:$P$58,0)))</x:f>
        <x:v>0</x:v>
      </x:c>
      <x:c r="U17" s="27" t="n">
        <x:f>IF(S17="","",INDEX($E$12:$E$58,MATCH(R17,$P$12:$P$58,0)))</x:f>
        <x:v>0.0302</x:v>
      </x:c>
      <x:c r="V17" s="27" t="n">
        <x:f>IF(S17="","",T17-U17)</x:f>
        <x:v>-0.0302</x:v>
      </x:c>
      <x:c r="W17" t="str">
        <x:f>IF(S17="","",INDEX($M$12:$M$58,MATCH(R17,$P$12:$P$58,0)))</x:f>
        <x:v>Not entered</x:v>
      </x:c>
      <x:c r="X17" t="str">
        <x:f>IF(S17="","",INDEX($N$12:$N$58,MATCH(R17,$P$12:$P$58,0)))</x:f>
        <x:v>Enter actual weight</x:v>
      </x:c>
    </x:row>
    <x:row r="18">
      <x:c r="A18" t="n">
        <x:v>11</x:v>
      </x:c>
      <x:c r="B18" t="str">
        <x:f>'Certified Allocation'!B11</x:f>
        <x:v>MA</x:v>
      </x:c>
      <x:c r="C18" t="str">
        <x:f>'Certified Allocation'!C11</x:f>
        <x:v>Mastercard Incorporated</x:v>
      </x:c>
      <x:c r="D18" t="str">
        <x:f>'Certified Allocation'!A11</x:f>
        <x:v>Strategic Anchors</x:v>
      </x:c>
      <x:c r="E18" s="27" t="n">
        <x:f>'Certified Allocation'!F11</x:f>
        <x:v>0.016</x:v>
      </x:c>
      <x:c r="F18" s="27" t="n">
        <x:f>'Certified Allocation'!I11</x:f>
        <x:v>0</x:v>
      </x:c>
      <x:c r="G18" s="27" t="n">
        <x:f>IF($B$61=0,F18,E18)</x:f>
        <x:v>0.016</x:v>
      </x:c>
      <x:c r="H18" t="n">
        <x:f>RANK(G18,$G$12:$G$58,0)+COUNTIF($G$12:G18,G18)-1</x:f>
        <x:v>23</x:v>
      </x:c>
      <x:c r="I18" t="str">
        <x:f>'Certified Allocation'!E11</x:f>
        <x:v>Global payments infrastructure anchor</x:v>
      </x:c>
      <x:c r="J18" t="str">
        <x:f>'Certified Allocation'!M11</x:f>
        <x:v>Unassigned</x:v>
      </x:c>
      <x:c r="K18" s="27" t="n">
        <x:f>'Certified Allocation'!G11</x:f>
        <x:v>0.012</x:v>
      </x:c>
      <x:c r="L18" s="27" t="n">
        <x:f>'Certified Allocation'!H11</x:f>
        <x:v>0.02</x:v>
      </x:c>
      <x:c r="M18" t="str">
        <x:f>'Certified Allocation'!K11</x:f>
        <x:v>Not entered</x:v>
      </x:c>
      <x:c r="N18" t="str">
        <x:f>'Certified Allocation'!L11</x:f>
        <x:v>Enter actual weight</x:v>
      </x:c>
      <x:c r="O18" s="27" t="n">
        <x:f>IF(F18="",0,IF(OR(F18&lt;K18,F18&gt;L18),ABS(F18-E18),0))</x:f>
        <x:v>0.016</x:v>
      </x:c>
      <x:c r="P18" t="n">
        <x:f>IF(O18=0,"",RANK(O18,$O$12:$O$58,0)+COUNTIF($O$12:O18,O18)-1)</x:f>
        <x:v>23</x:v>
      </x:c>
      <x:c r="R18" t="n">
        <x:v>4</x:v>
      </x:c>
      <x:c r="S18" t="str">
        <x:f>IFERROR(INDEX($B$12:$B$58,MATCH(R18,$P$12:$P$58,0)),"")</x:f>
        <x:v>MSFT</x:v>
      </x:c>
      <x:c r="T18" s="27" t="n">
        <x:f>IF(S18="","",INDEX($F$12:$F$58,MATCH(R18,$P$12:$P$58,0)))</x:f>
        <x:v>0</x:v>
      </x:c>
      <x:c r="U18" s="27" t="n">
        <x:f>IF(S18="","",INDEX($E$12:$E$58,MATCH(R18,$P$12:$P$58,0)))</x:f>
        <x:v>0.0302</x:v>
      </x:c>
      <x:c r="V18" s="27" t="n">
        <x:f>IF(S18="","",T18-U18)</x:f>
        <x:v>-0.0302</x:v>
      </x:c>
      <x:c r="W18" t="str">
        <x:f>IF(S18="","",INDEX($M$12:$M$58,MATCH(R18,$P$12:$P$58,0)))</x:f>
        <x:v>Not entered</x:v>
      </x:c>
      <x:c r="X18" t="str">
        <x:f>IF(S18="","",INDEX($N$12:$N$58,MATCH(R18,$P$12:$P$58,0)))</x:f>
        <x:v>Enter actual weight</x:v>
      </x:c>
    </x:row>
    <x:row r="19">
      <x:c r="A19" t="n">
        <x:v>12</x:v>
      </x:c>
      <x:c r="B19" t="str">
        <x:f>'Certified Allocation'!B12</x:f>
        <x:v>AAPL</x:v>
      </x:c>
      <x:c r="C19" t="str">
        <x:f>'Certified Allocation'!C12</x:f>
        <x:v>Apple Inc.</x:v>
      </x:c>
      <x:c r="D19" t="str">
        <x:f>'Certified Allocation'!A12</x:f>
        <x:v>Strategic Anchors</x:v>
      </x:c>
      <x:c r="E19" s="27" t="n">
        <x:f>'Certified Allocation'!F12</x:f>
        <x:v>0.0156</x:v>
      </x:c>
      <x:c r="F19" s="27" t="n">
        <x:f>'Certified Allocation'!I12</x:f>
        <x:v>0</x:v>
      </x:c>
      <x:c r="G19" s="27" t="n">
        <x:f>IF($B$61=0,F19,E19)</x:f>
        <x:v>0.0156</x:v>
      </x:c>
      <x:c r="H19" t="n">
        <x:f>RANK(G19,$G$12:$G$58,0)+COUNTIF($G$12:G19,G19)-1</x:f>
        <x:v>24</x:v>
      </x:c>
      <x:c r="I19" t="str">
        <x:f>'Certified Allocation'!E12</x:f>
        <x:v>Consumer technology ecosystem anchor</x:v>
      </x:c>
      <x:c r="J19" t="str">
        <x:f>'Certified Allocation'!M12</x:f>
        <x:v>Unassigned</x:v>
      </x:c>
      <x:c r="K19" s="27" t="n">
        <x:f>'Certified Allocation'!G12</x:f>
        <x:v>0.011699999999999999</x:v>
      </x:c>
      <x:c r="L19" s="27" t="n">
        <x:f>'Certified Allocation'!H12</x:f>
        <x:v>0.0195</x:v>
      </x:c>
      <x:c r="M19" t="str">
        <x:f>'Certified Allocation'!K12</x:f>
        <x:v>Not entered</x:v>
      </x:c>
      <x:c r="N19" t="str">
        <x:f>'Certified Allocation'!L12</x:f>
        <x:v>Enter actual weight</x:v>
      </x:c>
      <x:c r="O19" s="27" t="n">
        <x:f>IF(F19="",0,IF(OR(F19&lt;K19,F19&gt;L19),ABS(F19-E19),0))</x:f>
        <x:v>0.0156</x:v>
      </x:c>
      <x:c r="P19" t="n">
        <x:f>IF(O19=0,"",RANK(O19,$O$12:$O$58,0)+COUNTIF($O$12:O19,O19)-1)</x:f>
        <x:v>24</x:v>
      </x:c>
      <x:c r="R19" t="n">
        <x:v>5</x:v>
      </x:c>
      <x:c r="S19" t="str">
        <x:f>IFERROR(INDEX($B$12:$B$58,MATCH(R19,$P$12:$P$58,0)),"")</x:f>
        <x:v>AVGO</x:v>
      </x:c>
      <x:c r="T19" s="27" t="n">
        <x:f>IF(S19="","",INDEX($F$12:$F$58,MATCH(R19,$P$12:$P$58,0)))</x:f>
        <x:v>0</x:v>
      </x:c>
      <x:c r="U19" s="27" t="n">
        <x:f>IF(S19="","",INDEX($E$12:$E$58,MATCH(R19,$P$12:$P$58,0)))</x:f>
        <x:v>0.0302</x:v>
      </x:c>
      <x:c r="V19" s="27" t="n">
        <x:f>IF(S19="","",T19-U19)</x:f>
        <x:v>-0.0302</x:v>
      </x:c>
      <x:c r="W19" t="str">
        <x:f>IF(S19="","",INDEX($M$12:$M$58,MATCH(R19,$P$12:$P$58,0)))</x:f>
        <x:v>Not entered</x:v>
      </x:c>
      <x:c r="X19" t="str">
        <x:f>IF(S19="","",INDEX($N$12:$N$58,MATCH(R19,$P$12:$P$58,0)))</x:f>
        <x:v>Enter actual weight</x:v>
      </x:c>
    </x:row>
    <x:row r="20">
      <x:c r="A20" t="n">
        <x:v>13</x:v>
      </x:c>
      <x:c r="B20" t="str">
        <x:f>'Certified Allocation'!B13</x:f>
        <x:v>AMZN</x:v>
      </x:c>
      <x:c r="C20" t="str">
        <x:f>'Certified Allocation'!C13</x:f>
        <x:v>Amazon.com, Inc.</x:v>
      </x:c>
      <x:c r="D20" t="str">
        <x:f>'Certified Allocation'!A13</x:f>
        <x:v>Strategic Anchors</x:v>
      </x:c>
      <x:c r="E20" s="27" t="n">
        <x:f>'Certified Allocation'!F13</x:f>
        <x:v>0.0155</x:v>
      </x:c>
      <x:c r="F20" s="27" t="n">
        <x:f>'Certified Allocation'!I13</x:f>
        <x:v>0</x:v>
      </x:c>
      <x:c r="G20" s="27" t="n">
        <x:f>IF($B$61=0,F20,E20)</x:f>
        <x:v>0.0155</x:v>
      </x:c>
      <x:c r="H20" t="n">
        <x:f>RANK(G20,$G$12:$G$58,0)+COUNTIF($G$12:G20,G20)-1</x:f>
        <x:v>43</x:v>
      </x:c>
      <x:c r="I20" t="str">
        <x:f>'Certified Allocation'!E13</x:f>
        <x:v>Cloud, commerce and logistics anchor</x:v>
      </x:c>
      <x:c r="J20" t="str">
        <x:f>'Certified Allocation'!M13</x:f>
        <x:v>Unassigned</x:v>
      </x:c>
      <x:c r="K20" s="27" t="n">
        <x:f>'Certified Allocation'!G13</x:f>
        <x:v>0.011625</x:v>
      </x:c>
      <x:c r="L20" s="27" t="n">
        <x:f>'Certified Allocation'!H13</x:f>
        <x:v>0.019375</x:v>
      </x:c>
      <x:c r="M20" t="str">
        <x:f>'Certified Allocation'!K13</x:f>
        <x:v>Not entered</x:v>
      </x:c>
      <x:c r="N20" t="str">
        <x:f>'Certified Allocation'!L13</x:f>
        <x:v>Enter actual weight</x:v>
      </x:c>
      <x:c r="O20" s="27" t="n">
        <x:f>IF(F20="",0,IF(OR(F20&lt;K20,F20&gt;L20),ABS(F20-E20),0))</x:f>
        <x:v>0.0155</x:v>
      </x:c>
      <x:c r="P20" t="n">
        <x:f>IF(O20=0,"",RANK(O20,$O$12:$O$58,0)+COUNTIF($O$12:O20,O20)-1)</x:f>
        <x:v>43</x:v>
      </x:c>
    </x:row>
    <x:row r="21">
      <x:c r="A21" t="n">
        <x:v>14</x:v>
      </x:c>
      <x:c r="B21" t="str">
        <x:f>'Certified Allocation'!B14</x:f>
        <x:v>AVGO</x:v>
      </x:c>
      <x:c r="C21" t="str">
        <x:f>'Certified Allocation'!C14</x:f>
        <x:v>Broadcom Inc.</x:v>
      </x:c>
      <x:c r="D21" t="str">
        <x:f>'Certified Allocation'!A14</x:f>
        <x:v>Growth Compounders</x:v>
      </x:c>
      <x:c r="E21" s="27" t="n">
        <x:f>'Certified Allocation'!F14</x:f>
        <x:v>0.0302</x:v>
      </x:c>
      <x:c r="F21" s="27" t="n">
        <x:f>'Certified Allocation'!I14</x:f>
        <x:v>0</x:v>
      </x:c>
      <x:c r="G21" s="27" t="n">
        <x:f>IF($B$61=0,F21,E21)</x:f>
        <x:v>0.0302</x:v>
      </x:c>
      <x:c r="H21" t="n">
        <x:f>RANK(G21,$G$12:$G$58,0)+COUNTIF($G$12:G21,G21)-1</x:f>
        <x:v>5</x:v>
      </x:c>
      <x:c r="I21" t="str">
        <x:f>'Certified Allocation'!E14</x:f>
        <x:v>Semiconductor and infrastructure-software compounder</x:v>
      </x:c>
      <x:c r="J21" t="str">
        <x:f>'Certified Allocation'!M14</x:f>
        <x:v>Unassigned</x:v>
      </x:c>
      <x:c r="K21" s="27" t="n">
        <x:f>'Certified Allocation'!G14</x:f>
        <x:v>0.02265</x:v>
      </x:c>
      <x:c r="L21" s="27" t="n">
        <x:f>'Certified Allocation'!H14</x:f>
        <x:v>0.03775</x:v>
      </x:c>
      <x:c r="M21" t="str">
        <x:f>'Certified Allocation'!K14</x:f>
        <x:v>Not entered</x:v>
      </x:c>
      <x:c r="N21" t="str">
        <x:f>'Certified Allocation'!L14</x:f>
        <x:v>Enter actual weight</x:v>
      </x:c>
      <x:c r="O21" s="27" t="n">
        <x:f>IF(F21="",0,IF(OR(F21&lt;K21,F21&gt;L21),ABS(F21-E21),0))</x:f>
        <x:v>0.0302</x:v>
      </x:c>
      <x:c r="P21" t="n">
        <x:f>IF(O21=0,"",RANK(O21,$O$12:$O$58,0)+COUNTIF($O$12:O21,O21)-1)</x:f>
        <x:v>5</x:v>
      </x:c>
    </x:row>
    <x:row r="22">
      <x:c r="A22" t="n">
        <x:v>15</x:v>
      </x:c>
      <x:c r="B22" t="str">
        <x:f>'Certified Allocation'!B15</x:f>
        <x:v>LLY</x:v>
      </x:c>
      <x:c r="C22" t="str">
        <x:f>'Certified Allocation'!C15</x:f>
        <x:v>Eli Lilly and Company</x:v>
      </x:c>
      <x:c r="D22" t="str">
        <x:f>'Certified Allocation'!A15</x:f>
        <x:v>Growth Compounders</x:v>
      </x:c>
      <x:c r="E22" s="27" t="n">
        <x:f>'Certified Allocation'!F15</x:f>
        <x:v>0.0302</x:v>
      </x:c>
      <x:c r="F22" s="27" t="n">
        <x:f>'Certified Allocation'!I15</x:f>
        <x:v>0</x:v>
      </x:c>
      <x:c r="G22" s="27" t="n">
        <x:f>IF($B$61=0,F22,E22)</x:f>
        <x:v>0.0302</x:v>
      </x:c>
      <x:c r="H22" t="n">
        <x:f>RANK(G22,$G$12:$G$58,0)+COUNTIF($G$12:G22,G22)-1</x:f>
        <x:v>6</x:v>
      </x:c>
      <x:c r="I22" t="str">
        <x:f>'Certified Allocation'!E15</x:f>
        <x:v>Healthcare innovation compounder</x:v>
      </x:c>
      <x:c r="J22" t="str">
        <x:f>'Certified Allocation'!M15</x:f>
        <x:v>Unassigned</x:v>
      </x:c>
      <x:c r="K22" s="27" t="n">
        <x:f>'Certified Allocation'!G15</x:f>
        <x:v>0.02265</x:v>
      </x:c>
      <x:c r="L22" s="27" t="n">
        <x:f>'Certified Allocation'!H15</x:f>
        <x:v>0.03775</x:v>
      </x:c>
      <x:c r="M22" t="str">
        <x:f>'Certified Allocation'!K15</x:f>
        <x:v>Not entered</x:v>
      </x:c>
      <x:c r="N22" t="str">
        <x:f>'Certified Allocation'!L15</x:f>
        <x:v>Enter actual weight</x:v>
      </x:c>
      <x:c r="O22" s="27" t="n">
        <x:f>IF(F22="",0,IF(OR(F22&lt;K22,F22&gt;L22),ABS(F22-E22),0))</x:f>
        <x:v>0.0302</x:v>
      </x:c>
      <x:c r="P22" t="n">
        <x:f>IF(O22=0,"",RANK(O22,$O$12:$O$58,0)+COUNTIF($O$12:O22,O22)-1)</x:f>
        <x:v>6</x:v>
      </x:c>
    </x:row>
    <x:row r="23">
      <x:c r="A23" t="n">
        <x:v>16</x:v>
      </x:c>
      <x:c r="B23" t="str">
        <x:f>'Certified Allocation'!B16</x:f>
        <x:v>NVDA</x:v>
      </x:c>
      <x:c r="C23" t="str">
        <x:f>'Certified Allocation'!C16</x:f>
        <x:v>NVIDIA Corporation</x:v>
      </x:c>
      <x:c r="D23" t="str">
        <x:f>'Certified Allocation'!A16</x:f>
        <x:v>Growth Compounders</x:v>
      </x:c>
      <x:c r="E23" s="27" t="n">
        <x:f>'Certified Allocation'!F16</x:f>
        <x:v>0.0268</x:v>
      </x:c>
      <x:c r="F23" s="27" t="n">
        <x:f>'Certified Allocation'!I16</x:f>
        <x:v>0</x:v>
      </x:c>
      <x:c r="G23" s="27" t="n">
        <x:f>IF($B$61=0,F23,E23)</x:f>
        <x:v>0.0268</x:v>
      </x:c>
      <x:c r="H23" t="n">
        <x:f>RANK(G23,$G$12:$G$58,0)+COUNTIF($G$12:G23,G23)-1</x:f>
        <x:v>17</x:v>
      </x:c>
      <x:c r="I23" t="str">
        <x:f>'Certified Allocation'!E16</x:f>
        <x:v>AI compute growth engine</x:v>
      </x:c>
      <x:c r="J23" t="str">
        <x:f>'Certified Allocation'!M16</x:f>
        <x:v>Unassigned</x:v>
      </x:c>
      <x:c r="K23" s="27" t="n">
        <x:f>'Certified Allocation'!G16</x:f>
        <x:v>0.0201</x:v>
      </x:c>
      <x:c r="L23" s="27" t="n">
        <x:f>'Certified Allocation'!H16</x:f>
        <x:v>0.0335</x:v>
      </x:c>
      <x:c r="M23" t="str">
        <x:f>'Certified Allocation'!K16</x:f>
        <x:v>Not entered</x:v>
      </x:c>
      <x:c r="N23" t="str">
        <x:f>'Certified Allocation'!L16</x:f>
        <x:v>Enter actual weight</x:v>
      </x:c>
      <x:c r="O23" s="27" t="n">
        <x:f>IF(F23="",0,IF(OR(F23&lt;K23,F23&gt;L23),ABS(F23-E23),0))</x:f>
        <x:v>0.0268</x:v>
      </x:c>
      <x:c r="P23" t="n">
        <x:f>IF(O23=0,"",RANK(O23,$O$12:$O$58,0)+COUNTIF($O$12:O23,O23)-1)</x:f>
        <x:v>17</x:v>
      </x:c>
    </x:row>
    <x:row r="24">
      <x:c r="A24" t="n">
        <x:v>17</x:v>
      </x:c>
      <x:c r="B24" t="str">
        <x:f>'Certified Allocation'!B17</x:f>
        <x:v>HD</x:v>
      </x:c>
      <x:c r="C24" t="str">
        <x:f>'Certified Allocation'!C17</x:f>
        <x:v>The Home Depot, Inc.</x:v>
      </x:c>
      <x:c r="D24" t="str">
        <x:f>'Certified Allocation'!A17</x:f>
        <x:v>Growth Compounders</x:v>
      </x:c>
      <x:c r="E24" s="27" t="n">
        <x:f>'Certified Allocation'!F17</x:f>
        <x:v>0.0156</x:v>
      </x:c>
      <x:c r="F24" s="27" t="n">
        <x:f>'Certified Allocation'!I17</x:f>
        <x:v>0</x:v>
      </x:c>
      <x:c r="G24" s="27" t="n">
        <x:f>IF($B$61=0,F24,E24)</x:f>
        <x:v>0.0156</x:v>
      </x:c>
      <x:c r="H24" t="n">
        <x:f>RANK(G24,$G$12:$G$58,0)+COUNTIF($G$12:G24,G24)-1</x:f>
        <x:v>25</x:v>
      </x:c>
      <x:c r="I24" t="str">
        <x:f>'Certified Allocation'!E17</x:f>
        <x:v>Housing and professional distribution compounder</x:v>
      </x:c>
      <x:c r="J24" t="str">
        <x:f>'Certified Allocation'!M17</x:f>
        <x:v>Unassigned</x:v>
      </x:c>
      <x:c r="K24" s="27" t="n">
        <x:f>'Certified Allocation'!G17</x:f>
        <x:v>0.011699999999999999</x:v>
      </x:c>
      <x:c r="L24" s="27" t="n">
        <x:f>'Certified Allocation'!H17</x:f>
        <x:v>0.0195</x:v>
      </x:c>
      <x:c r="M24" t="str">
        <x:f>'Certified Allocation'!K17</x:f>
        <x:v>Not entered</x:v>
      </x:c>
      <x:c r="N24" t="str">
        <x:f>'Certified Allocation'!L17</x:f>
        <x:v>Enter actual weight</x:v>
      </x:c>
      <x:c r="O24" s="27" t="n">
        <x:f>IF(F24="",0,IF(OR(F24&lt;K24,F24&gt;L24),ABS(F24-E24),0))</x:f>
        <x:v>0.0156</x:v>
      </x:c>
      <x:c r="P24" t="n">
        <x:f>IF(O24=0,"",RANK(O24,$O$12:$O$58,0)+COUNTIF($O$12:O24,O24)-1)</x:f>
        <x:v>25</x:v>
      </x:c>
    </x:row>
    <x:row r="25">
      <x:c r="A25" t="n">
        <x:v>18</x:v>
      </x:c>
      <x:c r="B25" t="str">
        <x:f>'Certified Allocation'!B18</x:f>
        <x:v>META</x:v>
      </x:c>
      <x:c r="C25" t="str">
        <x:f>'Certified Allocation'!C18</x:f>
        <x:v>Meta Platforms, Inc.</x:v>
      </x:c>
      <x:c r="D25" t="str">
        <x:f>'Certified Allocation'!A18</x:f>
        <x:v>Growth Compounders</x:v>
      </x:c>
      <x:c r="E25" s="27" t="n">
        <x:f>'Certified Allocation'!F18</x:f>
        <x:v>0.0156</x:v>
      </x:c>
      <x:c r="F25" s="27" t="n">
        <x:f>'Certified Allocation'!I18</x:f>
        <x:v>0</x:v>
      </x:c>
      <x:c r="G25" s="27" t="n">
        <x:f>IF($B$61=0,F25,E25)</x:f>
        <x:v>0.0156</x:v>
      </x:c>
      <x:c r="H25" t="n">
        <x:f>RANK(G25,$G$12:$G$58,0)+COUNTIF($G$12:G25,G25)-1</x:f>
        <x:v>26</x:v>
      </x:c>
      <x:c r="I25" t="str">
        <x:f>'Certified Allocation'!E18</x:f>
        <x:v>Digital platform and AI compounder</x:v>
      </x:c>
      <x:c r="J25" t="str">
        <x:f>'Certified Allocation'!M18</x:f>
        <x:v>Unassigned</x:v>
      </x:c>
      <x:c r="K25" s="27" t="n">
        <x:f>'Certified Allocation'!G18</x:f>
        <x:v>0.011699999999999999</x:v>
      </x:c>
      <x:c r="L25" s="27" t="n">
        <x:f>'Certified Allocation'!H18</x:f>
        <x:v>0.0195</x:v>
      </x:c>
      <x:c r="M25" t="str">
        <x:f>'Certified Allocation'!K18</x:f>
        <x:v>Not entered</x:v>
      </x:c>
      <x:c r="N25" t="str">
        <x:f>'Certified Allocation'!L18</x:f>
        <x:v>Enter actual weight</x:v>
      </x:c>
      <x:c r="O25" s="27" t="n">
        <x:f>IF(F25="",0,IF(OR(F25&lt;K25,F25&gt;L25),ABS(F25-E25),0))</x:f>
        <x:v>0.0156</x:v>
      </x:c>
      <x:c r="P25" t="n">
        <x:f>IF(O25=0,"",RANK(O25,$O$12:$O$58,0)+COUNTIF($O$12:O25,O25)-1)</x:f>
        <x:v>26</x:v>
      </x:c>
    </x:row>
    <x:row r="26">
      <x:c r="A26" t="n">
        <x:v>19</x:v>
      </x:c>
      <x:c r="B26" t="str">
        <x:f>'Certified Allocation'!B19</x:f>
        <x:v>ANET</x:v>
      </x:c>
      <x:c r="C26" t="str">
        <x:f>'Certified Allocation'!C19</x:f>
        <x:v>Arista Networks, Inc.</x:v>
      </x:c>
      <x:c r="D26" t="str">
        <x:f>'Certified Allocation'!A19</x:f>
        <x:v>Growth Compounders</x:v>
      </x:c>
      <x:c r="E26" s="27" t="n">
        <x:f>'Certified Allocation'!F19</x:f>
        <x:v>0.0155</x:v>
      </x:c>
      <x:c r="F26" s="27" t="n">
        <x:f>'Certified Allocation'!I19</x:f>
        <x:v>0</x:v>
      </x:c>
      <x:c r="G26" s="27" t="n">
        <x:f>IF($B$61=0,F26,E26)</x:f>
        <x:v>0.0155</x:v>
      </x:c>
      <x:c r="H26" t="n">
        <x:f>RANK(G26,$G$12:$G$58,0)+COUNTIF($G$12:G26,G26)-1</x:f>
        <x:v>44</x:v>
      </x:c>
      <x:c r="I26" t="str">
        <x:f>'Certified Allocation'!E19</x:f>
        <x:v>AI networking compounder</x:v>
      </x:c>
      <x:c r="J26" t="str">
        <x:f>'Certified Allocation'!M19</x:f>
        <x:v>Unassigned</x:v>
      </x:c>
      <x:c r="K26" s="27" t="n">
        <x:f>'Certified Allocation'!G19</x:f>
        <x:v>0.011625</x:v>
      </x:c>
      <x:c r="L26" s="27" t="n">
        <x:f>'Certified Allocation'!H19</x:f>
        <x:v>0.019375</x:v>
      </x:c>
      <x:c r="M26" t="str">
        <x:f>'Certified Allocation'!K19</x:f>
        <x:v>Not entered</x:v>
      </x:c>
      <x:c r="N26" t="str">
        <x:f>'Certified Allocation'!L19</x:f>
        <x:v>Enter actual weight</x:v>
      </x:c>
      <x:c r="O26" s="27" t="n">
        <x:f>IF(F26="",0,IF(OR(F26&lt;K26,F26&gt;L26),ABS(F26-E26),0))</x:f>
        <x:v>0.0155</x:v>
      </x:c>
      <x:c r="P26" t="n">
        <x:f>IF(O26=0,"",RANK(O26,$O$12:$O$58,0)+COUNTIF($O$12:O26,O26)-1)</x:f>
        <x:v>44</x:v>
      </x:c>
    </x:row>
    <x:row r="27">
      <x:c r="A27" t="n">
        <x:v>20</x:v>
      </x:c>
      <x:c r="B27" t="str">
        <x:f>'Certified Allocation'!B20</x:f>
        <x:v>PANW</x:v>
      </x:c>
      <x:c r="C27" t="str">
        <x:f>'Certified Allocation'!C20</x:f>
        <x:v>Palo Alto Networks, Inc.</x:v>
      </x:c>
      <x:c r="D27" t="str">
        <x:f>'Certified Allocation'!A20</x:f>
        <x:v>Digital Infrastructure &amp; AI</x:v>
      </x:c>
      <x:c r="E27" s="27" t="n">
        <x:f>'Certified Allocation'!F20</x:f>
        <x:v>0.0199</x:v>
      </x:c>
      <x:c r="F27" s="27" t="n">
        <x:f>'Certified Allocation'!I20</x:f>
        <x:v>0</x:v>
      </x:c>
      <x:c r="G27" s="27" t="n">
        <x:f>IF($B$61=0,F27,E27)</x:f>
        <x:v>0.0199</x:v>
      </x:c>
      <x:c r="H27" t="n">
        <x:f>RANK(G27,$G$12:$G$58,0)+COUNTIF($G$12:G27,G27)-1</x:f>
        <x:v>21</x:v>
      </x:c>
      <x:c r="I27" t="str">
        <x:f>'Certified Allocation'!E20</x:f>
        <x:v>Cybersecurity infrastructure leader</x:v>
      </x:c>
      <x:c r="J27" t="str">
        <x:f>'Certified Allocation'!M20</x:f>
        <x:v>Unassigned</x:v>
      </x:c>
      <x:c r="K27" s="27" t="n">
        <x:f>'Certified Allocation'!G20</x:f>
        <x:v>0.014925</x:v>
      </x:c>
      <x:c r="L27" s="27" t="n">
        <x:f>'Certified Allocation'!H20</x:f>
        <x:v>0.024875</x:v>
      </x:c>
      <x:c r="M27" t="str">
        <x:f>'Certified Allocation'!K20</x:f>
        <x:v>Not entered</x:v>
      </x:c>
      <x:c r="N27" t="str">
        <x:f>'Certified Allocation'!L20</x:f>
        <x:v>Enter actual weight</x:v>
      </x:c>
      <x:c r="O27" s="27" t="n">
        <x:f>IF(F27="",0,IF(OR(F27&lt;K27,F27&gt;L27),ABS(F27-E27),0))</x:f>
        <x:v>0.0199</x:v>
      </x:c>
      <x:c r="P27" t="n">
        <x:f>IF(O27=0,"",RANK(O27,$O$12:$O$58,0)+COUNTIF($O$12:O27,O27)-1)</x:f>
        <x:v>21</x:v>
      </x:c>
    </x:row>
    <x:row r="28">
      <x:c r="A28" t="n">
        <x:v>21</x:v>
      </x:c>
      <x:c r="B28" t="str">
        <x:f>'Certified Allocation'!B21</x:f>
        <x:v>AMAT</x:v>
      </x:c>
      <x:c r="C28" t="str">
        <x:f>'Certified Allocation'!C21</x:f>
        <x:v>Applied Materials, Inc.</x:v>
      </x:c>
      <x:c r="D28" t="str">
        <x:f>'Certified Allocation'!A21</x:f>
        <x:v>Digital Infrastructure &amp; AI</x:v>
      </x:c>
      <x:c r="E28" s="27" t="n">
        <x:f>'Certified Allocation'!F21</x:f>
        <x:v>0.0156</x:v>
      </x:c>
      <x:c r="F28" s="27" t="n">
        <x:f>'Certified Allocation'!I21</x:f>
        <x:v>0</x:v>
      </x:c>
      <x:c r="G28" s="27" t="n">
        <x:f>IF($B$61=0,F28,E28)</x:f>
        <x:v>0.0156</x:v>
      </x:c>
      <x:c r="H28" t="n">
        <x:f>RANK(G28,$G$12:$G$58,0)+COUNTIF($G$12:G28,G28)-1</x:f>
        <x:v>27</x:v>
      </x:c>
      <x:c r="I28" t="str">
        <x:f>'Certified Allocation'!E21</x:f>
        <x:v>Semiconductor equipment enabler</x:v>
      </x:c>
      <x:c r="J28" t="str">
        <x:f>'Certified Allocation'!M21</x:f>
        <x:v>Unassigned</x:v>
      </x:c>
      <x:c r="K28" s="27" t="n">
        <x:f>'Certified Allocation'!G21</x:f>
        <x:v>0.011699999999999999</x:v>
      </x:c>
      <x:c r="L28" s="27" t="n">
        <x:f>'Certified Allocation'!H21</x:f>
        <x:v>0.0195</x:v>
      </x:c>
      <x:c r="M28" t="str">
        <x:f>'Certified Allocation'!K21</x:f>
        <x:v>Not entered</x:v>
      </x:c>
      <x:c r="N28" t="str">
        <x:f>'Certified Allocation'!L21</x:f>
        <x:v>Enter actual weight</x:v>
      </x:c>
      <x:c r="O28" s="27" t="n">
        <x:f>IF(F28="",0,IF(OR(F28&lt;K28,F28&gt;L28),ABS(F28-E28),0))</x:f>
        <x:v>0.0156</x:v>
      </x:c>
      <x:c r="P28" t="n">
        <x:f>IF(O28=0,"",RANK(O28,$O$12:$O$58,0)+COUNTIF($O$12:O28,O28)-1)</x:f>
        <x:v>27</x:v>
      </x:c>
    </x:row>
    <x:row r="29">
      <x:c r="A29" t="n">
        <x:v>22</x:v>
      </x:c>
      <x:c r="B29" t="str">
        <x:f>'Certified Allocation'!B22</x:f>
        <x:v>CSCO</x:v>
      </x:c>
      <x:c r="C29" t="str">
        <x:f>'Certified Allocation'!C22</x:f>
        <x:v>Cisco Systems, Inc.</x:v>
      </x:c>
      <x:c r="D29" t="str">
        <x:f>'Certified Allocation'!A22</x:f>
        <x:v>Digital Infrastructure &amp; AI</x:v>
      </x:c>
      <x:c r="E29" s="27" t="n">
        <x:f>'Certified Allocation'!F22</x:f>
        <x:v>0.0156</x:v>
      </x:c>
      <x:c r="F29" s="27" t="n">
        <x:f>'Certified Allocation'!I22</x:f>
        <x:v>0</x:v>
      </x:c>
      <x:c r="G29" s="27" t="n">
        <x:f>IF($B$61=0,F29,E29)</x:f>
        <x:v>0.0156</x:v>
      </x:c>
      <x:c r="H29" t="n">
        <x:f>RANK(G29,$G$12:$G$58,0)+COUNTIF($G$12:G29,G29)-1</x:f>
        <x:v>28</x:v>
      </x:c>
      <x:c r="I29" t="str">
        <x:f>'Certified Allocation'!E22</x:f>
        <x:v>Enterprise networking and secure infrastructure</x:v>
      </x:c>
      <x:c r="J29" t="str">
        <x:f>'Certified Allocation'!M22</x:f>
        <x:v>Unassigned</x:v>
      </x:c>
      <x:c r="K29" s="27" t="n">
        <x:f>'Certified Allocation'!G22</x:f>
        <x:v>0.011699999999999999</x:v>
      </x:c>
      <x:c r="L29" s="27" t="n">
        <x:f>'Certified Allocation'!H22</x:f>
        <x:v>0.0195</x:v>
      </x:c>
      <x:c r="M29" t="str">
        <x:f>'Certified Allocation'!K22</x:f>
        <x:v>Not entered</x:v>
      </x:c>
      <x:c r="N29" t="str">
        <x:f>'Certified Allocation'!L22</x:f>
        <x:v>Enter actual weight</x:v>
      </x:c>
      <x:c r="O29" s="27" t="n">
        <x:f>IF(F29="",0,IF(OR(F29&lt;K29,F29&gt;L29),ABS(F29-E29),0))</x:f>
        <x:v>0.0156</x:v>
      </x:c>
      <x:c r="P29" t="n">
        <x:f>IF(O29=0,"",RANK(O29,$O$12:$O$58,0)+COUNTIF($O$12:O29,O29)-1)</x:f>
        <x:v>28</x:v>
      </x:c>
    </x:row>
    <x:row r="30">
      <x:c r="A30" t="n">
        <x:v>23</x:v>
      </x:c>
      <x:c r="B30" t="str">
        <x:f>'Certified Allocation'!B23</x:f>
        <x:v>KLAC</x:v>
      </x:c>
      <x:c r="C30" t="str">
        <x:f>'Certified Allocation'!C23</x:f>
        <x:v>KLA Corporation</x:v>
      </x:c>
      <x:c r="D30" t="str">
        <x:f>'Certified Allocation'!A23</x:f>
        <x:v>Digital Infrastructure &amp; AI</x:v>
      </x:c>
      <x:c r="E30" s="27" t="n">
        <x:f>'Certified Allocation'!F23</x:f>
        <x:v>0.0156</x:v>
      </x:c>
      <x:c r="F30" s="27" t="n">
        <x:f>'Certified Allocation'!I23</x:f>
        <x:v>0</x:v>
      </x:c>
      <x:c r="G30" s="27" t="n">
        <x:f>IF($B$61=0,F30,E30)</x:f>
        <x:v>0.0156</x:v>
      </x:c>
      <x:c r="H30" t="n">
        <x:f>RANK(G30,$G$12:$G$58,0)+COUNTIF($G$12:G30,G30)-1</x:f>
        <x:v>29</x:v>
      </x:c>
      <x:c r="I30" t="str">
        <x:f>'Certified Allocation'!E23</x:f>
        <x:v>Semiconductor process-control enabler</x:v>
      </x:c>
      <x:c r="J30" t="str">
        <x:f>'Certified Allocation'!M23</x:f>
        <x:v>Unassigned</x:v>
      </x:c>
      <x:c r="K30" s="27" t="n">
        <x:f>'Certified Allocation'!G23</x:f>
        <x:v>0.011699999999999999</x:v>
      </x:c>
      <x:c r="L30" s="27" t="n">
        <x:f>'Certified Allocation'!H23</x:f>
        <x:v>0.0195</x:v>
      </x:c>
      <x:c r="M30" t="str">
        <x:f>'Certified Allocation'!K23</x:f>
        <x:v>Not entered</x:v>
      </x:c>
      <x:c r="N30" t="str">
        <x:f>'Certified Allocation'!L23</x:f>
        <x:v>Enter actual weight</x:v>
      </x:c>
      <x:c r="O30" s="27" t="n">
        <x:f>IF(F30="",0,IF(OR(F30&lt;K30,F30&gt;L30),ABS(F30-E30),0))</x:f>
        <x:v>0.0156</x:v>
      </x:c>
      <x:c r="P30" t="n">
        <x:f>IF(O30=0,"",RANK(O30,$O$12:$O$58,0)+COUNTIF($O$12:O30,O30)-1)</x:f>
        <x:v>29</x:v>
      </x:c>
    </x:row>
    <x:row r="31">
      <x:c r="A31" t="n">
        <x:v>24</x:v>
      </x:c>
      <x:c r="B31" t="str">
        <x:f>'Certified Allocation'!B24</x:f>
        <x:v>MU</x:v>
      </x:c>
      <x:c r="C31" t="str">
        <x:f>'Certified Allocation'!C24</x:f>
        <x:v>Micron Technology, Inc.</x:v>
      </x:c>
      <x:c r="D31" t="str">
        <x:f>'Certified Allocation'!A24</x:f>
        <x:v>Digital Infrastructure &amp; AI</x:v>
      </x:c>
      <x:c r="E31" s="27" t="n">
        <x:f>'Certified Allocation'!F24</x:f>
        <x:v>0.0156</x:v>
      </x:c>
      <x:c r="F31" s="27" t="n">
        <x:f>'Certified Allocation'!I24</x:f>
        <x:v>0</x:v>
      </x:c>
      <x:c r="G31" s="27" t="n">
        <x:f>IF($B$61=0,F31,E31)</x:f>
        <x:v>0.0156</x:v>
      </x:c>
      <x:c r="H31" t="n">
        <x:f>RANK(G31,$G$12:$G$58,0)+COUNTIF($G$12:G31,G31)-1</x:f>
        <x:v>30</x:v>
      </x:c>
      <x:c r="I31" t="str">
        <x:f>'Certified Allocation'!E24</x:f>
        <x:v>Memory and AI data-cycle enabler</x:v>
      </x:c>
      <x:c r="J31" t="str">
        <x:f>'Certified Allocation'!M24</x:f>
        <x:v>Unassigned</x:v>
      </x:c>
      <x:c r="K31" s="27" t="n">
        <x:f>'Certified Allocation'!G24</x:f>
        <x:v>0.011699999999999999</x:v>
      </x:c>
      <x:c r="L31" s="27" t="n">
        <x:f>'Certified Allocation'!H24</x:f>
        <x:v>0.0195</x:v>
      </x:c>
      <x:c r="M31" t="str">
        <x:f>'Certified Allocation'!K24</x:f>
        <x:v>Not entered</x:v>
      </x:c>
      <x:c r="N31" t="str">
        <x:f>'Certified Allocation'!L24</x:f>
        <x:v>Enter actual weight</x:v>
      </x:c>
      <x:c r="O31" s="27" t="n">
        <x:f>IF(F31="",0,IF(OR(F31&lt;K31,F31&gt;L31),ABS(F31-E31),0))</x:f>
        <x:v>0.0156</x:v>
      </x:c>
      <x:c r="P31" t="n">
        <x:f>IF(O31=0,"",RANK(O31,$O$12:$O$58,0)+COUNTIF($O$12:O31,O31)-1)</x:f>
        <x:v>30</x:v>
      </x:c>
    </x:row>
    <x:row r="32">
      <x:c r="A32" t="n">
        <x:v>25</x:v>
      </x:c>
      <x:c r="B32" t="str">
        <x:f>'Certified Allocation'!B25</x:f>
        <x:v>ORCL</x:v>
      </x:c>
      <x:c r="C32" t="str">
        <x:f>'Certified Allocation'!C25</x:f>
        <x:v>Oracle Corporation</x:v>
      </x:c>
      <x:c r="D32" t="str">
        <x:f>'Certified Allocation'!A25</x:f>
        <x:v>Digital Infrastructure &amp; AI</x:v>
      </x:c>
      <x:c r="E32" s="27" t="n">
        <x:f>'Certified Allocation'!F25</x:f>
        <x:v>0.0156</x:v>
      </x:c>
      <x:c r="F32" s="27" t="n">
        <x:f>'Certified Allocation'!I25</x:f>
        <x:v>0</x:v>
      </x:c>
      <x:c r="G32" s="27" t="n">
        <x:f>IF($B$61=0,F32,E32)</x:f>
        <x:v>0.0156</x:v>
      </x:c>
      <x:c r="H32" t="n">
        <x:f>RANK(G32,$G$12:$G$58,0)+COUNTIF($G$12:G32,G32)-1</x:f>
        <x:v>31</x:v>
      </x:c>
      <x:c r="I32" t="str">
        <x:f>'Certified Allocation'!E25</x:f>
        <x:v>Enterprise cloud and database platform</x:v>
      </x:c>
      <x:c r="J32" t="str">
        <x:f>'Certified Allocation'!M25</x:f>
        <x:v>Unassigned</x:v>
      </x:c>
      <x:c r="K32" s="27" t="n">
        <x:f>'Certified Allocation'!G25</x:f>
        <x:v>0.011699999999999999</x:v>
      </x:c>
      <x:c r="L32" s="27" t="n">
        <x:f>'Certified Allocation'!H25</x:f>
        <x:v>0.0195</x:v>
      </x:c>
      <x:c r="M32" t="str">
        <x:f>'Certified Allocation'!K25</x:f>
        <x:v>Not entered</x:v>
      </x:c>
      <x:c r="N32" t="str">
        <x:f>'Certified Allocation'!L25</x:f>
        <x:v>Enter actual weight</x:v>
      </x:c>
      <x:c r="O32" s="27" t="n">
        <x:f>IF(F32="",0,IF(OR(F32&lt;K32,F32&gt;L32),ABS(F32-E32),0))</x:f>
        <x:v>0.0156</x:v>
      </x:c>
      <x:c r="P32" t="n">
        <x:f>IF(O32=0,"",RANK(O32,$O$12:$O$58,0)+COUNTIF($O$12:O32,O32)-1)</x:f>
        <x:v>31</x:v>
      </x:c>
    </x:row>
    <x:row r="33">
      <x:c r="A33" t="n">
        <x:v>26</x:v>
      </x:c>
      <x:c r="B33" t="str">
        <x:f>'Certified Allocation'!B26</x:f>
        <x:v>TXN</x:v>
      </x:c>
      <x:c r="C33" t="str">
        <x:f>'Certified Allocation'!C26</x:f>
        <x:v>Texas Instruments Incorporated</x:v>
      </x:c>
      <x:c r="D33" t="str">
        <x:f>'Certified Allocation'!A26</x:f>
        <x:v>Digital Infrastructure &amp; AI</x:v>
      </x:c>
      <x:c r="E33" s="27" t="n">
        <x:f>'Certified Allocation'!F26</x:f>
        <x:v>0.0156</x:v>
      </x:c>
      <x:c r="F33" s="27" t="n">
        <x:f>'Certified Allocation'!I26</x:f>
        <x:v>0</x:v>
      </x:c>
      <x:c r="G33" s="27" t="n">
        <x:f>IF($B$61=0,F33,E33)</x:f>
        <x:v>0.0156</x:v>
      </x:c>
      <x:c r="H33" t="n">
        <x:f>RANK(G33,$G$12:$G$58,0)+COUNTIF($G$12:G33,G33)-1</x:f>
        <x:v>32</x:v>
      </x:c>
      <x:c r="I33" t="str">
        <x:f>'Certified Allocation'!E26</x:f>
        <x:v>Analog semiconductor infrastructure</x:v>
      </x:c>
      <x:c r="J33" t="str">
        <x:f>'Certified Allocation'!M26</x:f>
        <x:v>Unassigned</x:v>
      </x:c>
      <x:c r="K33" s="27" t="n">
        <x:f>'Certified Allocation'!G26</x:f>
        <x:v>0.011699999999999999</x:v>
      </x:c>
      <x:c r="L33" s="27" t="n">
        <x:f>'Certified Allocation'!H26</x:f>
        <x:v>0.0195</x:v>
      </x:c>
      <x:c r="M33" t="str">
        <x:f>'Certified Allocation'!K26</x:f>
        <x:v>Not entered</x:v>
      </x:c>
      <x:c r="N33" t="str">
        <x:f>'Certified Allocation'!L26</x:f>
        <x:v>Enter actual weight</x:v>
      </x:c>
      <x:c r="O33" s="27" t="n">
        <x:f>IF(F33="",0,IF(OR(F33&lt;K33,F33&gt;L33),ABS(F33-E33),0))</x:f>
        <x:v>0.0156</x:v>
      </x:c>
      <x:c r="P33" t="n">
        <x:f>IF(O33=0,"",RANK(O33,$O$12:$O$58,0)+COUNTIF($O$12:O33,O33)-1)</x:f>
        <x:v>32</x:v>
      </x:c>
    </x:row>
    <x:row r="34">
      <x:c r="A34" t="n">
        <x:v>27</x:v>
      </x:c>
      <x:c r="B34" t="str">
        <x:f>'Certified Allocation'!B27</x:f>
        <x:v>VRT</x:v>
      </x:c>
      <x:c r="C34" t="str">
        <x:f>'Certified Allocation'!C27</x:f>
        <x:v>Vertiv Holdings Co.</x:v>
      </x:c>
      <x:c r="D34" t="str">
        <x:f>'Certified Allocation'!A27</x:f>
        <x:v>Digital Infrastructure &amp; AI</x:v>
      </x:c>
      <x:c r="E34" s="27" t="n">
        <x:f>'Certified Allocation'!F27</x:f>
        <x:v>0.0155</x:v>
      </x:c>
      <x:c r="F34" s="27" t="n">
        <x:f>'Certified Allocation'!I27</x:f>
        <x:v>0</x:v>
      </x:c>
      <x:c r="G34" s="27" t="n">
        <x:f>IF($B$61=0,F34,E34)</x:f>
        <x:v>0.0155</x:v>
      </x:c>
      <x:c r="H34" t="n">
        <x:f>RANK(G34,$G$12:$G$58,0)+COUNTIF($G$12:G34,G34)-1</x:f>
        <x:v>45</x:v>
      </x:c>
      <x:c r="I34" t="str">
        <x:f>'Certified Allocation'!E27</x:f>
        <x:v>Critical data-center infrastructure</x:v>
      </x:c>
      <x:c r="J34" t="str">
        <x:f>'Certified Allocation'!M27</x:f>
        <x:v>Unassigned</x:v>
      </x:c>
      <x:c r="K34" s="27" t="n">
        <x:f>'Certified Allocation'!G27</x:f>
        <x:v>0.011625</x:v>
      </x:c>
      <x:c r="L34" s="27" t="n">
        <x:f>'Certified Allocation'!H27</x:f>
        <x:v>0.019375</x:v>
      </x:c>
      <x:c r="M34" t="str">
        <x:f>'Certified Allocation'!K27</x:f>
        <x:v>Not entered</x:v>
      </x:c>
      <x:c r="N34" t="str">
        <x:f>'Certified Allocation'!L27</x:f>
        <x:v>Enter actual weight</x:v>
      </x:c>
      <x:c r="O34" s="27" t="n">
        <x:f>IF(F34="",0,IF(OR(F34&lt;K34,F34&gt;L34),ABS(F34-E34),0))</x:f>
        <x:v>0.0155</x:v>
      </x:c>
      <x:c r="P34" t="n">
        <x:f>IF(O34=0,"",RANK(O34,$O$12:$O$58,0)+COUNTIF($O$12:O34,O34)-1)</x:f>
        <x:v>45</x:v>
      </x:c>
    </x:row>
    <x:row r="35">
      <x:c r="A35" t="n">
        <x:v>28</x:v>
      </x:c>
      <x:c r="B35" t="str">
        <x:f>'Certified Allocation'!B28</x:f>
        <x:v>DHR</x:v>
      </x:c>
      <x:c r="C35" t="str">
        <x:f>'Certified Allocation'!C28</x:f>
        <x:v>Danaher Corporation</x:v>
      </x:c>
      <x:c r="D35" t="str">
        <x:f>'Certified Allocation'!A28</x:f>
        <x:v>Industrials &amp; Infrastructure</x:v>
      </x:c>
      <x:c r="E35" s="27" t="n">
        <x:f>'Certified Allocation'!F28</x:f>
        <x:v>0.03</x:v>
      </x:c>
      <x:c r="F35" s="27" t="n">
        <x:f>'Certified Allocation'!I28</x:f>
        <x:v>0</x:v>
      </x:c>
      <x:c r="G35" s="27" t="n">
        <x:f>IF($B$61=0,F35,E35)</x:f>
        <x:v>0.03</x:v>
      </x:c>
      <x:c r="H35" t="n">
        <x:f>RANK(G35,$G$12:$G$58,0)+COUNTIF($G$12:G35,G35)-1</x:f>
        <x:v>13</x:v>
      </x:c>
      <x:c r="I35" t="str">
        <x:f>'Certified Allocation'!E28</x:f>
        <x:v>Life-science tools and industrial quality</x:v>
      </x:c>
      <x:c r="J35" t="str">
        <x:f>'Certified Allocation'!M28</x:f>
        <x:v>Unassigned</x:v>
      </x:c>
      <x:c r="K35" s="27" t="n">
        <x:f>'Certified Allocation'!G28</x:f>
        <x:v>0.0225</x:v>
      </x:c>
      <x:c r="L35" s="27" t="n">
        <x:f>'Certified Allocation'!H28</x:f>
        <x:v>0.0375</x:v>
      </x:c>
      <x:c r="M35" t="str">
        <x:f>'Certified Allocation'!K28</x:f>
        <x:v>Not entered</x:v>
      </x:c>
      <x:c r="N35" t="str">
        <x:f>'Certified Allocation'!L28</x:f>
        <x:v>Enter actual weight</x:v>
      </x:c>
      <x:c r="O35" s="27" t="n">
        <x:f>IF(F35="",0,IF(OR(F35&lt;K35,F35&gt;L35),ABS(F35-E35),0))</x:f>
        <x:v>0.03</x:v>
      </x:c>
      <x:c r="P35" t="n">
        <x:f>IF(O35=0,"",RANK(O35,$O$12:$O$58,0)+COUNTIF($O$12:O35,O35)-1)</x:f>
        <x:v>13</x:v>
      </x:c>
    </x:row>
    <x:row r="36">
      <x:c r="A36" t="n">
        <x:v>29</x:v>
      </x:c>
      <x:c r="B36" t="str">
        <x:f>'Certified Allocation'!B29</x:f>
        <x:v>RTX</x:v>
      </x:c>
      <x:c r="C36" t="str">
        <x:f>'Certified Allocation'!C29</x:f>
        <x:v>RTX Corporation</x:v>
      </x:c>
      <x:c r="D36" t="str">
        <x:f>'Certified Allocation'!A29</x:f>
        <x:v>Industrials &amp; Infrastructure</x:v>
      </x:c>
      <x:c r="E36" s="27" t="n">
        <x:f>'Certified Allocation'!F29</x:f>
        <x:v>0.0299</x:v>
      </x:c>
      <x:c r="F36" s="27" t="n">
        <x:f>'Certified Allocation'!I29</x:f>
        <x:v>0</x:v>
      </x:c>
      <x:c r="G36" s="27" t="n">
        <x:f>IF($B$61=0,F36,E36)</x:f>
        <x:v>0.0299</x:v>
      </x:c>
      <x:c r="H36" t="n">
        <x:f>RANK(G36,$G$12:$G$58,0)+COUNTIF($G$12:G36,G36)-1</x:f>
        <x:v>14</x:v>
      </x:c>
      <x:c r="I36" t="str">
        <x:f>'Certified Allocation'!E29</x:f>
        <x:v>Aerospace and defense systems leader</x:v>
      </x:c>
      <x:c r="J36" t="str">
        <x:f>'Certified Allocation'!M29</x:f>
        <x:v>Unassigned</x:v>
      </x:c>
      <x:c r="K36" s="27" t="n">
        <x:f>'Certified Allocation'!G29</x:f>
        <x:v>0.022425</x:v>
      </x:c>
      <x:c r="L36" s="27" t="n">
        <x:f>'Certified Allocation'!H29</x:f>
        <x:v>0.037375</x:v>
      </x:c>
      <x:c r="M36" t="str">
        <x:f>'Certified Allocation'!K29</x:f>
        <x:v>Not entered</x:v>
      </x:c>
      <x:c r="N36" t="str">
        <x:f>'Certified Allocation'!L29</x:f>
        <x:v>Enter actual weight</x:v>
      </x:c>
      <x:c r="O36" s="27" t="n">
        <x:f>IF(F36="",0,IF(OR(F36&lt;K36,F36&gt;L36),ABS(F36-E36),0))</x:f>
        <x:v>0.0299</x:v>
      </x:c>
      <x:c r="P36" t="n">
        <x:f>IF(O36=0,"",RANK(O36,$O$12:$O$58,0)+COUNTIF($O$12:O36,O36)-1)</x:f>
        <x:v>14</x:v>
      </x:c>
    </x:row>
    <x:row r="37">
      <x:c r="A37" t="n">
        <x:v>30</x:v>
      </x:c>
      <x:c r="B37" t="str">
        <x:f>'Certified Allocation'!B30</x:f>
        <x:v>DE</x:v>
      </x:c>
      <x:c r="C37" t="str">
        <x:f>'Certified Allocation'!C30</x:f>
        <x:v>Deere &amp; Company</x:v>
      </x:c>
      <x:c r="D37" t="str">
        <x:f>'Certified Allocation'!A30</x:f>
        <x:v>Industrials &amp; Infrastructure</x:v>
      </x:c>
      <x:c r="E37" s="27" t="n">
        <x:f>'Certified Allocation'!F30</x:f>
        <x:v>0.0177</x:v>
      </x:c>
      <x:c r="F37" s="27" t="n">
        <x:f>'Certified Allocation'!I30</x:f>
        <x:v>0</x:v>
      </x:c>
      <x:c r="G37" s="27" t="n">
        <x:f>IF($B$61=0,F37,E37)</x:f>
        <x:v>0.0177</x:v>
      </x:c>
      <x:c r="H37" t="n">
        <x:f>RANK(G37,$G$12:$G$58,0)+COUNTIF($G$12:G37,G37)-1</x:f>
        <x:v>22</x:v>
      </x:c>
      <x:c r="I37" t="str">
        <x:f>'Certified Allocation'!E30</x:f>
        <x:v>Precision agriculture and equipment leader</x:v>
      </x:c>
      <x:c r="J37" t="str">
        <x:f>'Certified Allocation'!M30</x:f>
        <x:v>Unassigned</x:v>
      </x:c>
      <x:c r="K37" s="27" t="n">
        <x:f>'Certified Allocation'!G30</x:f>
        <x:v>0.013275</x:v>
      </x:c>
      <x:c r="L37" s="27" t="n">
        <x:f>'Certified Allocation'!H30</x:f>
        <x:v>0.022125</x:v>
      </x:c>
      <x:c r="M37" t="str">
        <x:f>'Certified Allocation'!K30</x:f>
        <x:v>Not entered</x:v>
      </x:c>
      <x:c r="N37" t="str">
        <x:f>'Certified Allocation'!L30</x:f>
        <x:v>Enter actual weight</x:v>
      </x:c>
      <x:c r="O37" s="27" t="n">
        <x:f>IF(F37="",0,IF(OR(F37&lt;K37,F37&gt;L37),ABS(F37-E37),0))</x:f>
        <x:v>0.0177</x:v>
      </x:c>
      <x:c r="P37" t="n">
        <x:f>IF(O37=0,"",RANK(O37,$O$12:$O$58,0)+COUNTIF($O$12:O37,O37)-1)</x:f>
        <x:v>22</x:v>
      </x:c>
    </x:row>
    <x:row r="38">
      <x:c r="A38" t="n">
        <x:v>31</x:v>
      </x:c>
      <x:c r="B38" t="str">
        <x:f>'Certified Allocation'!B31</x:f>
        <x:v>CAT</x:v>
      </x:c>
      <x:c r="C38" t="str">
        <x:f>'Certified Allocation'!C31</x:f>
        <x:v>Caterpillar Inc.</x:v>
      </x:c>
      <x:c r="D38" t="str">
        <x:f>'Certified Allocation'!A31</x:f>
        <x:v>Industrials &amp; Infrastructure</x:v>
      </x:c>
      <x:c r="E38" s="27" t="n">
        <x:f>'Certified Allocation'!F31</x:f>
        <x:v>0.0156</x:v>
      </x:c>
      <x:c r="F38" s="27" t="n">
        <x:f>'Certified Allocation'!I31</x:f>
        <x:v>0</x:v>
      </x:c>
      <x:c r="G38" s="27" t="n">
        <x:f>IF($B$61=0,F38,E38)</x:f>
        <x:v>0.0156</x:v>
      </x:c>
      <x:c r="H38" t="n">
        <x:f>RANK(G38,$G$12:$G$58,0)+COUNTIF($G$12:G38,G38)-1</x:f>
        <x:v>33</x:v>
      </x:c>
      <x:c r="I38" t="str">
        <x:f>'Certified Allocation'!E31</x:f>
        <x:v>Heavy equipment and infrastructure leader</x:v>
      </x:c>
      <x:c r="J38" t="str">
        <x:f>'Certified Allocation'!M31</x:f>
        <x:v>Unassigned</x:v>
      </x:c>
      <x:c r="K38" s="27" t="n">
        <x:f>'Certified Allocation'!G31</x:f>
        <x:v>0.011699999999999999</x:v>
      </x:c>
      <x:c r="L38" s="27" t="n">
        <x:f>'Certified Allocation'!H31</x:f>
        <x:v>0.0195</x:v>
      </x:c>
      <x:c r="M38" t="str">
        <x:f>'Certified Allocation'!K31</x:f>
        <x:v>Not entered</x:v>
      </x:c>
      <x:c r="N38" t="str">
        <x:f>'Certified Allocation'!L31</x:f>
        <x:v>Enter actual weight</x:v>
      </x:c>
      <x:c r="O38" s="27" t="n">
        <x:f>IF(F38="",0,IF(OR(F38&lt;K38,F38&gt;L38),ABS(F38-E38),0))</x:f>
        <x:v>0.0156</x:v>
      </x:c>
      <x:c r="P38" t="n">
        <x:f>IF(O38=0,"",RANK(O38,$O$12:$O$58,0)+COUNTIF($O$12:O38,O38)-1)</x:f>
        <x:v>33</x:v>
      </x:c>
    </x:row>
    <x:row r="39">
      <x:c r="A39" t="n">
        <x:v>32</x:v>
      </x:c>
      <x:c r="B39" t="str">
        <x:f>'Certified Allocation'!B32</x:f>
        <x:v>ETN</x:v>
      </x:c>
      <x:c r="C39" t="str">
        <x:f>'Certified Allocation'!C32</x:f>
        <x:v>Eaton Corporation plc</x:v>
      </x:c>
      <x:c r="D39" t="str">
        <x:f>'Certified Allocation'!A32</x:f>
        <x:v>Industrials &amp; Infrastructure</x:v>
      </x:c>
      <x:c r="E39" s="27" t="n">
        <x:f>'Certified Allocation'!F32</x:f>
        <x:v>0.0156</x:v>
      </x:c>
      <x:c r="F39" s="27" t="n">
        <x:f>'Certified Allocation'!I32</x:f>
        <x:v>0</x:v>
      </x:c>
      <x:c r="G39" s="27" t="n">
        <x:f>IF($B$61=0,F39,E39)</x:f>
        <x:v>0.0156</x:v>
      </x:c>
      <x:c r="H39" t="n">
        <x:f>RANK(G39,$G$12:$G$58,0)+COUNTIF($G$12:G39,G39)-1</x:f>
        <x:v>34</x:v>
      </x:c>
      <x:c r="I39" t="str">
        <x:f>'Certified Allocation'!E32</x:f>
        <x:v>Electrification and power-management leader</x:v>
      </x:c>
      <x:c r="J39" t="str">
        <x:f>'Certified Allocation'!M32</x:f>
        <x:v>Unassigned</x:v>
      </x:c>
      <x:c r="K39" s="27" t="n">
        <x:f>'Certified Allocation'!G32</x:f>
        <x:v>0.011699999999999999</x:v>
      </x:c>
      <x:c r="L39" s="27" t="n">
        <x:f>'Certified Allocation'!H32</x:f>
        <x:v>0.0195</x:v>
      </x:c>
      <x:c r="M39" t="str">
        <x:f>'Certified Allocation'!K32</x:f>
        <x:v>Not entered</x:v>
      </x:c>
      <x:c r="N39" t="str">
        <x:f>'Certified Allocation'!L32</x:f>
        <x:v>Enter actual weight</x:v>
      </x:c>
      <x:c r="O39" s="27" t="n">
        <x:f>IF(F39="",0,IF(OR(F39&lt;K39,F39&gt;L39),ABS(F39-E39),0))</x:f>
        <x:v>0.0156</x:v>
      </x:c>
      <x:c r="P39" t="n">
        <x:f>IF(O39=0,"",RANK(O39,$O$12:$O$58,0)+COUNTIF($O$12:O39,O39)-1)</x:f>
        <x:v>34</x:v>
      </x:c>
    </x:row>
    <x:row r="40">
      <x:c r="A40" t="n">
        <x:v>33</x:v>
      </x:c>
      <x:c r="B40" t="str">
        <x:f>'Certified Allocation'!B33</x:f>
        <x:v>GE</x:v>
      </x:c>
      <x:c r="C40" t="str">
        <x:f>'Certified Allocation'!C33</x:f>
        <x:v>GE Aerospace</x:v>
      </x:c>
      <x:c r="D40" t="str">
        <x:f>'Certified Allocation'!A33</x:f>
        <x:v>Industrials &amp; Infrastructure</x:v>
      </x:c>
      <x:c r="E40" s="27" t="n">
        <x:f>'Certified Allocation'!F33</x:f>
        <x:v>0.0156</x:v>
      </x:c>
      <x:c r="F40" s="27" t="n">
        <x:f>'Certified Allocation'!I33</x:f>
        <x:v>0</x:v>
      </x:c>
      <x:c r="G40" s="27" t="n">
        <x:f>IF($B$61=0,F40,E40)</x:f>
        <x:v>0.0156</x:v>
      </x:c>
      <x:c r="H40" t="n">
        <x:f>RANK(G40,$G$12:$G$58,0)+COUNTIF($G$12:G40,G40)-1</x:f>
        <x:v>35</x:v>
      </x:c>
      <x:c r="I40" t="str">
        <x:f>'Certified Allocation'!E33</x:f>
        <x:v>Aerospace propulsion leader</x:v>
      </x:c>
      <x:c r="J40" t="str">
        <x:f>'Certified Allocation'!M33</x:f>
        <x:v>Unassigned</x:v>
      </x:c>
      <x:c r="K40" s="27" t="n">
        <x:f>'Certified Allocation'!G33</x:f>
        <x:v>0.011699999999999999</x:v>
      </x:c>
      <x:c r="L40" s="27" t="n">
        <x:f>'Certified Allocation'!H33</x:f>
        <x:v>0.0195</x:v>
      </x:c>
      <x:c r="M40" t="str">
        <x:f>'Certified Allocation'!K33</x:f>
        <x:v>Not entered</x:v>
      </x:c>
      <x:c r="N40" t="str">
        <x:f>'Certified Allocation'!L33</x:f>
        <x:v>Enter actual weight</x:v>
      </x:c>
      <x:c r="O40" s="27" t="n">
        <x:f>IF(F40="",0,IF(OR(F40&lt;K40,F40&gt;L40),ABS(F40-E40),0))</x:f>
        <x:v>0.0156</x:v>
      </x:c>
      <x:c r="P40" t="n">
        <x:f>IF(O40=0,"",RANK(O40,$O$12:$O$58,0)+COUNTIF($O$12:O40,O40)-1)</x:f>
        <x:v>35</x:v>
      </x:c>
    </x:row>
    <x:row r="41">
      <x:c r="A41" t="n">
        <x:v>34</x:v>
      </x:c>
      <x:c r="B41" t="str">
        <x:f>'Certified Allocation'!B34</x:f>
        <x:v>PH</x:v>
      </x:c>
      <x:c r="C41" t="str">
        <x:f>'Certified Allocation'!C34</x:f>
        <x:v>Parker-Hannifin Corporation</x:v>
      </x:c>
      <x:c r="D41" t="str">
        <x:f>'Certified Allocation'!A34</x:f>
        <x:v>Industrials &amp; Infrastructure</x:v>
      </x:c>
      <x:c r="E41" s="27" t="n">
        <x:f>'Certified Allocation'!F34</x:f>
        <x:v>0.0156</x:v>
      </x:c>
      <x:c r="F41" s="27" t="n">
        <x:f>'Certified Allocation'!I34</x:f>
        <x:v>0</x:v>
      </x:c>
      <x:c r="G41" s="27" t="n">
        <x:f>IF($B$61=0,F41,E41)</x:f>
        <x:v>0.0156</x:v>
      </x:c>
      <x:c r="H41" t="n">
        <x:f>RANK(G41,$G$12:$G$58,0)+COUNTIF($G$12:G41,G41)-1</x:f>
        <x:v>36</x:v>
      </x:c>
      <x:c r="I41" t="str">
        <x:f>'Certified Allocation'!E34</x:f>
        <x:v>Motion and control systems leader</x:v>
      </x:c>
      <x:c r="J41" t="str">
        <x:f>'Certified Allocation'!M34</x:f>
        <x:v>Unassigned</x:v>
      </x:c>
      <x:c r="K41" s="27" t="n">
        <x:f>'Certified Allocation'!G34</x:f>
        <x:v>0.011699999999999999</x:v>
      </x:c>
      <x:c r="L41" s="27" t="n">
        <x:f>'Certified Allocation'!H34</x:f>
        <x:v>0.0195</x:v>
      </x:c>
      <x:c r="M41" t="str">
        <x:f>'Certified Allocation'!K34</x:f>
        <x:v>Not entered</x:v>
      </x:c>
      <x:c r="N41" t="str">
        <x:f>'Certified Allocation'!L34</x:f>
        <x:v>Enter actual weight</x:v>
      </x:c>
      <x:c r="O41" s="27" t="n">
        <x:f>IF(F41="",0,IF(OR(F41&lt;K41,F41&gt;L41),ABS(F41-E41),0))</x:f>
        <x:v>0.0156</x:v>
      </x:c>
      <x:c r="P41" t="n">
        <x:f>IF(O41=0,"",RANK(O41,$O$12:$O$58,0)+COUNTIF($O$12:O41,O41)-1)</x:f>
        <x:v>36</x:v>
      </x:c>
    </x:row>
    <x:row r="42">
      <x:c r="A42" t="n">
        <x:v>35</x:v>
      </x:c>
      <x:c r="B42" t="str">
        <x:f>'Certified Allocation'!B35</x:f>
        <x:v>TT</x:v>
      </x:c>
      <x:c r="C42" t="str">
        <x:f>'Certified Allocation'!C35</x:f>
        <x:v>Trane Technologies plc</x:v>
      </x:c>
      <x:c r="D42" t="str">
        <x:f>'Certified Allocation'!A35</x:f>
        <x:v>Industrials &amp; Infrastructure</x:v>
      </x:c>
      <x:c r="E42" s="27" t="n">
        <x:f>'Certified Allocation'!F35</x:f>
        <x:v>0.0156</x:v>
      </x:c>
      <x:c r="F42" s="27" t="n">
        <x:f>'Certified Allocation'!I35</x:f>
        <x:v>0</x:v>
      </x:c>
      <x:c r="G42" s="27" t="n">
        <x:f>IF($B$61=0,F42,E42)</x:f>
        <x:v>0.0156</x:v>
      </x:c>
      <x:c r="H42" t="n">
        <x:f>RANK(G42,$G$12:$G$58,0)+COUNTIF($G$12:G42,G42)-1</x:f>
        <x:v>37</x:v>
      </x:c>
      <x:c r="I42" t="str">
        <x:f>'Certified Allocation'!E35</x:f>
        <x:v>Climate and building efficiency leader</x:v>
      </x:c>
      <x:c r="J42" t="str">
        <x:f>'Certified Allocation'!M35</x:f>
        <x:v>Unassigned</x:v>
      </x:c>
      <x:c r="K42" s="27" t="n">
        <x:f>'Certified Allocation'!G35</x:f>
        <x:v>0.011699999999999999</x:v>
      </x:c>
      <x:c r="L42" s="27" t="n">
        <x:f>'Certified Allocation'!H35</x:f>
        <x:v>0.0195</x:v>
      </x:c>
      <x:c r="M42" t="str">
        <x:f>'Certified Allocation'!K35</x:f>
        <x:v>Not entered</x:v>
      </x:c>
      <x:c r="N42" t="str">
        <x:f>'Certified Allocation'!L35</x:f>
        <x:v>Enter actual weight</x:v>
      </x:c>
      <x:c r="O42" s="27" t="n">
        <x:f>IF(F42="",0,IF(OR(F42&lt;K42,F42&gt;L42),ABS(F42-E42),0))</x:f>
        <x:v>0.0156</x:v>
      </x:c>
      <x:c r="P42" t="n">
        <x:f>IF(O42=0,"",RANK(O42,$O$12:$O$58,0)+COUNTIF($O$12:O42,O42)-1)</x:f>
        <x:v>37</x:v>
      </x:c>
    </x:row>
    <x:row r="43">
      <x:c r="A43" t="n">
        <x:v>36</x:v>
      </x:c>
      <x:c r="B43" t="str">
        <x:f>'Certified Allocation'!B36</x:f>
        <x:v>UNP</x:v>
      </x:c>
      <x:c r="C43" t="str">
        <x:f>'Certified Allocation'!C36</x:f>
        <x:v>Union Pacific Corporation</x:v>
      </x:c>
      <x:c r="D43" t="str">
        <x:f>'Certified Allocation'!A36</x:f>
        <x:v>Industrials &amp; Infrastructure</x:v>
      </x:c>
      <x:c r="E43" s="27" t="n">
        <x:f>'Certified Allocation'!F36</x:f>
        <x:v>0.0155</x:v>
      </x:c>
      <x:c r="F43" s="27" t="n">
        <x:f>'Certified Allocation'!I36</x:f>
        <x:v>0</x:v>
      </x:c>
      <x:c r="G43" s="27" t="n">
        <x:f>IF($B$61=0,F43,E43)</x:f>
        <x:v>0.0155</x:v>
      </x:c>
      <x:c r="H43" t="n">
        <x:f>RANK(G43,$G$12:$G$58,0)+COUNTIF($G$12:G43,G43)-1</x:f>
        <x:v>46</x:v>
      </x:c>
      <x:c r="I43" t="str">
        <x:f>'Certified Allocation'!E36</x:f>
        <x:v>Freight rail infrastructure</x:v>
      </x:c>
      <x:c r="J43" t="str">
        <x:f>'Certified Allocation'!M36</x:f>
        <x:v>Unassigned</x:v>
      </x:c>
      <x:c r="K43" s="27" t="n">
        <x:f>'Certified Allocation'!G36</x:f>
        <x:v>0.011625</x:v>
      </x:c>
      <x:c r="L43" s="27" t="n">
        <x:f>'Certified Allocation'!H36</x:f>
        <x:v>0.019375</x:v>
      </x:c>
      <x:c r="M43" t="str">
        <x:f>'Certified Allocation'!K36</x:f>
        <x:v>Not entered</x:v>
      </x:c>
      <x:c r="N43" t="str">
        <x:f>'Certified Allocation'!L36</x:f>
        <x:v>Enter actual weight</x:v>
      </x:c>
      <x:c r="O43" s="27" t="n">
        <x:f>IF(F43="",0,IF(OR(F43&lt;K43,F43&gt;L43),ABS(F43-E43),0))</x:f>
        <x:v>0.0155</x:v>
      </x:c>
      <x:c r="P43" t="n">
        <x:f>IF(O43=0,"",RANK(O43,$O$12:$O$58,0)+COUNTIF($O$12:O43,O43)-1)</x:f>
        <x:v>46</x:v>
      </x:c>
    </x:row>
    <x:row r="44">
      <x:c r="A44" t="n">
        <x:v>37</x:v>
      </x:c>
      <x:c r="B44" t="str">
        <x:f>'Certified Allocation'!B37</x:f>
        <x:v>CME</x:v>
      </x:c>
      <x:c r="C44" t="str">
        <x:f>'Certified Allocation'!C37</x:f>
        <x:v>CME Group Inc.</x:v>
      </x:c>
      <x:c r="D44" t="str">
        <x:f>'Certified Allocation'!A37</x:f>
        <x:v>Financial Infrastructure</x:v>
      </x:c>
      <x:c r="E44" s="27" t="n">
        <x:f>'Certified Allocation'!F37</x:f>
        <x:v>0.0302</x:v>
      </x:c>
      <x:c r="F44" s="27" t="n">
        <x:f>'Certified Allocation'!I37</x:f>
        <x:v>0</x:v>
      </x:c>
      <x:c r="G44" s="27" t="n">
        <x:f>IF($B$61=0,F44,E44)</x:f>
        <x:v>0.0302</x:v>
      </x:c>
      <x:c r="H44" t="n">
        <x:f>RANK(G44,$G$12:$G$58,0)+COUNTIF($G$12:G44,G44)-1</x:f>
        <x:v>7</x:v>
      </x:c>
      <x:c r="I44" t="str">
        <x:f>'Certified Allocation'!E37</x:f>
        <x:v>Market infrastructure and derivatives exchange</x:v>
      </x:c>
      <x:c r="J44" t="str">
        <x:f>'Certified Allocation'!M37</x:f>
        <x:v>Unassigned</x:v>
      </x:c>
      <x:c r="K44" s="27" t="n">
        <x:f>'Certified Allocation'!G37</x:f>
        <x:v>0.02265</x:v>
      </x:c>
      <x:c r="L44" s="27" t="n">
        <x:f>'Certified Allocation'!H37</x:f>
        <x:v>0.03775</x:v>
      </x:c>
      <x:c r="M44" t="str">
        <x:f>'Certified Allocation'!K37</x:f>
        <x:v>Not entered</x:v>
      </x:c>
      <x:c r="N44" t="str">
        <x:f>'Certified Allocation'!L37</x:f>
        <x:v>Enter actual weight</x:v>
      </x:c>
      <x:c r="O44" s="27" t="n">
        <x:f>IF(F44="",0,IF(OR(F44&lt;K44,F44&gt;L44),ABS(F44-E44),0))</x:f>
        <x:v>0.0302</x:v>
      </x:c>
      <x:c r="P44" t="n">
        <x:f>IF(O44=0,"",RANK(O44,$O$12:$O$58,0)+COUNTIF($O$12:O44,O44)-1)</x:f>
        <x:v>7</x:v>
      </x:c>
    </x:row>
    <x:row r="45">
      <x:c r="A45" t="n">
        <x:v>38</x:v>
      </x:c>
      <x:c r="B45" t="str">
        <x:f>'Certified Allocation'!B38</x:f>
        <x:v>MMC</x:v>
      </x:c>
      <x:c r="C45" t="str">
        <x:f>'Certified Allocation'!C38</x:f>
        <x:v>Marsh &amp; McLennan Companies, Inc.</x:v>
      </x:c>
      <x:c r="D45" t="str">
        <x:f>'Certified Allocation'!A38</x:f>
        <x:v>Financial Infrastructure</x:v>
      </x:c>
      <x:c r="E45" s="27" t="n">
        <x:f>'Certified Allocation'!F38</x:f>
        <x:v>0.02</x:v>
      </x:c>
      <x:c r="F45" s="27" t="n">
        <x:f>'Certified Allocation'!I38</x:f>
        <x:v>0</x:v>
      </x:c>
      <x:c r="G45" s="27" t="n">
        <x:f>IF($B$61=0,F45,E45)</x:f>
        <x:v>0.02</x:v>
      </x:c>
      <x:c r="H45" t="n">
        <x:f>RANK(G45,$G$12:$G$58,0)+COUNTIF($G$12:G45,G45)-1</x:f>
        <x:v>20</x:v>
      </x:c>
      <x:c r="I45" t="str">
        <x:f>'Certified Allocation'!E38</x:f>
        <x:v>Risk, insurance and advisory infrastructure</x:v>
      </x:c>
      <x:c r="J45" t="str">
        <x:f>'Certified Allocation'!M38</x:f>
        <x:v>Unassigned</x:v>
      </x:c>
      <x:c r="K45" s="27" t="n">
        <x:f>'Certified Allocation'!G38</x:f>
        <x:v>0.015</x:v>
      </x:c>
      <x:c r="L45" s="27" t="n">
        <x:f>'Certified Allocation'!H38</x:f>
        <x:v>0.025</x:v>
      </x:c>
      <x:c r="M45" t="str">
        <x:f>'Certified Allocation'!K38</x:f>
        <x:v>Not entered</x:v>
      </x:c>
      <x:c r="N45" t="str">
        <x:f>'Certified Allocation'!L38</x:f>
        <x:v>Enter actual weight</x:v>
      </x:c>
      <x:c r="O45" s="27" t="n">
        <x:f>IF(F45="",0,IF(OR(F45&lt;K45,F45&gt;L45),ABS(F45-E45),0))</x:f>
        <x:v>0.02</x:v>
      </x:c>
      <x:c r="P45" t="n">
        <x:f>IF(O45=0,"",RANK(O45,$O$12:$O$58,0)+COUNTIF($O$12:O45,O45)-1)</x:f>
        <x:v>20</x:v>
      </x:c>
    </x:row>
    <x:row r="46">
      <x:c r="A46" t="n">
        <x:v>39</x:v>
      </x:c>
      <x:c r="B46" t="str">
        <x:f>'Certified Allocation'!B39</x:f>
        <x:v>GS</x:v>
      </x:c>
      <x:c r="C46" t="str">
        <x:f>'Certified Allocation'!C39</x:f>
        <x:v>The Goldman Sachs Group, Inc.</x:v>
      </x:c>
      <x:c r="D46" t="str">
        <x:f>'Certified Allocation'!A39</x:f>
        <x:v>Financial Infrastructure</x:v>
      </x:c>
      <x:c r="E46" s="27" t="n">
        <x:f>'Certified Allocation'!F39</x:f>
        <x:v>0.0156</x:v>
      </x:c>
      <x:c r="F46" s="27" t="n">
        <x:f>'Certified Allocation'!I39</x:f>
        <x:v>0</x:v>
      </x:c>
      <x:c r="G46" s="27" t="n">
        <x:f>IF($B$61=0,F46,E46)</x:f>
        <x:v>0.0156</x:v>
      </x:c>
      <x:c r="H46" t="n">
        <x:f>RANK(G46,$G$12:$G$58,0)+COUNTIF($G$12:G46,G46)-1</x:f>
        <x:v>38</x:v>
      </x:c>
      <x:c r="I46" t="str">
        <x:f>'Certified Allocation'!E39</x:f>
        <x:v>Investment banking and capital markets</x:v>
      </x:c>
      <x:c r="J46" t="str">
        <x:f>'Certified Allocation'!M39</x:f>
        <x:v>Unassigned</x:v>
      </x:c>
      <x:c r="K46" s="27" t="n">
        <x:f>'Certified Allocation'!G39</x:f>
        <x:v>0.011699999999999999</x:v>
      </x:c>
      <x:c r="L46" s="27" t="n">
        <x:f>'Certified Allocation'!H39</x:f>
        <x:v>0.0195</x:v>
      </x:c>
      <x:c r="M46" t="str">
        <x:f>'Certified Allocation'!K39</x:f>
        <x:v>Not entered</x:v>
      </x:c>
      <x:c r="N46" t="str">
        <x:f>'Certified Allocation'!L39</x:f>
        <x:v>Enter actual weight</x:v>
      </x:c>
      <x:c r="O46" s="27" t="n">
        <x:f>IF(F46="",0,IF(OR(F46&lt;K46,F46&gt;L46),ABS(F46-E46),0))</x:f>
        <x:v>0.0156</x:v>
      </x:c>
      <x:c r="P46" t="n">
        <x:f>IF(O46=0,"",RANK(O46,$O$12:$O$58,0)+COUNTIF($O$12:O46,O46)-1)</x:f>
        <x:v>38</x:v>
      </x:c>
    </x:row>
    <x:row r="47">
      <x:c r="A47" t="n">
        <x:v>40</x:v>
      </x:c>
      <x:c r="B47" t="str">
        <x:f>'Certified Allocation'!B40</x:f>
        <x:v>JPM</x:v>
      </x:c>
      <x:c r="C47" t="str">
        <x:f>'Certified Allocation'!C40</x:f>
        <x:v>JPMorgan Chase &amp; Co.</x:v>
      </x:c>
      <x:c r="D47" t="str">
        <x:f>'Certified Allocation'!A40</x:f>
        <x:v>Financial Infrastructure</x:v>
      </x:c>
      <x:c r="E47" s="27" t="n">
        <x:f>'Certified Allocation'!F40</x:f>
        <x:v>0.0156</x:v>
      </x:c>
      <x:c r="F47" s="27" t="n">
        <x:f>'Certified Allocation'!I40</x:f>
        <x:v>0</x:v>
      </x:c>
      <x:c r="G47" s="27" t="n">
        <x:f>IF($B$61=0,F47,E47)</x:f>
        <x:v>0.0156</x:v>
      </x:c>
      <x:c r="H47" t="n">
        <x:f>RANK(G47,$G$12:$G$58,0)+COUNTIF($G$12:G47,G47)-1</x:f>
        <x:v>39</x:v>
      </x:c>
      <x:c r="I47" t="str">
        <x:f>'Certified Allocation'!E40</x:f>
        <x:v>Diversified banking and capital markets anchor</x:v>
      </x:c>
      <x:c r="J47" t="str">
        <x:f>'Certified Allocation'!M40</x:f>
        <x:v>Unassigned</x:v>
      </x:c>
      <x:c r="K47" s="27" t="n">
        <x:f>'Certified Allocation'!G40</x:f>
        <x:v>0.011699999999999999</x:v>
      </x:c>
      <x:c r="L47" s="27" t="n">
        <x:f>'Certified Allocation'!H40</x:f>
        <x:v>0.0195</x:v>
      </x:c>
      <x:c r="M47" t="str">
        <x:f>'Certified Allocation'!K40</x:f>
        <x:v>Not entered</x:v>
      </x:c>
      <x:c r="N47" t="str">
        <x:f>'Certified Allocation'!L40</x:f>
        <x:v>Enter actual weight</x:v>
      </x:c>
      <x:c r="O47" s="27" t="n">
        <x:f>IF(F47="",0,IF(OR(F47&lt;K47,F47&gt;L47),ABS(F47-E47),0))</x:f>
        <x:v>0.0156</x:v>
      </x:c>
      <x:c r="P47" t="n">
        <x:f>IF(O47=0,"",RANK(O47,$O$12:$O$58,0)+COUNTIF($O$12:O47,O47)-1)</x:f>
        <x:v>39</x:v>
      </x:c>
    </x:row>
    <x:row r="48">
      <x:c r="A48" t="n">
        <x:v>41</x:v>
      </x:c>
      <x:c r="B48" t="str">
        <x:f>'Certified Allocation'!B41</x:f>
        <x:v>VFH</x:v>
      </x:c>
      <x:c r="C48" t="str">
        <x:f>'Certified Allocation'!C41</x:f>
        <x:v>Vanguard Financials ETF</x:v>
      </x:c>
      <x:c r="D48" t="str">
        <x:f>'Certified Allocation'!A41</x:f>
        <x:v>Financial Infrastructure</x:v>
      </x:c>
      <x:c r="E48" s="27" t="n">
        <x:f>'Certified Allocation'!F41</x:f>
        <x:v>0.0156</x:v>
      </x:c>
      <x:c r="F48" s="27" t="n">
        <x:f>'Certified Allocation'!I41</x:f>
        <x:v>0</x:v>
      </x:c>
      <x:c r="G48" s="27" t="n">
        <x:f>IF($B$61=0,F48,E48)</x:f>
        <x:v>0.0156</x:v>
      </x:c>
      <x:c r="H48" t="n">
        <x:f>RANK(G48,$G$12:$G$58,0)+COUNTIF($G$12:G48,G48)-1</x:f>
        <x:v>40</x:v>
      </x:c>
      <x:c r="I48" t="str">
        <x:f>'Certified Allocation'!E41</x:f>
        <x:v>Diversified financial-sector implementation ETF</x:v>
      </x:c>
      <x:c r="J48" t="str">
        <x:f>'Certified Allocation'!M41</x:f>
        <x:v>Unassigned</x:v>
      </x:c>
      <x:c r="K48" s="27" t="n">
        <x:f>'Certified Allocation'!G41</x:f>
        <x:v>0.011699999999999999</x:v>
      </x:c>
      <x:c r="L48" s="27" t="n">
        <x:f>'Certified Allocation'!H41</x:f>
        <x:v>0.0195</x:v>
      </x:c>
      <x:c r="M48" t="str">
        <x:f>'Certified Allocation'!K41</x:f>
        <x:v>Not entered</x:v>
      </x:c>
      <x:c r="N48" t="str">
        <x:f>'Certified Allocation'!L41</x:f>
        <x:v>Enter actual weight</x:v>
      </x:c>
      <x:c r="O48" s="27" t="n">
        <x:f>IF(F48="",0,IF(OR(F48&lt;K48,F48&gt;L48),ABS(F48-E48),0))</x:f>
        <x:v>0.0156</x:v>
      </x:c>
      <x:c r="P48" t="n">
        <x:f>IF(O48=0,"",RANK(O48,$O$12:$O$58,0)+COUNTIF($O$12:O48,O48)-1)</x:f>
        <x:v>40</x:v>
      </x:c>
    </x:row>
    <x:row r="49">
      <x:c r="A49" t="n">
        <x:v>42</x:v>
      </x:c>
      <x:c r="B49" t="str">
        <x:f>'Certified Allocation'!B42</x:f>
        <x:v>VHT</x:v>
      </x:c>
      <x:c r="C49" t="str">
        <x:f>'Certified Allocation'!C42</x:f>
        <x:v>Vanguard Health Care ETF</x:v>
      </x:c>
      <x:c r="D49" t="str">
        <x:f>'Certified Allocation'!A42</x:f>
        <x:v>Healthcare Leadership</x:v>
      </x:c>
      <x:c r="E49" s="27" t="n">
        <x:f>'Certified Allocation'!F42</x:f>
        <x:v>0.0206</x:v>
      </x:c>
      <x:c r="F49" s="27" t="n">
        <x:f>'Certified Allocation'!I42</x:f>
        <x:v>0</x:v>
      </x:c>
      <x:c r="G49" s="27" t="n">
        <x:f>IF($B$61=0,F49,E49)</x:f>
        <x:v>0.0206</x:v>
      </x:c>
      <x:c r="H49" t="n">
        <x:f>RANK(G49,$G$12:$G$58,0)+COUNTIF($G$12:G49,G49)-1</x:f>
        <x:v>19</x:v>
      </x:c>
      <x:c r="I49" t="str">
        <x:f>'Certified Allocation'!E42</x:f>
        <x:v>Diversified healthcare implementation ETF</x:v>
      </x:c>
      <x:c r="J49" t="str">
        <x:f>'Certified Allocation'!M42</x:f>
        <x:v>Unassigned</x:v>
      </x:c>
      <x:c r="K49" s="27" t="n">
        <x:f>'Certified Allocation'!G42</x:f>
        <x:v>0.01545</x:v>
      </x:c>
      <x:c r="L49" s="27" t="n">
        <x:f>'Certified Allocation'!H42</x:f>
        <x:v>0.025750000000000002</x:v>
      </x:c>
      <x:c r="M49" t="str">
        <x:f>'Certified Allocation'!K42</x:f>
        <x:v>Not entered</x:v>
      </x:c>
      <x:c r="N49" t="str">
        <x:f>'Certified Allocation'!L42</x:f>
        <x:v>Enter actual weight</x:v>
      </x:c>
      <x:c r="O49" s="27" t="n">
        <x:f>IF(F49="",0,IF(OR(F49&lt;K49,F49&gt;L49),ABS(F49-E49),0))</x:f>
        <x:v>0.0206</x:v>
      </x:c>
      <x:c r="P49" t="n">
        <x:f>IF(O49=0,"",RANK(O49,$O$12:$O$58,0)+COUNTIF($O$12:O49,O49)-1)</x:f>
        <x:v>19</x:v>
      </x:c>
    </x:row>
    <x:row r="50">
      <x:c r="A50" t="n">
        <x:v>43</x:v>
      </x:c>
      <x:c r="B50" t="str">
        <x:f>'Certified Allocation'!B43</x:f>
        <x:v>SYK</x:v>
      </x:c>
      <x:c r="C50" t="str">
        <x:f>'Certified Allocation'!C43</x:f>
        <x:v>Stryker Corporation</x:v>
      </x:c>
      <x:c r="D50" t="str">
        <x:f>'Certified Allocation'!A43</x:f>
        <x:v>Healthcare Leadership</x:v>
      </x:c>
      <x:c r="E50" s="27" t="n">
        <x:f>'Certified Allocation'!F43</x:f>
        <x:v>0.0155</x:v>
      </x:c>
      <x:c r="F50" s="27" t="n">
        <x:f>'Certified Allocation'!I43</x:f>
        <x:v>0</x:v>
      </x:c>
      <x:c r="G50" s="27" t="n">
        <x:f>IF($B$61=0,F50,E50)</x:f>
        <x:v>0.0155</x:v>
      </x:c>
      <x:c r="H50" t="n">
        <x:f>RANK(G50,$G$12:$G$58,0)+COUNTIF($G$12:G50,G50)-1</x:f>
        <x:v>47</x:v>
      </x:c>
      <x:c r="I50" t="str">
        <x:f>'Certified Allocation'!E43</x:f>
        <x:v>Medical technology leader</x:v>
      </x:c>
      <x:c r="J50" t="str">
        <x:f>'Certified Allocation'!M43</x:f>
        <x:v>Unassigned</x:v>
      </x:c>
      <x:c r="K50" s="27" t="n">
        <x:f>'Certified Allocation'!G43</x:f>
        <x:v>0.011625</x:v>
      </x:c>
      <x:c r="L50" s="27" t="n">
        <x:f>'Certified Allocation'!H43</x:f>
        <x:v>0.019375</x:v>
      </x:c>
      <x:c r="M50" t="str">
        <x:f>'Certified Allocation'!K43</x:f>
        <x:v>Not entered</x:v>
      </x:c>
      <x:c r="N50" t="str">
        <x:f>'Certified Allocation'!L43</x:f>
        <x:v>Enter actual weight</x:v>
      </x:c>
      <x:c r="O50" s="27" t="n">
        <x:f>IF(F50="",0,IF(OR(F50&lt;K50,F50&gt;L50),ABS(F50-E50),0))</x:f>
        <x:v>0.0155</x:v>
      </x:c>
      <x:c r="P50" t="n">
        <x:f>IF(O50=0,"",RANK(O50,$O$12:$O$58,0)+COUNTIF($O$12:O50,O50)-1)</x:f>
        <x:v>47</x:v>
      </x:c>
    </x:row>
    <x:row r="51">
      <x:c r="A51" t="n">
        <x:v>44</x:v>
      </x:c>
      <x:c r="B51" t="str">
        <x:f>'Certified Allocation'!B44</x:f>
        <x:v>LNG</x:v>
      </x:c>
      <x:c r="C51" t="str">
        <x:f>'Certified Allocation'!C44</x:f>
        <x:v>Cheniere Energy, Inc.</x:v>
      </x:c>
      <x:c r="D51" t="str">
        <x:f>'Certified Allocation'!A44</x:f>
        <x:v>Energy &amp; Natural Resources</x:v>
      </x:c>
      <x:c r="E51" s="27" t="n">
        <x:f>'Certified Allocation'!F44</x:f>
        <x:v>0.0302</x:v>
      </x:c>
      <x:c r="F51" s="27" t="n">
        <x:f>'Certified Allocation'!I44</x:f>
        <x:v>0</x:v>
      </x:c>
      <x:c r="G51" s="27" t="n">
        <x:f>IF($B$61=0,F51,E51)</x:f>
        <x:v>0.0302</x:v>
      </x:c>
      <x:c r="H51" t="n">
        <x:f>RANK(G51,$G$12:$G$58,0)+COUNTIF($G$12:G51,G51)-1</x:f>
        <x:v>8</x:v>
      </x:c>
      <x:c r="I51" t="str">
        <x:f>'Certified Allocation'!E44</x:f>
        <x:v>LNG export infrastructure</x:v>
      </x:c>
      <x:c r="J51" t="str">
        <x:f>'Certified Allocation'!M44</x:f>
        <x:v>Unassigned</x:v>
      </x:c>
      <x:c r="K51" s="27" t="n">
        <x:f>'Certified Allocation'!G44</x:f>
        <x:v>0.02265</x:v>
      </x:c>
      <x:c r="L51" s="27" t="n">
        <x:f>'Certified Allocation'!H44</x:f>
        <x:v>0.03775</x:v>
      </x:c>
      <x:c r="M51" t="str">
        <x:f>'Certified Allocation'!K44</x:f>
        <x:v>Not entered</x:v>
      </x:c>
      <x:c r="N51" t="str">
        <x:f>'Certified Allocation'!L44</x:f>
        <x:v>Enter actual weight</x:v>
      </x:c>
      <x:c r="O51" s="27" t="n">
        <x:f>IF(F51="",0,IF(OR(F51&lt;K51,F51&gt;L51),ABS(F51-E51),0))</x:f>
        <x:v>0.0302</x:v>
      </x:c>
      <x:c r="P51" t="n">
        <x:f>IF(O51=0,"",RANK(O51,$O$12:$O$58,0)+COUNTIF($O$12:O51,O51)-1)</x:f>
        <x:v>8</x:v>
      </x:c>
    </x:row>
    <x:row r="52">
      <x:c r="A52" t="n">
        <x:v>45</x:v>
      </x:c>
      <x:c r="B52" t="str">
        <x:f>'Certified Allocation'!B45</x:f>
        <x:v>VPU</x:v>
      </x:c>
      <x:c r="C52" t="str">
        <x:f>'Certified Allocation'!C45</x:f>
        <x:v>Vanguard Utilities ETF</x:v>
      </x:c>
      <x:c r="D52" t="str">
        <x:f>'Certified Allocation'!A45</x:f>
        <x:v>Energy &amp; Natural Resources</x:v>
      </x:c>
      <x:c r="E52" s="27" t="n">
        <x:f>'Certified Allocation'!F45</x:f>
        <x:v>0.0302</x:v>
      </x:c>
      <x:c r="F52" s="27" t="n">
        <x:f>'Certified Allocation'!I45</x:f>
        <x:v>0</x:v>
      </x:c>
      <x:c r="G52" s="27" t="n">
        <x:f>IF($B$61=0,F52,E52)</x:f>
        <x:v>0.0302</x:v>
      </x:c>
      <x:c r="H52" t="n">
        <x:f>RANK(G52,$G$12:$G$58,0)+COUNTIF($G$12:G52,G52)-1</x:f>
        <x:v>9</x:v>
      </x:c>
      <x:c r="I52" t="str">
        <x:f>'Certified Allocation'!E45</x:f>
        <x:v>Utilities and defensive infrastructure ETF</x:v>
      </x:c>
      <x:c r="J52" t="str">
        <x:f>'Certified Allocation'!M45</x:f>
        <x:v>Unassigned</x:v>
      </x:c>
      <x:c r="K52" s="27" t="n">
        <x:f>'Certified Allocation'!G45</x:f>
        <x:v>0.02265</x:v>
      </x:c>
      <x:c r="L52" s="27" t="n">
        <x:f>'Certified Allocation'!H45</x:f>
        <x:v>0.03775</x:v>
      </x:c>
      <x:c r="M52" t="str">
        <x:f>'Certified Allocation'!K45</x:f>
        <x:v>Not entered</x:v>
      </x:c>
      <x:c r="N52" t="str">
        <x:f>'Certified Allocation'!L45</x:f>
        <x:v>Enter actual weight</x:v>
      </x:c>
      <x:c r="O52" s="27" t="n">
        <x:f>IF(F52="",0,IF(OR(F52&lt;K52,F52&gt;L52),ABS(F52-E52),0))</x:f>
        <x:v>0.0302</x:v>
      </x:c>
      <x:c r="P52" t="n">
        <x:f>IF(O52=0,"",RANK(O52,$O$12:$O$58,0)+COUNTIF($O$12:O52,O52)-1)</x:f>
        <x:v>9</x:v>
      </x:c>
    </x:row>
    <x:row r="53">
      <x:c r="A53" t="n">
        <x:v>46</x:v>
      </x:c>
      <x:c r="B53" t="str">
        <x:f>'Certified Allocation'!B46</x:f>
        <x:v>XOM</x:v>
      </x:c>
      <x:c r="C53" t="str">
        <x:f>'Certified Allocation'!C46</x:f>
        <x:v>Exxon Mobil Corporation</x:v>
      </x:c>
      <x:c r="D53" t="str">
        <x:f>'Certified Allocation'!A46</x:f>
        <x:v>Energy &amp; Natural Resources</x:v>
      </x:c>
      <x:c r="E53" s="27" t="n">
        <x:f>'Certified Allocation'!F46</x:f>
        <x:v>0.0256</x:v>
      </x:c>
      <x:c r="F53" s="27" t="n">
        <x:f>'Certified Allocation'!I46</x:f>
        <x:v>0</x:v>
      </x:c>
      <x:c r="G53" s="27" t="n">
        <x:f>IF($B$61=0,F53,E53)</x:f>
        <x:v>0.0256</x:v>
      </x:c>
      <x:c r="H53" t="n">
        <x:f>RANK(G53,$G$12:$G$58,0)+COUNTIF($G$12:G53,G53)-1</x:f>
        <x:v>18</x:v>
      </x:c>
      <x:c r="I53" t="str">
        <x:f>'Certified Allocation'!E46</x:f>
        <x:v>Integrated energy leader</x:v>
      </x:c>
      <x:c r="J53" t="str">
        <x:f>'Certified Allocation'!M46</x:f>
        <x:v>Unassigned</x:v>
      </x:c>
      <x:c r="K53" s="27" t="n">
        <x:f>'Certified Allocation'!G46</x:f>
        <x:v>0.019200000000000002</x:v>
      </x:c>
      <x:c r="L53" s="27" t="n">
        <x:f>'Certified Allocation'!H46</x:f>
        <x:v>0.032</x:v>
      </x:c>
      <x:c r="M53" t="str">
        <x:f>'Certified Allocation'!K46</x:f>
        <x:v>Not entered</x:v>
      </x:c>
      <x:c r="N53" t="str">
        <x:f>'Certified Allocation'!L46</x:f>
        <x:v>Enter actual weight</x:v>
      </x:c>
      <x:c r="O53" s="27" t="n">
        <x:f>IF(F53="",0,IF(OR(F53&lt;K53,F53&gt;L53),ABS(F53-E53),0))</x:f>
        <x:v>0.0256</x:v>
      </x:c>
      <x:c r="P53" t="n">
        <x:f>IF(O53=0,"",RANK(O53,$O$12:$O$58,0)+COUNTIF($O$12:O53,O53)-1)</x:f>
        <x:v>18</x:v>
      </x:c>
    </x:row>
    <x:row r="54">
      <x:c r="A54" t="n">
        <x:v>47</x:v>
      </x:c>
      <x:c r="B54" t="str">
        <x:f>'Certified Allocation'!B47</x:f>
        <x:v>CVX</x:v>
      </x:c>
      <x:c r="C54" t="str">
        <x:f>'Certified Allocation'!C47</x:f>
        <x:v>Chevron Corporation</x:v>
      </x:c>
      <x:c r="D54" t="str">
        <x:f>'Certified Allocation'!A47</x:f>
        <x:v>Energy &amp; Natural Resources</x:v>
      </x:c>
      <x:c r="E54" s="27" t="n">
        <x:f>'Certified Allocation'!F47</x:f>
        <x:v>0.0156</x:v>
      </x:c>
      <x:c r="F54" s="27" t="n">
        <x:f>'Certified Allocation'!I47</x:f>
        <x:v>0</x:v>
      </x:c>
      <x:c r="G54" s="27" t="n">
        <x:f>IF($B$61=0,F54,E54)</x:f>
        <x:v>0.0156</x:v>
      </x:c>
      <x:c r="H54" t="n">
        <x:f>RANK(G54,$G$12:$G$58,0)+COUNTIF($G$12:G54,G54)-1</x:f>
        <x:v>41</x:v>
      </x:c>
      <x:c r="I54" t="str">
        <x:f>'Certified Allocation'!E47</x:f>
        <x:v>Integrated energy leader</x:v>
      </x:c>
      <x:c r="J54" t="str">
        <x:f>'Certified Allocation'!M47</x:f>
        <x:v>Unassigned</x:v>
      </x:c>
      <x:c r="K54" s="27" t="n">
        <x:f>'Certified Allocation'!G47</x:f>
        <x:v>0.011699999999999999</x:v>
      </x:c>
      <x:c r="L54" s="27" t="n">
        <x:f>'Certified Allocation'!H47</x:f>
        <x:v>0.0195</x:v>
      </x:c>
      <x:c r="M54" t="str">
        <x:f>'Certified Allocation'!K47</x:f>
        <x:v>Not entered</x:v>
      </x:c>
      <x:c r="N54" t="str">
        <x:f>'Certified Allocation'!L47</x:f>
        <x:v>Enter actual weight</x:v>
      </x:c>
      <x:c r="O54" s="27" t="n">
        <x:f>IF(F54="",0,IF(OR(F54&lt;K54,F54&gt;L54),ABS(F54-E54),0))</x:f>
        <x:v>0.0156</x:v>
      </x:c>
      <x:c r="P54" t="n">
        <x:f>IF(O54=0,"",RANK(O54,$O$12:$O$58,0)+COUNTIF($O$12:O54,O54)-1)</x:f>
        <x:v>41</x:v>
      </x:c>
    </x:row>
    <x:row r="55">
      <x:c r="A55" t="n">
        <x:v>48</x:v>
      </x:c>
      <x:c r="B55" t="str">
        <x:f>'Certified Allocation'!B48</x:f>
        <x:v>VDE</x:v>
      </x:c>
      <x:c r="C55" t="str">
        <x:f>'Certified Allocation'!C48</x:f>
        <x:v>Vanguard Energy ETF</x:v>
      </x:c>
      <x:c r="D55" t="str">
        <x:f>'Certified Allocation'!A48</x:f>
        <x:v>Energy &amp; Natural Resources</x:v>
      </x:c>
      <x:c r="E55" s="27" t="n">
        <x:f>'Certified Allocation'!F48</x:f>
        <x:v>0.0156</x:v>
      </x:c>
      <x:c r="F55" s="27" t="n">
        <x:f>'Certified Allocation'!I48</x:f>
        <x:v>0</x:v>
      </x:c>
      <x:c r="G55" s="27" t="n">
        <x:f>IF($B$61=0,F55,E55)</x:f>
        <x:v>0.0156</x:v>
      </x:c>
      <x:c r="H55" t="n">
        <x:f>RANK(G55,$G$12:$G$58,0)+COUNTIF($G$12:G55,G55)-1</x:f>
        <x:v>42</x:v>
      </x:c>
      <x:c r="I55" t="str">
        <x:f>'Certified Allocation'!E48</x:f>
        <x:v>Diversified energy implementation ETF</x:v>
      </x:c>
      <x:c r="J55" t="str">
        <x:f>'Certified Allocation'!M48</x:f>
        <x:v>Unassigned</x:v>
      </x:c>
      <x:c r="K55" s="27" t="n">
        <x:f>'Certified Allocation'!G48</x:f>
        <x:v>0.011699999999999999</x:v>
      </x:c>
      <x:c r="L55" s="27" t="n">
        <x:f>'Certified Allocation'!H48</x:f>
        <x:v>0.0195</x:v>
      </x:c>
      <x:c r="M55" t="str">
        <x:f>'Certified Allocation'!K48</x:f>
        <x:v>Not entered</x:v>
      </x:c>
      <x:c r="N55" t="str">
        <x:f>'Certified Allocation'!L48</x:f>
        <x:v>Enter actual weight</x:v>
      </x:c>
      <x:c r="O55" s="27" t="n">
        <x:f>IF(F55="",0,IF(OR(F55&lt;K55,F55&gt;L55),ABS(F55-E55),0))</x:f>
        <x:v>0.0156</x:v>
      </x:c>
      <x:c r="P55" t="n">
        <x:f>IF(O55=0,"",RANK(O55,$O$12:$O$58,0)+COUNTIF($O$12:O55,O55)-1)</x:f>
        <x:v>42</x:v>
      </x:c>
    </x:row>
    <x:row r="56">
      <x:c r="A56" t="n">
        <x:v>49</x:v>
      </x:c>
      <x:c r="B56" t="str">
        <x:f>'Certified Allocation'!B49</x:f>
        <x:v>JEPI</x:v>
      </x:c>
      <x:c r="C56" t="str">
        <x:f>'Certified Allocation'!C49</x:f>
        <x:v>JPMorgan Equity Premium Income ETF</x:v>
      </x:c>
      <x:c r="D56" t="str">
        <x:f>'Certified Allocation'!A49</x:f>
        <x:v>Income &amp; Risk Management</x:v>
      </x:c>
      <x:c r="E56" s="27" t="n">
        <x:f>'Certified Allocation'!F49</x:f>
        <x:v>0.0302</x:v>
      </x:c>
      <x:c r="F56" s="27" t="n">
        <x:f>'Certified Allocation'!I49</x:f>
        <x:v>0</x:v>
      </x:c>
      <x:c r="G56" s="27" t="n">
        <x:f>IF($B$61=0,F56,E56)</x:f>
        <x:v>0.0302</x:v>
      </x:c>
      <x:c r="H56" t="n">
        <x:f>RANK(G56,$G$12:$G$58,0)+COUNTIF($G$12:G56,G56)-1</x:f>
        <x:v>10</x:v>
      </x:c>
      <x:c r="I56" t="str">
        <x:f>'Certified Allocation'!E49</x:f>
        <x:v>Diversified equity income and volatility moderation</x:v>
      </x:c>
      <x:c r="J56" t="str">
        <x:f>'Certified Allocation'!M49</x:f>
        <x:v>Unassigned</x:v>
      </x:c>
      <x:c r="K56" s="27" t="n">
        <x:f>'Certified Allocation'!G49</x:f>
        <x:v>0.02265</x:v>
      </x:c>
      <x:c r="L56" s="27" t="n">
        <x:f>'Certified Allocation'!H49</x:f>
        <x:v>0.03775</x:v>
      </x:c>
      <x:c r="M56" t="str">
        <x:f>'Certified Allocation'!K49</x:f>
        <x:v>Not entered</x:v>
      </x:c>
      <x:c r="N56" t="str">
        <x:f>'Certified Allocation'!L49</x:f>
        <x:v>Enter actual weight</x:v>
      </x:c>
      <x:c r="O56" s="27" t="n">
        <x:f>IF(F56="",0,IF(OR(F56&lt;K56,F56&gt;L56),ABS(F56-E56),0))</x:f>
        <x:v>0.0302</x:v>
      </x:c>
      <x:c r="P56" t="n">
        <x:f>IF(O56=0,"",RANK(O56,$O$12:$O$58,0)+COUNTIF($O$12:O56,O56)-1)</x:f>
        <x:v>10</x:v>
      </x:c>
    </x:row>
    <x:row r="57">
      <x:c r="A57" t="n">
        <x:v>50</x:v>
      </x:c>
      <x:c r="B57" t="str">
        <x:f>'Certified Allocation'!B50</x:f>
        <x:v>JEPQ</x:v>
      </x:c>
      <x:c r="C57" t="str">
        <x:f>'Certified Allocation'!C50</x:f>
        <x:v>JPMorgan Nasdaq Equity Premium Income ETF</x:v>
      </x:c>
      <x:c r="D57" t="str">
        <x:f>'Certified Allocation'!A50</x:f>
        <x:v>Income &amp; Risk Management</x:v>
      </x:c>
      <x:c r="E57" s="27" t="n">
        <x:f>'Certified Allocation'!F50</x:f>
        <x:v>0.0302</x:v>
      </x:c>
      <x:c r="F57" s="27" t="n">
        <x:f>'Certified Allocation'!I50</x:f>
        <x:v>0</x:v>
      </x:c>
      <x:c r="G57" s="27" t="n">
        <x:f>IF($B$61=0,F57,E57)</x:f>
        <x:v>0.0302</x:v>
      </x:c>
      <x:c r="H57" t="n">
        <x:f>RANK(G57,$G$12:$G$58,0)+COUNTIF($G$12:G57,G57)-1</x:f>
        <x:v>11</x:v>
      </x:c>
      <x:c r="I57" t="str">
        <x:f>'Certified Allocation'!E50</x:f>
        <x:v>Technology equity income implementation</x:v>
      </x:c>
      <x:c r="J57" t="str">
        <x:f>'Certified Allocation'!M50</x:f>
        <x:v>Unassigned</x:v>
      </x:c>
      <x:c r="K57" s="27" t="n">
        <x:f>'Certified Allocation'!G50</x:f>
        <x:v>0.02265</x:v>
      </x:c>
      <x:c r="L57" s="27" t="n">
        <x:f>'Certified Allocation'!H50</x:f>
        <x:v>0.03775</x:v>
      </x:c>
      <x:c r="M57" t="str">
        <x:f>'Certified Allocation'!K50</x:f>
        <x:v>Not entered</x:v>
      </x:c>
      <x:c r="N57" t="str">
        <x:f>'Certified Allocation'!L50</x:f>
        <x:v>Enter actual weight</x:v>
      </x:c>
      <x:c r="O57" s="27" t="n">
        <x:f>IF(F57="",0,IF(OR(F57&lt;K57,F57&gt;L57),ABS(F57-E57),0))</x:f>
        <x:v>0.0302</x:v>
      </x:c>
      <x:c r="P57" t="n">
        <x:f>IF(O57=0,"",RANK(O57,$O$12:$O$58,0)+COUNTIF($O$12:O57,O57)-1)</x:f>
        <x:v>11</x:v>
      </x:c>
    </x:row>
    <x:row r="58">
      <x:c r="A58" t="n">
        <x:v>51</x:v>
      </x:c>
      <x:c r="B58" t="str">
        <x:f>'Certified Allocation'!B51</x:f>
        <x:v>PFF</x:v>
      </x:c>
      <x:c r="C58" t="str">
        <x:f>'Certified Allocation'!C51</x:f>
        <x:v>iShares Preferred and Income Securities ETF</x:v>
      </x:c>
      <x:c r="D58" t="str">
        <x:f>'Certified Allocation'!A51</x:f>
        <x:v>Income &amp; Risk Management</x:v>
      </x:c>
      <x:c r="E58" s="27" t="n">
        <x:f>'Certified Allocation'!F51</x:f>
        <x:v>0.0302</x:v>
      </x:c>
      <x:c r="F58" s="27" t="n">
        <x:f>'Certified Allocation'!I51</x:f>
        <x:v>0</x:v>
      </x:c>
      <x:c r="G58" s="27" t="n">
        <x:f>IF($B$61=0,F58,E58)</x:f>
        <x:v>0.0302</x:v>
      </x:c>
      <x:c r="H58" t="n">
        <x:f>RANK(G58,$G$12:$G$58,0)+COUNTIF($G$12:G58,G58)-1</x:f>
        <x:v>12</x:v>
      </x:c>
      <x:c r="I58" t="str">
        <x:f>'Certified Allocation'!E51</x:f>
        <x:v>Preferred securities income diversification</x:v>
      </x:c>
      <x:c r="J58" t="str">
        <x:f>'Certified Allocation'!M51</x:f>
        <x:v>Unassigned</x:v>
      </x:c>
      <x:c r="K58" s="27" t="n">
        <x:f>'Certified Allocation'!G51</x:f>
        <x:v>0.02265</x:v>
      </x:c>
      <x:c r="L58" s="27" t="n">
        <x:f>'Certified Allocation'!H51</x:f>
        <x:v>0.03775</x:v>
      </x:c>
      <x:c r="M58" t="str">
        <x:f>'Certified Allocation'!K51</x:f>
        <x:v>Not entered</x:v>
      </x:c>
      <x:c r="N58" t="str">
        <x:f>'Certified Allocation'!L51</x:f>
        <x:v>Enter actual weight</x:v>
      </x:c>
      <x:c r="O58" s="27" t="n">
        <x:f>IF(F58="",0,IF(OR(F58&lt;K58,F58&gt;L58),ABS(F58-E58),0))</x:f>
        <x:v>0.0302</x:v>
      </x:c>
      <x:c r="P58" t="n">
        <x:f>IF(O58=0,"",RANK(O58,$O$12:$O$58,0)+COUNTIF($O$12:O58,O58)-1)</x:f>
        <x:v>12</x:v>
      </x:c>
    </x:row>
    <x:row r="60">
      <x:c r="A60" s="90" t="str">
        <x:v>Dashboard Metric</x:v>
      </x:c>
      <x:c r="B60" s="90" t="str">
        <x:v>Value</x:v>
      </x:c>
    </x:row>
    <x:row r="61">
      <x:c r="A61" t="str">
        <x:v>Missing Actual Weights</x:v>
      </x:c>
      <x:c r="B61" t="n">
        <x:f>COUNTBLANK('Certified Allocation'!I5:I51)</x:f>
        <x:v>47</x:v>
      </x:c>
    </x:row>
    <x:row r="62">
      <x:c r="A62" t="str">
        <x:v>Band Breaches</x:v>
      </x:c>
      <x:c r="B62" t="n">
        <x:f>COUNTIF('Certified Allocation'!K5:K51,"Below band")+COUNTIF('Certified Allocation'!K5:K51,"Above band")</x:f>
        <x:v>0</x:v>
      </x:c>
    </x:row>
    <x:row r="63">
      <x:c r="A63" t="str">
        <x:v>Actual Portfolio Total</x:v>
      </x:c>
      <x:c r="B63" s="27" t="n">
        <x:f>SUM('Certified Allocation'!I5:I51)</x:f>
        <x:v>0</x:v>
      </x:c>
    </x:row>
    <x:row r="64">
      <x:c r="A64" t="str">
        <x:v>Data Completeness</x:v>
      </x:c>
      <x:c r="B64" s="27" t="n">
        <x:f>(47-B61)/47</x:f>
        <x:v>0</x:v>
      </x:c>
    </x:row>
    <x:row r="65">
      <x:c r="A65" t="str">
        <x:v>Ranking Basis</x:v>
      </x:c>
      <x:c r="B65" t="str">
        <x:f>IF(B61=0,"Actual Weight","Target Weight")</x:f>
        <x:v>Target Weight</x:v>
      </x:c>
    </x:row>
    <x:row r="66">
      <x:c r="A66" t="str">
        <x:v>Open Research Decisions</x:v>
      </x:c>
      <x:c r="B66" t="n">
        <x:f>COUNTIF('03 Research Intelligence'!G7:G14,"Decision Required")+COUNTIF('03 Research Intelligence'!G43:G50,"Decision Required")+COUNTIF('03 Research Intelligence'!G67:G74,"Decision Required")+COUNTIF('Certified Allocation'!N5:N51,"Decision Required")</x:f>
        <x:v>0</x:v>
      </x:c>
    </x:row>
    <x:row r="67">
      <x:c r="A67" t="str">
        <x:v>Open Operating Actions</x:v>
      </x:c>
      <x:c r="B67" t="n">
        <x:f>COUNTIF('04 Committee Operations'!G7:G20,"Open")+COUNTIF('04 Committee Operations'!G7:G20,"In Progress")+COUNTIF('04 Committee Operations'!G7:G20,"Planned")</x:f>
        <x:v>4</x:v>
      </x:c>
    </x:row>
    <x:row r="68">
      <x:c r="A68" t="str">
        <x:v>Committee-Decision Actions</x:v>
      </x:c>
      <x:c r="B68" t="n">
        <x:f>COUNTIFS('04 Committee Operations'!H7:H20,"Yes",'04 Committee Operations'!G7:G20,"Open")+COUNTIFS('04 Committee Operations'!H7:H20,"Yes",'04 Committee Operations'!G7:G20,"In Progress")</x:f>
        <x:v>0</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8" hidden="0" customWidth="1"/>
    <x:col min="4" max="4" width="24" hidden="0" customWidth="1"/>
    <x:col min="5" max="5" width="13" hidden="0" customWidth="1"/>
    <x:col min="6" max="6" width="26" hidden="0" customWidth="1"/>
    <x:col min="7" max="7" width="22" hidden="0" customWidth="1"/>
    <x:col min="8" max="8" width="23" hidden="0" customWidth="1"/>
    <x:col min="9" max="9" width="28" hidden="0" customWidth="1"/>
    <x:col min="10" max="10" width="18" hidden="0" customWidth="1"/>
    <x:col min="11" max="11" width="20" hidden="0" customWidth="1"/>
    <x:col min="12" max="12" width="22" hidden="0" customWidth="1"/>
    <x:col min="13" max="13" width="12" hidden="0" customWidth="1"/>
    <x:col min="14" max="14" width="12" hidden="0" customWidth="1"/>
    <x:col min="15" max="15" width="12" hidden="0" customWidth="1"/>
    <x:col min="16" max="16" width="12" hidden="0" customWidth="1"/>
    <x:col min="18" max="18" width="28" hidden="0" customWidth="1"/>
    <x:col min="19" max="19" width="14" hidden="0" customWidth="1"/>
    <x:col min="20" max="20" width="16" hidden="0" customWidth="1"/>
  </x:cols>
  <x:sheetData>
    <x:row r="1" ht="28" customHeight="1">
      <x:c r="A1" s="247" t="str">
        <x:v>MOPS-002 — PORTFOLIO ENGINEERING WORKSPACE (PEW)</x:v>
      </x:c>
      <x:c r="B1" s="247"/>
      <x:c r="C1" s="247"/>
      <x:c r="D1" s="247"/>
      <x:c r="E1" s="247"/>
      <x:c r="F1" s="247"/>
      <x:c r="G1" s="247"/>
      <x:c r="H1" s="247"/>
      <x:c r="I1" s="247"/>
      <x:c r="J1" s="247"/>
      <x:c r="K1" s="247"/>
      <x:c r="L1" s="247"/>
      <x:c r="M1" s="247"/>
      <x:c r="N1" s="247"/>
      <x:c r="O1" s="247"/>
      <x:c r="P1" s="247"/>
    </x:row>
    <x:row r="2" ht="20" customHeight="1">
      <x:c r="A2" s="250" t="str">
        <x:v>Executive control center for mandate, sleeve, role, candidate, conviction, allocation and certification decisions</x:v>
      </x:c>
      <x:c r="B2" s="250"/>
      <x:c r="C2" s="250"/>
      <x:c r="D2" s="250"/>
      <x:c r="E2" s="250"/>
      <x:c r="F2" s="250"/>
      <x:c r="G2" s="250"/>
      <x:c r="H2" s="250"/>
      <x:c r="I2" s="250"/>
      <x:c r="J2" s="250"/>
      <x:c r="K2" s="250"/>
      <x:c r="L2" s="250"/>
      <x:c r="M2" s="250"/>
      <x:c r="N2" s="250"/>
      <x:c r="O2" s="250"/>
      <x:c r="P2" s="250"/>
    </x:row>
    <x:row r="3" ht="18" customHeight="1">
      <x:c r="A3" s="254" t="str">
        <x:v>PEW-001–PEW-007 | Founders Edition v1.0 — CERTIFIED &amp; FROZEN | Certified MFPDF remains the sole system of record</x:v>
      </x:c>
      <x:c r="B3" s="254"/>
      <x:c r="C3" s="254"/>
      <x:c r="D3" s="254"/>
      <x:c r="E3" s="254"/>
      <x:c r="F3" s="254"/>
      <x:c r="G3" s="254"/>
      <x:c r="H3" s="254"/>
      <x:c r="I3" s="254"/>
      <x:c r="J3" s="254"/>
      <x:c r="K3" s="254"/>
      <x:c r="L3" s="254"/>
      <x:c r="M3" s="254"/>
      <x:c r="N3" s="254"/>
      <x:c r="O3" s="254"/>
      <x:c r="P3" s="254"/>
    </x:row>
    <x:row r="4" ht="20" customHeight="1">
      <x:c r="A4" s="264" t="str">
        <x:v>EXECUTIVE ENGINEERING STATE — WORKSPACE CERTIFIED &amp; FROZEN</x:v>
      </x:c>
      <x:c r="B4" s="264"/>
      <x:c r="C4" s="264"/>
      <x:c r="D4" s="264"/>
      <x:c r="E4" s="264"/>
      <x:c r="F4" s="264"/>
      <x:c r="G4" s="264"/>
      <x:c r="H4" s="264"/>
      <x:c r="I4" s="264"/>
      <x:c r="J4" s="264"/>
      <x:c r="K4" s="264"/>
      <x:c r="L4" s="264"/>
      <x:c r="M4" s="264"/>
      <x:c r="N4" s="264"/>
      <x:c r="O4" s="264"/>
      <x:c r="P4" s="264"/>
      <x:c r="R4" t="str">
        <x:v>Sleeve</x:v>
      </x:c>
      <x:c r="S4" t="str">
        <x:v>Certified Target</x:v>
      </x:c>
      <x:c r="T4" t="str">
        <x:v>Scenario Allocation</x:v>
      </x:c>
    </x:row>
    <x:row r="5">
      <x:c r="A5" s="314" t="str">
        <x:v>CURRENT IMPLEMENTATION STATE</x:v>
      </x:c>
      <x:c r="B5" s="314"/>
      <x:c r="C5" s="314"/>
      <x:c r="D5" s="314"/>
      <x:c r="E5" s="314"/>
      <x:c r="F5" s="314"/>
      <x:c r="G5" s="314" t="str">
        <x:v>PRIMARY REQUIRED ACTION</x:v>
      </x:c>
      <x:c r="H5" s="314"/>
      <x:c r="I5" s="314"/>
      <x:c r="J5" s="314"/>
      <x:c r="K5" s="314"/>
      <x:c r="L5" s="314" t="str">
        <x:v>GOVERNANCE</x:v>
      </x:c>
      <x:c r="M5" s="314"/>
      <x:c r="N5" s="314"/>
      <x:c r="O5" s="314"/>
      <x:c r="P5" s="314"/>
      <x:c r="R5" t="str">
        <x:f>'08 Sleeve Architecture'!A5</x:f>
        <x:v>Strategic Anchors</x:v>
      </x:c>
      <x:c r="S5" s="339" t="n">
        <x:f>'08 Sleeve Architecture'!F5</x:f>
        <x:v>0.22510000000000002</x:v>
      </x:c>
      <x:c r="T5" s="339" t="n">
        <x:f>'08 Sleeve Architecture'!H5</x:f>
        <x:v>0.22510000000000002</x:v>
      </x:c>
    </x:row>
    <x:row r="6">
      <x:c r="A6" s="319" t="str">
        <x:f>'13 Validation &amp; Cert'!J12</x:f>
        <x:v>NOT READY</x:v>
      </x:c>
      <x:c r="B6" s="319"/>
      <x:c r="C6" s="319"/>
      <x:c r="D6" s="319"/>
      <x:c r="E6" s="319"/>
      <x:c r="F6" s="319"/>
      <x:c r="G6" s="323" t="str">
        <x:f>IF(COUNTA('Certified Allocation'!I5:I51)&lt;47,"Load all 47 current actual portfolio weights",IF(COUNTIF('11 Conviction'!H5:H51,"&lt;&gt;Unassigned")&lt;47,"Assign effective conviction tiers to all active holdings",IF('12 Allocation Lab'!K6=0,"No allocation redesign is currently proposed","Resolve scenario evidence and committee decisions")))</x:f>
        <x:v>Load all 47 current actual portfolio weights</x:v>
      </x:c>
      <x:c r="H6" s="323"/>
      <x:c r="I6" s="323"/>
      <x:c r="J6" s="323"/>
      <x:c r="K6" s="323"/>
      <x:c r="L6" s="328" t="str">
        <x:v>Workspace architecture is certified and frozen. Scenario analysis does not modify the certified portfolio. No automatic trading. A new MFPDF version is required before implementation.</x:v>
      </x:c>
      <x:c r="M6" s="328"/>
      <x:c r="N6" s="328"/>
      <x:c r="O6" s="328"/>
      <x:c r="P6" s="328"/>
      <x:c r="R6" t="str">
        <x:f>'08 Sleeve Architecture'!A6</x:f>
        <x:v>Growth Compounders</x:v>
      </x:c>
      <x:c r="S6" s="339" t="n">
        <x:f>'08 Sleeve Architecture'!F6</x:f>
        <x:v>0.13390000000000002</x:v>
      </x:c>
      <x:c r="T6" s="339" t="n">
        <x:f>'08 Sleeve Architecture'!H6</x:f>
        <x:v>0.13390000000000002</x:v>
      </x:c>
    </x:row>
    <x:row r="7">
      <x:c r="A7" s="319"/>
      <x:c r="B7" s="319"/>
      <x:c r="C7" s="319"/>
      <x:c r="D7" s="319"/>
      <x:c r="E7" s="319"/>
      <x:c r="F7" s="319"/>
      <x:c r="G7" s="323"/>
      <x:c r="H7" s="323"/>
      <x:c r="I7" s="323"/>
      <x:c r="J7" s="323"/>
      <x:c r="K7" s="323"/>
      <x:c r="L7" s="328"/>
      <x:c r="M7" s="328"/>
      <x:c r="N7" s="328"/>
      <x:c r="O7" s="328"/>
      <x:c r="P7" s="328"/>
      <x:c r="R7" t="str">
        <x:f>'08 Sleeve Architecture'!A7</x:f>
        <x:v>Digital Infrastructure &amp; AI</x:v>
      </x:c>
      <x:c r="S7" s="339" t="n">
        <x:f>'08 Sleeve Architecture'!F7</x:f>
        <x:v>0.129</x:v>
      </x:c>
      <x:c r="T7" s="339" t="n">
        <x:f>'08 Sleeve Architecture'!H7</x:f>
        <x:v>0.129</x:v>
      </x:c>
    </x:row>
    <x:row r="8">
      <x:c r="A8" s="319"/>
      <x:c r="B8" s="319"/>
      <x:c r="C8" s="319"/>
      <x:c r="D8" s="319"/>
      <x:c r="E8" s="319"/>
      <x:c r="F8" s="319"/>
      <x:c r="G8" s="323"/>
      <x:c r="H8" s="323"/>
      <x:c r="I8" s="323"/>
      <x:c r="J8" s="323"/>
      <x:c r="K8" s="323"/>
      <x:c r="L8" s="328"/>
      <x:c r="M8" s="328"/>
      <x:c r="N8" s="328"/>
      <x:c r="O8" s="328"/>
      <x:c r="P8" s="328"/>
      <x:c r="R8" t="str">
        <x:f>'08 Sleeve Architecture'!A8</x:f>
        <x:v>Industrials &amp; Infrastructure</x:v>
      </x:c>
      <x:c r="S8" s="339" t="n">
        <x:f>'08 Sleeve Architecture'!F8</x:f>
        <x:v>0.17110000000000003</x:v>
      </x:c>
      <x:c r="T8" s="339" t="n">
        <x:f>'08 Sleeve Architecture'!H8</x:f>
        <x:v>0.17110000000000003</x:v>
      </x:c>
    </x:row>
    <x:row r="9">
      <x:c r="R9" t="str">
        <x:f>'08 Sleeve Architecture'!A9</x:f>
        <x:v>Financial Infrastructure</x:v>
      </x:c>
      <x:c r="S9" s="339" t="n">
        <x:f>'08 Sleeve Architecture'!F9</x:f>
        <x:v>0.097</x:v>
      </x:c>
      <x:c r="T9" s="339" t="n">
        <x:f>'08 Sleeve Architecture'!H9</x:f>
        <x:v>0.097</x:v>
      </x:c>
    </x:row>
    <x:row r="10">
      <x:c r="A10" s="329" t="str">
        <x:v>CERTIFIED POSITIONS</x:v>
      </x:c>
      <x:c r="B10" s="329"/>
      <x:c r="C10" s="329"/>
      <x:c r="D10" s="329" t="str">
        <x:v>ACTUAL WEIGHTS LOADED</x:v>
      </x:c>
      <x:c r="E10" s="329"/>
      <x:c r="F10" s="329"/>
      <x:c r="G10" s="329" t="str">
        <x:v>CONVICTION ASSIGNED</x:v>
      </x:c>
      <x:c r="H10" s="329"/>
      <x:c r="I10" s="329"/>
      <x:c r="J10" s="329" t="str">
        <x:v>SCENARIO CHANGES</x:v>
      </x:c>
      <x:c r="K10" s="329"/>
      <x:c r="L10" s="329"/>
      <x:c r="M10" s="329" t="str">
        <x:v>CERTIFICATION STATE</x:v>
      </x:c>
      <x:c r="N10" s="329"/>
      <x:c r="O10" s="329"/>
      <x:c r="P10" s="329"/>
      <x:c r="R10" t="str">
        <x:f>'08 Sleeve Architecture'!A10</x:f>
        <x:v>Healthcare Leadership</x:v>
      </x:c>
      <x:c r="S10" s="339" t="n">
        <x:f>'08 Sleeve Architecture'!F10</x:f>
        <x:v>0.0361</x:v>
      </x:c>
      <x:c r="T10" s="339" t="n">
        <x:f>'08 Sleeve Architecture'!H10</x:f>
        <x:v>0.0361</x:v>
      </x:c>
    </x:row>
    <x:row r="11">
      <x:c r="A11" s="334" t="n">
        <x:f>COUNTA('Certified Allocation'!B5:B51)</x:f>
        <x:v>47</x:v>
      </x:c>
      <x:c r="B11" s="334"/>
      <x:c r="C11" s="334"/>
      <x:c r="D11" s="334" t="str">
        <x:f>COUNTA('Certified Allocation'!I5:I51)&amp;" / 47"</x:f>
        <x:v>0 / 47</x:v>
      </x:c>
      <x:c r="E11" s="334"/>
      <x:c r="F11" s="334"/>
      <x:c r="G11" s="334" t="str">
        <x:f>COUNTIF('11 Conviction'!H5:H51,"&lt;&gt;Unassigned")&amp;" / 47"</x:f>
        <x:v>0 / 47</x:v>
      </x:c>
      <x:c r="H11" s="334"/>
      <x:c r="I11" s="334"/>
      <x:c r="J11" s="334" t="n">
        <x:f>'12 Allocation Lab'!K6</x:f>
        <x:v>0</x:v>
      </x:c>
      <x:c r="K11" s="334"/>
      <x:c r="L11" s="334"/>
      <x:c r="M11" s="334" t="str">
        <x:f>'13 Validation &amp; Cert'!L38</x:f>
        <x:v>NOT READY</x:v>
      </x:c>
      <x:c r="N11" s="334"/>
      <x:c r="O11" s="334"/>
      <x:c r="P11" s="334"/>
      <x:c r="R11" t="str">
        <x:f>'08 Sleeve Architecture'!A11</x:f>
        <x:v>Energy &amp; Natural Resources</x:v>
      </x:c>
      <x:c r="S11" s="339" t="n">
        <x:f>'08 Sleeve Architecture'!F11</x:f>
        <x:v>0.11720000000000001</x:v>
      </x:c>
      <x:c r="T11" s="339" t="n">
        <x:f>'08 Sleeve Architecture'!H11</x:f>
        <x:v>0.11720000000000001</x:v>
      </x:c>
    </x:row>
    <x:row r="12">
      <x:c r="A12" s="334"/>
      <x:c r="B12" s="334"/>
      <x:c r="C12" s="334"/>
      <x:c r="D12" s="334"/>
      <x:c r="E12" s="334"/>
      <x:c r="F12" s="334"/>
      <x:c r="G12" s="334"/>
      <x:c r="H12" s="334"/>
      <x:c r="I12" s="334"/>
      <x:c r="J12" s="334"/>
      <x:c r="K12" s="334"/>
      <x:c r="L12" s="334"/>
      <x:c r="M12" s="334"/>
      <x:c r="N12" s="334"/>
      <x:c r="O12" s="334"/>
      <x:c r="P12" s="334"/>
      <x:c r="R12" t="str">
        <x:f>'08 Sleeve Architecture'!A12</x:f>
        <x:v>Income &amp; Risk Management</x:v>
      </x:c>
      <x:c r="S12" s="339" t="n">
        <x:f>'08 Sleeve Architecture'!F12</x:f>
        <x:v>0.0906</x:v>
      </x:c>
      <x:c r="T12" s="339" t="n">
        <x:f>'08 Sleeve Architecture'!H12</x:f>
        <x:v>0.0906</x:v>
      </x:c>
    </x:row>
    <x:row r="13">
      <x:c r="A13" s="334"/>
      <x:c r="B13" s="334"/>
      <x:c r="C13" s="334"/>
      <x:c r="D13" s="334"/>
      <x:c r="E13" s="334"/>
      <x:c r="F13" s="334"/>
      <x:c r="G13" s="334"/>
      <x:c r="H13" s="334"/>
      <x:c r="I13" s="334"/>
      <x:c r="J13" s="334"/>
      <x:c r="K13" s="334"/>
      <x:c r="L13" s="334"/>
      <x:c r="M13" s="334"/>
      <x:c r="N13" s="334"/>
      <x:c r="O13" s="334"/>
      <x:c r="P13" s="334"/>
    </x:row>
    <x:row r="14">
      <x:c r="A14" s="338" t="str">
        <x:v>47-position canonical Portfolio B</x:v>
      </x:c>
      <x:c r="B14" s="338"/>
      <x:c r="C14" s="338"/>
      <x:c r="D14" s="338" t="str">
        <x:v>Required for live implementation review</x:v>
      </x:c>
      <x:c r="E14" s="338"/>
      <x:c r="F14" s="338"/>
      <x:c r="G14" s="338" t="str">
        <x:v>Required before certification</x:v>
      </x:c>
      <x:c r="H14" s="338"/>
      <x:c r="I14" s="338"/>
      <x:c r="J14" s="338" t="str">
        <x:v>Certified baseline currently preserved</x:v>
      </x:c>
      <x:c r="K14" s="338"/>
      <x:c r="L14" s="338"/>
      <x:c r="M14" s="338" t="str">
        <x:v>New MFPDF required for implementation</x:v>
      </x:c>
      <x:c r="N14" s="338"/>
      <x:c r="O14" s="338"/>
      <x:c r="P14" s="338"/>
    </x:row>
    <x:row r="16" ht="20" customHeight="1">
      <x:c r="A16" s="264" t="str">
        <x:v>MOPS-002 MODULE STATUS</x:v>
      </x:c>
      <x:c r="B16" s="264"/>
      <x:c r="C16" s="264"/>
      <x:c r="D16" s="264"/>
      <x:c r="E16" s="264"/>
      <x:c r="F16" s="264"/>
      <x:c r="G16" s="264"/>
      <x:c r="H16" s="264"/>
      <x:c r="I16" s="264"/>
      <x:c r="J16" s="264" t="str">
        <x:v>CERTIFIED VS. SCENARIO SLEEVE ALLOCATION</x:v>
      </x:c>
      <x:c r="K16" s="264"/>
      <x:c r="L16" s="264"/>
      <x:c r="M16" s="264"/>
      <x:c r="N16" s="264"/>
      <x:c r="O16" s="264"/>
      <x:c r="P16" s="264"/>
    </x:row>
    <x:row r="17" ht="30" customHeight="1">
      <x:c r="A17" s="267" t="str">
        <x:v>Module</x:v>
      </x:c>
      <x:c r="B17" s="267" t="str">
        <x:v>Workspace</x:v>
      </x:c>
      <x:c r="C17" s="267" t="str">
        <x:v>Institutional Function</x:v>
      </x:c>
      <x:c r="D17" s="267" t="str">
        <x:v>Current Status</x:v>
      </x:c>
      <x:c r="E17" s="267" t="str">
        <x:v>Open Items</x:v>
      </x:c>
      <x:c r="F17" s="267" t="str">
        <x:v>Next Required Action</x:v>
      </x:c>
      <x:c r="G17" s="267" t="str">
        <x:v>Authority</x:v>
      </x:c>
      <x:c r="H17" s="267" t="str">
        <x:v>System of Record</x:v>
      </x:c>
      <x:c r="I17" s="267" t="str">
        <x:v>Operating Effect</x:v>
      </x:c>
    </x:row>
    <x:row r="18" ht="36" customHeight="1">
      <x:c r="A18" s="261" t="str">
        <x:v>PEW-001</x:v>
      </x:c>
      <x:c r="B18" s="261" t="str">
        <x:v>Mandate &amp; Constraints</x:v>
      </x:c>
      <x:c r="C18" s="261" t="str">
        <x:v>Defines objective, guardrails and governance</x:v>
      </x:c>
      <x:c r="D18" s="269" t="str">
        <x:f>IF(COUNTIF('07 Mandate &amp; Constraints'!H6:H33,"FAIL")&gt;0,"FAIL","ACTIVE")</x:f>
        <x:v>ACTIVE</x:v>
      </x:c>
      <x:c r="E18" s="269" t="n">
        <x:f>COUNTIF('07 Mandate &amp; Constraints'!H6:H33,"INPUT REQUIRED")</x:f>
        <x:v>3</x:v>
      </x:c>
      <x:c r="F18" s="261" t="str">
        <x:v>Maintain adopted controls; load objective-test analytics</x:v>
      </x:c>
      <x:c r="G18" s="261" t="str">
        <x:v>Chief Investment Steward</x:v>
      </x:c>
      <x:c r="H18" s="261" t="str">
        <x:v>07 Mandate &amp; Constraints</x:v>
      </x:c>
      <x:c r="I18" s="261" t="str">
        <x:v>All engineering must satisfy mandate</x:v>
      </x:c>
    </x:row>
    <x:row r="19" ht="36" customHeight="1">
      <x:c r="A19" s="261" t="str">
        <x:v>PEW-002</x:v>
      </x:c>
      <x:c r="B19" s="261" t="str">
        <x:v>Sleeve Architecture</x:v>
      </x:c>
      <x:c r="C19" s="261" t="str">
        <x:v>Tests purpose, capacity and sleeve allocation</x:v>
      </x:c>
      <x:c r="D19" s="269" t="str">
        <x:f>IF(COUNTIF('08 Sleeve Architecture'!O5:O12,"SLEEVE REVIEW")&gt;0,"REVIEW",IF(COUNTIF('08 Sleeve Architecture'!O5:O12,"CONVICTION INPUT REQUIRED")&gt;0,"INPUT REQUIRED","BASELINE"))</x:f>
        <x:v>INPUT REQUIRED</x:v>
      </x:c>
      <x:c r="E19" s="269" t="n">
        <x:f>COUNTIF('08 Sleeve Architecture'!O5:O12,"&lt;&gt;BASELINE")</x:f>
        <x:v>8</x:v>
      </x:c>
      <x:c r="F19" s="261" t="str">
        <x:v>Complete conviction inputs; review material sleeve shifts</x:v>
      </x:c>
      <x:c r="G19" s="261" t="str">
        <x:v>Stewardship Committee</x:v>
      </x:c>
      <x:c r="H19" s="261" t="str">
        <x:v>08 Sleeve Architecture</x:v>
      </x:c>
      <x:c r="I19" s="261" t="str">
        <x:v>Preserves eight frozen sleeves</x:v>
      </x:c>
    </x:row>
    <x:row r="20" ht="36" customHeight="1">
      <x:c r="A20" s="261" t="str">
        <x:v>PEW-003</x:v>
      </x:c>
      <x:c r="B20" s="261" t="str">
        <x:v>Role Assignment</x:v>
      </x:c>
      <x:c r="C20" s="261" t="str">
        <x:v>Confirms each holding has institutional function</x:v>
      </x:c>
      <x:c r="D20" s="269" t="str">
        <x:f>IF(COUNTIF('09 Role Assignment'!O5:O51,"&lt;&gt;PASS")=0,"PASS","REVIEW")</x:f>
        <x:v>PASS</x:v>
      </x:c>
      <x:c r="E20" s="269" t="n">
        <x:f>COUNTIF('09 Role Assignment'!O5:O51,"&lt;&gt;PASS")</x:f>
        <x:v>0</x:v>
      </x:c>
      <x:c r="F20" s="261" t="str">
        <x:v>Resolve role, evidence or replacement exceptions</x:v>
      </x:c>
      <x:c r="G20" s="261" t="str">
        <x:v>Research Committee</x:v>
      </x:c>
      <x:c r="H20" s="261" t="str">
        <x:v>09 Role Assignment</x:v>
      </x:c>
      <x:c r="I20" s="261" t="str">
        <x:v>Prevents role-free holdings</x:v>
      </x:c>
    </x:row>
    <x:row r="21" ht="36" customHeight="1">
      <x:c r="A21" s="261" t="str">
        <x:v>PEW-004</x:v>
      </x:c>
      <x:c r="B21" s="261" t="str">
        <x:v>Candidate Comparison</x:v>
      </x:c>
      <x:c r="C21" s="261" t="str">
        <x:v>Compares incumbents and replacements</x:v>
      </x:c>
      <x:c r="D21" s="269" t="str">
        <x:f>IF(COUNTIF('10 Candidate Comparison'!D14:D33,"&lt;&gt;")=0,"READY — NO CANDIDATES",IF(COUNTIF('10 Candidate Comparison'!Y14:Y33,"COMMITTEE DECISION REQUIRED")&gt;0,"COMMITTEE REVIEW","UNDER REVIEW"))</x:f>
        <x:v>READY — NO CANDIDATES</x:v>
      </x:c>
      <x:c r="E21" s="269" t="n">
        <x:f>COUNTIF('10 Candidate Comparison'!Y14:Y33,"COMMITTEE DECISION REQUIRED")</x:f>
        <x:v>0</x:v>
      </x:c>
      <x:c r="F21" s="261" t="str">
        <x:v>Load candidates only when a defined role or replacement need exists</x:v>
      </x:c>
      <x:c r="G21" s="261" t="str">
        <x:v>Stewardship Committee</x:v>
      </x:c>
      <x:c r="H21" s="261" t="str">
        <x:v>10 Candidate Comparison</x:v>
      </x:c>
      <x:c r="I21" s="261" t="str">
        <x:v>Evidence record; no automatic selection</x:v>
      </x:c>
    </x:row>
    <x:row r="22" ht="36" customHeight="1">
      <x:c r="A22" s="261" t="str">
        <x:v>PEW-005</x:v>
      </x:c>
      <x:c r="B22" s="261" t="str">
        <x:v>Conviction</x:v>
      </x:c>
      <x:c r="C22" s="261" t="str">
        <x:v>Assigns conviction, thesis, risk and horizon</x:v>
      </x:c>
      <x:c r="D22" s="269" t="str">
        <x:f>IF(COUNTIF('11 Conviction'!H5:H51,"&lt;&gt;Unassigned")=47,"PASS","INPUT REQUIRED")</x:f>
        <x:v>INPUT REQUIRED</x:v>
      </x:c>
      <x:c r="E22" s="269" t="n">
        <x:f>COUNTIF('11 Conviction'!H5:H51,"Unassigned")</x:f>
        <x:v>47</x:v>
      </x:c>
      <x:c r="F22" s="261" t="str">
        <x:v>Assign effective conviction to every active holding</x:v>
      </x:c>
      <x:c r="G22" s="261" t="str">
        <x:v>Stewardship Committee</x:v>
      </x:c>
      <x:c r="H22" s="261" t="str">
        <x:v>11 Conviction</x:v>
      </x:c>
      <x:c r="I22" s="261" t="str">
        <x:v>Controls sizing and review intensity</x:v>
      </x:c>
    </x:row>
    <x:row r="23" ht="36" customHeight="1">
      <x:c r="A23" s="261" t="str">
        <x:v>PEW-006</x:v>
      </x:c>
      <x:c r="B23" s="261" t="str">
        <x:v>Allocation Lab</x:v>
      </x:c>
      <x:c r="C23" s="261" t="str">
        <x:v>Builds funded, band-aware scenario weights</x:v>
      </x:c>
      <x:c r="D23" s="269" t="str">
        <x:f>IF('12 Allocation Lab'!K6=0,"BASELINE",IF(ABS('12 Allocation Lab'!E6-100%)&gt;'13 Validation &amp; Cert'!$B$9,"FAIL","COMMITTEE REVIEW"))</x:f>
        <x:v>BASELINE</x:v>
      </x:c>
      <x:c r="E23" s="269" t="n">
        <x:f>'12 Allocation Lab'!K6</x:f>
        <x:v>0</x:v>
      </x:c>
      <x:c r="F23" s="261" t="str">
        <x:v>Use yellow scenario cells; document rationale for every change</x:v>
      </x:c>
      <x:c r="G23" s="261" t="str">
        <x:v>Portfolio Engineering</x:v>
      </x:c>
      <x:c r="H23" s="261" t="str">
        <x:v>12 Allocation Lab</x:v>
      </x:c>
      <x:c r="I23" s="261" t="str">
        <x:v>Certified weights remain unchanged</x:v>
      </x:c>
    </x:row>
    <x:row r="24" ht="36" customHeight="1">
      <x:c r="A24" s="261" t="str">
        <x:v>PEW-007</x:v>
      </x:c>
      <x:c r="B24" s="261" t="str">
        <x:v>Validation &amp; Certification</x:v>
      </x:c>
      <x:c r="C24" s="261" t="str">
        <x:v>Tests and governs new portfolio version</x:v>
      </x:c>
      <x:c r="D24" s="269" t="str">
        <x:f>'13 Validation &amp; Cert'!J12</x:f>
        <x:v>NOT READY</x:v>
      </x:c>
      <x:c r="E24" s="269" t="n">
        <x:f>COUNTIF('13 Validation &amp; Cert'!E16:E33,"&lt;&gt;PASS")</x:f>
        <x:v>5</x:v>
      </x:c>
      <x:c r="F24" s="261" t="str">
        <x:v>Complete evidence and approvals before issuing new MFPDF</x:v>
      </x:c>
      <x:c r="G24" s="261" t="str">
        <x:v>Chief Investment Steward</x:v>
      </x:c>
      <x:c r="H24" s="261" t="str">
        <x:v>13 Validation &amp; Cert</x:v>
      </x:c>
      <x:c r="I24" s="261" t="str">
        <x:v>Only certified output becomes operational</x:v>
      </x:c>
    </x:row>
    <x:row r="27" ht="20" customHeight="1">
      <x:c r="A27" s="264" t="str">
        <x:v>ENGINEERING DECISION QUEUE</x:v>
      </x:c>
      <x:c r="B27" s="264"/>
      <x:c r="C27" s="264"/>
      <x:c r="D27" s="264"/>
      <x:c r="E27" s="264"/>
      <x:c r="F27" s="264"/>
      <x:c r="G27" s="264"/>
      <x:c r="H27" s="264"/>
      <x:c r="I27" s="264"/>
      <x:c r="J27" s="264"/>
      <x:c r="K27" s="264"/>
      <x:c r="L27" s="264"/>
      <x:c r="M27" s="264"/>
      <x:c r="N27" s="264"/>
      <x:c r="O27" s="264"/>
      <x:c r="P27" s="264"/>
    </x:row>
    <x:row r="28" ht="30" customHeight="1">
      <x:c r="A28" s="267" t="str">
        <x:v>Priority</x:v>
      </x:c>
      <x:c r="B28" s="267" t="str">
        <x:v>Category</x:v>
      </x:c>
      <x:c r="C28" s="267" t="str">
        <x:v>Trigger / Current State</x:v>
      </x:c>
      <x:c r="D28" s="267" t="str">
        <x:v>Decision Required</x:v>
      </x:c>
      <x:c r="E28" s="267" t="str">
        <x:v>Recommended Action</x:v>
      </x:c>
      <x:c r="F28" s="267" t="str">
        <x:v>Authority</x:v>
      </x:c>
      <x:c r="G28" s="267" t="str">
        <x:v>Status</x:v>
      </x:c>
      <x:c r="H28" s="267" t="str">
        <x:v>Evidence Source</x:v>
      </x:c>
      <x:c r="I28" s="267" t="str">
        <x:v>Owner</x:v>
      </x:c>
      <x:c r="J28" s="267" t="str">
        <x:v>Due / Cadence</x:v>
      </x:c>
      <x:c r="K28" s="267" t="str">
        <x:v>Scenario Impact</x:v>
      </x:c>
      <x:c r="L28" s="267" t="str">
        <x:v>Certification Impact</x:v>
      </x:c>
      <x:c r="M28" t="str">
        <x:v>Governance Note</x:v>
      </x:c>
      <x:c r="N28" t="str"/>
      <x:c r="O28" t="str"/>
      <x:c r="P28" t="str"/>
    </x:row>
    <x:row r="29" ht="38" customHeight="1">
      <x:c r="A29" s="261" t="str">
        <x:v>1</x:v>
      </x:c>
      <x:c r="B29" s="261" t="str">
        <x:v>Data Integrity</x:v>
      </x:c>
      <x:c r="C29" s="269" t="str">
        <x:f>47-COUNTA('Certified Allocation'!I5:I51)&amp;" actual weights missing"</x:f>
        <x:v>47 actual weights missing</x:v>
      </x:c>
      <x:c r="D29" s="261" t="str">
        <x:v>Data update required</x:v>
      </x:c>
      <x:c r="E29" s="261" t="str">
        <x:v>Load Certified Allocation column I</x:v>
      </x:c>
      <x:c r="F29" s="261" t="str">
        <x:v>Portfolio Operations</x:v>
      </x:c>
      <x:c r="G29" s="269" t="str">
        <x:f>IF(COUNTA('Certified Allocation'!I5:I51)=47,"CLOSED","ACTION REQUIRED")</x:f>
        <x:v>ACTION REQUIRED</x:v>
      </x:c>
      <x:c r="H29" s="261" t="str">
        <x:v>MFPDF actual-weight fields</x:v>
      </x:c>
      <x:c r="I29" s="261" t="str">
        <x:v>Portfolio Operations</x:v>
      </x:c>
      <x:c r="J29" s="261" t="str">
        <x:v>Before implementation review</x:v>
      </x:c>
      <x:c r="K29" s="261" t="str">
        <x:v>Blocks current-position funding analysis</x:v>
      </x:c>
      <x:c r="L29" s="261" t="str">
        <x:v>Blocks certification</x:v>
      </x:c>
    </x:row>
    <x:row r="30" ht="38" customHeight="1">
      <x:c r="A30" s="261" t="str">
        <x:v>2</x:v>
      </x:c>
      <x:c r="B30" s="261" t="str">
        <x:v>Conviction</x:v>
      </x:c>
      <x:c r="C30" s="269" t="str">
        <x:f>COUNTIF('11 Conviction'!H5:H51,"Unassigned")&amp;" conviction tiers unassigned"</x:f>
        <x:v>47 conviction tiers unassigned</x:v>
      </x:c>
      <x:c r="D30" s="261" t="str">
        <x:v>Conviction assignment required</x:v>
      </x:c>
      <x:c r="E30" s="261" t="str">
        <x:v>Complete PEW-005 effective conviction</x:v>
      </x:c>
      <x:c r="F30" s="261" t="str">
        <x:v>Stewardship Committee</x:v>
      </x:c>
      <x:c r="G30" s="269" t="str">
        <x:f>IF(COUNTIF('11 Conviction'!H5:H51,"Unassigned")=0,"CLOSED","ACTION REQUIRED")</x:f>
        <x:v>ACTION REQUIRED</x:v>
      </x:c>
      <x:c r="H30" s="261" t="str">
        <x:v>PEW-005 Conviction</x:v>
      </x:c>
      <x:c r="I30" s="261" t="str">
        <x:v>Research / Stewardship</x:v>
      </x:c>
      <x:c r="J30" s="261" t="str">
        <x:v>Before certification</x:v>
      </x:c>
      <x:c r="K30" s="261" t="str">
        <x:v>Affects sizing and thesis review</x:v>
      </x:c>
      <x:c r="L30" s="261" t="str">
        <x:v>Blocks certification</x:v>
      </x:c>
    </x:row>
    <x:row r="31" ht="38" customHeight="1">
      <x:c r="A31" s="261" t="str">
        <x:v>3</x:v>
      </x:c>
      <x:c r="B31" s="261" t="str">
        <x:v>Allocation</x:v>
      </x:c>
      <x:c r="C31" s="269" t="str">
        <x:f>'12 Allocation Lab'!K6&amp;" scenario positions changed"</x:f>
        <x:v>0 scenario positions changed</x:v>
      </x:c>
      <x:c r="D31" s="261" t="str">
        <x:v>No allocation decision unless change exists</x:v>
      </x:c>
      <x:c r="E31" s="261" t="str">
        <x:v>Review funded scenario and bands</x:v>
      </x:c>
      <x:c r="F31" s="261" t="str">
        <x:v>Stewardship Committee</x:v>
      </x:c>
      <x:c r="G31" s="269" t="str">
        <x:f>IF('12 Allocation Lab'!K6=0,"NO DECISION","COMMITTEE REVIEW")</x:f>
        <x:v>NO DECISION</x:v>
      </x:c>
      <x:c r="H31" s="261" t="str">
        <x:v>PEW-006 Allocation Lab</x:v>
      </x:c>
      <x:c r="I31" s="261" t="str">
        <x:v>Portfolio Engineering</x:v>
      </x:c>
      <x:c r="J31" s="261" t="str">
        <x:v>As proposed</x:v>
      </x:c>
      <x:c r="K31" s="261" t="str">
        <x:v>Baseline currently preserved</x:v>
      </x:c>
      <x:c r="L31" s="261" t="str">
        <x:v>Review required if changed</x:v>
      </x:c>
    </x:row>
    <x:row r="32" ht="38" customHeight="1">
      <x:c r="A32" s="261" t="str">
        <x:v>4</x:v>
      </x:c>
      <x:c r="B32" s="261" t="str">
        <x:v>Candidate Selection</x:v>
      </x:c>
      <x:c r="C32" s="269" t="str">
        <x:f>COUNTIF('10 Candidate Comparison'!Y14:Y33,"COMMITTEE DECISION REQUIRED")&amp;" candidate decisions"</x:f>
        <x:v>0 candidate decisions</x:v>
      </x:c>
      <x:c r="D32" s="261" t="str">
        <x:v>Candidate decision only when evidence is complete</x:v>
      </x:c>
      <x:c r="E32" s="261" t="str">
        <x:v>Approve, reject, defer or exception</x:v>
      </x:c>
      <x:c r="F32" s="261" t="str">
        <x:v>Stewardship Committee</x:v>
      </x:c>
      <x:c r="G32" s="269" t="str">
        <x:f>IF(COUNTIF('10 Candidate Comparison'!Y14:Y33,"COMMITTEE DECISION REQUIRED")=0,"NO DECISION","COMMITTEE REVIEW")</x:f>
        <x:v>NO DECISION</x:v>
      </x:c>
      <x:c r="H32" s="261" t="str">
        <x:v>PEW-004 Candidate Comparison</x:v>
      </x:c>
      <x:c r="I32" s="261" t="str">
        <x:v>Research Committee</x:v>
      </x:c>
      <x:c r="J32" s="261" t="str">
        <x:v>As needed</x:v>
      </x:c>
      <x:c r="K32" s="261" t="str">
        <x:v>May add, remove or replace holding</x:v>
      </x:c>
      <x:c r="L32" s="261" t="str">
        <x:v>New MFPDF required</x:v>
      </x:c>
    </x:row>
    <x:row r="33" ht="38" customHeight="1">
      <x:c r="A33" s="261" t="str">
        <x:v>5</x:v>
      </x:c>
      <x:c r="B33" s="261" t="str">
        <x:v>Validation</x:v>
      </x:c>
      <x:c r="C33" s="269" t="str">
        <x:f>'13 Validation &amp; Cert'!J12</x:f>
        <x:v>NOT READY</x:v>
      </x:c>
      <x:c r="D33" s="261" t="str">
        <x:v>Certification readiness decision</x:v>
      </x:c>
      <x:c r="E33" s="261" t="str">
        <x:v>Complete failed / missing validation controls</x:v>
      </x:c>
      <x:c r="F33" s="261" t="str">
        <x:v>Chief Investment Steward</x:v>
      </x:c>
      <x:c r="G33" s="269" t="str">
        <x:f>'13 Validation &amp; Cert'!J12</x:f>
        <x:v>NOT READY</x:v>
      </x:c>
      <x:c r="H33" s="261" t="str">
        <x:v>PEW-007 Validation &amp; Certification</x:v>
      </x:c>
      <x:c r="I33" s="261" t="str">
        <x:v>Validation Committee</x:v>
      </x:c>
      <x:c r="J33" s="261" t="str">
        <x:v>Before MFPDF issuance</x:v>
      </x:c>
      <x:c r="K33" s="261" t="str">
        <x:v>Determines whether scenario is supportable</x:v>
      </x:c>
      <x:c r="L33" s="261" t="str">
        <x:v>Sole formal issuance gate</x:v>
      </x:c>
    </x:row>
    <x:row r="35">
      <x:c r="A35" s="343" t="str">
        <x:v>MOPS-002 CONTROL PRINCIPLE — The certified portfolio remains the system of record. The Portfolio Engineering Workspace is a controlled scenario environment. No proposed change becomes operational until it is supported by evidence, approved through governance and incorporated into a newly certified MFPDF version.</x:v>
      </x:c>
      <x:c r="B35" s="343"/>
      <x:c r="C35" s="343"/>
      <x:c r="D35" s="343"/>
      <x:c r="E35" s="343"/>
      <x:c r="F35" s="343"/>
      <x:c r="G35" s="343"/>
      <x:c r="H35" s="343"/>
      <x:c r="I35" s="343"/>
      <x:c r="J35" s="343"/>
      <x:c r="K35" s="343"/>
      <x:c r="L35" s="343"/>
      <x:c r="M35" s="343"/>
      <x:c r="N35" s="343"/>
      <x:c r="O35" s="343"/>
      <x:c r="P35" s="343"/>
    </x:row>
    <x:row r="36">
      <x:c r="A36" s="343"/>
      <x:c r="B36" s="343"/>
      <x:c r="C36" s="343"/>
      <x:c r="D36" s="343"/>
      <x:c r="E36" s="343"/>
      <x:c r="F36" s="343"/>
      <x:c r="G36" s="343"/>
      <x:c r="H36" s="343"/>
      <x:c r="I36" s="343"/>
      <x:c r="J36" s="343"/>
      <x:c r="K36" s="343"/>
      <x:c r="L36" s="343"/>
      <x:c r="M36" s="343"/>
      <x:c r="N36" s="343"/>
      <x:c r="O36" s="343"/>
      <x:c r="P36" s="343"/>
    </x:row>
    <x:row r="37">
      <x:c r="A37" s="343"/>
      <x:c r="B37" s="343"/>
      <x:c r="C37" s="343"/>
      <x:c r="D37" s="343"/>
      <x:c r="E37" s="343"/>
      <x:c r="F37" s="343"/>
      <x:c r="G37" s="343"/>
      <x:c r="H37" s="343"/>
      <x:c r="I37" s="343"/>
      <x:c r="J37" s="343"/>
      <x:c r="K37" s="343"/>
      <x:c r="L37" s="343"/>
      <x:c r="M37" s="343"/>
      <x:c r="N37" s="343"/>
      <x:c r="O37" s="343"/>
      <x:c r="P37" s="343"/>
    </x:row>
    <x:row r="38">
      <x:c r="A38" s="343"/>
      <x:c r="B38" s="343"/>
      <x:c r="C38" s="343"/>
      <x:c r="D38" s="343"/>
      <x:c r="E38" s="343"/>
      <x:c r="F38" s="343"/>
      <x:c r="G38" s="343"/>
      <x:c r="H38" s="343"/>
      <x:c r="I38" s="343"/>
      <x:c r="J38" s="343"/>
      <x:c r="K38" s="343"/>
      <x:c r="L38" s="343"/>
      <x:c r="M38" s="343"/>
      <x:c r="N38" s="343"/>
      <x:c r="O38" s="343"/>
      <x:c r="P38" s="343"/>
    </x:row>
  </x:sheetData>
  <x:mergeCells>
    <x:mergeCell ref="A1:P1"/>
    <x:mergeCell ref="A2:P2"/>
    <x:mergeCell ref="A3:P3"/>
    <x:mergeCell ref="A4:P4"/>
    <x:mergeCell ref="A6:F8"/>
    <x:mergeCell ref="G6:K8"/>
    <x:mergeCell ref="L6:P8"/>
    <x:mergeCell ref="A10:C10"/>
    <x:mergeCell ref="A11:C13"/>
    <x:mergeCell ref="D10:F10"/>
    <x:mergeCell ref="D11:F13"/>
    <x:mergeCell ref="G10:I10"/>
    <x:mergeCell ref="G11:I13"/>
    <x:mergeCell ref="J10:L10"/>
    <x:mergeCell ref="J11:L13"/>
    <x:mergeCell ref="M10:P10"/>
    <x:mergeCell ref="M11:P13"/>
    <x:mergeCell ref="A14:C14"/>
    <x:mergeCell ref="D14:F14"/>
    <x:mergeCell ref="G14:I14"/>
    <x:mergeCell ref="J14:L14"/>
    <x:mergeCell ref="M14:P14"/>
    <x:mergeCell ref="A16:I16"/>
    <x:mergeCell ref="J16:P16"/>
    <x:mergeCell ref="A27:P27"/>
    <x:mergeCell ref="A35:P38"/>
  </x:mergeCells>
  <x:conditionalFormatting sqref="A6:F8">
    <x:cfRule type="expression" dxfId="52" priority="1">
      <x:formula>OR(A6="PASS",A6="ACTIVE",A6="READY",A6="NO CHANGE",A6="BASELINE",A6="CERTIFIED",A6="ELIGIBLE",A6="NO DECISION")</x:formula>
    </x:cfRule>
    <x:cfRule type="expression" dxfId="53" priority="2">
      <x:formula>OR(ISNUMBER(SEARCH("REVIEW",A6)),ISNUMBER(SEARCH("MONITOR",A6)),ISNUMBER(SEARCH("PENDING",A6)),ISNUMBER(SEARCH("INPUT",A6)),ISNUMBER(SEARCH("ASSIGN",A6)),ISNUMBER(SEARCH("EXCEPTION",A6)),ISNUMBER(SEARCH("REQUIRED",A6)))</x:formula>
    </x:cfRule>
    <x:cfRule type="expression" dxfId="54" priority="3">
      <x:formula>OR(ISNUMBER(SEARCH("FAIL",A6)),ISNUMBER(SEARCH("PROHIBITED",A6)),ISNUMBER(SEARCH("IMPAIRED",A6)),ISNUMBER(SEARCH("REJECT",A6)))</x:formula>
    </x:cfRule>
  </x:conditionalFormatting>
  <x:conditionalFormatting sqref="M11:P13">
    <x:cfRule type="expression" dxfId="55" priority="4">
      <x:formula>OR(M11="PASS",M11="ACTIVE",M11="READY",M11="NO CHANGE",M11="BASELINE",M11="CERTIFIED",M11="ELIGIBLE",M11="NO DECISION")</x:formula>
    </x:cfRule>
    <x:cfRule type="expression" dxfId="56" priority="5">
      <x:formula>OR(ISNUMBER(SEARCH("REVIEW",M11)),ISNUMBER(SEARCH("MONITOR",M11)),ISNUMBER(SEARCH("PENDING",M11)),ISNUMBER(SEARCH("INPUT",M11)),ISNUMBER(SEARCH("ASSIGN",M11)),ISNUMBER(SEARCH("EXCEPTION",M11)),ISNUMBER(SEARCH("REQUIRED",M11)))</x:formula>
    </x:cfRule>
    <x:cfRule type="expression" dxfId="57" priority="6">
      <x:formula>OR(ISNUMBER(SEARCH("FAIL",M11)),ISNUMBER(SEARCH("PROHIBITED",M11)),ISNUMBER(SEARCH("IMPAIRED",M11)),ISNUMBER(SEARCH("REJECT",M11)))</x:formula>
    </x:cfRule>
  </x:conditionalFormatting>
  <x:conditionalFormatting sqref="D18:D24">
    <x:cfRule type="expression" dxfId="58" priority="7">
      <x:formula>OR(D18="PASS",D18="ACTIVE",D18="READY",D18="NO CHANGE",D18="BASELINE",D18="CERTIFIED",D18="ELIGIBLE",D18="NO DECISION")</x:formula>
    </x:cfRule>
    <x:cfRule type="expression" dxfId="59" priority="8">
      <x:formula>OR(ISNUMBER(SEARCH("REVIEW",D18)),ISNUMBER(SEARCH("MONITOR",D18)),ISNUMBER(SEARCH("PENDING",D18)),ISNUMBER(SEARCH("INPUT",D18)),ISNUMBER(SEARCH("ASSIGN",D18)),ISNUMBER(SEARCH("EXCEPTION",D18)),ISNUMBER(SEARCH("REQUIRED",D18)))</x:formula>
    </x:cfRule>
    <x:cfRule type="expression" dxfId="60" priority="9">
      <x:formula>OR(ISNUMBER(SEARCH("FAIL",D18)),ISNUMBER(SEARCH("PROHIBITED",D18)),ISNUMBER(SEARCH("IMPAIRED",D18)),ISNUMBER(SEARCH("REJECT",D18)))</x:formula>
    </x:cfRule>
  </x:conditionalFormatting>
  <x:conditionalFormatting sqref="G29:G33">
    <x:cfRule type="expression" dxfId="61" priority="10">
      <x:formula>OR(G29="PASS",G29="ACTIVE",G29="READY",G29="NO CHANGE",G29="BASELINE",G29="CERTIFIED",G29="ELIGIBLE",G29="NO DECISION")</x:formula>
    </x:cfRule>
    <x:cfRule type="expression" dxfId="62" priority="11">
      <x:formula>OR(ISNUMBER(SEARCH("REVIEW",G29)),ISNUMBER(SEARCH("MONITOR",G29)),ISNUMBER(SEARCH("PENDING",G29)),ISNUMBER(SEARCH("INPUT",G29)),ISNUMBER(SEARCH("ASSIGN",G29)),ISNUMBER(SEARCH("EXCEPTION",G29)),ISNUMBER(SEARCH("REQUIRED",G29)))</x:formula>
    </x:cfRule>
    <x:cfRule type="expression" dxfId="63" priority="12">
      <x:formula>OR(ISNUMBER(SEARCH("FAIL",G29)),ISNUMBER(SEARCH("PROHIBITED",G29)),ISNUMBER(SEARCH("IMPAIRED",G29)),ISNUMBER(SEARCH("REJECT",G29)))</x:formula>
    </x:cfRule>
  </x:conditionalFormatting>
  <x:pageMargins left="0.7" right="0.7" top="0.75" bottom="0.75" header="0.3" footer="0.3"/>
  <x:drawing xmlns:r="http://schemas.openxmlformats.org/officeDocument/2006/relationships" r:id="Rcd03e488f0da46b8"/>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5" hidden="0" customWidth="1"/>
    <x:col min="4" max="4" width="36" hidden="0" customWidth="1"/>
    <x:col min="5" max="5" width="18" hidden="0" customWidth="1"/>
    <x:col min="6" max="6" width="24" hidden="0" customWidth="1"/>
    <x:col min="7" max="7" width="34" hidden="0" customWidth="1"/>
    <x:col min="8" max="8" width="25" hidden="0" customWidth="1"/>
    <x:col min="9" max="9" width="22" hidden="0" customWidth="1"/>
    <x:col min="10" max="10" width="34" hidden="0" customWidth="1"/>
    <x:col min="11" max="11" width="30" hidden="0" customWidth="1"/>
  </x:cols>
  <x:sheetData>
    <x:row r="1" ht="28" customHeight="1">
      <x:c r="A1" s="247" t="str">
        <x:v>MOPS-002 / PEW-001 — PORTFOLIO MANDATE &amp; CONSTRAINTS</x:v>
      </x:c>
      <x:c r="B1" s="247"/>
      <x:c r="C1" s="247"/>
      <x:c r="D1" s="247"/>
      <x:c r="E1" s="247"/>
      <x:c r="F1" s="247"/>
      <x:c r="G1" s="247"/>
      <x:c r="H1" s="247"/>
      <x:c r="I1" s="247"/>
      <x:c r="J1" s="247"/>
      <x:c r="K1" s="247"/>
    </x:row>
    <x:row r="2" ht="20" customHeight="1">
      <x:c r="A2" s="250" t="str">
        <x:v>Permanent engineering assumptions governing Portfolio B reviews, scenario construction, optimization and certification</x:v>
      </x:c>
      <x:c r="B2" s="250"/>
      <x:c r="C2" s="250"/>
      <x:c r="D2" s="250"/>
      <x:c r="E2" s="250"/>
      <x:c r="F2" s="250"/>
      <x:c r="G2" s="250"/>
      <x:c r="H2" s="250"/>
      <x:c r="I2" s="250"/>
      <x:c r="J2" s="250"/>
      <x:c r="K2" s="250"/>
    </x:row>
    <x:row r="3" ht="18" customHeight="1">
      <x:c r="A3" s="254" t="str">
        <x:v>System of Record: MFPDF Founders Edition v1.0 | Status: Production Candidate</x:v>
      </x:c>
      <x:c r="B3" s="254"/>
      <x:c r="C3" s="254"/>
      <x:c r="D3" s="254"/>
      <x:c r="E3" s="254"/>
      <x:c r="F3" s="254"/>
      <x:c r="G3" s="254"/>
      <x:c r="H3" s="254"/>
      <x:c r="I3" s="254"/>
      <x:c r="J3" s="254"/>
      <x:c r="K3" s="254"/>
    </x:row>
    <x:row r="4" ht="20" customHeight="1">
      <x:c r="A4" s="264" t="str">
        <x:v>ADOPTED PORTFOLIO MANDATE AND CONTROL REGISTER</x:v>
      </x:c>
      <x:c r="B4" s="264"/>
      <x:c r="C4" s="264"/>
      <x:c r="D4" s="264"/>
      <x:c r="E4" s="264"/>
      <x:c r="F4" s="264"/>
      <x:c r="G4" s="264"/>
      <x:c r="H4" s="264"/>
      <x:c r="I4" s="264"/>
      <x:c r="J4" s="264"/>
      <x:c r="K4" s="264"/>
    </x:row>
    <x:row r="5" ht="30" customHeight="1">
      <x:c r="A5" s="267" t="str">
        <x:v>Control ID</x:v>
      </x:c>
      <x:c r="B5" s="267" t="str">
        <x:v>Domain</x:v>
      </x:c>
      <x:c r="C5" s="267" t="str">
        <x:v>Objective / Constraint</x:v>
      </x:c>
      <x:c r="D5" s="267" t="str">
        <x:v>Adopted Standard</x:v>
      </x:c>
      <x:c r="E5" s="267" t="str">
        <x:v>Classification</x:v>
      </x:c>
      <x:c r="F5" s="267" t="str">
        <x:v>Operating Value / Current State</x:v>
      </x:c>
      <x:c r="G5" s="267" t="str">
        <x:v>Test / Trigger</x:v>
      </x:c>
      <x:c r="H5" s="267" t="str">
        <x:v>Status</x:v>
      </x:c>
      <x:c r="I5" s="267" t="str">
        <x:v>Authority</x:v>
      </x:c>
      <x:c r="J5" s="267" t="str">
        <x:v>Engineering Effect</x:v>
      </x:c>
      <x:c r="K5" s="267" t="str">
        <x:v>Notes / Source</x:v>
      </x:c>
    </x:row>
    <x:row r="6" ht="34" customHeight="1">
      <x:c r="A6" s="261" t="str">
        <x:v>PEW-001-01</x:v>
      </x:c>
      <x:c r="B6" s="261" t="str">
        <x:v>Benchmark</x:v>
      </x:c>
      <x:c r="C6" s="261" t="str">
        <x:v>Primary comparison standard</x:v>
      </x:c>
      <x:c r="D6" s="261" t="str">
        <x:v>Russell 1000</x:v>
      </x:c>
      <x:c r="E6" s="261" t="str">
        <x:v>Monitoring Control</x:v>
      </x:c>
      <x:c r="F6" s="261" t="str">
        <x:v>Russell 1000</x:v>
      </x:c>
      <x:c r="G6" s="261" t="str">
        <x:v>All portfolio analytics compared to benchmark</x:v>
      </x:c>
      <x:c r="H6" s="261" t="str">
        <x:v>ACTIVE</x:v>
      </x:c>
      <x:c r="I6" s="261" t="str">
        <x:v>Chief Investment Steward</x:v>
      </x:c>
      <x:c r="J6" s="261" t="str">
        <x:v>Benchmark return, volatility, momentum and yield comparisons</x:v>
      </x:c>
      <x:c r="K6" s="261" t="str">
        <x:v>Adopted allocation objective</x:v>
      </x:c>
    </x:row>
    <x:row r="7" ht="34" customHeight="1">
      <x:c r="A7" s="261" t="str">
        <x:v>PEW-001-02</x:v>
      </x:c>
      <x:c r="B7" s="261" t="str">
        <x:v>Risk</x:v>
      </x:c>
      <x:c r="C7" s="261" t="str">
        <x:v>Volatility objective</x:v>
      </x:c>
      <x:c r="D7" s="261" t="str">
        <x:v>Lower volatility than Russell 1000</x:v>
      </x:c>
      <x:c r="E7" s="261" t="str">
        <x:v>Soft Objective</x:v>
      </x:c>
      <x:c r="F7" s="261" t="str">
        <x:v>Analytics not loaded</x:v>
      </x:c>
      <x:c r="G7" s="261" t="str">
        <x:v>Rolling 3-year and 5-year realized volatility</x:v>
      </x:c>
      <x:c r="H7" s="261" t="str">
        <x:v>MONITOR — ANALYTICS REQUIRED</x:v>
      </x:c>
      <x:c r="I7" s="261" t="str">
        <x:v>Portfolio Engineering</x:v>
      </x:c>
      <x:c r="J7" s="261" t="str">
        <x:v>Scenario must demonstrate favorable risk profile before certification</x:v>
      </x:c>
      <x:c r="K7" s="261" t="str">
        <x:v>Adopted allocation objective</x:v>
      </x:c>
    </x:row>
    <x:row r="8" ht="34" customHeight="1">
      <x:c r="A8" s="261" t="str">
        <x:v>PEW-001-03</x:v>
      </x:c>
      <x:c r="B8" s="261" t="str">
        <x:v>Return</x:v>
      </x:c>
      <x:c r="C8" s="261" t="str">
        <x:v>Momentum objective</x:v>
      </x:c>
      <x:c r="D8" s="261" t="str">
        <x:v>Higher momentum than Russell 1000</x:v>
      </x:c>
      <x:c r="E8" s="261" t="str">
        <x:v>Soft Objective</x:v>
      </x:c>
      <x:c r="F8" s="261" t="str">
        <x:v>Analytics not loaded</x:v>
      </x:c>
      <x:c r="G8" s="261" t="str">
        <x:v>Manifest momentum methodology versus benchmark</x:v>
      </x:c>
      <x:c r="H8" s="261" t="str">
        <x:v>MONITOR — ANALYTICS REQUIRED</x:v>
      </x:c>
      <x:c r="I8" s="261" t="str">
        <x:v>Portfolio Engineering</x:v>
      </x:c>
      <x:c r="J8" s="261" t="str">
        <x:v>Use empirical validation; do not optimize to a single period</x:v>
      </x:c>
      <x:c r="K8" s="261" t="str">
        <x:v>Adopted allocation objective</x:v>
      </x:c>
    </x:row>
    <x:row r="9" ht="34" customHeight="1">
      <x:c r="A9" s="261" t="str">
        <x:v>PEW-001-04</x:v>
      </x:c>
      <x:c r="B9" s="261" t="str">
        <x:v>Income</x:v>
      </x:c>
      <x:c r="C9" s="261" t="str">
        <x:v>Dividend-yield objective</x:v>
      </x:c>
      <x:c r="D9" s="261" t="str">
        <x:v>Higher dividend yield than Russell 1000</x:v>
      </x:c>
      <x:c r="E9" s="261" t="str">
        <x:v>Soft Objective</x:v>
      </x:c>
      <x:c r="F9" s="261" t="str">
        <x:v>Analytics not loaded</x:v>
      </x:c>
      <x:c r="G9" s="261" t="str">
        <x:v>Portfolio yield versus benchmark yield</x:v>
      </x:c>
      <x:c r="H9" s="261" t="str">
        <x:v>MONITOR — ANALYTICS REQUIRED</x:v>
      </x:c>
      <x:c r="I9" s="261" t="str">
        <x:v>Portfolio Engineering</x:v>
      </x:c>
      <x:c r="J9" s="261" t="str">
        <x:v>Dividend growth preferred over static high yield</x:v>
      </x:c>
      <x:c r="K9" s="261" t="str">
        <x:v>Adopted allocation objective</x:v>
      </x:c>
    </x:row>
    <x:row r="10" ht="34" customHeight="1">
      <x:c r="A10" s="261" t="str">
        <x:v>PEW-001-05</x:v>
      </x:c>
      <x:c r="B10" s="261" t="str">
        <x:v>Income</x:v>
      </x:c>
      <x:c r="C10" s="261" t="str">
        <x:v>Annual portfolio income need</x:v>
      </x:c>
      <x:c r="D10" s="261" t="str">
        <x:v>2.50% annual cash-flow objective</x:v>
      </x:c>
      <x:c r="E10" s="261" t="str">
        <x:v>Hard Constraint</x:v>
      </x:c>
      <x:c r="F10" s="272" t="n">
        <x:v>0.025</x:v>
      </x:c>
      <x:c r="G10" s="261" t="str">
        <x:v>Portfolio yield / distributable cash flow ≥ objective</x:v>
      </x:c>
      <x:c r="H10" s="261" t="str">
        <x:v>ACTIVE</x:v>
      </x:c>
      <x:c r="I10" s="261" t="str">
        <x:v>Chief Investment Steward</x:v>
      </x:c>
      <x:c r="J10" s="261" t="str">
        <x:v>Scenario income must be tested before certification</x:v>
      </x:c>
      <x:c r="K10" s="261" t="str">
        <x:v>Client / portfolio guardrail</x:v>
      </x:c>
    </x:row>
    <x:row r="11" ht="34" customHeight="1">
      <x:c r="A11" s="261" t="str">
        <x:v>PEW-001-06</x:v>
      </x:c>
      <x:c r="B11" s="261" t="str">
        <x:v>Risk</x:v>
      </x:c>
      <x:c r="C11" s="261" t="str">
        <x:v>Maximum acceptable drawdown</x:v>
      </x:c>
      <x:c r="D11" s="261" t="str">
        <x:v>35% review ceiling; not a performance guarantee</x:v>
      </x:c>
      <x:c r="E11" s="261" t="str">
        <x:v>Hard Constraint</x:v>
      </x:c>
      <x:c r="F11" s="272" t="n">
        <x:v>0.35</x:v>
      </x:c>
      <x:c r="G11" s="261" t="str">
        <x:v>Empirical / Monte Carlo drawdown test</x:v>
      </x:c>
      <x:c r="H11" s="261" t="str">
        <x:v>ACTIVE</x:v>
      </x:c>
      <x:c r="I11" s="261" t="str">
        <x:v>Chief Investment Steward</x:v>
      </x:c>
      <x:c r="J11" s="261" t="str">
        <x:v>Failure requires redesign or explicit exception</x:v>
      </x:c>
      <x:c r="K11" s="261" t="str">
        <x:v>Adopted risk guardrail</x:v>
      </x:c>
    </x:row>
    <x:row r="12" ht="34" customHeight="1">
      <x:c r="A12" s="261" t="str">
        <x:v>PEW-001-07</x:v>
      </x:c>
      <x:c r="B12" s="261" t="str">
        <x:v>Horizon</x:v>
      </x:c>
      <x:c r="C12" s="261" t="str">
        <x:v>Investment horizon</x:v>
      </x:c>
      <x:c r="D12" s="261" t="str">
        <x:v>Long-term institutional horizon</x:v>
      </x:c>
      <x:c r="E12" s="261" t="str">
        <x:v>Governance Rule</x:v>
      </x:c>
      <x:c r="F12" s="261" t="str">
        <x:v>5+ years</x:v>
      </x:c>
      <x:c r="G12" s="261" t="str">
        <x:v>Core holdings require durable long-horizon thesis</x:v>
      </x:c>
      <x:c r="H12" s="261" t="str">
        <x:v>ACTIVE</x:v>
      </x:c>
      <x:c r="I12" s="261" t="str">
        <x:v>Stewardship Committee</x:v>
      </x:c>
      <x:c r="J12" s="261" t="str">
        <x:v>Avoid short-term optimization of the core portfolio</x:v>
      </x:c>
      <x:c r="K12" s="261" t="str">
        <x:v>Founders Edition doctrine</x:v>
      </x:c>
    </x:row>
    <x:row r="13" ht="34" customHeight="1">
      <x:c r="A13" s="261" t="str">
        <x:v>PEW-001-08</x:v>
      </x:c>
      <x:c r="B13" s="261" t="str">
        <x:v>Liquidity</x:v>
      </x:c>
      <x:c r="C13" s="261" t="str">
        <x:v>Liquidity standard</x:v>
      </x:c>
      <x:c r="D13" s="261" t="str">
        <x:v>Daily liquidity required</x:v>
      </x:c>
      <x:c r="E13" s="261" t="str">
        <x:v>Hard Constraint</x:v>
      </x:c>
      <x:c r="F13" s="261" t="str">
        <x:v>Daily</x:v>
      </x:c>
      <x:c r="G13" s="261" t="str">
        <x:v>All holdings must be publicly traded and operationally liquid</x:v>
      </x:c>
      <x:c r="H13" s="261" t="str">
        <x:v>PASS</x:v>
      </x:c>
      <x:c r="I13" s="261" t="str">
        <x:v>Portfolio Operations</x:v>
      </x:c>
      <x:c r="J13" s="261" t="str">
        <x:v>Illiquid alternatives are not eligible</x:v>
      </x:c>
      <x:c r="K13" s="261" t="str">
        <x:v>Implementation standard</x:v>
      </x:c>
    </x:row>
    <x:row r="14" ht="34" customHeight="1">
      <x:c r="A14" s="261" t="str">
        <x:v>PEW-001-09</x:v>
      </x:c>
      <x:c r="B14" s="261" t="str">
        <x:v>Construction</x:v>
      </x:c>
      <x:c r="C14" s="261" t="str">
        <x:v>Preferred equity-core position count</x:v>
      </x:c>
      <x:c r="D14" s="261" t="str">
        <x:v>32–38 equities; controlled exception permitted</x:v>
      </x:c>
      <x:c r="E14" s="261" t="str">
        <x:v>Preference</x:v>
      </x:c>
      <x:c r="F14" s="268" t="n">
        <x:f>COUNTIF('Certified Allocation'!D5:D51,"Equity")</x:f>
        <x:v>40</x:v>
      </x:c>
      <x:c r="G14" s="261" t="str">
        <x:v>Monitor current equity count against preferred range</x:v>
      </x:c>
      <x:c r="H14" s="269" t="str">
        <x:f>IF(F14&lt;=38,"PASS",IF(F14&lt;=41,"MONITOR — ABOVE PREFERRED RANGE","FAIL — ABOVE OPERATING CEILING"))</x:f>
        <x:v>MONITOR — ABOVE PREFERRED RANGE</x:v>
      </x:c>
      <x:c r="I14" s="261" t="str">
        <x:v>Stewardship Committee</x:v>
      </x:c>
      <x:c r="J14" s="261" t="str">
        <x:v>Above-range count requires concentration/complexity review</x:v>
      </x:c>
      <x:c r="K14" s="261" t="str">
        <x:v>Frozen construction preference</x:v>
      </x:c>
    </x:row>
    <x:row r="15" ht="34" customHeight="1">
      <x:c r="A15" s="261" t="str">
        <x:v>PEW-001-10</x:v>
      </x:c>
      <x:c r="B15" s="261" t="str">
        <x:v>Construction</x:v>
      </x:c>
      <x:c r="C15" s="261" t="str">
        <x:v>Operating equity ceiling</x:v>
      </x:c>
      <x:c r="D15" s="261" t="str">
        <x:v>Maximum 41 equities without formal amendment</x:v>
      </x:c>
      <x:c r="E15" s="261" t="str">
        <x:v>Hard Constraint</x:v>
      </x:c>
      <x:c r="F15" s="268" t="n">
        <x:f>COUNTIF('Certified Allocation'!D5:D51,"Equity")</x:f>
        <x:v>40</x:v>
      </x:c>
      <x:c r="G15" s="261" t="str">
        <x:v>Certified equity count ≤ 41</x:v>
      </x:c>
      <x:c r="H15" s="269" t="str">
        <x:f>IF(F15&lt;=41,"PASS","FAIL — ABOVE OPERATING CEILING")</x:f>
        <x:v>PASS</x:v>
      </x:c>
      <x:c r="I15" s="261" t="str">
        <x:v>Chief Investment Steward</x:v>
      </x:c>
      <x:c r="J15" s="261" t="str">
        <x:v>Exceeding ceiling blocks certification</x:v>
      </x:c>
      <x:c r="K15" s="261" t="str">
        <x:v>Operating interpretation of ±2–3 tolerance</x:v>
      </x:c>
    </x:row>
    <x:row r="16" ht="34" customHeight="1">
      <x:c r="A16" s="261" t="str">
        <x:v>PEW-001-11</x:v>
      </x:c>
      <x:c r="B16" s="261" t="str">
        <x:v>Construction</x:v>
      </x:c>
      <x:c r="C16" s="261" t="str">
        <x:v>Certified portfolio position count</x:v>
      </x:c>
      <x:c r="D16" s="261" t="str">
        <x:v>47 positions in canonical Portfolio B</x:v>
      </x:c>
      <x:c r="E16" s="261" t="str">
        <x:v>Governance Rule</x:v>
      </x:c>
      <x:c r="F16" s="268" t="n">
        <x:f>COUNTA('Certified Allocation'!B5:B51)</x:f>
        <x:v>47</x:v>
      </x:c>
      <x:c r="G16" s="261" t="str">
        <x:v>Position count must reconcile to MFPDF</x:v>
      </x:c>
      <x:c r="H16" s="269" t="str">
        <x:f>IF(F16=47,"PASS","FAIL — DOES NOT RECONCILE")</x:f>
        <x:v>PASS</x:v>
      </x:c>
      <x:c r="I16" s="261" t="str">
        <x:v>MFPDF v1.0</x:v>
      </x:c>
      <x:c r="J16" s="261" t="str">
        <x:v>Scenario begins from the certified 47-position baseline</x:v>
      </x:c>
      <x:c r="K16" s="261" t="str">
        <x:v>Canonical workbook</x:v>
      </x:c>
    </x:row>
    <x:row r="17" ht="34" customHeight="1">
      <x:c r="A17" s="261" t="str">
        <x:v>PEW-001-12</x:v>
      </x:c>
      <x:c r="B17" s="261" t="str">
        <x:v>Construction</x:v>
      </x:c>
      <x:c r="C17" s="261" t="str">
        <x:v>Certified target allocation</x:v>
      </x:c>
      <x:c r="D17" s="261" t="str">
        <x:v>Portfolio target must total 100%</x:v>
      </x:c>
      <x:c r="E17" s="261" t="str">
        <x:v>Hard Constraint</x:v>
      </x:c>
      <x:c r="F17" s="275" t="n">
        <x:f>SUM('Certified Allocation'!F5:F51)</x:f>
        <x:v>0.9999999999999994</x:v>
      </x:c>
      <x:c r="G17" s="261" t="str">
        <x:v>SUM of certified targets = 100%</x:v>
      </x:c>
      <x:c r="H17" s="269" t="str">
        <x:f>IF(ABS(F17-100%)&lt;0.000001,"PASS","FAIL — TARGET TOTAL")</x:f>
        <x:v>PASS</x:v>
      </x:c>
      <x:c r="I17" s="261" t="str">
        <x:v>MFPDF v1.0</x:v>
      </x:c>
      <x:c r="J17" s="261" t="str">
        <x:v>No scenario may be certified if effective weights do not total 100%</x:v>
      </x:c>
      <x:c r="K17" s="261" t="str">
        <x:v>Canonical workbook</x:v>
      </x:c>
    </x:row>
    <x:row r="18" ht="34" customHeight="1">
      <x:c r="A18" s="261" t="str">
        <x:v>PEW-001-13</x:v>
      </x:c>
      <x:c r="B18" s="261" t="str">
        <x:v>Architecture</x:v>
      </x:c>
      <x:c r="C18" s="261" t="str">
        <x:v>One security / one sleeve</x:v>
      </x:c>
      <x:c r="D18" s="261" t="str">
        <x:v>Each security may belong to only one production sleeve</x:v>
      </x:c>
      <x:c r="E18" s="261" t="str">
        <x:v>Hard Constraint</x:v>
      </x:c>
      <x:c r="F18" s="261" t="str">
        <x:v>Certified baseline</x:v>
      </x:c>
      <x:c r="G18" s="261" t="str">
        <x:v>No duplicate symbol across sleeve assignments</x:v>
      </x:c>
      <x:c r="H18" s="261" t="str">
        <x:v>PASS</x:v>
      </x:c>
      <x:c r="I18" s="261" t="str">
        <x:v>Stewardship Committee</x:v>
      </x:c>
      <x:c r="J18" s="261" t="str">
        <x:v>Prevents double-counting of portfolio purpose</x:v>
      </x:c>
      <x:c r="K18" s="261" t="str">
        <x:v>Frozen sleeve rule</x:v>
      </x:c>
    </x:row>
    <x:row r="19" ht="34" customHeight="1">
      <x:c r="A19" s="261" t="str">
        <x:v>PEW-001-14</x:v>
      </x:c>
      <x:c r="B19" s="261" t="str">
        <x:v>Architecture</x:v>
      </x:c>
      <x:c r="C19" s="261" t="str">
        <x:v>Core-before-satellite</x:v>
      </x:c>
      <x:c r="D19" s="261" t="str">
        <x:v>Core role must be established before implementation exposure</x:v>
      </x:c>
      <x:c r="E19" s="261" t="str">
        <x:v>Governance Rule</x:v>
      </x:c>
      <x:c r="F19" s="261" t="str">
        <x:v>Required</x:v>
      </x:c>
      <x:c r="G19" s="261" t="str">
        <x:v>Portfolio-role review precedes satellite allocation</x:v>
      </x:c>
      <x:c r="H19" s="261" t="str">
        <x:v>ACTIVE</x:v>
      </x:c>
      <x:c r="I19" s="261" t="str">
        <x:v>Stewardship Committee</x:v>
      </x:c>
      <x:c r="J19" s="261" t="str">
        <x:v>A security must have an explicit institutional function</x:v>
      </x:c>
      <x:c r="K19" s="261" t="str">
        <x:v>Founders Edition doctrine</x:v>
      </x:c>
    </x:row>
    <x:row r="20" ht="34" customHeight="1">
      <x:c r="A20" s="261" t="str">
        <x:v>PEW-001-15</x:v>
      </x:c>
      <x:c r="B20" s="261" t="str">
        <x:v>Research</x:v>
      </x:c>
      <x:c r="C20" s="261" t="str">
        <x:v>Five-year rule for core</x:v>
      </x:c>
      <x:c r="D20" s="261" t="str">
        <x:v>Core eligibility requires a five-year operating / evidence record unless excepted</x:v>
      </x:c>
      <x:c r="E20" s="261" t="str">
        <x:v>Governance Rule</x:v>
      </x:c>
      <x:c r="F20" s="261" t="str">
        <x:v>Required</x:v>
      </x:c>
      <x:c r="G20" s="261" t="str">
        <x:v>Role Assignment documents evidence or exception</x:v>
      </x:c>
      <x:c r="H20" s="261" t="str">
        <x:v>ACTIVE</x:v>
      </x:c>
      <x:c r="I20" s="261" t="str">
        <x:v>Research Committee</x:v>
      </x:c>
      <x:c r="J20" s="261" t="str">
        <x:v>Exception requires written committee rationale</x:v>
      </x:c>
      <x:c r="K20" s="261" t="str">
        <x:v>Frozen research rule</x:v>
      </x:c>
    </x:row>
    <x:row r="21" ht="34" customHeight="1">
      <x:c r="A21" s="261" t="str">
        <x:v>PEW-001-16</x:v>
      </x:c>
      <x:c r="B21" s="261" t="str">
        <x:v>Income</x:v>
      </x:c>
      <x:c r="C21" s="261" t="str">
        <x:v>Dividend growth preference</x:v>
      </x:c>
      <x:c r="D21" s="261" t="str">
        <x:v>Dividend growth favored over headline yield</x:v>
      </x:c>
      <x:c r="E21" s="261" t="str">
        <x:v>Preference</x:v>
      </x:c>
      <x:c r="F21" s="261" t="str">
        <x:v>Required preference</x:v>
      </x:c>
      <x:c r="G21" s="261" t="str">
        <x:v>Compare payout durability, FCF and operating earnings growth</x:v>
      </x:c>
      <x:c r="H21" s="261" t="str">
        <x:v>ACTIVE</x:v>
      </x:c>
      <x:c r="I21" s="261" t="str">
        <x:v>Research Committee</x:v>
      </x:c>
      <x:c r="J21" s="261" t="str">
        <x:v>Avoid yield-only selection</x:v>
      </x:c>
      <x:c r="K21" s="261" t="str">
        <x:v>Frozen selection preference</x:v>
      </x:c>
    </x:row>
    <x:row r="22" ht="34" customHeight="1">
      <x:c r="A22" s="261" t="str">
        <x:v>PEW-001-17</x:v>
      </x:c>
      <x:c r="B22" s="261" t="str">
        <x:v>ETF / Income</x:v>
      </x:c>
      <x:c r="C22" s="261" t="str">
        <x:v>Permitted implementation exposures</x:v>
      </x:c>
      <x:c r="D22" s="261" t="str">
        <x:v>No mid/small cap, international or alternatives in this sleeve</x:v>
      </x:c>
      <x:c r="E22" s="261" t="str">
        <x:v>Hard Constraint</x:v>
      </x:c>
      <x:c r="F22" s="261" t="str">
        <x:v>Domestic large-cap / approved ETFs</x:v>
      </x:c>
      <x:c r="G22" s="261" t="str">
        <x:v>Candidate eligibility gate</x:v>
      </x:c>
      <x:c r="H22" s="261" t="str">
        <x:v>PASS — CERTIFIED BASELINE</x:v>
      </x:c>
      <x:c r="I22" s="261" t="str">
        <x:v>Stewardship Committee</x:v>
      </x:c>
      <x:c r="J22" s="261" t="str">
        <x:v>JEPI, JEPQ, PFF and approved Vanguard sector ETFs remain eligible</x:v>
      </x:c>
      <x:c r="K22" s="261" t="str">
        <x:v>Frozen implementation directive</x:v>
      </x:c>
    </x:row>
    <x:row r="23" ht="34" customHeight="1">
      <x:c r="A23" s="261" t="str">
        <x:v>PEW-001-18</x:v>
      </x:c>
      <x:c r="B23" s="261" t="str">
        <x:v>Selection</x:v>
      </x:c>
      <x:c r="C23" s="261" t="str">
        <x:v>Candidate market-cap preference</x:v>
      </x:c>
      <x:c r="D23" s="261" t="str">
        <x:v>Large cap above $50B for Zacks-driven elections unless excepted</x:v>
      </x:c>
      <x:c r="E23" s="261" t="str">
        <x:v>Preference</x:v>
      </x:c>
      <x:c r="F23" s="274" t="n">
        <x:v>50</x:v>
      </x:c>
      <x:c r="G23" s="261" t="str">
        <x:v>Candidate market capitalization ($B)</x:v>
      </x:c>
      <x:c r="H23" s="261" t="str">
        <x:v>ACTIVE</x:v>
      </x:c>
      <x:c r="I23" s="261" t="str">
        <x:v>Stewardship Committee</x:v>
      </x:c>
      <x:c r="J23" s="261" t="str">
        <x:v>Sub-$50B candidates require documented exception</x:v>
      </x:c>
      <x:c r="K23" s="261" t="str">
        <x:v>Adopted selection preference</x:v>
      </x:c>
    </x:row>
    <x:row r="24" ht="34" customHeight="1">
      <x:c r="A24" s="261" t="str">
        <x:v>PEW-001-19</x:v>
      </x:c>
      <x:c r="B24" s="261" t="str">
        <x:v>Selection</x:v>
      </x:c>
      <x:c r="C24" s="261" t="str">
        <x:v>Zacks decision bias</x:v>
      </x:c>
      <x:c r="D24" s="261" t="str">
        <x:v>Ranks #1/#2 favored; #3 neutral; #4/#5 require review / exception</x:v>
      </x:c>
      <x:c r="E24" s="261" t="str">
        <x:v>Governance Rule</x:v>
      </x:c>
      <x:c r="F24" s="261" t="str">
        <x:v>80% close-decision overlay</x:v>
      </x:c>
      <x:c r="G24" s="261" t="str">
        <x:v>Applied only when Manifest comparison is close</x:v>
      </x:c>
      <x:c r="H24" s="261" t="str">
        <x:v>ACTIVE</x:v>
      </x:c>
      <x:c r="I24" s="261" t="str">
        <x:v>Stewardship Committee</x:v>
      </x:c>
      <x:c r="J24" s="261" t="str">
        <x:v>Overlay does not replace MIAR, MICS, empirical or role-fit evidence</x:v>
      </x:c>
      <x:c r="K24" s="261" t="str">
        <x:v>Adopted close-decision policy</x:v>
      </x:c>
    </x:row>
    <x:row r="25" ht="34" customHeight="1">
      <x:c r="A25" s="261" t="str">
        <x:v>PEW-001-20</x:v>
      </x:c>
      <x:c r="B25" s="261" t="str">
        <x:v>Selection</x:v>
      </x:c>
      <x:c r="C25" s="261" t="str">
        <x:v>Merrill research commonality</x:v>
      </x:c>
      <x:c r="D25" s="261" t="str">
        <x:v>Merrill-rated securities preferred; No Rating requires documented exception</x:v>
      </x:c>
      <x:c r="E25" s="261" t="str">
        <x:v>Preference</x:v>
      </x:c>
      <x:c r="F25" s="261" t="str">
        <x:v>Rated preferred</x:v>
      </x:c>
      <x:c r="G25" s="261" t="str">
        <x:v>Candidate eligibility / exception record</x:v>
      </x:c>
      <x:c r="H25" s="261" t="str">
        <x:v>ACTIVE</x:v>
      </x:c>
      <x:c r="I25" s="261" t="str">
        <x:v>Stewardship Committee</x:v>
      </x:c>
      <x:c r="J25" s="261" t="str">
        <x:v>Mega-cap Zacks #1/#2 may remain eligible under documented exception</x:v>
      </x:c>
      <x:c r="K25" s="261" t="str">
        <x:v>Research crosswalk policy</x:v>
      </x:c>
    </x:row>
    <x:row r="26" ht="34" customHeight="1">
      <x:c r="A26" s="261" t="str">
        <x:v>PEW-001-21</x:v>
      </x:c>
      <x:c r="B26" s="261" t="str">
        <x:v>Allocation</x:v>
      </x:c>
      <x:c r="C26" s="261" t="str">
        <x:v>Certified holding rebalance bands</x:v>
      </x:c>
      <x:c r="D26" s="261" t="str">
        <x:v>Lower MAX(1%, 75% of target); upper MIN(4%, 125% of target)</x:v>
      </x:c>
      <x:c r="E26" s="261" t="str">
        <x:v>Hard Constraint</x:v>
      </x:c>
      <x:c r="F26" s="261" t="str">
        <x:v>Active</x:v>
      </x:c>
      <x:c r="G26" s="261" t="str">
        <x:v>Compare actual and scenario weights with certified bands</x:v>
      </x:c>
      <x:c r="H26" s="261" t="str">
        <x:v>PASS</x:v>
      </x:c>
      <x:c r="I26" s="261" t="str">
        <x:v>MFPDF v1.0</x:v>
      </x:c>
      <x:c r="J26" s="261" t="str">
        <x:v>Band breach triggers review, not automatic trade</x:v>
      </x:c>
      <x:c r="K26" s="261" t="str">
        <x:v>Canonical rebalancing framework</x:v>
      </x:c>
    </x:row>
    <x:row r="27" ht="34" customHeight="1">
      <x:c r="A27" s="261" t="str">
        <x:v>PEW-001-22</x:v>
      </x:c>
      <x:c r="B27" s="261" t="str">
        <x:v>Governance</x:v>
      </x:c>
      <x:c r="C27" s="261" t="str">
        <x:v>Automatic trading</x:v>
      </x:c>
      <x:c r="D27" s="261" t="str">
        <x:v>Not authorized</x:v>
      </x:c>
      <x:c r="E27" s="261" t="str">
        <x:v>Hard Constraint</x:v>
      </x:c>
      <x:c r="F27" s="261" t="str">
        <x:v>Prohibited</x:v>
      </x:c>
      <x:c r="G27" s="261" t="str">
        <x:v>No output may authorize automatic execution</x:v>
      </x:c>
      <x:c r="H27" s="261" t="str">
        <x:v>PASS — PROHIBITED</x:v>
      </x:c>
      <x:c r="I27" s="261" t="str">
        <x:v>Stewardship Committee</x:v>
      </x:c>
      <x:c r="J27" s="261" t="str">
        <x:v>Committee review precedes implementation</x:v>
      </x:c>
      <x:c r="K27" s="261" t="str">
        <x:v>Canonical rebalancing framework</x:v>
      </x:c>
    </x:row>
    <x:row r="28" ht="34" customHeight="1">
      <x:c r="A28" s="261" t="str">
        <x:v>PEW-001-23</x:v>
      </x:c>
      <x:c r="B28" s="261" t="str">
        <x:v>Governance</x:v>
      </x:c>
      <x:c r="C28" s="261" t="str">
        <x:v>Scenario isolation</x:v>
      </x:c>
      <x:c r="D28" s="261" t="str">
        <x:v>Engineering scenarios cannot overwrite the certified portfolio</x:v>
      </x:c>
      <x:c r="E28" s="261" t="str">
        <x:v>Hard Constraint</x:v>
      </x:c>
      <x:c r="F28" s="261" t="str">
        <x:v>Separate scenario layer</x:v>
      </x:c>
      <x:c r="G28" s="261" t="str">
        <x:v>Certified Allocation remains unchanged</x:v>
      </x:c>
      <x:c r="H28" s="261" t="str">
        <x:v>PASS</x:v>
      </x:c>
      <x:c r="I28" s="261" t="str">
        <x:v>Chief Investment Steward</x:v>
      </x:c>
      <x:c r="J28" s="261" t="str">
        <x:v>Only a newly certified MFPDF version becomes operational</x:v>
      </x:c>
      <x:c r="K28" s="261" t="str">
        <x:v>MOPS-002 control principle</x:v>
      </x:c>
    </x:row>
    <x:row r="29" ht="34" customHeight="1">
      <x:c r="A29" s="261" t="str">
        <x:v>PEW-001-24</x:v>
      </x:c>
      <x:c r="B29" s="261" t="str">
        <x:v>Validation</x:v>
      </x:c>
      <x:c r="C29" s="261" t="str">
        <x:v>Material-change validation</x:v>
      </x:c>
      <x:c r="D29" s="261" t="str">
        <x:v>Material allocation changes require empirical and/or Monte Carlo review</x:v>
      </x:c>
      <x:c r="E29" s="261" t="str">
        <x:v>Governance Rule</x:v>
      </x:c>
      <x:c r="F29" s="261" t="str">
        <x:v>Required when triggered</x:v>
      </x:c>
      <x:c r="G29" s="261" t="str">
        <x:v>Turnover, additions/removals, sleeve shift or risk change</x:v>
      </x:c>
      <x:c r="H29" s="261" t="str">
        <x:v>ACTIVE</x:v>
      </x:c>
      <x:c r="I29" s="261" t="str">
        <x:v>Validation Committee</x:v>
      </x:c>
      <x:c r="J29" s="261" t="str">
        <x:v>Optimization output is evidence, not authority</x:v>
      </x:c>
      <x:c r="K29" s="261" t="str">
        <x:v>MEVE / Monte Carlo protocol</x:v>
      </x:c>
    </x:row>
    <x:row r="30" ht="34" customHeight="1">
      <x:c r="A30" s="261" t="str">
        <x:v>PEW-001-25</x:v>
      </x:c>
      <x:c r="B30" s="261" t="str">
        <x:v>Operations</x:v>
      </x:c>
      <x:c r="C30" s="261" t="str">
        <x:v>Actual weights before live rebalance</x:v>
      </x:c>
      <x:c r="D30" s="261" t="str">
        <x:v>All 47 actual weights must be loaded</x:v>
      </x:c>
      <x:c r="E30" s="261" t="str">
        <x:v>Hard Constraint</x:v>
      </x:c>
      <x:c r="F30" s="268" t="str">
        <x:f>COUNTA('Certified Allocation'!I5:I51)&amp;" / 47 loaded"</x:f>
        <x:v>0 / 47 loaded</x:v>
      </x:c>
      <x:c r="G30" s="261" t="str">
        <x:v>Count of nonblank Certified Allocation column I</x:v>
      </x:c>
      <x:c r="H30" s="269" t="str">
        <x:f>IF(COUNTA('Certified Allocation'!I5:I51)=47,"PASS","INPUT REQUIRED")</x:f>
        <x:v>INPUT REQUIRED</x:v>
      </x:c>
      <x:c r="I30" s="261" t="str">
        <x:v>Portfolio Operations</x:v>
      </x:c>
      <x:c r="J30" s="261" t="str">
        <x:v>Blocks implementation funding and live band review</x:v>
      </x:c>
      <x:c r="K30" s="261" t="str">
        <x:v>CISC / MFPDF operating requirement</x:v>
      </x:c>
    </x:row>
    <x:row r="31" ht="34" customHeight="1">
      <x:c r="A31" s="261" t="str">
        <x:v>PEW-001-26</x:v>
      </x:c>
      <x:c r="B31" s="261" t="str">
        <x:v>Governance</x:v>
      </x:c>
      <x:c r="C31" s="261" t="str">
        <x:v>Conviction before certification</x:v>
      </x:c>
      <x:c r="D31" s="261" t="str">
        <x:v>Every active holding must have an assigned conviction tier</x:v>
      </x:c>
      <x:c r="E31" s="261" t="str">
        <x:v>Hard Constraint</x:v>
      </x:c>
      <x:c r="F31" s="268" t="str">
        <x:f>COUNTIF('11 Conviction'!H5:H51,"&lt;&gt;Unassigned")&amp;" / 47 assigned"</x:f>
        <x:v>0 / 47 assigned</x:v>
      </x:c>
      <x:c r="G31" s="261" t="str">
        <x:v>Count of non-Unassigned effective convictions</x:v>
      </x:c>
      <x:c r="H31" s="269" t="str">
        <x:f>IF(COUNTIF('11 Conviction'!H5:H51,"&lt;&gt;Unassigned")=47,"PASS","INPUT REQUIRED")</x:f>
        <x:v>INPUT REQUIRED</x:v>
      </x:c>
      <x:c r="I31" s="261" t="str">
        <x:v>Stewardship Committee</x:v>
      </x:c>
      <x:c r="J31" s="261" t="str">
        <x:v>Blocks final certification of a changed portfolio</x:v>
      </x:c>
      <x:c r="K31" s="261" t="str">
        <x:v>MOPS-002 PEW-005</x:v>
      </x:c>
    </x:row>
    <x:row r="32" ht="34" customHeight="1">
      <x:c r="A32" s="261" t="str">
        <x:v>PEW-001-27</x:v>
      </x:c>
      <x:c r="B32" s="261" t="str">
        <x:v>Validation</x:v>
      </x:c>
      <x:c r="C32" s="261" t="str">
        <x:v>Objective-test data</x:v>
      </x:c>
      <x:c r="D32" s="261" t="str">
        <x:v>Benchmark, income and risk analytics must be current</x:v>
      </x:c>
      <x:c r="E32" s="261" t="str">
        <x:v>Hard Constraint</x:v>
      </x:c>
      <x:c r="F32" s="261" t="str">
        <x:v>Not loaded</x:v>
      </x:c>
      <x:c r="G32" s="261" t="str">
        <x:v>Current empirical / risk evidence package</x:v>
      </x:c>
      <x:c r="H32" s="261" t="str">
        <x:v>INPUT REQUIRED</x:v>
      </x:c>
      <x:c r="I32" s="261" t="str">
        <x:v>Portfolio Engineering</x:v>
      </x:c>
      <x:c r="J32" s="261" t="str">
        <x:v>Required before substantive redesign certification</x:v>
      </x:c>
      <x:c r="K32" s="261" t="str">
        <x:v>Validation standard</x:v>
      </x:c>
    </x:row>
    <x:row r="33" ht="34" customHeight="1">
      <x:c r="A33" s="261" t="str">
        <x:v>PEW-001-28</x:v>
      </x:c>
      <x:c r="B33" s="261" t="str">
        <x:v>Governance</x:v>
      </x:c>
      <x:c r="C33" s="261" t="str">
        <x:v>Formal certification gate</x:v>
      </x:c>
      <x:c r="D33" s="261" t="str">
        <x:v>Engineering review, research sufficiency, allocation/risk and committee approval</x:v>
      </x:c>
      <x:c r="E33" s="261" t="str">
        <x:v>Hard Constraint</x:v>
      </x:c>
      <x:c r="F33" s="261" t="str">
        <x:v>Required</x:v>
      </x:c>
      <x:c r="G33" s="261" t="str">
        <x:v>All PEW-007 approvals completed</x:v>
      </x:c>
      <x:c r="H33" s="261" t="str">
        <x:v>ACTIVE</x:v>
      </x:c>
      <x:c r="I33" s="261" t="str">
        <x:v>Chief Investment Steward</x:v>
      </x:c>
      <x:c r="J33" s="261" t="str">
        <x:v>Scenario remains non-operational until MFPDF version is issued</x:v>
      </x:c>
      <x:c r="K33" s="261" t="str">
        <x:v>MOPS-002 control principle</x:v>
      </x:c>
    </x:row>
  </x:sheetData>
  <x:mergeCells>
    <x:mergeCell ref="A1:K1"/>
    <x:mergeCell ref="A2:K2"/>
    <x:mergeCell ref="A3:K3"/>
    <x:mergeCell ref="A4:K4"/>
  </x:mergeCells>
  <x:conditionalFormatting sqref="H6:H33">
    <x:cfRule type="expression" dxfId="11" priority="1">
      <x:formula>OR(H6="PASS",H6="ACTIVE",H6="READY",H6="NO CHANGE",H6="BASELINE",H6="CERTIFIED",H6="ELIGIBLE",H6="NO DECISION")</x:formula>
    </x:cfRule>
    <x:cfRule type="expression" dxfId="12" priority="2">
      <x:formula>OR(ISNUMBER(SEARCH("REVIEW",H6)),ISNUMBER(SEARCH("MONITOR",H6)),ISNUMBER(SEARCH("PENDING",H6)),ISNUMBER(SEARCH("INPUT",H6)),ISNUMBER(SEARCH("ASSIGN",H6)),ISNUMBER(SEARCH("EXCEPTION",H6)),ISNUMBER(SEARCH("REQUIRED",H6)))</x:formula>
    </x:cfRule>
    <x:cfRule type="expression" dxfId="13" priority="3">
      <x:formula>OR(ISNUMBER(SEARCH("FAIL",H6)),ISNUMBER(SEARCH("PROHIBITED",H6)),ISNUMBER(SEARCH("IMPAIRED",H6)),ISNUMBER(SEARCH("REJECT",H6)))</x:formula>
    </x:cfRule>
  </x:conditionalFormatting>
  <x:dataValidations count="1">
    <x:dataValidation type="list" sqref="E6:E33">
      <x:formula1>"Hard Constraint,Soft Objective,Governance Rule,Preference,Monitoring Control"</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6" hidden="0" customWidth="1"/>
    <x:col min="2" max="2" width="45" hidden="0" customWidth="1"/>
    <x:col min="3" max="3" width="11" hidden="0" customWidth="1"/>
    <x:col min="4" max="4" width="10" hidden="0" customWidth="1"/>
    <x:col min="5" max="5" width="9" hidden="0" customWidth="1"/>
    <x:col min="6" max="6" width="14" hidden="0" customWidth="1"/>
    <x:col min="7" max="7" width="14" hidden="0" customWidth="1"/>
    <x:col min="8" max="8" width="15" hidden="0" customWidth="1"/>
    <x:col min="9" max="9" width="13" hidden="0" customWidth="1"/>
    <x:col min="10" max="10" width="15" hidden="0" customWidth="1"/>
    <x:col min="11" max="11" width="15" hidden="0" customWidth="1"/>
    <x:col min="12" max="12" width="16" hidden="0" customWidth="1"/>
    <x:col min="13" max="13" width="17" hidden="0" customWidth="1"/>
    <x:col min="14" max="14" width="18" hidden="0" customWidth="1"/>
    <x:col min="15" max="15" width="26" hidden="0" customWidth="1"/>
    <x:col min="16" max="16" width="34" hidden="0" customWidth="1"/>
  </x:cols>
  <x:sheetData>
    <x:row r="1" ht="28" customHeight="1">
      <x:c r="A1" s="247" t="str">
        <x:v>MOPS-002 / PEW-002 — SLEEVE ARCHITECTURE</x:v>
      </x:c>
      <x:c r="B1" s="247"/>
      <x:c r="C1" s="247"/>
      <x:c r="D1" s="247"/>
      <x:c r="E1" s="247"/>
      <x:c r="F1" s="247"/>
      <x:c r="G1" s="247"/>
      <x:c r="H1" s="247"/>
      <x:c r="I1" s="247"/>
      <x:c r="J1" s="247"/>
      <x:c r="K1" s="247"/>
      <x:c r="L1" s="247"/>
      <x:c r="M1" s="247"/>
      <x:c r="N1" s="247"/>
      <x:c r="O1" s="247"/>
      <x:c r="P1" s="247"/>
    </x:row>
    <x:row r="2" ht="20" customHeight="1">
      <x:c r="A2" s="250" t="str">
        <x:v>Institutional purpose, capacity, certified allocation, scenario impact and control status for the eight frozen production sleeves</x:v>
      </x:c>
      <x:c r="B2" s="250"/>
      <x:c r="C2" s="250"/>
      <x:c r="D2" s="250"/>
      <x:c r="E2" s="250"/>
      <x:c r="F2" s="250"/>
      <x:c r="G2" s="250"/>
      <x:c r="H2" s="250"/>
      <x:c r="I2" s="250"/>
      <x:c r="J2" s="250"/>
      <x:c r="K2" s="250"/>
      <x:c r="L2" s="250"/>
      <x:c r="M2" s="250"/>
      <x:c r="N2" s="250"/>
      <x:c r="O2" s="250"/>
      <x:c r="P2" s="250"/>
    </x:row>
    <x:row r="3" ht="18" customHeight="1">
      <x:c r="A3" s="254" t="str">
        <x:v>Planning ranges use ±20% relative around certified sleeve targets for engineering review; certified holding bands remain authoritative</x:v>
      </x:c>
      <x:c r="B3" s="254"/>
      <x:c r="C3" s="254"/>
      <x:c r="D3" s="254"/>
      <x:c r="E3" s="254"/>
      <x:c r="F3" s="254"/>
      <x:c r="G3" s="254"/>
      <x:c r="H3" s="254"/>
      <x:c r="I3" s="254"/>
      <x:c r="J3" s="254"/>
      <x:c r="K3" s="254"/>
      <x:c r="L3" s="254"/>
      <x:c r="M3" s="254"/>
      <x:c r="N3" s="254"/>
      <x:c r="O3" s="254"/>
      <x:c r="P3" s="254"/>
    </x:row>
    <x:row r="4" ht="30" customHeight="1">
      <x:c r="A4" s="267" t="str">
        <x:v>Production Sleeve</x:v>
      </x:c>
      <x:c r="B4" s="267" t="str">
        <x:v>Institutional Purpose</x:v>
      </x:c>
      <x:c r="C4" s="267" t="str">
        <x:v>Positions</x:v>
      </x:c>
      <x:c r="D4" s="267" t="str">
        <x:v>Equities</x:v>
      </x:c>
      <x:c r="E4" s="267" t="str">
        <x:v>ETFs</x:v>
      </x:c>
      <x:c r="F4" s="267" t="str">
        <x:v>Certified Target</x:v>
      </x:c>
      <x:c r="G4" s="267" t="str">
        <x:v>Actual Allocation</x:v>
      </x:c>
      <x:c r="H4" s="267" t="str">
        <x:v>Scenario Allocation</x:v>
      </x:c>
      <x:c r="I4" s="267" t="str">
        <x:v>Scenario Delta</x:v>
      </x:c>
      <x:c r="J4" s="267" t="str">
        <x:v>Planning Range Low</x:v>
      </x:c>
      <x:c r="K4" s="267" t="str">
        <x:v>Planning Range High</x:v>
      </x:c>
      <x:c r="L4" s="267" t="str">
        <x:v>Role Control</x:v>
      </x:c>
      <x:c r="M4" s="267" t="str">
        <x:v>Conviction Assigned</x:v>
      </x:c>
      <x:c r="N4" s="267" t="str">
        <x:v>Conviction Completeness</x:v>
      </x:c>
      <x:c r="O4" s="267" t="str">
        <x:v>Sleeve Decision State</x:v>
      </x:c>
      <x:c r="P4" s="267" t="str">
        <x:v>Committee Note</x:v>
      </x:c>
    </x:row>
    <x:row r="5" ht="40" customHeight="1">
      <x:c r="A5" s="261" t="str">
        <x:v>Strategic Anchors</x:v>
      </x:c>
      <x:c r="B5" s="261" t="str">
        <x:v>Durable capital compounders and portfolio-resilience anchors.</x:v>
      </x:c>
      <x:c r="C5" s="268" t="n">
        <x:f>'Sleeve Summary'!B4</x:f>
        <x:v>9</x:v>
      </x:c>
      <x:c r="D5" s="268" t="n">
        <x:f>'Sleeve Summary'!C4</x:f>
        <x:v>9</x:v>
      </x:c>
      <x:c r="E5" s="268" t="n">
        <x:f>'Sleeve Summary'!D4</x:f>
        <x:v>0</x:v>
      </x:c>
      <x:c r="F5" s="275" t="n">
        <x:f>'Sleeve Summary'!E4</x:f>
        <x:v>0.22510000000000002</x:v>
      </x:c>
      <x:c r="G5" s="275" t="n">
        <x:f>SUMIF('12 Allocation Lab'!$A$11:$A$57,A5,'12 Allocation Lab'!$I$11:$I$57)</x:f>
        <x:v>0</x:v>
      </x:c>
      <x:c r="H5" s="275" t="n">
        <x:f>SUMIF('12 Allocation Lab'!$A$11:$A$57,A5,'12 Allocation Lab'!$K$11:$K$57)</x:f>
        <x:v>0.22510000000000002</x:v>
      </x:c>
      <x:c r="I5" s="291" t="n">
        <x:f>H5-F5</x:f>
        <x:v>0</x:v>
      </x:c>
      <x:c r="J5" s="291" t="n">
        <x:f>F5*80%</x:f>
        <x:v>0.18008000000000002</x:v>
      </x:c>
      <x:c r="K5" s="291" t="n">
        <x:f>F5*120%</x:f>
        <x:v>0.27012</x:v>
      </x:c>
      <x:c r="L5" s="269" t="str">
        <x:f>IF(COUNTIFS('09 Role Assignment'!$A$5:$A$51,A5,'09 Role Assignment'!$O$5:$O$51,"&lt;&gt;PASS")=0,"PASS","REVIEW")</x:f>
        <x:v>PASS</x:v>
      </x:c>
      <x:c r="M5" s="269" t="n">
        <x:f>COUNTIFS('11 Conviction'!$A$5:$A$51,A5,'11 Conviction'!$H$5:$H$51,"&lt;&gt;Unassigned")</x:f>
        <x:v>0</x:v>
      </x:c>
      <x:c r="N5" s="291" t="n">
        <x:f>IF(C5=0,0,M5/C5)</x:f>
        <x:v>0</x:v>
      </x:c>
      <x:c r="O5" s="269" t="str">
        <x:f>IF(OR(H5&lt;J5,H5&gt;K5),"SLEEVE REVIEW",IF(N5&lt;100%,"CONVICTION INPUT REQUIRED",IF(ABS(I5)&lt;'13 Validation &amp; Cert'!$B$9,"BASELINE","REVIEW PROPOSED SHIFT")))</x:f>
        <x:v>CONVICTION INPUT REQUIRED</x:v>
      </x:c>
      <x:c r="P5" s="271"/>
    </x:row>
    <x:row r="6" ht="40" customHeight="1">
      <x:c r="A6" s="261" t="str">
        <x:v>Growth Compounders</x:v>
      </x:c>
      <x:c r="B6" s="261" t="str">
        <x:v>Above-market earnings, free-cash-flow and reinvestment compounders.</x:v>
      </x:c>
      <x:c r="C6" s="268" t="n">
        <x:f>'Sleeve Summary'!B5</x:f>
        <x:v>6</x:v>
      </x:c>
      <x:c r="D6" s="268" t="n">
        <x:f>'Sleeve Summary'!C5</x:f>
        <x:v>6</x:v>
      </x:c>
      <x:c r="E6" s="268" t="n">
        <x:f>'Sleeve Summary'!D5</x:f>
        <x:v>0</x:v>
      </x:c>
      <x:c r="F6" s="275" t="n">
        <x:f>'Sleeve Summary'!E5</x:f>
        <x:v>0.13390000000000002</x:v>
      </x:c>
      <x:c r="G6" s="275" t="n">
        <x:f>SUMIF('12 Allocation Lab'!$A$11:$A$57,A6,'12 Allocation Lab'!$I$11:$I$57)</x:f>
        <x:v>0</x:v>
      </x:c>
      <x:c r="H6" s="275" t="n">
        <x:f>SUMIF('12 Allocation Lab'!$A$11:$A$57,A6,'12 Allocation Lab'!$K$11:$K$57)</x:f>
        <x:v>0.13390000000000002</x:v>
      </x:c>
      <x:c r="I6" s="291" t="n">
        <x:f>H6-F6</x:f>
        <x:v>0</x:v>
      </x:c>
      <x:c r="J6" s="291" t="n">
        <x:f>F6*80%</x:f>
        <x:v>0.10712000000000002</x:v>
      </x:c>
      <x:c r="K6" s="291" t="n">
        <x:f>F6*120%</x:f>
        <x:v>0.16068000000000002</x:v>
      </x:c>
      <x:c r="L6" s="269" t="str">
        <x:f>IF(COUNTIFS('09 Role Assignment'!$A$5:$A$51,A6,'09 Role Assignment'!$O$5:$O$51,"&lt;&gt;PASS")=0,"PASS","REVIEW")</x:f>
        <x:v>PASS</x:v>
      </x:c>
      <x:c r="M6" s="269" t="n">
        <x:f>COUNTIFS('11 Conviction'!$A$5:$A$51,A6,'11 Conviction'!$H$5:$H$51,"&lt;&gt;Unassigned")</x:f>
        <x:v>0</x:v>
      </x:c>
      <x:c r="N6" s="291" t="n">
        <x:f>IF(C6=0,0,M6/C6)</x:f>
        <x:v>0</x:v>
      </x:c>
      <x:c r="O6" s="269" t="str">
        <x:f>IF(OR(H6&lt;J6,H6&gt;K6),"SLEEVE REVIEW",IF(N6&lt;100%,"CONVICTION INPUT REQUIRED",IF(ABS(I6)&lt;'13 Validation &amp; Cert'!$B$9,"BASELINE","REVIEW PROPOSED SHIFT")))</x:f>
        <x:v>CONVICTION INPUT REQUIRED</x:v>
      </x:c>
      <x:c r="P6" s="271"/>
    </x:row>
    <x:row r="7" ht="40" customHeight="1">
      <x:c r="A7" s="261" t="str">
        <x:v>Digital Infrastructure &amp; AI</x:v>
      </x:c>
      <x:c r="B7" s="261" t="str">
        <x:v>Semiconductor, networking, cybersecurity and data-center backbone.</x:v>
      </x:c>
      <x:c r="C7" s="268" t="n">
        <x:f>'Sleeve Summary'!B6</x:f>
        <x:v>8</x:v>
      </x:c>
      <x:c r="D7" s="268" t="n">
        <x:f>'Sleeve Summary'!C6</x:f>
        <x:v>8</x:v>
      </x:c>
      <x:c r="E7" s="268" t="n">
        <x:f>'Sleeve Summary'!D6</x:f>
        <x:v>0</x:v>
      </x:c>
      <x:c r="F7" s="275" t="n">
        <x:f>'Sleeve Summary'!E6</x:f>
        <x:v>0.129</x:v>
      </x:c>
      <x:c r="G7" s="275" t="n">
        <x:f>SUMIF('12 Allocation Lab'!$A$11:$A$57,A7,'12 Allocation Lab'!$I$11:$I$57)</x:f>
        <x:v>0</x:v>
      </x:c>
      <x:c r="H7" s="275" t="n">
        <x:f>SUMIF('12 Allocation Lab'!$A$11:$A$57,A7,'12 Allocation Lab'!$K$11:$K$57)</x:f>
        <x:v>0.129</x:v>
      </x:c>
      <x:c r="I7" s="291" t="n">
        <x:f>H7-F7</x:f>
        <x:v>0</x:v>
      </x:c>
      <x:c r="J7" s="291" t="n">
        <x:f>F7*80%</x:f>
        <x:v>0.10320000000000001</x:v>
      </x:c>
      <x:c r="K7" s="291" t="n">
        <x:f>F7*120%</x:f>
        <x:v>0.1548</x:v>
      </x:c>
      <x:c r="L7" s="269" t="str">
        <x:f>IF(COUNTIFS('09 Role Assignment'!$A$5:$A$51,A7,'09 Role Assignment'!$O$5:$O$51,"&lt;&gt;PASS")=0,"PASS","REVIEW")</x:f>
        <x:v>PASS</x:v>
      </x:c>
      <x:c r="M7" s="269" t="n">
        <x:f>COUNTIFS('11 Conviction'!$A$5:$A$51,A7,'11 Conviction'!$H$5:$H$51,"&lt;&gt;Unassigned")</x:f>
        <x:v>0</x:v>
      </x:c>
      <x:c r="N7" s="291" t="n">
        <x:f>IF(C7=0,0,M7/C7)</x:f>
        <x:v>0</x:v>
      </x:c>
      <x:c r="O7" s="269" t="str">
        <x:f>IF(OR(H7&lt;J7,H7&gt;K7),"SLEEVE REVIEW",IF(N7&lt;100%,"CONVICTION INPUT REQUIRED",IF(ABS(I7)&lt;'13 Validation &amp; Cert'!$B$9,"BASELINE","REVIEW PROPOSED SHIFT")))</x:f>
        <x:v>CONVICTION INPUT REQUIRED</x:v>
      </x:c>
      <x:c r="P7" s="271"/>
    </x:row>
    <x:row r="8" ht="40" customHeight="1">
      <x:c r="A8" s="261" t="str">
        <x:v>Industrials &amp; Infrastructure</x:v>
      </x:c>
      <x:c r="B8" s="261" t="str">
        <x:v>Aerospace, automation, transportation, electrification and capital spending.</x:v>
      </x:c>
      <x:c r="C8" s="268" t="n">
        <x:f>'Sleeve Summary'!B7</x:f>
        <x:v>9</x:v>
      </x:c>
      <x:c r="D8" s="268" t="n">
        <x:f>'Sleeve Summary'!C7</x:f>
        <x:v>9</x:v>
      </x:c>
      <x:c r="E8" s="268" t="n">
        <x:f>'Sleeve Summary'!D7</x:f>
        <x:v>0</x:v>
      </x:c>
      <x:c r="F8" s="275" t="n">
        <x:f>'Sleeve Summary'!E7</x:f>
        <x:v>0.17110000000000003</x:v>
      </x:c>
      <x:c r="G8" s="275" t="n">
        <x:f>SUMIF('12 Allocation Lab'!$A$11:$A$57,A8,'12 Allocation Lab'!$I$11:$I$57)</x:f>
        <x:v>0</x:v>
      </x:c>
      <x:c r="H8" s="275" t="n">
        <x:f>SUMIF('12 Allocation Lab'!$A$11:$A$57,A8,'12 Allocation Lab'!$K$11:$K$57)</x:f>
        <x:v>0.17110000000000003</x:v>
      </x:c>
      <x:c r="I8" s="291" t="n">
        <x:f>H8-F8</x:f>
        <x:v>0</x:v>
      </x:c>
      <x:c r="J8" s="291" t="n">
        <x:f>F8*80%</x:f>
        <x:v>0.13688000000000003</x:v>
      </x:c>
      <x:c r="K8" s="291" t="n">
        <x:f>F8*120%</x:f>
        <x:v>0.20532000000000003</x:v>
      </x:c>
      <x:c r="L8" s="269" t="str">
        <x:f>IF(COUNTIFS('09 Role Assignment'!$A$5:$A$51,A8,'09 Role Assignment'!$O$5:$O$51,"&lt;&gt;PASS")=0,"PASS","REVIEW")</x:f>
        <x:v>PASS</x:v>
      </x:c>
      <x:c r="M8" s="269" t="n">
        <x:f>COUNTIFS('11 Conviction'!$A$5:$A$51,A8,'11 Conviction'!$H$5:$H$51,"&lt;&gt;Unassigned")</x:f>
        <x:v>0</x:v>
      </x:c>
      <x:c r="N8" s="291" t="n">
        <x:f>IF(C8=0,0,M8/C8)</x:f>
        <x:v>0</x:v>
      </x:c>
      <x:c r="O8" s="269" t="str">
        <x:f>IF(OR(H8&lt;J8,H8&gt;K8),"SLEEVE REVIEW",IF(N8&lt;100%,"CONVICTION INPUT REQUIRED",IF(ABS(I8)&lt;'13 Validation &amp; Cert'!$B$9,"BASELINE","REVIEW PROPOSED SHIFT")))</x:f>
        <x:v>CONVICTION INPUT REQUIRED</x:v>
      </x:c>
      <x:c r="P8" s="271"/>
    </x:row>
    <x:row r="9" ht="40" customHeight="1">
      <x:c r="A9" s="261" t="str">
        <x:v>Financial Infrastructure</x:v>
      </x:c>
      <x:c r="B9" s="261" t="str">
        <x:v>Payments, exchanges, capital markets and quality financial intermediation.</x:v>
      </x:c>
      <x:c r="C9" s="268" t="n">
        <x:f>'Sleeve Summary'!B8</x:f>
        <x:v>5</x:v>
      </x:c>
      <x:c r="D9" s="268" t="n">
        <x:f>'Sleeve Summary'!C8</x:f>
        <x:v>4</x:v>
      </x:c>
      <x:c r="E9" s="268" t="n">
        <x:f>'Sleeve Summary'!D8</x:f>
        <x:v>1</x:v>
      </x:c>
      <x:c r="F9" s="275" t="n">
        <x:f>'Sleeve Summary'!E8</x:f>
        <x:v>0.097</x:v>
      </x:c>
      <x:c r="G9" s="275" t="n">
        <x:f>SUMIF('12 Allocation Lab'!$A$11:$A$57,A9,'12 Allocation Lab'!$I$11:$I$57)</x:f>
        <x:v>0</x:v>
      </x:c>
      <x:c r="H9" s="275" t="n">
        <x:f>SUMIF('12 Allocation Lab'!$A$11:$A$57,A9,'12 Allocation Lab'!$K$11:$K$57)</x:f>
        <x:v>0.097</x:v>
      </x:c>
      <x:c r="I9" s="291" t="n">
        <x:f>H9-F9</x:f>
        <x:v>0</x:v>
      </x:c>
      <x:c r="J9" s="291" t="n">
        <x:f>F9*80%</x:f>
        <x:v>0.0776</x:v>
      </x:c>
      <x:c r="K9" s="291" t="n">
        <x:f>F9*120%</x:f>
        <x:v>0.1164</x:v>
      </x:c>
      <x:c r="L9" s="269" t="str">
        <x:f>IF(COUNTIFS('09 Role Assignment'!$A$5:$A$51,A9,'09 Role Assignment'!$O$5:$O$51,"&lt;&gt;PASS")=0,"PASS","REVIEW")</x:f>
        <x:v>PASS</x:v>
      </x:c>
      <x:c r="M9" s="269" t="n">
        <x:f>COUNTIFS('11 Conviction'!$A$5:$A$51,A9,'11 Conviction'!$H$5:$H$51,"&lt;&gt;Unassigned")</x:f>
        <x:v>0</x:v>
      </x:c>
      <x:c r="N9" s="291" t="n">
        <x:f>IF(C9=0,0,M9/C9)</x:f>
        <x:v>0</x:v>
      </x:c>
      <x:c r="O9" s="269" t="str">
        <x:f>IF(OR(H9&lt;J9,H9&gt;K9),"SLEEVE REVIEW",IF(N9&lt;100%,"CONVICTION INPUT REQUIRED",IF(ABS(I9)&lt;'13 Validation &amp; Cert'!$B$9,"BASELINE","REVIEW PROPOSED SHIFT")))</x:f>
        <x:v>CONVICTION INPUT REQUIRED</x:v>
      </x:c>
      <x:c r="P9" s="271"/>
    </x:row>
    <x:row r="10" ht="40" customHeight="1">
      <x:c r="A10" s="261" t="str">
        <x:v>Healthcare Leadership</x:v>
      </x:c>
      <x:c r="B10" s="261" t="str">
        <x:v>Healthcare innovation, defensive growth and durable demand.</x:v>
      </x:c>
      <x:c r="C10" s="268" t="n">
        <x:f>'Sleeve Summary'!B9</x:f>
        <x:v>2</x:v>
      </x:c>
      <x:c r="D10" s="268" t="n">
        <x:f>'Sleeve Summary'!C9</x:f>
        <x:v>1</x:v>
      </x:c>
      <x:c r="E10" s="268" t="n">
        <x:f>'Sleeve Summary'!D9</x:f>
        <x:v>1</x:v>
      </x:c>
      <x:c r="F10" s="275" t="n">
        <x:f>'Sleeve Summary'!E9</x:f>
        <x:v>0.0361</x:v>
      </x:c>
      <x:c r="G10" s="275" t="n">
        <x:f>SUMIF('12 Allocation Lab'!$A$11:$A$57,A10,'12 Allocation Lab'!$I$11:$I$57)</x:f>
        <x:v>0</x:v>
      </x:c>
      <x:c r="H10" s="275" t="n">
        <x:f>SUMIF('12 Allocation Lab'!$A$11:$A$57,A10,'12 Allocation Lab'!$K$11:$K$57)</x:f>
        <x:v>0.0361</x:v>
      </x:c>
      <x:c r="I10" s="291" t="n">
        <x:f>H10-F10</x:f>
        <x:v>0</x:v>
      </x:c>
      <x:c r="J10" s="291" t="n">
        <x:f>F10*80%</x:f>
        <x:v>0.028880000000000003</x:v>
      </x:c>
      <x:c r="K10" s="291" t="n">
        <x:f>F10*120%</x:f>
        <x:v>0.04332</x:v>
      </x:c>
      <x:c r="L10" s="269" t="str">
        <x:f>IF(COUNTIFS('09 Role Assignment'!$A$5:$A$51,A10,'09 Role Assignment'!$O$5:$O$51,"&lt;&gt;PASS")=0,"PASS","REVIEW")</x:f>
        <x:v>PASS</x:v>
      </x:c>
      <x:c r="M10" s="269" t="n">
        <x:f>COUNTIFS('11 Conviction'!$A$5:$A$51,A10,'11 Conviction'!$H$5:$H$51,"&lt;&gt;Unassigned")</x:f>
        <x:v>0</x:v>
      </x:c>
      <x:c r="N10" s="291" t="n">
        <x:f>IF(C10=0,0,M10/C10)</x:f>
        <x:v>0</x:v>
      </x:c>
      <x:c r="O10" s="269" t="str">
        <x:f>IF(OR(H10&lt;J10,H10&gt;K10),"SLEEVE REVIEW",IF(N10&lt;100%,"CONVICTION INPUT REQUIRED",IF(ABS(I10)&lt;'13 Validation &amp; Cert'!$B$9,"BASELINE","REVIEW PROPOSED SHIFT")))</x:f>
        <x:v>CONVICTION INPUT REQUIRED</x:v>
      </x:c>
      <x:c r="P10" s="271"/>
    </x:row>
    <x:row r="11" ht="40" customHeight="1">
      <x:c r="A11" s="261" t="str">
        <x:v>Energy &amp; Natural Resources</x:v>
      </x:c>
      <x:c r="B11" s="261" t="str">
        <x:v>Energy security, real assets, inflation sensitivity and resource exposure.</x:v>
      </x:c>
      <x:c r="C11" s="268" t="n">
        <x:f>'Sleeve Summary'!B10</x:f>
        <x:v>5</x:v>
      </x:c>
      <x:c r="D11" s="268" t="n">
        <x:f>'Sleeve Summary'!C10</x:f>
        <x:v>3</x:v>
      </x:c>
      <x:c r="E11" s="268" t="n">
        <x:f>'Sleeve Summary'!D10</x:f>
        <x:v>2</x:v>
      </x:c>
      <x:c r="F11" s="275" t="n">
        <x:f>'Sleeve Summary'!E10</x:f>
        <x:v>0.11720000000000001</x:v>
      </x:c>
      <x:c r="G11" s="275" t="n">
        <x:f>SUMIF('12 Allocation Lab'!$A$11:$A$57,A11,'12 Allocation Lab'!$I$11:$I$57)</x:f>
        <x:v>0</x:v>
      </x:c>
      <x:c r="H11" s="275" t="n">
        <x:f>SUMIF('12 Allocation Lab'!$A$11:$A$57,A11,'12 Allocation Lab'!$K$11:$K$57)</x:f>
        <x:v>0.11720000000000001</x:v>
      </x:c>
      <x:c r="I11" s="291" t="n">
        <x:f>H11-F11</x:f>
        <x:v>0</x:v>
      </x:c>
      <x:c r="J11" s="291" t="n">
        <x:f>F11*80%</x:f>
        <x:v>0.09376000000000001</x:v>
      </x:c>
      <x:c r="K11" s="291" t="n">
        <x:f>F11*120%</x:f>
        <x:v>0.14064000000000002</x:v>
      </x:c>
      <x:c r="L11" s="269" t="str">
        <x:f>IF(COUNTIFS('09 Role Assignment'!$A$5:$A$51,A11,'09 Role Assignment'!$O$5:$O$51,"&lt;&gt;PASS")=0,"PASS","REVIEW")</x:f>
        <x:v>PASS</x:v>
      </x:c>
      <x:c r="M11" s="269" t="n">
        <x:f>COUNTIFS('11 Conviction'!$A$5:$A$51,A11,'11 Conviction'!$H$5:$H$51,"&lt;&gt;Unassigned")</x:f>
        <x:v>0</x:v>
      </x:c>
      <x:c r="N11" s="291" t="n">
        <x:f>IF(C11=0,0,M11/C11)</x:f>
        <x:v>0</x:v>
      </x:c>
      <x:c r="O11" s="269" t="str">
        <x:f>IF(OR(H11&lt;J11,H11&gt;K11),"SLEEVE REVIEW",IF(N11&lt;100%,"CONVICTION INPUT REQUIRED",IF(ABS(I11)&lt;'13 Validation &amp; Cert'!$B$9,"BASELINE","REVIEW PROPOSED SHIFT")))</x:f>
        <x:v>CONVICTION INPUT REQUIRED</x:v>
      </x:c>
      <x:c r="P11" s="271"/>
    </x:row>
    <x:row r="12" ht="40" customHeight="1">
      <x:c r="A12" s="261" t="str">
        <x:v>Income &amp; Risk Management</x:v>
      </x:c>
      <x:c r="B12" s="261" t="str">
        <x:v>Income generation, volatility moderation and preferred-security diversification.</x:v>
      </x:c>
      <x:c r="C12" s="268" t="n">
        <x:f>'Sleeve Summary'!B11</x:f>
        <x:v>3</x:v>
      </x:c>
      <x:c r="D12" s="268" t="n">
        <x:f>'Sleeve Summary'!C11</x:f>
        <x:v>0</x:v>
      </x:c>
      <x:c r="E12" s="268" t="n">
        <x:f>'Sleeve Summary'!D11</x:f>
        <x:v>3</x:v>
      </x:c>
      <x:c r="F12" s="275" t="n">
        <x:f>'Sleeve Summary'!E11</x:f>
        <x:v>0.0906</x:v>
      </x:c>
      <x:c r="G12" s="275" t="n">
        <x:f>SUMIF('12 Allocation Lab'!$A$11:$A$57,A12,'12 Allocation Lab'!$I$11:$I$57)</x:f>
        <x:v>0</x:v>
      </x:c>
      <x:c r="H12" s="275" t="n">
        <x:f>SUMIF('12 Allocation Lab'!$A$11:$A$57,A12,'12 Allocation Lab'!$K$11:$K$57)</x:f>
        <x:v>0.0906</x:v>
      </x:c>
      <x:c r="I12" s="291" t="n">
        <x:f>H12-F12</x:f>
        <x:v>0</x:v>
      </x:c>
      <x:c r="J12" s="291" t="n">
        <x:f>F12*80%</x:f>
        <x:v>0.07248</x:v>
      </x:c>
      <x:c r="K12" s="291" t="n">
        <x:f>F12*120%</x:f>
        <x:v>0.10872</x:v>
      </x:c>
      <x:c r="L12" s="269" t="str">
        <x:f>IF(COUNTIFS('09 Role Assignment'!$A$5:$A$51,A12,'09 Role Assignment'!$O$5:$O$51,"&lt;&gt;PASS")=0,"PASS","REVIEW")</x:f>
        <x:v>PASS</x:v>
      </x:c>
      <x:c r="M12" s="269" t="n">
        <x:f>COUNTIFS('11 Conviction'!$A$5:$A$51,A12,'11 Conviction'!$H$5:$H$51,"&lt;&gt;Unassigned")</x:f>
        <x:v>0</x:v>
      </x:c>
      <x:c r="N12" s="291" t="n">
        <x:f>IF(C12=0,0,M12/C12)</x:f>
        <x:v>0</x:v>
      </x:c>
      <x:c r="O12" s="269" t="str">
        <x:f>IF(OR(H12&lt;J12,H12&gt;K12),"SLEEVE REVIEW",IF(N12&lt;100%,"CONVICTION INPUT REQUIRED",IF(ABS(I12)&lt;'13 Validation &amp; Cert'!$B$9,"BASELINE","REVIEW PROPOSED SHIFT")))</x:f>
        <x:v>CONVICTION INPUT REQUIRED</x:v>
      </x:c>
      <x:c r="P12" s="271"/>
    </x:row>
    <x:row r="13" ht="22" customHeight="1">
      <x:c r="A13" s="292" t="str">
        <x:v>TOTAL / PORTFOLIO CONTROL</x:v>
      </x:c>
      <x:c r="B13" s="292"/>
      <x:c r="C13" s="292" t="n">
        <x:f>SUM(C5:C12)</x:f>
        <x:v>47</x:v>
      </x:c>
      <x:c r="D13" s="292" t="n">
        <x:f>SUM(D5:D12)</x:f>
        <x:v>40</x:v>
      </x:c>
      <x:c r="E13" s="292" t="n">
        <x:f>SUM(E5:E12)</x:f>
        <x:v>7</x:v>
      </x:c>
      <x:c r="F13" s="293" t="n">
        <x:f>SUM(F5:F12)</x:f>
        <x:v>1</x:v>
      </x:c>
      <x:c r="G13" s="293" t="n">
        <x:f>SUM(G5:G12)</x:f>
        <x:v>0</x:v>
      </x:c>
      <x:c r="H13" s="293" t="n">
        <x:f>SUM(H5:H12)</x:f>
        <x:v>1</x:v>
      </x:c>
      <x:c r="I13" s="293" t="n">
        <x:f>SUM(I5:I12)</x:f>
        <x:v>0</x:v>
      </x:c>
      <x:c r="J13" s="292"/>
      <x:c r="K13" s="292"/>
      <x:c r="L13" s="292"/>
      <x:c r="M13" s="292" t="n">
        <x:f>SUM(M5:M12)</x:f>
        <x:v>0</x:v>
      </x:c>
      <x:c r="N13" s="293" t="n">
        <x:f>IF(SUM(C5:C12)=0,0,M13/SUM(C5:C12))</x:f>
        <x:v>0</x:v>
      </x:c>
      <x:c r="O13" s="292" t="str">
        <x:f>IF(ABS(H13-100%)&lt;'13 Validation &amp; Cert'!$B$9,"SCENARIO TOTAL PASS","SCENARIO TOTAL FAIL")</x:f>
        <x:v>SCENARIO TOTAL PASS</x:v>
      </x:c>
      <x:c r="P13" s="292"/>
    </x:row>
  </x:sheetData>
  <x:mergeCells>
    <x:mergeCell ref="A1:P1"/>
    <x:mergeCell ref="A2:P2"/>
    <x:mergeCell ref="A3:P3"/>
    <x:mergeCell ref="A13:B13"/>
  </x:mergeCells>
  <x:conditionalFormatting sqref="L5:L12">
    <x:cfRule type="expression" dxfId="37" priority="1">
      <x:formula>OR(L5="PASS",L5="ACTIVE",L5="READY",L5="NO CHANGE",L5="BASELINE",L5="CERTIFIED",L5="ELIGIBLE",L5="NO DECISION")</x:formula>
    </x:cfRule>
    <x:cfRule type="expression" dxfId="38" priority="2">
      <x:formula>OR(ISNUMBER(SEARCH("REVIEW",L5)),ISNUMBER(SEARCH("MONITOR",L5)),ISNUMBER(SEARCH("PENDING",L5)),ISNUMBER(SEARCH("INPUT",L5)),ISNUMBER(SEARCH("ASSIGN",L5)),ISNUMBER(SEARCH("EXCEPTION",L5)),ISNUMBER(SEARCH("REQUIRED",L5)))</x:formula>
    </x:cfRule>
    <x:cfRule type="expression" dxfId="39" priority="3">
      <x:formula>OR(ISNUMBER(SEARCH("FAIL",L5)),ISNUMBER(SEARCH("PROHIBITED",L5)),ISNUMBER(SEARCH("IMPAIRED",L5)),ISNUMBER(SEARCH("REJECT",L5)))</x:formula>
    </x:cfRule>
  </x:conditionalFormatting>
  <x:conditionalFormatting sqref="O5:O12">
    <x:cfRule type="expression" dxfId="40" priority="4">
      <x:formula>OR(O5="PASS",O5="ACTIVE",O5="READY",O5="NO CHANGE",O5="BASELINE",O5="CERTIFIED",O5="ELIGIBLE",O5="NO DECISION")</x:formula>
    </x:cfRule>
    <x:cfRule type="expression" dxfId="41" priority="5">
      <x:formula>OR(ISNUMBER(SEARCH("REVIEW",O5)),ISNUMBER(SEARCH("MONITOR",O5)),ISNUMBER(SEARCH("PENDING",O5)),ISNUMBER(SEARCH("INPUT",O5)),ISNUMBER(SEARCH("ASSIGN",O5)),ISNUMBER(SEARCH("EXCEPTION",O5)),ISNUMBER(SEARCH("REQUIRED",O5)))</x:formula>
    </x:cfRule>
    <x:cfRule type="expression" dxfId="42" priority="6">
      <x:formula>OR(ISNUMBER(SEARCH("FAIL",O5)),ISNUMBER(SEARCH("PROHIBITED",O5)),ISNUMBER(SEARCH("IMPAIRED",O5)),ISNUMBER(SEARCH("REJECT",O5)))</x:formula>
    </x:cfRule>
  </x:conditionalFormatting>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38" hidden="0" customWidth="1"/>
    <x:col min="6" max="6" width="24" hidden="0" customWidth="1"/>
    <x:col min="7" max="7" width="15" hidden="0" customWidth="1"/>
    <x:col min="8" max="8" width="22" hidden="0" customWidth="1"/>
    <x:col min="9" max="9" width="22" hidden="0" customWidth="1"/>
    <x:col min="10" max="10" width="18" hidden="0" customWidth="1"/>
    <x:col min="11" max="11" width="18" hidden="0" customWidth="1"/>
    <x:col min="12" max="12" width="16" hidden="0" customWidth="1"/>
    <x:col min="13" max="13" width="26" hidden="0" customWidth="1"/>
    <x:col min="14" max="14" width="34" hidden="0" customWidth="1"/>
    <x:col min="15" max="15" width="20" hidden="0" customWidth="1"/>
  </x:cols>
  <x:sheetData>
    <x:row r="1" ht="28" customHeight="1">
      <x:c r="A1" s="247" t="str">
        <x:v>MOPS-002 / PEW-003 — PORTFOLIO ROLE ASSIGNMENT</x:v>
      </x:c>
      <x:c r="B1" s="247"/>
      <x:c r="C1" s="247"/>
      <x:c r="D1" s="247"/>
      <x:c r="E1" s="247"/>
      <x:c r="F1" s="247"/>
      <x:c r="G1" s="247"/>
      <x:c r="H1" s="247"/>
      <x:c r="I1" s="247"/>
      <x:c r="J1" s="247"/>
      <x:c r="K1" s="247"/>
      <x:c r="L1" s="247"/>
      <x:c r="M1" s="247"/>
      <x:c r="N1" s="247"/>
      <x:c r="O1" s="247"/>
    </x:row>
    <x:row r="2" ht="20" customHeight="1">
      <x:c r="A2" s="250" t="str">
        <x:v>Every holding must perform an explicit institutional function; attractive securities without a portfolio role do not receive allocation</x:v>
      </x:c>
      <x:c r="B2" s="250"/>
      <x:c r="C2" s="250"/>
      <x:c r="D2" s="250"/>
      <x:c r="E2" s="250"/>
      <x:c r="F2" s="250"/>
      <x:c r="G2" s="250"/>
      <x:c r="H2" s="250"/>
      <x:c r="I2" s="250"/>
      <x:c r="J2" s="250"/>
      <x:c r="K2" s="250"/>
      <x:c r="L2" s="250"/>
      <x:c r="M2" s="250"/>
      <x:c r="N2" s="250"/>
      <x:c r="O2" s="250"/>
    </x:row>
    <x:row r="3" ht="18" customHeight="1">
      <x:c r="A3" s="254" t="str">
        <x:v>One security / one sleeve | Core before satellite | Five-year evidence rule | Certified baseline preserved</x:v>
      </x:c>
      <x:c r="B3" s="254"/>
      <x:c r="C3" s="254"/>
      <x:c r="D3" s="254"/>
      <x:c r="E3" s="254"/>
      <x:c r="F3" s="254"/>
      <x:c r="G3" s="254"/>
      <x:c r="H3" s="254"/>
      <x:c r="I3" s="254"/>
      <x:c r="J3" s="254"/>
      <x:c r="K3" s="254"/>
      <x:c r="L3" s="254"/>
      <x:c r="M3" s="254"/>
      <x:c r="N3" s="254"/>
      <x:c r="O3" s="254"/>
    </x:row>
    <x:row r="4" ht="30" customHeight="1">
      <x:c r="A4" s="267" t="str">
        <x:v>Production Sleeve</x:v>
      </x:c>
      <x:c r="B4" s="267" t="str">
        <x:v>Symbol</x:v>
      </x:c>
      <x:c r="C4" s="267" t="str">
        <x:v>Security</x:v>
      </x:c>
      <x:c r="D4" s="267" t="str">
        <x:v>Type</x:v>
      </x:c>
      <x:c r="E4" s="267" t="str">
        <x:v>Certified Portfolio Role</x:v>
      </x:c>
      <x:c r="F4" s="267" t="str">
        <x:v>Functional Role</x:v>
      </x:c>
      <x:c r="G4" s="267" t="str">
        <x:v>Role Priority</x:v>
      </x:c>
      <x:c r="H4" s="267" t="str">
        <x:v>Core Eligibility</x:v>
      </x:c>
      <x:c r="I4" s="267" t="str">
        <x:v>Five-Year Evidence Status</x:v>
      </x:c>
      <x:c r="J4" s="267" t="str">
        <x:v>Thesis Horizon</x:v>
      </x:c>
      <x:c r="K4" s="267" t="str">
        <x:v>Duplication Risk</x:v>
      </x:c>
      <x:c r="L4" s="267" t="str">
        <x:v>Complementarity Score (1–5)</x:v>
      </x:c>
      <x:c r="M4" s="267" t="str">
        <x:v>Role Decision</x:v>
      </x:c>
      <x:c r="N4" s="267" t="str">
        <x:v>Role / Replacement Notes</x:v>
      </x:c>
      <x:c r="O4" s="267" t="str">
        <x:v>Control Status</x:v>
      </x:c>
    </x:row>
    <x:row r="5" ht="25" customHeight="1">
      <x:c r="A5" s="268" t="str">
        <x:f>'Certified Allocation'!A5</x:f>
        <x:v>Strategic Anchors</x:v>
      </x:c>
      <x:c r="B5" s="268" t="str">
        <x:f>'Certified Allocation'!B5</x:f>
        <x:v>BRK.B</x:v>
      </x:c>
      <x:c r="C5" s="268" t="str">
        <x:f>'Certified Allocation'!C5</x:f>
        <x:v>Berkshire Hathaway Inc. Class B</x:v>
      </x:c>
      <x:c r="D5" s="268" t="str">
        <x:f>'Certified Allocation'!D5</x:f>
        <x:v>Equity</x:v>
      </x:c>
      <x:c r="E5" s="268" t="str">
        <x:f>'Certified Allocation'!E5</x:f>
        <x:v>Diversified capital-allocation anchor</x:v>
      </x:c>
      <x:c r="F5" s="295" t="str">
        <x:v>Constitutional Anchor</x:v>
      </x:c>
      <x:c r="G5" s="295" t="str">
        <x:v>Primary</x:v>
      </x:c>
      <x:c r="H5" s="295" t="str">
        <x:v>Core</x:v>
      </x:c>
      <x:c r="I5" s="295" t="str">
        <x:v>Certified Baseline</x:v>
      </x:c>
      <x:c r="J5" s="295" t="str">
        <x:v>5+ years</x:v>
      </x:c>
      <x:c r="K5" s="295" t="str">
        <x:v>Not Assessed</x:v>
      </x:c>
      <x:c r="L5" s="296"/>
      <x:c r="M5" s="295" t="str">
        <x:v>Retain — Certified Baseline</x:v>
      </x:c>
      <x:c r="N5" s="271"/>
      <x:c r="O5" s="269" t="str">
        <x:f>IF(F5="","ROLE REQUIRED",IF(I5="Review","EVIDENCE REVIEW",IF(M5="Replacement Candidate","COMMITTEE REVIEW","PASS")))</x:f>
        <x:v>PASS</x:v>
      </x:c>
    </x:row>
    <x:row r="6" ht="25" customHeight="1">
      <x:c r="A6" s="268" t="str">
        <x:f>'Certified Allocation'!A6</x:f>
        <x:v>Strategic Anchors</x:v>
      </x:c>
      <x:c r="B6" s="268" t="str">
        <x:f>'Certified Allocation'!B6</x:f>
        <x:v>COST</x:v>
      </x:c>
      <x:c r="C6" s="268" t="str">
        <x:f>'Certified Allocation'!C6</x:f>
        <x:v>Costco Wholesale Corporation</x:v>
      </x:c>
      <x:c r="D6" s="268" t="str">
        <x:f>'Certified Allocation'!D6</x:f>
        <x:v>Equity</x:v>
      </x:c>
      <x:c r="E6" s="268" t="str">
        <x:f>'Certified Allocation'!E6</x:f>
        <x:v>Consumer-resilience anchor</x:v>
      </x:c>
      <x:c r="F6" s="295" t="str">
        <x:v>Core Compounder</x:v>
      </x:c>
      <x:c r="G6" s="295" t="str">
        <x:v>Primary</x:v>
      </x:c>
      <x:c r="H6" s="295" t="str">
        <x:v>Core</x:v>
      </x:c>
      <x:c r="I6" s="295" t="str">
        <x:v>Certified Baseline</x:v>
      </x:c>
      <x:c r="J6" s="295" t="str">
        <x:v>5+ years</x:v>
      </x:c>
      <x:c r="K6" s="295" t="str">
        <x:v>Not Assessed</x:v>
      </x:c>
      <x:c r="L6" s="296"/>
      <x:c r="M6" s="295" t="str">
        <x:v>Retain — Certified Baseline</x:v>
      </x:c>
      <x:c r="N6" s="271"/>
      <x:c r="O6" s="269" t="str">
        <x:f>IF(F6="","ROLE REQUIRED",IF(I6="Review","EVIDENCE REVIEW",IF(M6="Replacement Candidate","COMMITTEE REVIEW","PASS")))</x:f>
        <x:v>PASS</x:v>
      </x:c>
    </x:row>
    <x:row r="7" ht="25" customHeight="1">
      <x:c r="A7" s="268" t="str">
        <x:f>'Certified Allocation'!A7</x:f>
        <x:v>Strategic Anchors</x:v>
      </x:c>
      <x:c r="B7" s="268" t="str">
        <x:f>'Certified Allocation'!B7</x:f>
        <x:v>JNJ</x:v>
      </x:c>
      <x:c r="C7" s="268" t="str">
        <x:f>'Certified Allocation'!C7</x:f>
        <x:v>Johnson &amp; Johnson</x:v>
      </x:c>
      <x:c r="D7" s="268" t="str">
        <x:f>'Certified Allocation'!D7</x:f>
        <x:v>Equity</x:v>
      </x:c>
      <x:c r="E7" s="268" t="str">
        <x:f>'Certified Allocation'!E7</x:f>
        <x:v>Healthcare and life-sciences resilience anchor</x:v>
      </x:c>
      <x:c r="F7" s="295" t="str">
        <x:v>Defensive Healthcare</x:v>
      </x:c>
      <x:c r="G7" s="295" t="str">
        <x:v>Primary</x:v>
      </x:c>
      <x:c r="H7" s="295" t="str">
        <x:v>Core</x:v>
      </x:c>
      <x:c r="I7" s="295" t="str">
        <x:v>Certified Baseline</x:v>
      </x:c>
      <x:c r="J7" s="295" t="str">
        <x:v>5+ years</x:v>
      </x:c>
      <x:c r="K7" s="295" t="str">
        <x:v>Not Assessed</x:v>
      </x:c>
      <x:c r="L7" s="296"/>
      <x:c r="M7" s="295" t="str">
        <x:v>Retain — Certified Baseline</x:v>
      </x:c>
      <x:c r="N7" s="271"/>
      <x:c r="O7" s="269" t="str">
        <x:f>IF(F7="","ROLE REQUIRED",IF(I7="Review","EVIDENCE REVIEW",IF(M7="Replacement Candidate","COMMITTEE REVIEW","PASS")))</x:f>
        <x:v>PASS</x:v>
      </x:c>
    </x:row>
    <x:row r="8" ht="25" customHeight="1">
      <x:c r="A8" s="268" t="str">
        <x:f>'Certified Allocation'!A8</x:f>
        <x:v>Strategic Anchors</x:v>
      </x:c>
      <x:c r="B8" s="268" t="str">
        <x:f>'Certified Allocation'!B8</x:f>
        <x:v>MSFT</x:v>
      </x:c>
      <x:c r="C8" s="268" t="str">
        <x:f>'Certified Allocation'!C8</x:f>
        <x:v>Microsoft Corporation</x:v>
      </x:c>
      <x:c r="D8" s="268" t="str">
        <x:f>'Certified Allocation'!D8</x:f>
        <x:v>Equity</x:v>
      </x:c>
      <x:c r="E8" s="268" t="str">
        <x:f>'Certified Allocation'!E8</x:f>
        <x:v>Enterprise technology and AI platform anchor</x:v>
      </x:c>
      <x:c r="F8" s="295" t="str">
        <x:v>Core Compounder</x:v>
      </x:c>
      <x:c r="G8" s="295" t="str">
        <x:v>Primary</x:v>
      </x:c>
      <x:c r="H8" s="295" t="str">
        <x:v>Core</x:v>
      </x:c>
      <x:c r="I8" s="295" t="str">
        <x:v>Certified Baseline</x:v>
      </x:c>
      <x:c r="J8" s="295" t="str">
        <x:v>5+ years</x:v>
      </x:c>
      <x:c r="K8" s="295" t="str">
        <x:v>Not Assessed</x:v>
      </x:c>
      <x:c r="L8" s="296"/>
      <x:c r="M8" s="295" t="str">
        <x:v>Retain — Certified Baseline</x:v>
      </x:c>
      <x:c r="N8" s="271"/>
      <x:c r="O8" s="269" t="str">
        <x:f>IF(F8="","ROLE REQUIRED",IF(I8="Review","EVIDENCE REVIEW",IF(M8="Replacement Candidate","COMMITTEE REVIEW","PASS")))</x:f>
        <x:v>PASS</x:v>
      </x:c>
    </x:row>
    <x:row r="9" ht="25" customHeight="1">
      <x:c r="A9" s="268" t="str">
        <x:f>'Certified Allocation'!A9</x:f>
        <x:v>Strategic Anchors</x:v>
      </x:c>
      <x:c r="B9" s="268" t="str">
        <x:f>'Certified Allocation'!B9</x:f>
        <x:v>V</x:v>
      </x:c>
      <x:c r="C9" s="268" t="str">
        <x:f>'Certified Allocation'!C9</x:f>
        <x:v>Visa Inc.</x:v>
      </x:c>
      <x:c r="D9" s="268" t="str">
        <x:f>'Certified Allocation'!D9</x:f>
        <x:v>Equity</x:v>
      </x:c>
      <x:c r="E9" s="268" t="str">
        <x:f>'Certified Allocation'!E9</x:f>
        <x:v>Global payments infrastructure anchor</x:v>
      </x:c>
      <x:c r="F9" s="295" t="str">
        <x:v>Quality Financial</x:v>
      </x:c>
      <x:c r="G9" s="295" t="str">
        <x:v>Primary</x:v>
      </x:c>
      <x:c r="H9" s="295" t="str">
        <x:v>Core</x:v>
      </x:c>
      <x:c r="I9" s="295" t="str">
        <x:v>Certified Baseline</x:v>
      </x:c>
      <x:c r="J9" s="295" t="str">
        <x:v>5+ years</x:v>
      </x:c>
      <x:c r="K9" s="295" t="str">
        <x:v>Not Assessed</x:v>
      </x:c>
      <x:c r="L9" s="296"/>
      <x:c r="M9" s="295" t="str">
        <x:v>Retain — Certified Baseline</x:v>
      </x:c>
      <x:c r="N9" s="271"/>
      <x:c r="O9" s="269" t="str">
        <x:f>IF(F9="","ROLE REQUIRED",IF(I9="Review","EVIDENCE REVIEW",IF(M9="Replacement Candidate","COMMITTEE REVIEW","PASS")))</x:f>
        <x:v>PASS</x:v>
      </x:c>
    </x:row>
    <x:row r="10" ht="25" customHeight="1">
      <x:c r="A10" s="268" t="str">
        <x:f>'Certified Allocation'!A10</x:f>
        <x:v>Strategic Anchors</x:v>
      </x:c>
      <x:c r="B10" s="268" t="str">
        <x:f>'Certified Allocation'!B10</x:f>
        <x:v>GOOGL</x:v>
      </x:c>
      <x:c r="C10" s="268" t="str">
        <x:f>'Certified Allocation'!C10</x:f>
        <x:v>Alphabet Inc. Class A</x:v>
      </x:c>
      <x:c r="D10" s="268" t="str">
        <x:f>'Certified Allocation'!D10</x:f>
        <x:v>Equity</x:v>
      </x:c>
      <x:c r="E10" s="268" t="str">
        <x:f>'Certified Allocation'!E10</x:f>
        <x:v>Digital platform and AI anchor</x:v>
      </x:c>
      <x:c r="F10" s="295" t="str">
        <x:v>Core Compounder</x:v>
      </x:c>
      <x:c r="G10" s="295" t="str">
        <x:v>Primary</x:v>
      </x:c>
      <x:c r="H10" s="295" t="str">
        <x:v>Core</x:v>
      </x:c>
      <x:c r="I10" s="295" t="str">
        <x:v>Certified Baseline</x:v>
      </x:c>
      <x:c r="J10" s="295" t="str">
        <x:v>5+ years</x:v>
      </x:c>
      <x:c r="K10" s="295" t="str">
        <x:v>Not Assessed</x:v>
      </x:c>
      <x:c r="L10" s="296"/>
      <x:c r="M10" s="295" t="str">
        <x:v>Retain — Certified Baseline</x:v>
      </x:c>
      <x:c r="N10" s="271"/>
      <x:c r="O10" s="269" t="str">
        <x:f>IF(F10="","ROLE REQUIRED",IF(I10="Review","EVIDENCE REVIEW",IF(M10="Replacement Candidate","COMMITTEE REVIEW","PASS")))</x:f>
        <x:v>PASS</x:v>
      </x:c>
    </x:row>
    <x:row r="11" ht="25" customHeight="1">
      <x:c r="A11" s="268" t="str">
        <x:f>'Certified Allocation'!A11</x:f>
        <x:v>Strategic Anchors</x:v>
      </x:c>
      <x:c r="B11" s="268" t="str">
        <x:f>'Certified Allocation'!B11</x:f>
        <x:v>MA</x:v>
      </x:c>
      <x:c r="C11" s="268" t="str">
        <x:f>'Certified Allocation'!C11</x:f>
        <x:v>Mastercard Incorporated</x:v>
      </x:c>
      <x:c r="D11" s="268" t="str">
        <x:f>'Certified Allocation'!D11</x:f>
        <x:v>Equity</x:v>
      </x:c>
      <x:c r="E11" s="268" t="str">
        <x:f>'Certified Allocation'!E11</x:f>
        <x:v>Global payments infrastructure anchor</x:v>
      </x:c>
      <x:c r="F11" s="295" t="str">
        <x:v>Quality Financial</x:v>
      </x:c>
      <x:c r="G11" s="295" t="str">
        <x:v>Primary</x:v>
      </x:c>
      <x:c r="H11" s="295" t="str">
        <x:v>Core</x:v>
      </x:c>
      <x:c r="I11" s="295" t="str">
        <x:v>Certified Baseline</x:v>
      </x:c>
      <x:c r="J11" s="295" t="str">
        <x:v>5+ years</x:v>
      </x:c>
      <x:c r="K11" s="295" t="str">
        <x:v>Not Assessed</x:v>
      </x:c>
      <x:c r="L11" s="296"/>
      <x:c r="M11" s="295" t="str">
        <x:v>Retain — Certified Baseline</x:v>
      </x:c>
      <x:c r="N11" s="271"/>
      <x:c r="O11" s="269" t="str">
        <x:f>IF(F11="","ROLE REQUIRED",IF(I11="Review","EVIDENCE REVIEW",IF(M11="Replacement Candidate","COMMITTEE REVIEW","PASS")))</x:f>
        <x:v>PASS</x:v>
      </x:c>
    </x:row>
    <x:row r="12" ht="25" customHeight="1">
      <x:c r="A12" s="268" t="str">
        <x:f>'Certified Allocation'!A12</x:f>
        <x:v>Strategic Anchors</x:v>
      </x:c>
      <x:c r="B12" s="268" t="str">
        <x:f>'Certified Allocation'!B12</x:f>
        <x:v>AAPL</x:v>
      </x:c>
      <x:c r="C12" s="268" t="str">
        <x:f>'Certified Allocation'!C12</x:f>
        <x:v>Apple Inc.</x:v>
      </x:c>
      <x:c r="D12" s="268" t="str">
        <x:f>'Certified Allocation'!D12</x:f>
        <x:v>Equity</x:v>
      </x:c>
      <x:c r="E12" s="268" t="str">
        <x:f>'Certified Allocation'!E12</x:f>
        <x:v>Consumer technology ecosystem anchor</x:v>
      </x:c>
      <x:c r="F12" s="295" t="str">
        <x:v>Core Compounder</x:v>
      </x:c>
      <x:c r="G12" s="295" t="str">
        <x:v>Primary</x:v>
      </x:c>
      <x:c r="H12" s="295" t="str">
        <x:v>Core</x:v>
      </x:c>
      <x:c r="I12" s="295" t="str">
        <x:v>Certified Baseline</x:v>
      </x:c>
      <x:c r="J12" s="295" t="str">
        <x:v>5+ years</x:v>
      </x:c>
      <x:c r="K12" s="295" t="str">
        <x:v>Not Assessed</x:v>
      </x:c>
      <x:c r="L12" s="296"/>
      <x:c r="M12" s="295" t="str">
        <x:v>Retain — Certified Baseline</x:v>
      </x:c>
      <x:c r="N12" s="271"/>
      <x:c r="O12" s="269" t="str">
        <x:f>IF(F12="","ROLE REQUIRED",IF(I12="Review","EVIDENCE REVIEW",IF(M12="Replacement Candidate","COMMITTEE REVIEW","PASS")))</x:f>
        <x:v>PASS</x:v>
      </x:c>
    </x:row>
    <x:row r="13" ht="25" customHeight="1">
      <x:c r="A13" s="268" t="str">
        <x:f>'Certified Allocation'!A13</x:f>
        <x:v>Strategic Anchors</x:v>
      </x:c>
      <x:c r="B13" s="268" t="str">
        <x:f>'Certified Allocation'!B13</x:f>
        <x:v>AMZN</x:v>
      </x:c>
      <x:c r="C13" s="268" t="str">
        <x:f>'Certified Allocation'!C13</x:f>
        <x:v>Amazon.com, Inc.</x:v>
      </x:c>
      <x:c r="D13" s="268" t="str">
        <x:f>'Certified Allocation'!D13</x:f>
        <x:v>Equity</x:v>
      </x:c>
      <x:c r="E13" s="268" t="str">
        <x:f>'Certified Allocation'!E13</x:f>
        <x:v>Cloud, commerce and logistics anchor</x:v>
      </x:c>
      <x:c r="F13" s="295" t="str">
        <x:v>Core Compounder</x:v>
      </x:c>
      <x:c r="G13" s="295" t="str">
        <x:v>Primary</x:v>
      </x:c>
      <x:c r="H13" s="295" t="str">
        <x:v>Core</x:v>
      </x:c>
      <x:c r="I13" s="295" t="str">
        <x:v>Certified Baseline</x:v>
      </x:c>
      <x:c r="J13" s="295" t="str">
        <x:v>5+ years</x:v>
      </x:c>
      <x:c r="K13" s="295" t="str">
        <x:v>Not Assessed</x:v>
      </x:c>
      <x:c r="L13" s="296"/>
      <x:c r="M13" s="295" t="str">
        <x:v>Retain — Certified Baseline</x:v>
      </x:c>
      <x:c r="N13" s="271"/>
      <x:c r="O13" s="269" t="str">
        <x:f>IF(F13="","ROLE REQUIRED",IF(I13="Review","EVIDENCE REVIEW",IF(M13="Replacement Candidate","COMMITTEE REVIEW","PASS")))</x:f>
        <x:v>PASS</x:v>
      </x:c>
    </x:row>
    <x:row r="14" ht="25" customHeight="1">
      <x:c r="A14" s="268" t="str">
        <x:f>'Certified Allocation'!A14</x:f>
        <x:v>Growth Compounders</x:v>
      </x:c>
      <x:c r="B14" s="268" t="str">
        <x:f>'Certified Allocation'!B14</x:f>
        <x:v>AVGO</x:v>
      </x:c>
      <x:c r="C14" s="268" t="str">
        <x:f>'Certified Allocation'!C14</x:f>
        <x:v>Broadcom Inc.</x:v>
      </x:c>
      <x:c r="D14" s="268" t="str">
        <x:f>'Certified Allocation'!D14</x:f>
        <x:v>Equity</x:v>
      </x:c>
      <x:c r="E14" s="268" t="str">
        <x:f>'Certified Allocation'!E14</x:f>
        <x:v>Semiconductor and infrastructure-software compounder</x:v>
      </x:c>
      <x:c r="F14" s="295" t="str">
        <x:v>Growth Engine</x:v>
      </x:c>
      <x:c r="G14" s="295" t="str">
        <x:v>Primary</x:v>
      </x:c>
      <x:c r="H14" s="295" t="str">
        <x:v>Core</x:v>
      </x:c>
      <x:c r="I14" s="295" t="str">
        <x:v>Certified Baseline</x:v>
      </x:c>
      <x:c r="J14" s="295" t="str">
        <x:v>5+ years</x:v>
      </x:c>
      <x:c r="K14" s="295" t="str">
        <x:v>Not Assessed</x:v>
      </x:c>
      <x:c r="L14" s="296"/>
      <x:c r="M14" s="295" t="str">
        <x:v>Retain — Certified Baseline</x:v>
      </x:c>
      <x:c r="N14" s="271"/>
      <x:c r="O14" s="269" t="str">
        <x:f>IF(F14="","ROLE REQUIRED",IF(I14="Review","EVIDENCE REVIEW",IF(M14="Replacement Candidate","COMMITTEE REVIEW","PASS")))</x:f>
        <x:v>PASS</x:v>
      </x:c>
    </x:row>
    <x:row r="15" ht="25" customHeight="1">
      <x:c r="A15" s="268" t="str">
        <x:f>'Certified Allocation'!A15</x:f>
        <x:v>Growth Compounders</x:v>
      </x:c>
      <x:c r="B15" s="268" t="str">
        <x:f>'Certified Allocation'!B15</x:f>
        <x:v>LLY</x:v>
      </x:c>
      <x:c r="C15" s="268" t="str">
        <x:f>'Certified Allocation'!C15</x:f>
        <x:v>Eli Lilly and Company</x:v>
      </x:c>
      <x:c r="D15" s="268" t="str">
        <x:f>'Certified Allocation'!D15</x:f>
        <x:v>Equity</x:v>
      </x:c>
      <x:c r="E15" s="268" t="str">
        <x:f>'Certified Allocation'!E15</x:f>
        <x:v>Healthcare innovation compounder</x:v>
      </x:c>
      <x:c r="F15" s="295" t="str">
        <x:v>Defensive Healthcare</x:v>
      </x:c>
      <x:c r="G15" s="295" t="str">
        <x:v>Primary</x:v>
      </x:c>
      <x:c r="H15" s="295" t="str">
        <x:v>Core</x:v>
      </x:c>
      <x:c r="I15" s="295" t="str">
        <x:v>Certified Baseline</x:v>
      </x:c>
      <x:c r="J15" s="295" t="str">
        <x:v>5+ years</x:v>
      </x:c>
      <x:c r="K15" s="295" t="str">
        <x:v>Not Assessed</x:v>
      </x:c>
      <x:c r="L15" s="296"/>
      <x:c r="M15" s="295" t="str">
        <x:v>Retain — Certified Baseline</x:v>
      </x:c>
      <x:c r="N15" s="271"/>
      <x:c r="O15" s="269" t="str">
        <x:f>IF(F15="","ROLE REQUIRED",IF(I15="Review","EVIDENCE REVIEW",IF(M15="Replacement Candidate","COMMITTEE REVIEW","PASS")))</x:f>
        <x:v>PASS</x:v>
      </x:c>
    </x:row>
    <x:row r="16" ht="25" customHeight="1">
      <x:c r="A16" s="268" t="str">
        <x:f>'Certified Allocation'!A16</x:f>
        <x:v>Growth Compounders</x:v>
      </x:c>
      <x:c r="B16" s="268" t="str">
        <x:f>'Certified Allocation'!B16</x:f>
        <x:v>NVDA</x:v>
      </x:c>
      <x:c r="C16" s="268" t="str">
        <x:f>'Certified Allocation'!C16</x:f>
        <x:v>NVIDIA Corporation</x:v>
      </x:c>
      <x:c r="D16" s="268" t="str">
        <x:f>'Certified Allocation'!D16</x:f>
        <x:v>Equity</x:v>
      </x:c>
      <x:c r="E16" s="268" t="str">
        <x:f>'Certified Allocation'!E16</x:f>
        <x:v>AI compute growth engine</x:v>
      </x:c>
      <x:c r="F16" s="295" t="str">
        <x:v>Growth Engine</x:v>
      </x:c>
      <x:c r="G16" s="295" t="str">
        <x:v>Primary</x:v>
      </x:c>
      <x:c r="H16" s="295" t="str">
        <x:v>Core</x:v>
      </x:c>
      <x:c r="I16" s="295" t="str">
        <x:v>Certified Baseline</x:v>
      </x:c>
      <x:c r="J16" s="295" t="str">
        <x:v>5+ years</x:v>
      </x:c>
      <x:c r="K16" s="295" t="str">
        <x:v>Not Assessed</x:v>
      </x:c>
      <x:c r="L16" s="296"/>
      <x:c r="M16" s="295" t="str">
        <x:v>Retain — Certified Baseline</x:v>
      </x:c>
      <x:c r="N16" s="271"/>
      <x:c r="O16" s="269" t="str">
        <x:f>IF(F16="","ROLE REQUIRED",IF(I16="Review","EVIDENCE REVIEW",IF(M16="Replacement Candidate","COMMITTEE REVIEW","PASS")))</x:f>
        <x:v>PASS</x:v>
      </x:c>
    </x:row>
    <x:row r="17" ht="25" customHeight="1">
      <x:c r="A17" s="268" t="str">
        <x:f>'Certified Allocation'!A17</x:f>
        <x:v>Growth Compounders</x:v>
      </x:c>
      <x:c r="B17" s="268" t="str">
        <x:f>'Certified Allocation'!B17</x:f>
        <x:v>HD</x:v>
      </x:c>
      <x:c r="C17" s="268" t="str">
        <x:f>'Certified Allocation'!C17</x:f>
        <x:v>The Home Depot, Inc.</x:v>
      </x:c>
      <x:c r="D17" s="268" t="str">
        <x:f>'Certified Allocation'!D17</x:f>
        <x:v>Equity</x:v>
      </x:c>
      <x:c r="E17" s="268" t="str">
        <x:f>'Certified Allocation'!E17</x:f>
        <x:v>Housing and professional distribution compounder</x:v>
      </x:c>
      <x:c r="F17" s="295" t="str">
        <x:v>Growth Engine</x:v>
      </x:c>
      <x:c r="G17" s="295" t="str">
        <x:v>Primary</x:v>
      </x:c>
      <x:c r="H17" s="295" t="str">
        <x:v>Core</x:v>
      </x:c>
      <x:c r="I17" s="295" t="str">
        <x:v>Certified Baseline</x:v>
      </x:c>
      <x:c r="J17" s="295" t="str">
        <x:v>5+ years</x:v>
      </x:c>
      <x:c r="K17" s="295" t="str">
        <x:v>Not Assessed</x:v>
      </x:c>
      <x:c r="L17" s="296"/>
      <x:c r="M17" s="295" t="str">
        <x:v>Retain — Certified Baseline</x:v>
      </x:c>
      <x:c r="N17" s="271"/>
      <x:c r="O17" s="269" t="str">
        <x:f>IF(F17="","ROLE REQUIRED",IF(I17="Review","EVIDENCE REVIEW",IF(M17="Replacement Candidate","COMMITTEE REVIEW","PASS")))</x:f>
        <x:v>PASS</x:v>
      </x:c>
    </x:row>
    <x:row r="18" ht="25" customHeight="1">
      <x:c r="A18" s="268" t="str">
        <x:f>'Certified Allocation'!A18</x:f>
        <x:v>Growth Compounders</x:v>
      </x:c>
      <x:c r="B18" s="268" t="str">
        <x:f>'Certified Allocation'!B18</x:f>
        <x:v>META</x:v>
      </x:c>
      <x:c r="C18" s="268" t="str">
        <x:f>'Certified Allocation'!C18</x:f>
        <x:v>Meta Platforms, Inc.</x:v>
      </x:c>
      <x:c r="D18" s="268" t="str">
        <x:f>'Certified Allocation'!D18</x:f>
        <x:v>Equity</x:v>
      </x:c>
      <x:c r="E18" s="268" t="str">
        <x:f>'Certified Allocation'!E18</x:f>
        <x:v>Digital platform and AI compounder</x:v>
      </x:c>
      <x:c r="F18" s="295" t="str">
        <x:v>Growth Engine</x:v>
      </x:c>
      <x:c r="G18" s="295" t="str">
        <x:v>Primary</x:v>
      </x:c>
      <x:c r="H18" s="295" t="str">
        <x:v>Core</x:v>
      </x:c>
      <x:c r="I18" s="295" t="str">
        <x:v>Certified Baseline</x:v>
      </x:c>
      <x:c r="J18" s="295" t="str">
        <x:v>5+ years</x:v>
      </x:c>
      <x:c r="K18" s="295" t="str">
        <x:v>Not Assessed</x:v>
      </x:c>
      <x:c r="L18" s="296"/>
      <x:c r="M18" s="295" t="str">
        <x:v>Retain — Certified Baseline</x:v>
      </x:c>
      <x:c r="N18" s="271"/>
      <x:c r="O18" s="269" t="str">
        <x:f>IF(F18="","ROLE REQUIRED",IF(I18="Review","EVIDENCE REVIEW",IF(M18="Replacement Candidate","COMMITTEE REVIEW","PASS")))</x:f>
        <x:v>PASS</x:v>
      </x:c>
    </x:row>
    <x:row r="19" ht="25" customHeight="1">
      <x:c r="A19" s="268" t="str">
        <x:f>'Certified Allocation'!A19</x:f>
        <x:v>Growth Compounders</x:v>
      </x:c>
      <x:c r="B19" s="268" t="str">
        <x:f>'Certified Allocation'!B19</x:f>
        <x:v>ANET</x:v>
      </x:c>
      <x:c r="C19" s="268" t="str">
        <x:f>'Certified Allocation'!C19</x:f>
        <x:v>Arista Networks, Inc.</x:v>
      </x:c>
      <x:c r="D19" s="268" t="str">
        <x:f>'Certified Allocation'!D19</x:f>
        <x:v>Equity</x:v>
      </x:c>
      <x:c r="E19" s="268" t="str">
        <x:f>'Certified Allocation'!E19</x:f>
        <x:v>AI networking compounder</x:v>
      </x:c>
      <x:c r="F19" s="295" t="str">
        <x:v>Growth Engine</x:v>
      </x:c>
      <x:c r="G19" s="295" t="str">
        <x:v>Primary</x:v>
      </x:c>
      <x:c r="H19" s="295" t="str">
        <x:v>Core</x:v>
      </x:c>
      <x:c r="I19" s="295" t="str">
        <x:v>Certified Baseline</x:v>
      </x:c>
      <x:c r="J19" s="295" t="str">
        <x:v>5+ years</x:v>
      </x:c>
      <x:c r="K19" s="295" t="str">
        <x:v>Not Assessed</x:v>
      </x:c>
      <x:c r="L19" s="296"/>
      <x:c r="M19" s="295" t="str">
        <x:v>Retain — Certified Baseline</x:v>
      </x:c>
      <x:c r="N19" s="271"/>
      <x:c r="O19" s="269" t="str">
        <x:f>IF(F19="","ROLE REQUIRED",IF(I19="Review","EVIDENCE REVIEW",IF(M19="Replacement Candidate","COMMITTEE REVIEW","PASS")))</x:f>
        <x:v>PASS</x:v>
      </x:c>
    </x:row>
    <x:row r="20" ht="25" customHeight="1">
      <x:c r="A20" s="268" t="str">
        <x:f>'Certified Allocation'!A20</x:f>
        <x:v>Digital Infrastructure &amp; AI</x:v>
      </x:c>
      <x:c r="B20" s="268" t="str">
        <x:f>'Certified Allocation'!B20</x:f>
        <x:v>PANW</x:v>
      </x:c>
      <x:c r="C20" s="268" t="str">
        <x:f>'Certified Allocation'!C20</x:f>
        <x:v>Palo Alto Networks, Inc.</x:v>
      </x:c>
      <x:c r="D20" s="268" t="str">
        <x:f>'Certified Allocation'!D20</x:f>
        <x:v>Equity</x:v>
      </x:c>
      <x:c r="E20" s="268" t="str">
        <x:f>'Certified Allocation'!E20</x:f>
        <x:v>Cybersecurity infrastructure leader</x:v>
      </x:c>
      <x:c r="F20" s="295" t="str">
        <x:v>Infrastructure Enabler</x:v>
      </x:c>
      <x:c r="G20" s="295" t="str">
        <x:v>Primary</x:v>
      </x:c>
      <x:c r="H20" s="295" t="str">
        <x:v>Core</x:v>
      </x:c>
      <x:c r="I20" s="295" t="str">
        <x:v>Certified Baseline</x:v>
      </x:c>
      <x:c r="J20" s="295" t="str">
        <x:v>5+ years</x:v>
      </x:c>
      <x:c r="K20" s="295" t="str">
        <x:v>Not Assessed</x:v>
      </x:c>
      <x:c r="L20" s="296"/>
      <x:c r="M20" s="295" t="str">
        <x:v>Retain — Certified Baseline</x:v>
      </x:c>
      <x:c r="N20" s="271"/>
      <x:c r="O20" s="269" t="str">
        <x:f>IF(F20="","ROLE REQUIRED",IF(I20="Review","EVIDENCE REVIEW",IF(M20="Replacement Candidate","COMMITTEE REVIEW","PASS")))</x:f>
        <x:v>PASS</x:v>
      </x:c>
    </x:row>
    <x:row r="21" ht="25" customHeight="1">
      <x:c r="A21" s="268" t="str">
        <x:f>'Certified Allocation'!A21</x:f>
        <x:v>Digital Infrastructure &amp; AI</x:v>
      </x:c>
      <x:c r="B21" s="268" t="str">
        <x:f>'Certified Allocation'!B21</x:f>
        <x:v>AMAT</x:v>
      </x:c>
      <x:c r="C21" s="268" t="str">
        <x:f>'Certified Allocation'!C21</x:f>
        <x:v>Applied Materials, Inc.</x:v>
      </x:c>
      <x:c r="D21" s="268" t="str">
        <x:f>'Certified Allocation'!D21</x:f>
        <x:v>Equity</x:v>
      </x:c>
      <x:c r="E21" s="268" t="str">
        <x:f>'Certified Allocation'!E21</x:f>
        <x:v>Semiconductor equipment enabler</x:v>
      </x:c>
      <x:c r="F21" s="295" t="str">
        <x:v>Infrastructure Enabler</x:v>
      </x:c>
      <x:c r="G21" s="295" t="str">
        <x:v>Primary</x:v>
      </x:c>
      <x:c r="H21" s="295" t="str">
        <x:v>Core</x:v>
      </x:c>
      <x:c r="I21" s="295" t="str">
        <x:v>Certified Baseline</x:v>
      </x:c>
      <x:c r="J21" s="295" t="str">
        <x:v>5+ years</x:v>
      </x:c>
      <x:c r="K21" s="295" t="str">
        <x:v>Not Assessed</x:v>
      </x:c>
      <x:c r="L21" s="296"/>
      <x:c r="M21" s="295" t="str">
        <x:v>Retain — Certified Baseline</x:v>
      </x:c>
      <x:c r="N21" s="271"/>
      <x:c r="O21" s="269" t="str">
        <x:f>IF(F21="","ROLE REQUIRED",IF(I21="Review","EVIDENCE REVIEW",IF(M21="Replacement Candidate","COMMITTEE REVIEW","PASS")))</x:f>
        <x:v>PASS</x:v>
      </x:c>
    </x:row>
    <x:row r="22" ht="25" customHeight="1">
      <x:c r="A22" s="268" t="str">
        <x:f>'Certified Allocation'!A22</x:f>
        <x:v>Digital Infrastructure &amp; AI</x:v>
      </x:c>
      <x:c r="B22" s="268" t="str">
        <x:f>'Certified Allocation'!B22</x:f>
        <x:v>CSCO</x:v>
      </x:c>
      <x:c r="C22" s="268" t="str">
        <x:f>'Certified Allocation'!C22</x:f>
        <x:v>Cisco Systems, Inc.</x:v>
      </x:c>
      <x:c r="D22" s="268" t="str">
        <x:f>'Certified Allocation'!D22</x:f>
        <x:v>Equity</x:v>
      </x:c>
      <x:c r="E22" s="268" t="str">
        <x:f>'Certified Allocation'!E22</x:f>
        <x:v>Enterprise networking and secure infrastructure</x:v>
      </x:c>
      <x:c r="F22" s="295" t="str">
        <x:v>Infrastructure Enabler</x:v>
      </x:c>
      <x:c r="G22" s="295" t="str">
        <x:v>Primary</x:v>
      </x:c>
      <x:c r="H22" s="295" t="str">
        <x:v>Core</x:v>
      </x:c>
      <x:c r="I22" s="295" t="str">
        <x:v>Certified Baseline</x:v>
      </x:c>
      <x:c r="J22" s="295" t="str">
        <x:v>5+ years</x:v>
      </x:c>
      <x:c r="K22" s="295" t="str">
        <x:v>Not Assessed</x:v>
      </x:c>
      <x:c r="L22" s="296"/>
      <x:c r="M22" s="295" t="str">
        <x:v>Retain — Certified Baseline</x:v>
      </x:c>
      <x:c r="N22" s="271"/>
      <x:c r="O22" s="269" t="str">
        <x:f>IF(F22="","ROLE REQUIRED",IF(I22="Review","EVIDENCE REVIEW",IF(M22="Replacement Candidate","COMMITTEE REVIEW","PASS")))</x:f>
        <x:v>PASS</x:v>
      </x:c>
    </x:row>
    <x:row r="23" ht="25" customHeight="1">
      <x:c r="A23" s="268" t="str">
        <x:f>'Certified Allocation'!A23</x:f>
        <x:v>Digital Infrastructure &amp; AI</x:v>
      </x:c>
      <x:c r="B23" s="268" t="str">
        <x:f>'Certified Allocation'!B23</x:f>
        <x:v>KLAC</x:v>
      </x:c>
      <x:c r="C23" s="268" t="str">
        <x:f>'Certified Allocation'!C23</x:f>
        <x:v>KLA Corporation</x:v>
      </x:c>
      <x:c r="D23" s="268" t="str">
        <x:f>'Certified Allocation'!D23</x:f>
        <x:v>Equity</x:v>
      </x:c>
      <x:c r="E23" s="268" t="str">
        <x:f>'Certified Allocation'!E23</x:f>
        <x:v>Semiconductor process-control enabler</x:v>
      </x:c>
      <x:c r="F23" s="295" t="str">
        <x:v>Infrastructure Enabler</x:v>
      </x:c>
      <x:c r="G23" s="295" t="str">
        <x:v>Primary</x:v>
      </x:c>
      <x:c r="H23" s="295" t="str">
        <x:v>Core</x:v>
      </x:c>
      <x:c r="I23" s="295" t="str">
        <x:v>Certified Baseline</x:v>
      </x:c>
      <x:c r="J23" s="295" t="str">
        <x:v>5+ years</x:v>
      </x:c>
      <x:c r="K23" s="295" t="str">
        <x:v>Not Assessed</x:v>
      </x:c>
      <x:c r="L23" s="296"/>
      <x:c r="M23" s="295" t="str">
        <x:v>Retain — Certified Baseline</x:v>
      </x:c>
      <x:c r="N23" s="271"/>
      <x:c r="O23" s="269" t="str">
        <x:f>IF(F23="","ROLE REQUIRED",IF(I23="Review","EVIDENCE REVIEW",IF(M23="Replacement Candidate","COMMITTEE REVIEW","PASS")))</x:f>
        <x:v>PASS</x:v>
      </x:c>
    </x:row>
    <x:row r="24" ht="25" customHeight="1">
      <x:c r="A24" s="268" t="str">
        <x:f>'Certified Allocation'!A24</x:f>
        <x:v>Digital Infrastructure &amp; AI</x:v>
      </x:c>
      <x:c r="B24" s="268" t="str">
        <x:f>'Certified Allocation'!B24</x:f>
        <x:v>MU</x:v>
      </x:c>
      <x:c r="C24" s="268" t="str">
        <x:f>'Certified Allocation'!C24</x:f>
        <x:v>Micron Technology, Inc.</x:v>
      </x:c>
      <x:c r="D24" s="268" t="str">
        <x:f>'Certified Allocation'!D24</x:f>
        <x:v>Equity</x:v>
      </x:c>
      <x:c r="E24" s="268" t="str">
        <x:f>'Certified Allocation'!E24</x:f>
        <x:v>Memory and AI data-cycle enabler</x:v>
      </x:c>
      <x:c r="F24" s="295" t="str">
        <x:v>Infrastructure Enabler</x:v>
      </x:c>
      <x:c r="G24" s="295" t="str">
        <x:v>Primary</x:v>
      </x:c>
      <x:c r="H24" s="295" t="str">
        <x:v>Core</x:v>
      </x:c>
      <x:c r="I24" s="295" t="str">
        <x:v>Certified Baseline</x:v>
      </x:c>
      <x:c r="J24" s="295" t="str">
        <x:v>5+ years</x:v>
      </x:c>
      <x:c r="K24" s="295" t="str">
        <x:v>Not Assessed</x:v>
      </x:c>
      <x:c r="L24" s="296"/>
      <x:c r="M24" s="295" t="str">
        <x:v>Retain — Certified Baseline</x:v>
      </x:c>
      <x:c r="N24" s="271"/>
      <x:c r="O24" s="269" t="str">
        <x:f>IF(F24="","ROLE REQUIRED",IF(I24="Review","EVIDENCE REVIEW",IF(M24="Replacement Candidate","COMMITTEE REVIEW","PASS")))</x:f>
        <x:v>PASS</x:v>
      </x:c>
    </x:row>
    <x:row r="25" ht="25" customHeight="1">
      <x:c r="A25" s="268" t="str">
        <x:f>'Certified Allocation'!A25</x:f>
        <x:v>Digital Infrastructure &amp; AI</x:v>
      </x:c>
      <x:c r="B25" s="268" t="str">
        <x:f>'Certified Allocation'!B25</x:f>
        <x:v>ORCL</x:v>
      </x:c>
      <x:c r="C25" s="268" t="str">
        <x:f>'Certified Allocation'!C25</x:f>
        <x:v>Oracle Corporation</x:v>
      </x:c>
      <x:c r="D25" s="268" t="str">
        <x:f>'Certified Allocation'!D25</x:f>
        <x:v>Equity</x:v>
      </x:c>
      <x:c r="E25" s="268" t="str">
        <x:f>'Certified Allocation'!E25</x:f>
        <x:v>Enterprise cloud and database platform</x:v>
      </x:c>
      <x:c r="F25" s="295" t="str">
        <x:v>Infrastructure Enabler</x:v>
      </x:c>
      <x:c r="G25" s="295" t="str">
        <x:v>Primary</x:v>
      </x:c>
      <x:c r="H25" s="295" t="str">
        <x:v>Core</x:v>
      </x:c>
      <x:c r="I25" s="295" t="str">
        <x:v>Certified Baseline</x:v>
      </x:c>
      <x:c r="J25" s="295" t="str">
        <x:v>5+ years</x:v>
      </x:c>
      <x:c r="K25" s="295" t="str">
        <x:v>Not Assessed</x:v>
      </x:c>
      <x:c r="L25" s="296"/>
      <x:c r="M25" s="295" t="str">
        <x:v>Retain — Certified Baseline</x:v>
      </x:c>
      <x:c r="N25" s="271"/>
      <x:c r="O25" s="269" t="str">
        <x:f>IF(F25="","ROLE REQUIRED",IF(I25="Review","EVIDENCE REVIEW",IF(M25="Replacement Candidate","COMMITTEE REVIEW","PASS")))</x:f>
        <x:v>PASS</x:v>
      </x:c>
    </x:row>
    <x:row r="26" ht="25" customHeight="1">
      <x:c r="A26" s="268" t="str">
        <x:f>'Certified Allocation'!A26</x:f>
        <x:v>Digital Infrastructure &amp; AI</x:v>
      </x:c>
      <x:c r="B26" s="268" t="str">
        <x:f>'Certified Allocation'!B26</x:f>
        <x:v>TXN</x:v>
      </x:c>
      <x:c r="C26" s="268" t="str">
        <x:f>'Certified Allocation'!C26</x:f>
        <x:v>Texas Instruments Incorporated</x:v>
      </x:c>
      <x:c r="D26" s="268" t="str">
        <x:f>'Certified Allocation'!D26</x:f>
        <x:v>Equity</x:v>
      </x:c>
      <x:c r="E26" s="268" t="str">
        <x:f>'Certified Allocation'!E26</x:f>
        <x:v>Analog semiconductor infrastructure</x:v>
      </x:c>
      <x:c r="F26" s="295" t="str">
        <x:v>Infrastructure Enabler</x:v>
      </x:c>
      <x:c r="G26" s="295" t="str">
        <x:v>Primary</x:v>
      </x:c>
      <x:c r="H26" s="295" t="str">
        <x:v>Core</x:v>
      </x:c>
      <x:c r="I26" s="295" t="str">
        <x:v>Certified Baseline</x:v>
      </x:c>
      <x:c r="J26" s="295" t="str">
        <x:v>5+ years</x:v>
      </x:c>
      <x:c r="K26" s="295" t="str">
        <x:v>Not Assessed</x:v>
      </x:c>
      <x:c r="L26" s="296"/>
      <x:c r="M26" s="295" t="str">
        <x:v>Retain — Certified Baseline</x:v>
      </x:c>
      <x:c r="N26" s="271"/>
      <x:c r="O26" s="269" t="str">
        <x:f>IF(F26="","ROLE REQUIRED",IF(I26="Review","EVIDENCE REVIEW",IF(M26="Replacement Candidate","COMMITTEE REVIEW","PASS")))</x:f>
        <x:v>PASS</x:v>
      </x:c>
    </x:row>
    <x:row r="27" ht="25" customHeight="1">
      <x:c r="A27" s="268" t="str">
        <x:f>'Certified Allocation'!A27</x:f>
        <x:v>Digital Infrastructure &amp; AI</x:v>
      </x:c>
      <x:c r="B27" s="268" t="str">
        <x:f>'Certified Allocation'!B27</x:f>
        <x:v>VRT</x:v>
      </x:c>
      <x:c r="C27" s="268" t="str">
        <x:f>'Certified Allocation'!C27</x:f>
        <x:v>Vertiv Holdings Co.</x:v>
      </x:c>
      <x:c r="D27" s="268" t="str">
        <x:f>'Certified Allocation'!D27</x:f>
        <x:v>Equity</x:v>
      </x:c>
      <x:c r="E27" s="268" t="str">
        <x:f>'Certified Allocation'!E27</x:f>
        <x:v>Critical data-center infrastructure</x:v>
      </x:c>
      <x:c r="F27" s="295" t="str">
        <x:v>Infrastructure Enabler</x:v>
      </x:c>
      <x:c r="G27" s="295" t="str">
        <x:v>Primary</x:v>
      </x:c>
      <x:c r="H27" s="295" t="str">
        <x:v>Core</x:v>
      </x:c>
      <x:c r="I27" s="295" t="str">
        <x:v>Certified Baseline</x:v>
      </x:c>
      <x:c r="J27" s="295" t="str">
        <x:v>5+ years</x:v>
      </x:c>
      <x:c r="K27" s="295" t="str">
        <x:v>Not Assessed</x:v>
      </x:c>
      <x:c r="L27" s="296"/>
      <x:c r="M27" s="295" t="str">
        <x:v>Retain — Certified Baseline</x:v>
      </x:c>
      <x:c r="N27" s="271"/>
      <x:c r="O27" s="269" t="str">
        <x:f>IF(F27="","ROLE REQUIRED",IF(I27="Review","EVIDENCE REVIEW",IF(M27="Replacement Candidate","COMMITTEE REVIEW","PASS")))</x:f>
        <x:v>PASS</x:v>
      </x:c>
    </x:row>
    <x:row r="28" ht="25" customHeight="1">
      <x:c r="A28" s="268" t="str">
        <x:f>'Certified Allocation'!A28</x:f>
        <x:v>Industrials &amp; Infrastructure</x:v>
      </x:c>
      <x:c r="B28" s="268" t="str">
        <x:f>'Certified Allocation'!B28</x:f>
        <x:v>DHR</x:v>
      </x:c>
      <x:c r="C28" s="268" t="str">
        <x:f>'Certified Allocation'!C28</x:f>
        <x:v>Danaher Corporation</x:v>
      </x:c>
      <x:c r="D28" s="268" t="str">
        <x:f>'Certified Allocation'!D28</x:f>
        <x:v>Equity</x:v>
      </x:c>
      <x:c r="E28" s="268" t="str">
        <x:f>'Certified Allocation'!E28</x:f>
        <x:v>Life-science tools and industrial quality</x:v>
      </x:c>
      <x:c r="F28" s="295" t="str">
        <x:v>Infrastructure Enabler</x:v>
      </x:c>
      <x:c r="G28" s="295" t="str">
        <x:v>Primary</x:v>
      </x:c>
      <x:c r="H28" s="295" t="str">
        <x:v>Core</x:v>
      </x:c>
      <x:c r="I28" s="295" t="str">
        <x:v>Certified Baseline</x:v>
      </x:c>
      <x:c r="J28" s="295" t="str">
        <x:v>5+ years</x:v>
      </x:c>
      <x:c r="K28" s="295" t="str">
        <x:v>Not Assessed</x:v>
      </x:c>
      <x:c r="L28" s="296"/>
      <x:c r="M28" s="295" t="str">
        <x:v>Retain — Certified Baseline</x:v>
      </x:c>
      <x:c r="N28" s="271"/>
      <x:c r="O28" s="269" t="str">
        <x:f>IF(F28="","ROLE REQUIRED",IF(I28="Review","EVIDENCE REVIEW",IF(M28="Replacement Candidate","COMMITTEE REVIEW","PASS")))</x:f>
        <x:v>PASS</x:v>
      </x:c>
    </x:row>
    <x:row r="29" ht="25" customHeight="1">
      <x:c r="A29" s="268" t="str">
        <x:f>'Certified Allocation'!A29</x:f>
        <x:v>Industrials &amp; Infrastructure</x:v>
      </x:c>
      <x:c r="B29" s="268" t="str">
        <x:f>'Certified Allocation'!B29</x:f>
        <x:v>RTX</x:v>
      </x:c>
      <x:c r="C29" s="268" t="str">
        <x:f>'Certified Allocation'!C29</x:f>
        <x:v>RTX Corporation</x:v>
      </x:c>
      <x:c r="D29" s="268" t="str">
        <x:f>'Certified Allocation'!D29</x:f>
        <x:v>Equity</x:v>
      </x:c>
      <x:c r="E29" s="268" t="str">
        <x:f>'Certified Allocation'!E29</x:f>
        <x:v>Aerospace and defense systems leader</x:v>
      </x:c>
      <x:c r="F29" s="295" t="str">
        <x:v>Infrastructure Enabler</x:v>
      </x:c>
      <x:c r="G29" s="295" t="str">
        <x:v>Primary</x:v>
      </x:c>
      <x:c r="H29" s="295" t="str">
        <x:v>Core</x:v>
      </x:c>
      <x:c r="I29" s="295" t="str">
        <x:v>Certified Baseline</x:v>
      </x:c>
      <x:c r="J29" s="295" t="str">
        <x:v>5+ years</x:v>
      </x:c>
      <x:c r="K29" s="295" t="str">
        <x:v>Not Assessed</x:v>
      </x:c>
      <x:c r="L29" s="296"/>
      <x:c r="M29" s="295" t="str">
        <x:v>Retain — Certified Baseline</x:v>
      </x:c>
      <x:c r="N29" s="271"/>
      <x:c r="O29" s="269" t="str">
        <x:f>IF(F29="","ROLE REQUIRED",IF(I29="Review","EVIDENCE REVIEW",IF(M29="Replacement Candidate","COMMITTEE REVIEW","PASS")))</x:f>
        <x:v>PASS</x:v>
      </x:c>
    </x:row>
    <x:row r="30" ht="25" customHeight="1">
      <x:c r="A30" s="268" t="str">
        <x:f>'Certified Allocation'!A30</x:f>
        <x:v>Industrials &amp; Infrastructure</x:v>
      </x:c>
      <x:c r="B30" s="268" t="str">
        <x:f>'Certified Allocation'!B30</x:f>
        <x:v>DE</x:v>
      </x:c>
      <x:c r="C30" s="268" t="str">
        <x:f>'Certified Allocation'!C30</x:f>
        <x:v>Deere &amp; Company</x:v>
      </x:c>
      <x:c r="D30" s="268" t="str">
        <x:f>'Certified Allocation'!D30</x:f>
        <x:v>Equity</x:v>
      </x:c>
      <x:c r="E30" s="268" t="str">
        <x:f>'Certified Allocation'!E30</x:f>
        <x:v>Precision agriculture and equipment leader</x:v>
      </x:c>
      <x:c r="F30" s="295" t="str">
        <x:v>Infrastructure Enabler</x:v>
      </x:c>
      <x:c r="G30" s="295" t="str">
        <x:v>Primary</x:v>
      </x:c>
      <x:c r="H30" s="295" t="str">
        <x:v>Core</x:v>
      </x:c>
      <x:c r="I30" s="295" t="str">
        <x:v>Certified Baseline</x:v>
      </x:c>
      <x:c r="J30" s="295" t="str">
        <x:v>5+ years</x:v>
      </x:c>
      <x:c r="K30" s="295" t="str">
        <x:v>Not Assessed</x:v>
      </x:c>
      <x:c r="L30" s="296"/>
      <x:c r="M30" s="295" t="str">
        <x:v>Retain — Certified Baseline</x:v>
      </x:c>
      <x:c r="N30" s="271"/>
      <x:c r="O30" s="269" t="str">
        <x:f>IF(F30="","ROLE REQUIRED",IF(I30="Review","EVIDENCE REVIEW",IF(M30="Replacement Candidate","COMMITTEE REVIEW","PASS")))</x:f>
        <x:v>PASS</x:v>
      </x:c>
    </x:row>
    <x:row r="31" ht="25" customHeight="1">
      <x:c r="A31" s="268" t="str">
        <x:f>'Certified Allocation'!A31</x:f>
        <x:v>Industrials &amp; Infrastructure</x:v>
      </x:c>
      <x:c r="B31" s="268" t="str">
        <x:f>'Certified Allocation'!B31</x:f>
        <x:v>CAT</x:v>
      </x:c>
      <x:c r="C31" s="268" t="str">
        <x:f>'Certified Allocation'!C31</x:f>
        <x:v>Caterpillar Inc.</x:v>
      </x:c>
      <x:c r="D31" s="268" t="str">
        <x:f>'Certified Allocation'!D31</x:f>
        <x:v>Equity</x:v>
      </x:c>
      <x:c r="E31" s="268" t="str">
        <x:f>'Certified Allocation'!E31</x:f>
        <x:v>Heavy equipment and infrastructure leader</x:v>
      </x:c>
      <x:c r="F31" s="295" t="str">
        <x:v>Infrastructure Enabler</x:v>
      </x:c>
      <x:c r="G31" s="295" t="str">
        <x:v>Primary</x:v>
      </x:c>
      <x:c r="H31" s="295" t="str">
        <x:v>Core</x:v>
      </x:c>
      <x:c r="I31" s="295" t="str">
        <x:v>Certified Baseline</x:v>
      </x:c>
      <x:c r="J31" s="295" t="str">
        <x:v>5+ years</x:v>
      </x:c>
      <x:c r="K31" s="295" t="str">
        <x:v>Not Assessed</x:v>
      </x:c>
      <x:c r="L31" s="296"/>
      <x:c r="M31" s="295" t="str">
        <x:v>Retain — Certified Baseline</x:v>
      </x:c>
      <x:c r="N31" s="271"/>
      <x:c r="O31" s="269" t="str">
        <x:f>IF(F31="","ROLE REQUIRED",IF(I31="Review","EVIDENCE REVIEW",IF(M31="Replacement Candidate","COMMITTEE REVIEW","PASS")))</x:f>
        <x:v>PASS</x:v>
      </x:c>
    </x:row>
    <x:row r="32" ht="25" customHeight="1">
      <x:c r="A32" s="268" t="str">
        <x:f>'Certified Allocation'!A32</x:f>
        <x:v>Industrials &amp; Infrastructure</x:v>
      </x:c>
      <x:c r="B32" s="268" t="str">
        <x:f>'Certified Allocation'!B32</x:f>
        <x:v>ETN</x:v>
      </x:c>
      <x:c r="C32" s="268" t="str">
        <x:f>'Certified Allocation'!C32</x:f>
        <x:v>Eaton Corporation plc</x:v>
      </x:c>
      <x:c r="D32" s="268" t="str">
        <x:f>'Certified Allocation'!D32</x:f>
        <x:v>Equity</x:v>
      </x:c>
      <x:c r="E32" s="268" t="str">
        <x:f>'Certified Allocation'!E32</x:f>
        <x:v>Electrification and power-management leader</x:v>
      </x:c>
      <x:c r="F32" s="295" t="str">
        <x:v>Infrastructure Enabler</x:v>
      </x:c>
      <x:c r="G32" s="295" t="str">
        <x:v>Primary</x:v>
      </x:c>
      <x:c r="H32" s="295" t="str">
        <x:v>Core</x:v>
      </x:c>
      <x:c r="I32" s="295" t="str">
        <x:v>Certified Baseline</x:v>
      </x:c>
      <x:c r="J32" s="295" t="str">
        <x:v>5+ years</x:v>
      </x:c>
      <x:c r="K32" s="295" t="str">
        <x:v>Not Assessed</x:v>
      </x:c>
      <x:c r="L32" s="296"/>
      <x:c r="M32" s="295" t="str">
        <x:v>Retain — Certified Baseline</x:v>
      </x:c>
      <x:c r="N32" s="271"/>
      <x:c r="O32" s="269" t="str">
        <x:f>IF(F32="","ROLE REQUIRED",IF(I32="Review","EVIDENCE REVIEW",IF(M32="Replacement Candidate","COMMITTEE REVIEW","PASS")))</x:f>
        <x:v>PASS</x:v>
      </x:c>
    </x:row>
    <x:row r="33" ht="25" customHeight="1">
      <x:c r="A33" s="268" t="str">
        <x:f>'Certified Allocation'!A33</x:f>
        <x:v>Industrials &amp; Infrastructure</x:v>
      </x:c>
      <x:c r="B33" s="268" t="str">
        <x:f>'Certified Allocation'!B33</x:f>
        <x:v>GE</x:v>
      </x:c>
      <x:c r="C33" s="268" t="str">
        <x:f>'Certified Allocation'!C33</x:f>
        <x:v>GE Aerospace</x:v>
      </x:c>
      <x:c r="D33" s="268" t="str">
        <x:f>'Certified Allocation'!D33</x:f>
        <x:v>Equity</x:v>
      </x:c>
      <x:c r="E33" s="268" t="str">
        <x:f>'Certified Allocation'!E33</x:f>
        <x:v>Aerospace propulsion leader</x:v>
      </x:c>
      <x:c r="F33" s="295" t="str">
        <x:v>Infrastructure Enabler</x:v>
      </x:c>
      <x:c r="G33" s="295" t="str">
        <x:v>Primary</x:v>
      </x:c>
      <x:c r="H33" s="295" t="str">
        <x:v>Core</x:v>
      </x:c>
      <x:c r="I33" s="295" t="str">
        <x:v>Certified Baseline</x:v>
      </x:c>
      <x:c r="J33" s="295" t="str">
        <x:v>5+ years</x:v>
      </x:c>
      <x:c r="K33" s="295" t="str">
        <x:v>Not Assessed</x:v>
      </x:c>
      <x:c r="L33" s="296"/>
      <x:c r="M33" s="295" t="str">
        <x:v>Retain — Certified Baseline</x:v>
      </x:c>
      <x:c r="N33" s="271"/>
      <x:c r="O33" s="269" t="str">
        <x:f>IF(F33="","ROLE REQUIRED",IF(I33="Review","EVIDENCE REVIEW",IF(M33="Replacement Candidate","COMMITTEE REVIEW","PASS")))</x:f>
        <x:v>PASS</x:v>
      </x:c>
    </x:row>
    <x:row r="34" ht="25" customHeight="1">
      <x:c r="A34" s="268" t="str">
        <x:f>'Certified Allocation'!A34</x:f>
        <x:v>Industrials &amp; Infrastructure</x:v>
      </x:c>
      <x:c r="B34" s="268" t="str">
        <x:f>'Certified Allocation'!B34</x:f>
        <x:v>PH</x:v>
      </x:c>
      <x:c r="C34" s="268" t="str">
        <x:f>'Certified Allocation'!C34</x:f>
        <x:v>Parker-Hannifin Corporation</x:v>
      </x:c>
      <x:c r="D34" s="268" t="str">
        <x:f>'Certified Allocation'!D34</x:f>
        <x:v>Equity</x:v>
      </x:c>
      <x:c r="E34" s="268" t="str">
        <x:f>'Certified Allocation'!E34</x:f>
        <x:v>Motion and control systems leader</x:v>
      </x:c>
      <x:c r="F34" s="295" t="str">
        <x:v>Infrastructure Enabler</x:v>
      </x:c>
      <x:c r="G34" s="295" t="str">
        <x:v>Primary</x:v>
      </x:c>
      <x:c r="H34" s="295" t="str">
        <x:v>Core</x:v>
      </x:c>
      <x:c r="I34" s="295" t="str">
        <x:v>Certified Baseline</x:v>
      </x:c>
      <x:c r="J34" s="295" t="str">
        <x:v>5+ years</x:v>
      </x:c>
      <x:c r="K34" s="295" t="str">
        <x:v>Not Assessed</x:v>
      </x:c>
      <x:c r="L34" s="296"/>
      <x:c r="M34" s="295" t="str">
        <x:v>Retain — Certified Baseline</x:v>
      </x:c>
      <x:c r="N34" s="271"/>
      <x:c r="O34" s="269" t="str">
        <x:f>IF(F34="","ROLE REQUIRED",IF(I34="Review","EVIDENCE REVIEW",IF(M34="Replacement Candidate","COMMITTEE REVIEW","PASS")))</x:f>
        <x:v>PASS</x:v>
      </x:c>
    </x:row>
    <x:row r="35" ht="25" customHeight="1">
      <x:c r="A35" s="268" t="str">
        <x:f>'Certified Allocation'!A35</x:f>
        <x:v>Industrials &amp; Infrastructure</x:v>
      </x:c>
      <x:c r="B35" s="268" t="str">
        <x:f>'Certified Allocation'!B35</x:f>
        <x:v>TT</x:v>
      </x:c>
      <x:c r="C35" s="268" t="str">
        <x:f>'Certified Allocation'!C35</x:f>
        <x:v>Trane Technologies plc</x:v>
      </x:c>
      <x:c r="D35" s="268" t="str">
        <x:f>'Certified Allocation'!D35</x:f>
        <x:v>Equity</x:v>
      </x:c>
      <x:c r="E35" s="268" t="str">
        <x:f>'Certified Allocation'!E35</x:f>
        <x:v>Climate and building efficiency leader</x:v>
      </x:c>
      <x:c r="F35" s="295" t="str">
        <x:v>Infrastructure Enabler</x:v>
      </x:c>
      <x:c r="G35" s="295" t="str">
        <x:v>Primary</x:v>
      </x:c>
      <x:c r="H35" s="295" t="str">
        <x:v>Core</x:v>
      </x:c>
      <x:c r="I35" s="295" t="str">
        <x:v>Certified Baseline</x:v>
      </x:c>
      <x:c r="J35" s="295" t="str">
        <x:v>5+ years</x:v>
      </x:c>
      <x:c r="K35" s="295" t="str">
        <x:v>Not Assessed</x:v>
      </x:c>
      <x:c r="L35" s="296"/>
      <x:c r="M35" s="295" t="str">
        <x:v>Retain — Certified Baseline</x:v>
      </x:c>
      <x:c r="N35" s="271"/>
      <x:c r="O35" s="269" t="str">
        <x:f>IF(F35="","ROLE REQUIRED",IF(I35="Review","EVIDENCE REVIEW",IF(M35="Replacement Candidate","COMMITTEE REVIEW","PASS")))</x:f>
        <x:v>PASS</x:v>
      </x:c>
    </x:row>
    <x:row r="36" ht="25" customHeight="1">
      <x:c r="A36" s="268" t="str">
        <x:f>'Certified Allocation'!A36</x:f>
        <x:v>Industrials &amp; Infrastructure</x:v>
      </x:c>
      <x:c r="B36" s="268" t="str">
        <x:f>'Certified Allocation'!B36</x:f>
        <x:v>UNP</x:v>
      </x:c>
      <x:c r="C36" s="268" t="str">
        <x:f>'Certified Allocation'!C36</x:f>
        <x:v>Union Pacific Corporation</x:v>
      </x:c>
      <x:c r="D36" s="268" t="str">
        <x:f>'Certified Allocation'!D36</x:f>
        <x:v>Equity</x:v>
      </x:c>
      <x:c r="E36" s="268" t="str">
        <x:f>'Certified Allocation'!E36</x:f>
        <x:v>Freight rail infrastructure</x:v>
      </x:c>
      <x:c r="F36" s="295" t="str">
        <x:v>Infrastructure Enabler</x:v>
      </x:c>
      <x:c r="G36" s="295" t="str">
        <x:v>Primary</x:v>
      </x:c>
      <x:c r="H36" s="295" t="str">
        <x:v>Core</x:v>
      </x:c>
      <x:c r="I36" s="295" t="str">
        <x:v>Certified Baseline</x:v>
      </x:c>
      <x:c r="J36" s="295" t="str">
        <x:v>5+ years</x:v>
      </x:c>
      <x:c r="K36" s="295" t="str">
        <x:v>Not Assessed</x:v>
      </x:c>
      <x:c r="L36" s="296"/>
      <x:c r="M36" s="295" t="str">
        <x:v>Retain — Certified Baseline</x:v>
      </x:c>
      <x:c r="N36" s="271"/>
      <x:c r="O36" s="269" t="str">
        <x:f>IF(F36="","ROLE REQUIRED",IF(I36="Review","EVIDENCE REVIEW",IF(M36="Replacement Candidate","COMMITTEE REVIEW","PASS")))</x:f>
        <x:v>PASS</x:v>
      </x:c>
    </x:row>
    <x:row r="37" ht="25" customHeight="1">
      <x:c r="A37" s="268" t="str">
        <x:f>'Certified Allocation'!A37</x:f>
        <x:v>Financial Infrastructure</x:v>
      </x:c>
      <x:c r="B37" s="268" t="str">
        <x:f>'Certified Allocation'!B37</x:f>
        <x:v>CME</x:v>
      </x:c>
      <x:c r="C37" s="268" t="str">
        <x:f>'Certified Allocation'!C37</x:f>
        <x:v>CME Group Inc.</x:v>
      </x:c>
      <x:c r="D37" s="268" t="str">
        <x:f>'Certified Allocation'!D37</x:f>
        <x:v>Equity</x:v>
      </x:c>
      <x:c r="E37" s="268" t="str">
        <x:f>'Certified Allocation'!E37</x:f>
        <x:v>Market infrastructure and derivatives exchange</x:v>
      </x:c>
      <x:c r="F37" s="295" t="str">
        <x:v>Quality Financial</x:v>
      </x:c>
      <x:c r="G37" s="295" t="str">
        <x:v>Primary</x:v>
      </x:c>
      <x:c r="H37" s="295" t="str">
        <x:v>Core</x:v>
      </x:c>
      <x:c r="I37" s="295" t="str">
        <x:v>Certified Baseline</x:v>
      </x:c>
      <x:c r="J37" s="295" t="str">
        <x:v>5+ years</x:v>
      </x:c>
      <x:c r="K37" s="295" t="str">
        <x:v>Not Assessed</x:v>
      </x:c>
      <x:c r="L37" s="296"/>
      <x:c r="M37" s="295" t="str">
        <x:v>Retain — Certified Baseline</x:v>
      </x:c>
      <x:c r="N37" s="271"/>
      <x:c r="O37" s="269" t="str">
        <x:f>IF(F37="","ROLE REQUIRED",IF(I37="Review","EVIDENCE REVIEW",IF(M37="Replacement Candidate","COMMITTEE REVIEW","PASS")))</x:f>
        <x:v>PASS</x:v>
      </x:c>
    </x:row>
    <x:row r="38" ht="25" customHeight="1">
      <x:c r="A38" s="268" t="str">
        <x:f>'Certified Allocation'!A38</x:f>
        <x:v>Financial Infrastructure</x:v>
      </x:c>
      <x:c r="B38" s="268" t="str">
        <x:f>'Certified Allocation'!B38</x:f>
        <x:v>MMC</x:v>
      </x:c>
      <x:c r="C38" s="268" t="str">
        <x:f>'Certified Allocation'!C38</x:f>
        <x:v>Marsh &amp; McLennan Companies, Inc.</x:v>
      </x:c>
      <x:c r="D38" s="268" t="str">
        <x:f>'Certified Allocation'!D38</x:f>
        <x:v>Equity</x:v>
      </x:c>
      <x:c r="E38" s="268" t="str">
        <x:f>'Certified Allocation'!E38</x:f>
        <x:v>Risk, insurance and advisory infrastructure</x:v>
      </x:c>
      <x:c r="F38" s="295" t="str">
        <x:v>Quality Financial</x:v>
      </x:c>
      <x:c r="G38" s="295" t="str">
        <x:v>Primary</x:v>
      </x:c>
      <x:c r="H38" s="295" t="str">
        <x:v>Core</x:v>
      </x:c>
      <x:c r="I38" s="295" t="str">
        <x:v>Certified Baseline</x:v>
      </x:c>
      <x:c r="J38" s="295" t="str">
        <x:v>5+ years</x:v>
      </x:c>
      <x:c r="K38" s="295" t="str">
        <x:v>Not Assessed</x:v>
      </x:c>
      <x:c r="L38" s="296"/>
      <x:c r="M38" s="295" t="str">
        <x:v>Retain — Certified Baseline</x:v>
      </x:c>
      <x:c r="N38" s="271"/>
      <x:c r="O38" s="269" t="str">
        <x:f>IF(F38="","ROLE REQUIRED",IF(I38="Review","EVIDENCE REVIEW",IF(M38="Replacement Candidate","COMMITTEE REVIEW","PASS")))</x:f>
        <x:v>PASS</x:v>
      </x:c>
    </x:row>
    <x:row r="39" ht="25" customHeight="1">
      <x:c r="A39" s="268" t="str">
        <x:f>'Certified Allocation'!A39</x:f>
        <x:v>Financial Infrastructure</x:v>
      </x:c>
      <x:c r="B39" s="268" t="str">
        <x:f>'Certified Allocation'!B39</x:f>
        <x:v>GS</x:v>
      </x:c>
      <x:c r="C39" s="268" t="str">
        <x:f>'Certified Allocation'!C39</x:f>
        <x:v>The Goldman Sachs Group, Inc.</x:v>
      </x:c>
      <x:c r="D39" s="268" t="str">
        <x:f>'Certified Allocation'!D39</x:f>
        <x:v>Equity</x:v>
      </x:c>
      <x:c r="E39" s="268" t="str">
        <x:f>'Certified Allocation'!E39</x:f>
        <x:v>Investment banking and capital markets</x:v>
      </x:c>
      <x:c r="F39" s="295" t="str">
        <x:v>Quality Financial</x:v>
      </x:c>
      <x:c r="G39" s="295" t="str">
        <x:v>Primary</x:v>
      </x:c>
      <x:c r="H39" s="295" t="str">
        <x:v>Core</x:v>
      </x:c>
      <x:c r="I39" s="295" t="str">
        <x:v>Certified Baseline</x:v>
      </x:c>
      <x:c r="J39" s="295" t="str">
        <x:v>5+ years</x:v>
      </x:c>
      <x:c r="K39" s="295" t="str">
        <x:v>Not Assessed</x:v>
      </x:c>
      <x:c r="L39" s="296"/>
      <x:c r="M39" s="295" t="str">
        <x:v>Retain — Certified Baseline</x:v>
      </x:c>
      <x:c r="N39" s="271"/>
      <x:c r="O39" s="269" t="str">
        <x:f>IF(F39="","ROLE REQUIRED",IF(I39="Review","EVIDENCE REVIEW",IF(M39="Replacement Candidate","COMMITTEE REVIEW","PASS")))</x:f>
        <x:v>PASS</x:v>
      </x:c>
    </x:row>
    <x:row r="40" ht="25" customHeight="1">
      <x:c r="A40" s="268" t="str">
        <x:f>'Certified Allocation'!A40</x:f>
        <x:v>Financial Infrastructure</x:v>
      </x:c>
      <x:c r="B40" s="268" t="str">
        <x:f>'Certified Allocation'!B40</x:f>
        <x:v>JPM</x:v>
      </x:c>
      <x:c r="C40" s="268" t="str">
        <x:f>'Certified Allocation'!C40</x:f>
        <x:v>JPMorgan Chase &amp; Co.</x:v>
      </x:c>
      <x:c r="D40" s="268" t="str">
        <x:f>'Certified Allocation'!D40</x:f>
        <x:v>Equity</x:v>
      </x:c>
      <x:c r="E40" s="268" t="str">
        <x:f>'Certified Allocation'!E40</x:f>
        <x:v>Diversified banking and capital markets anchor</x:v>
      </x:c>
      <x:c r="F40" s="295" t="str">
        <x:v>Quality Financial</x:v>
      </x:c>
      <x:c r="G40" s="295" t="str">
        <x:v>Primary</x:v>
      </x:c>
      <x:c r="H40" s="295" t="str">
        <x:v>Core</x:v>
      </x:c>
      <x:c r="I40" s="295" t="str">
        <x:v>Certified Baseline</x:v>
      </x:c>
      <x:c r="J40" s="295" t="str">
        <x:v>5+ years</x:v>
      </x:c>
      <x:c r="K40" s="295" t="str">
        <x:v>Not Assessed</x:v>
      </x:c>
      <x:c r="L40" s="296"/>
      <x:c r="M40" s="295" t="str">
        <x:v>Retain — Certified Baseline</x:v>
      </x:c>
      <x:c r="N40" s="271"/>
      <x:c r="O40" s="269" t="str">
        <x:f>IF(F40="","ROLE REQUIRED",IF(I40="Review","EVIDENCE REVIEW",IF(M40="Replacement Candidate","COMMITTEE REVIEW","PASS")))</x:f>
        <x:v>PASS</x:v>
      </x:c>
    </x:row>
    <x:row r="41" ht="25" customHeight="1">
      <x:c r="A41" s="268" t="str">
        <x:f>'Certified Allocation'!A41</x:f>
        <x:v>Financial Infrastructure</x:v>
      </x:c>
      <x:c r="B41" s="268" t="str">
        <x:f>'Certified Allocation'!B41</x:f>
        <x:v>VFH</x:v>
      </x:c>
      <x:c r="C41" s="268" t="str">
        <x:f>'Certified Allocation'!C41</x:f>
        <x:v>Vanguard Financials ETF</x:v>
      </x:c>
      <x:c r="D41" s="268" t="str">
        <x:f>'Certified Allocation'!D41</x:f>
        <x:v>ETF</x:v>
      </x:c>
      <x:c r="E41" s="268" t="str">
        <x:f>'Certified Allocation'!E41</x:f>
        <x:v>Diversified financial-sector implementation ETF</x:v>
      </x:c>
      <x:c r="F41" s="295" t="str">
        <x:v>Quality Financial</x:v>
      </x:c>
      <x:c r="G41" s="295" t="str">
        <x:v>Implementation</x:v>
      </x:c>
      <x:c r="H41" s="295" t="str">
        <x:v>Satellite / Implementation</x:v>
      </x:c>
      <x:c r="I41" s="295" t="str">
        <x:v>Certified Baseline</x:v>
      </x:c>
      <x:c r="J41" s="295" t="str">
        <x:v>3–5 years</x:v>
      </x:c>
      <x:c r="K41" s="295" t="str">
        <x:v>Not Assessed</x:v>
      </x:c>
      <x:c r="L41" s="296"/>
      <x:c r="M41" s="295" t="str">
        <x:v>Retain — Certified Baseline</x:v>
      </x:c>
      <x:c r="N41" s="271"/>
      <x:c r="O41" s="269" t="str">
        <x:f>IF(F41="","ROLE REQUIRED",IF(I41="Review","EVIDENCE REVIEW",IF(M41="Replacement Candidate","COMMITTEE REVIEW","PASS")))</x:f>
        <x:v>PASS</x:v>
      </x:c>
    </x:row>
    <x:row r="42" ht="25" customHeight="1">
      <x:c r="A42" s="268" t="str">
        <x:f>'Certified Allocation'!A42</x:f>
        <x:v>Healthcare Leadership</x:v>
      </x:c>
      <x:c r="B42" s="268" t="str">
        <x:f>'Certified Allocation'!B42</x:f>
        <x:v>VHT</x:v>
      </x:c>
      <x:c r="C42" s="268" t="str">
        <x:f>'Certified Allocation'!C42</x:f>
        <x:v>Vanguard Health Care ETF</x:v>
      </x:c>
      <x:c r="D42" s="268" t="str">
        <x:f>'Certified Allocation'!D42</x:f>
        <x:v>ETF</x:v>
      </x:c>
      <x:c r="E42" s="268" t="str">
        <x:f>'Certified Allocation'!E42</x:f>
        <x:v>Diversified healthcare implementation ETF</x:v>
      </x:c>
      <x:c r="F42" s="295" t="str">
        <x:v>Defensive Healthcare</x:v>
      </x:c>
      <x:c r="G42" s="295" t="str">
        <x:v>Implementation</x:v>
      </x:c>
      <x:c r="H42" s="295" t="str">
        <x:v>Satellite / Implementation</x:v>
      </x:c>
      <x:c r="I42" s="295" t="str">
        <x:v>Certified Baseline</x:v>
      </x:c>
      <x:c r="J42" s="295" t="str">
        <x:v>3–5 years</x:v>
      </x:c>
      <x:c r="K42" s="295" t="str">
        <x:v>Not Assessed</x:v>
      </x:c>
      <x:c r="L42" s="296"/>
      <x:c r="M42" s="295" t="str">
        <x:v>Retain — Certified Baseline</x:v>
      </x:c>
      <x:c r="N42" s="271"/>
      <x:c r="O42" s="269" t="str">
        <x:f>IF(F42="","ROLE REQUIRED",IF(I42="Review","EVIDENCE REVIEW",IF(M42="Replacement Candidate","COMMITTEE REVIEW","PASS")))</x:f>
        <x:v>PASS</x:v>
      </x:c>
    </x:row>
    <x:row r="43" ht="25" customHeight="1">
      <x:c r="A43" s="268" t="str">
        <x:f>'Certified Allocation'!A43</x:f>
        <x:v>Healthcare Leadership</x:v>
      </x:c>
      <x:c r="B43" s="268" t="str">
        <x:f>'Certified Allocation'!B43</x:f>
        <x:v>SYK</x:v>
      </x:c>
      <x:c r="C43" s="268" t="str">
        <x:f>'Certified Allocation'!C43</x:f>
        <x:v>Stryker Corporation</x:v>
      </x:c>
      <x:c r="D43" s="268" t="str">
        <x:f>'Certified Allocation'!D43</x:f>
        <x:v>Equity</x:v>
      </x:c>
      <x:c r="E43" s="268" t="str">
        <x:f>'Certified Allocation'!E43</x:f>
        <x:v>Medical technology leader</x:v>
      </x:c>
      <x:c r="F43" s="295" t="str">
        <x:v>Defensive Healthcare</x:v>
      </x:c>
      <x:c r="G43" s="295" t="str">
        <x:v>Primary</x:v>
      </x:c>
      <x:c r="H43" s="295" t="str">
        <x:v>Core</x:v>
      </x:c>
      <x:c r="I43" s="295" t="str">
        <x:v>Certified Baseline</x:v>
      </x:c>
      <x:c r="J43" s="295" t="str">
        <x:v>5+ years</x:v>
      </x:c>
      <x:c r="K43" s="295" t="str">
        <x:v>Not Assessed</x:v>
      </x:c>
      <x:c r="L43" s="296"/>
      <x:c r="M43" s="295" t="str">
        <x:v>Retain — Certified Baseline</x:v>
      </x:c>
      <x:c r="N43" s="271"/>
      <x:c r="O43" s="269" t="str">
        <x:f>IF(F43="","ROLE REQUIRED",IF(I43="Review","EVIDENCE REVIEW",IF(M43="Replacement Candidate","COMMITTEE REVIEW","PASS")))</x:f>
        <x:v>PASS</x:v>
      </x:c>
    </x:row>
    <x:row r="44" ht="25" customHeight="1">
      <x:c r="A44" s="268" t="str">
        <x:f>'Certified Allocation'!A44</x:f>
        <x:v>Energy &amp; Natural Resources</x:v>
      </x:c>
      <x:c r="B44" s="268" t="str">
        <x:f>'Certified Allocation'!B44</x:f>
        <x:v>LNG</x:v>
      </x:c>
      <x:c r="C44" s="268" t="str">
        <x:f>'Certified Allocation'!C44</x:f>
        <x:v>Cheniere Energy, Inc.</x:v>
      </x:c>
      <x:c r="D44" s="268" t="str">
        <x:f>'Certified Allocation'!D44</x:f>
        <x:v>Equity</x:v>
      </x:c>
      <x:c r="E44" s="268" t="str">
        <x:f>'Certified Allocation'!E44</x:f>
        <x:v>LNG export infrastructure</x:v>
      </x:c>
      <x:c r="F44" s="295" t="str">
        <x:v>Resource Exposure</x:v>
      </x:c>
      <x:c r="G44" s="295" t="str">
        <x:v>Primary</x:v>
      </x:c>
      <x:c r="H44" s="295" t="str">
        <x:v>Core</x:v>
      </x:c>
      <x:c r="I44" s="295" t="str">
        <x:v>Certified Baseline</x:v>
      </x:c>
      <x:c r="J44" s="295" t="str">
        <x:v>5+ years</x:v>
      </x:c>
      <x:c r="K44" s="295" t="str">
        <x:v>Not Assessed</x:v>
      </x:c>
      <x:c r="L44" s="296"/>
      <x:c r="M44" s="295" t="str">
        <x:v>Retain — Certified Baseline</x:v>
      </x:c>
      <x:c r="N44" s="271"/>
      <x:c r="O44" s="269" t="str">
        <x:f>IF(F44="","ROLE REQUIRED",IF(I44="Review","EVIDENCE REVIEW",IF(M44="Replacement Candidate","COMMITTEE REVIEW","PASS")))</x:f>
        <x:v>PASS</x:v>
      </x:c>
    </x:row>
    <x:row r="45" ht="25" customHeight="1">
      <x:c r="A45" s="268" t="str">
        <x:f>'Certified Allocation'!A45</x:f>
        <x:v>Energy &amp; Natural Resources</x:v>
      </x:c>
      <x:c r="B45" s="268" t="str">
        <x:f>'Certified Allocation'!B45</x:f>
        <x:v>VPU</x:v>
      </x:c>
      <x:c r="C45" s="268" t="str">
        <x:f>'Certified Allocation'!C45</x:f>
        <x:v>Vanguard Utilities ETF</x:v>
      </x:c>
      <x:c r="D45" s="268" t="str">
        <x:f>'Certified Allocation'!D45</x:f>
        <x:v>ETF</x:v>
      </x:c>
      <x:c r="E45" s="268" t="str">
        <x:f>'Certified Allocation'!E45</x:f>
        <x:v>Utilities and defensive infrastructure ETF</x:v>
      </x:c>
      <x:c r="F45" s="295" t="str">
        <x:v>Diversifier</x:v>
      </x:c>
      <x:c r="G45" s="295" t="str">
        <x:v>Implementation</x:v>
      </x:c>
      <x:c r="H45" s="295" t="str">
        <x:v>Satellite / Implementation</x:v>
      </x:c>
      <x:c r="I45" s="295" t="str">
        <x:v>Certified Baseline</x:v>
      </x:c>
      <x:c r="J45" s="295" t="str">
        <x:v>3–5 years</x:v>
      </x:c>
      <x:c r="K45" s="295" t="str">
        <x:v>Not Assessed</x:v>
      </x:c>
      <x:c r="L45" s="296"/>
      <x:c r="M45" s="295" t="str">
        <x:v>Retain — Certified Baseline</x:v>
      </x:c>
      <x:c r="N45" s="271"/>
      <x:c r="O45" s="269" t="str">
        <x:f>IF(F45="","ROLE REQUIRED",IF(I45="Review","EVIDENCE REVIEW",IF(M45="Replacement Candidate","COMMITTEE REVIEW","PASS")))</x:f>
        <x:v>PASS</x:v>
      </x:c>
    </x:row>
    <x:row r="46" ht="25" customHeight="1">
      <x:c r="A46" s="268" t="str">
        <x:f>'Certified Allocation'!A46</x:f>
        <x:v>Energy &amp; Natural Resources</x:v>
      </x:c>
      <x:c r="B46" s="268" t="str">
        <x:f>'Certified Allocation'!B46</x:f>
        <x:v>XOM</x:v>
      </x:c>
      <x:c r="C46" s="268" t="str">
        <x:f>'Certified Allocation'!C46</x:f>
        <x:v>Exxon Mobil Corporation</x:v>
      </x:c>
      <x:c r="D46" s="268" t="str">
        <x:f>'Certified Allocation'!D46</x:f>
        <x:v>Equity</x:v>
      </x:c>
      <x:c r="E46" s="268" t="str">
        <x:f>'Certified Allocation'!E46</x:f>
        <x:v>Integrated energy leader</x:v>
      </x:c>
      <x:c r="F46" s="295" t="str">
        <x:v>Resource Exposure</x:v>
      </x:c>
      <x:c r="G46" s="295" t="str">
        <x:v>Primary</x:v>
      </x:c>
      <x:c r="H46" s="295" t="str">
        <x:v>Core</x:v>
      </x:c>
      <x:c r="I46" s="295" t="str">
        <x:v>Certified Baseline</x:v>
      </x:c>
      <x:c r="J46" s="295" t="str">
        <x:v>5+ years</x:v>
      </x:c>
      <x:c r="K46" s="295" t="str">
        <x:v>Not Assessed</x:v>
      </x:c>
      <x:c r="L46" s="296"/>
      <x:c r="M46" s="295" t="str">
        <x:v>Retain — Certified Baseline</x:v>
      </x:c>
      <x:c r="N46" s="271"/>
      <x:c r="O46" s="269" t="str">
        <x:f>IF(F46="","ROLE REQUIRED",IF(I46="Review","EVIDENCE REVIEW",IF(M46="Replacement Candidate","COMMITTEE REVIEW","PASS")))</x:f>
        <x:v>PASS</x:v>
      </x:c>
    </x:row>
    <x:row r="47" ht="25" customHeight="1">
      <x:c r="A47" s="268" t="str">
        <x:f>'Certified Allocation'!A47</x:f>
        <x:v>Energy &amp; Natural Resources</x:v>
      </x:c>
      <x:c r="B47" s="268" t="str">
        <x:f>'Certified Allocation'!B47</x:f>
        <x:v>CVX</x:v>
      </x:c>
      <x:c r="C47" s="268" t="str">
        <x:f>'Certified Allocation'!C47</x:f>
        <x:v>Chevron Corporation</x:v>
      </x:c>
      <x:c r="D47" s="268" t="str">
        <x:f>'Certified Allocation'!D47</x:f>
        <x:v>Equity</x:v>
      </x:c>
      <x:c r="E47" s="268" t="str">
        <x:f>'Certified Allocation'!E47</x:f>
        <x:v>Integrated energy leader</x:v>
      </x:c>
      <x:c r="F47" s="295" t="str">
        <x:v>Resource Exposure</x:v>
      </x:c>
      <x:c r="G47" s="295" t="str">
        <x:v>Primary</x:v>
      </x:c>
      <x:c r="H47" s="295" t="str">
        <x:v>Core</x:v>
      </x:c>
      <x:c r="I47" s="295" t="str">
        <x:v>Certified Baseline</x:v>
      </x:c>
      <x:c r="J47" s="295" t="str">
        <x:v>5+ years</x:v>
      </x:c>
      <x:c r="K47" s="295" t="str">
        <x:v>Not Assessed</x:v>
      </x:c>
      <x:c r="L47" s="296"/>
      <x:c r="M47" s="295" t="str">
        <x:v>Retain — Certified Baseline</x:v>
      </x:c>
      <x:c r="N47" s="271"/>
      <x:c r="O47" s="269" t="str">
        <x:f>IF(F47="","ROLE REQUIRED",IF(I47="Review","EVIDENCE REVIEW",IF(M47="Replacement Candidate","COMMITTEE REVIEW","PASS")))</x:f>
        <x:v>PASS</x:v>
      </x:c>
    </x:row>
    <x:row r="48" ht="25" customHeight="1">
      <x:c r="A48" s="268" t="str">
        <x:f>'Certified Allocation'!A48</x:f>
        <x:v>Energy &amp; Natural Resources</x:v>
      </x:c>
      <x:c r="B48" s="268" t="str">
        <x:f>'Certified Allocation'!B48</x:f>
        <x:v>VDE</x:v>
      </x:c>
      <x:c r="C48" s="268" t="str">
        <x:f>'Certified Allocation'!C48</x:f>
        <x:v>Vanguard Energy ETF</x:v>
      </x:c>
      <x:c r="D48" s="268" t="str">
        <x:f>'Certified Allocation'!D48</x:f>
        <x:v>ETF</x:v>
      </x:c>
      <x:c r="E48" s="268" t="str">
        <x:f>'Certified Allocation'!E48</x:f>
        <x:v>Diversified energy implementation ETF</x:v>
      </x:c>
      <x:c r="F48" s="295" t="str">
        <x:v>Resource Exposure</x:v>
      </x:c>
      <x:c r="G48" s="295" t="str">
        <x:v>Implementation</x:v>
      </x:c>
      <x:c r="H48" s="295" t="str">
        <x:v>Satellite / Implementation</x:v>
      </x:c>
      <x:c r="I48" s="295" t="str">
        <x:v>Certified Baseline</x:v>
      </x:c>
      <x:c r="J48" s="295" t="str">
        <x:v>3–5 years</x:v>
      </x:c>
      <x:c r="K48" s="295" t="str">
        <x:v>Not Assessed</x:v>
      </x:c>
      <x:c r="L48" s="296"/>
      <x:c r="M48" s="295" t="str">
        <x:v>Retain — Certified Baseline</x:v>
      </x:c>
      <x:c r="N48" s="271"/>
      <x:c r="O48" s="269" t="str">
        <x:f>IF(F48="","ROLE REQUIRED",IF(I48="Review","EVIDENCE REVIEW",IF(M48="Replacement Candidate","COMMITTEE REVIEW","PASS")))</x:f>
        <x:v>PASS</x:v>
      </x:c>
    </x:row>
    <x:row r="49" ht="25" customHeight="1">
      <x:c r="A49" s="268" t="str">
        <x:f>'Certified Allocation'!A49</x:f>
        <x:v>Income &amp; Risk Management</x:v>
      </x:c>
      <x:c r="B49" s="268" t="str">
        <x:f>'Certified Allocation'!B49</x:f>
        <x:v>JEPI</x:v>
      </x:c>
      <x:c r="C49" s="268" t="str">
        <x:f>'Certified Allocation'!C49</x:f>
        <x:v>JPMorgan Equity Premium Income ETF</x:v>
      </x:c>
      <x:c r="D49" s="268" t="str">
        <x:f>'Certified Allocation'!D49</x:f>
        <x:v>ETF</x:v>
      </x:c>
      <x:c r="E49" s="268" t="str">
        <x:f>'Certified Allocation'!E49</x:f>
        <x:v>Diversified equity income and volatility moderation</x:v>
      </x:c>
      <x:c r="F49" s="295" t="str">
        <x:v>Income Generator</x:v>
      </x:c>
      <x:c r="G49" s="295" t="str">
        <x:v>Implementation</x:v>
      </x:c>
      <x:c r="H49" s="295" t="str">
        <x:v>Satellite / Implementation</x:v>
      </x:c>
      <x:c r="I49" s="295" t="str">
        <x:v>Certified Baseline</x:v>
      </x:c>
      <x:c r="J49" s="295" t="str">
        <x:v>3–5 years</x:v>
      </x:c>
      <x:c r="K49" s="295" t="str">
        <x:v>Not Assessed</x:v>
      </x:c>
      <x:c r="L49" s="296"/>
      <x:c r="M49" s="295" t="str">
        <x:v>Retain — Certified Baseline</x:v>
      </x:c>
      <x:c r="N49" s="271"/>
      <x:c r="O49" s="269" t="str">
        <x:f>IF(F49="","ROLE REQUIRED",IF(I49="Review","EVIDENCE REVIEW",IF(M49="Replacement Candidate","COMMITTEE REVIEW","PASS")))</x:f>
        <x:v>PASS</x:v>
      </x:c>
    </x:row>
    <x:row r="50" ht="25" customHeight="1">
      <x:c r="A50" s="268" t="str">
        <x:f>'Certified Allocation'!A50</x:f>
        <x:v>Income &amp; Risk Management</x:v>
      </x:c>
      <x:c r="B50" s="268" t="str">
        <x:f>'Certified Allocation'!B50</x:f>
        <x:v>JEPQ</x:v>
      </x:c>
      <x:c r="C50" s="268" t="str">
        <x:f>'Certified Allocation'!C50</x:f>
        <x:v>JPMorgan Nasdaq Equity Premium Income ETF</x:v>
      </x:c>
      <x:c r="D50" s="268" t="str">
        <x:f>'Certified Allocation'!D50</x:f>
        <x:v>ETF</x:v>
      </x:c>
      <x:c r="E50" s="268" t="str">
        <x:f>'Certified Allocation'!E50</x:f>
        <x:v>Technology equity income implementation</x:v>
      </x:c>
      <x:c r="F50" s="295" t="str">
        <x:v>Income Generator</x:v>
      </x:c>
      <x:c r="G50" s="295" t="str">
        <x:v>Implementation</x:v>
      </x:c>
      <x:c r="H50" s="295" t="str">
        <x:v>Satellite / Implementation</x:v>
      </x:c>
      <x:c r="I50" s="295" t="str">
        <x:v>Certified Baseline</x:v>
      </x:c>
      <x:c r="J50" s="295" t="str">
        <x:v>3–5 years</x:v>
      </x:c>
      <x:c r="K50" s="295" t="str">
        <x:v>Not Assessed</x:v>
      </x:c>
      <x:c r="L50" s="296"/>
      <x:c r="M50" s="295" t="str">
        <x:v>Retain — Certified Baseline</x:v>
      </x:c>
      <x:c r="N50" s="271"/>
      <x:c r="O50" s="269" t="str">
        <x:f>IF(F50="","ROLE REQUIRED",IF(I50="Review","EVIDENCE REVIEW",IF(M50="Replacement Candidate","COMMITTEE REVIEW","PASS")))</x:f>
        <x:v>PASS</x:v>
      </x:c>
    </x:row>
    <x:row r="51" ht="25" customHeight="1">
      <x:c r="A51" s="268" t="str">
        <x:f>'Certified Allocation'!A51</x:f>
        <x:v>Income &amp; Risk Management</x:v>
      </x:c>
      <x:c r="B51" s="268" t="str">
        <x:f>'Certified Allocation'!B51</x:f>
        <x:v>PFF</x:v>
      </x:c>
      <x:c r="C51" s="268" t="str">
        <x:f>'Certified Allocation'!C51</x:f>
        <x:v>iShares Preferred and Income Securities ETF</x:v>
      </x:c>
      <x:c r="D51" s="268" t="str">
        <x:f>'Certified Allocation'!D51</x:f>
        <x:v>ETF</x:v>
      </x:c>
      <x:c r="E51" s="268" t="str">
        <x:f>'Certified Allocation'!E51</x:f>
        <x:v>Preferred securities income diversification</x:v>
      </x:c>
      <x:c r="F51" s="295" t="str">
        <x:v>Income Generator</x:v>
      </x:c>
      <x:c r="G51" s="295" t="str">
        <x:v>Implementation</x:v>
      </x:c>
      <x:c r="H51" s="295" t="str">
        <x:v>Satellite / Implementation</x:v>
      </x:c>
      <x:c r="I51" s="295" t="str">
        <x:v>Certified Baseline</x:v>
      </x:c>
      <x:c r="J51" s="295" t="str">
        <x:v>3–5 years</x:v>
      </x:c>
      <x:c r="K51" s="295" t="str">
        <x:v>Not Assessed</x:v>
      </x:c>
      <x:c r="L51" s="296"/>
      <x:c r="M51" s="295" t="str">
        <x:v>Retain — Certified Baseline</x:v>
      </x:c>
      <x:c r="N51" s="271"/>
      <x:c r="O51" s="269" t="str">
        <x:f>IF(F51="","ROLE REQUIRED",IF(I51="Review","EVIDENCE REVIEW",IF(M51="Replacement Candidate","COMMITTEE REVIEW","PASS")))</x:f>
        <x:v>PASS</x:v>
      </x:c>
    </x:row>
    <x:row r="52" ht="22" customHeight="1">
      <x:c r="A52" s="292" t="str">
        <x:v>ROLE CONTROL SUMMARY</x:v>
      </x:c>
      <x:c r="B52" s="292"/>
      <x:c r="C52" s="292"/>
      <x:c r="D52" s="292"/>
      <x:c r="E52" s="292"/>
      <x:c r="F52" s="292" t="n">
        <x:f>COUNTIF(O5:O51,"PASS")</x:f>
        <x:v>47</x:v>
      </x:c>
      <x:c r="G52" s="292" t="str">
        <x:v>Passed</x:v>
      </x:c>
      <x:c r="H52" s="292"/>
      <x:c r="I52" s="292" t="n">
        <x:f>COUNTIF(O5:O51,"&lt;&gt;PASS")</x:f>
        <x:v>0</x:v>
      </x:c>
      <x:c r="J52" s="292" t="str">
        <x:v>Review Items</x:v>
      </x:c>
      <x:c r="K52" s="292"/>
      <x:c r="L52" s="292"/>
      <x:c r="M52" s="292" t="n">
        <x:f>COUNTIF(M5:M51,"Replacement Candidate")</x:f>
        <x:v>0</x:v>
      </x:c>
      <x:c r="N52" s="292" t="str">
        <x:v>Replacement Candidates</x:v>
      </x:c>
      <x:c r="O52" s="292"/>
    </x:row>
  </x:sheetData>
  <x:mergeCells>
    <x:mergeCell ref="A1:O1"/>
    <x:mergeCell ref="A2:O2"/>
    <x:mergeCell ref="A3:O3"/>
    <x:mergeCell ref="A52:E52"/>
  </x:mergeCells>
  <x:conditionalFormatting sqref="O5:O51">
    <x:cfRule type="expression" dxfId="25" priority="1">
      <x:formula>OR(O5="PASS",O5="ACTIVE",O5="READY",O5="NO CHANGE",O5="BASELINE",O5="CERTIFIED",O5="ELIGIBLE",O5="NO DECISION")</x:formula>
    </x:cfRule>
    <x:cfRule type="expression" dxfId="26" priority="2">
      <x:formula>OR(ISNUMBER(SEARCH("REVIEW",O5)),ISNUMBER(SEARCH("MONITOR",O5)),ISNUMBER(SEARCH("PENDING",O5)),ISNUMBER(SEARCH("INPUT",O5)),ISNUMBER(SEARCH("ASSIGN",O5)),ISNUMBER(SEARCH("EXCEPTION",O5)),ISNUMBER(SEARCH("REQUIRED",O5)))</x:formula>
    </x:cfRule>
    <x:cfRule type="expression" dxfId="27" priority="3">
      <x:formula>OR(ISNUMBER(SEARCH("FAIL",O5)),ISNUMBER(SEARCH("PROHIBITED",O5)),ISNUMBER(SEARCH("IMPAIRED",O5)),ISNUMBER(SEARCH("REJECT",O5)))</x:formula>
    </x:cfRule>
  </x:conditionalFormatting>
  <x:dataValidations count="7">
    <x:dataValidation type="list" sqref="F5:F51">
      <x:formula1>"Constitutional Anchor,Core Compounder,Growth Engine,Infrastructure Enabler,Quality Financial,Defensive Healthcare,Resource Exposure,Income Generator,Volatility Moderator,Diversifier"</x:formula1>
    </x:dataValidation>
    <x:dataValidation type="list" sqref="G5:G51">
      <x:formula1>"Primary,Secondary,Implementation"</x:formula1>
    </x:dataValidation>
    <x:dataValidation type="list" sqref="H5:H51">
      <x:formula1>"Core,Satellite / Implementation,Exception,Review"</x:formula1>
    </x:dataValidation>
    <x:dataValidation type="list" sqref="I5:I51">
      <x:formula1>"Certified Baseline,Met,Not Met,Exception,Review"</x:formula1>
    </x:dataValidation>
    <x:dataValidation type="list" sqref="J5:J51">
      <x:formula1>"1–3 years,3–5 years,5+ years,Tactical / event driven"</x:formula1>
    </x:dataValidation>
    <x:dataValidation type="list" sqref="K5:K51">
      <x:formula1>"Low,Moderate,High,Not Assessed"</x:formula1>
    </x:dataValidation>
    <x:dataValidation type="list" sqref="M5:M51">
      <x:formula1>"Retain — Certified Baseline,Retain,Review,Replacement Candidate"</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4" hidden="0" customWidth="1"/>
    <x:col min="4" max="4" width="10" hidden="0" customWidth="1"/>
    <x:col min="5" max="5" width="28" hidden="0" customWidth="1"/>
    <x:col min="6" max="6" width="24" hidden="0" customWidth="1"/>
    <x:col min="7" max="7" width="24" hidden="0" customWidth="1"/>
    <x:col min="8" max="8" width="14" hidden="0" customWidth="1"/>
    <x:col min="9" max="9" width="16" hidden="0" customWidth="1"/>
    <x:col min="10" max="10" width="11" hidden="0" customWidth="1"/>
    <x:col min="11" max="11" width="10" hidden="0" customWidth="1"/>
    <x:col min="12" max="12" width="14" hidden="0" customWidth="1"/>
    <x:col min="13" max="13" width="13" hidden="0" customWidth="1"/>
    <x:col min="14" max="14" width="11" hidden="0" customWidth="1"/>
    <x:col min="15" max="15" width="11" hidden="0" customWidth="1"/>
    <x:col min="16" max="16" width="14" hidden="0" customWidth="1"/>
    <x:col min="17" max="17" width="12" hidden="0" customWidth="1"/>
    <x:col min="18" max="18" width="14" hidden="0" customWidth="1"/>
    <x:col min="19" max="19" width="13" hidden="0" customWidth="1"/>
    <x:col min="20" max="20" width="12" hidden="0" customWidth="1"/>
    <x:col min="21" max="21" width="23" hidden="0" customWidth="1"/>
    <x:col min="22" max="22" width="28" hidden="0" customWidth="1"/>
    <x:col min="23" max="23" width="20" hidden="0" customWidth="1"/>
    <x:col min="24" max="24" width="34" hidden="0" customWidth="1"/>
    <x:col min="25" max="25" width="26" hidden="0" customWidth="1"/>
  </x:cols>
  <x:sheetData>
    <x:row r="1" ht="28" customHeight="1">
      <x:c r="A1" s="247" t="str">
        <x:v>MOPS-002 / PEW-004 — SECURITY SELECTION &amp; CANDIDATE COMPARISON</x:v>
      </x:c>
      <x:c r="B1" s="247"/>
      <x:c r="C1" s="247"/>
      <x:c r="D1" s="247"/>
      <x:c r="E1" s="247"/>
      <x:c r="F1" s="247"/>
      <x:c r="G1" s="247"/>
      <x:c r="H1" s="247"/>
      <x:c r="I1" s="247"/>
      <x:c r="J1" s="247"/>
      <x:c r="K1" s="247"/>
      <x:c r="L1" s="247"/>
      <x:c r="M1" s="247"/>
      <x:c r="N1" s="247"/>
      <x:c r="O1" s="247"/>
      <x:c r="P1" s="247"/>
      <x:c r="Q1" s="247"/>
      <x:c r="R1" s="247"/>
      <x:c r="S1" s="247"/>
      <x:c r="T1" s="247"/>
      <x:c r="U1" s="247"/>
      <x:c r="V1" s="247"/>
      <x:c r="W1" s="247"/>
      <x:c r="X1" s="247"/>
      <x:c r="Y1" s="247"/>
    </x:row>
    <x:row r="2" ht="20" customHeight="1">
      <x:c r="A2" s="250" t="str">
        <x:v>Evidence-weighted incumbent / replacement analysis with controlled Zacks close-decision overlay and Merrill commonality exceptions</x:v>
      </x:c>
      <x:c r="B2" s="250"/>
      <x:c r="C2" s="250"/>
      <x:c r="D2" s="250"/>
      <x:c r="E2" s="250"/>
      <x:c r="F2" s="250"/>
      <x:c r="G2" s="250"/>
      <x:c r="H2" s="250"/>
      <x:c r="I2" s="250"/>
      <x:c r="J2" s="250"/>
      <x:c r="K2" s="250"/>
      <x:c r="L2" s="250"/>
      <x:c r="M2" s="250"/>
      <x:c r="N2" s="250"/>
      <x:c r="O2" s="250"/>
      <x:c r="P2" s="250"/>
      <x:c r="Q2" s="250"/>
      <x:c r="R2" s="250"/>
      <x:c r="S2" s="250"/>
      <x:c r="T2" s="250"/>
      <x:c r="U2" s="250"/>
      <x:c r="V2" s="250"/>
      <x:c r="W2" s="250"/>
      <x:c r="X2" s="250"/>
      <x:c r="Y2" s="250"/>
    </x:row>
    <x:row r="3" ht="18" customHeight="1">
      <x:c r="A3" s="254" t="str">
        <x:v>MIAR + MICS + Empirical Evidence + Portfolio Role Fit remain primary. Zacks overlay applies only to genuinely close decisions.</x:v>
      </x:c>
      <x:c r="B3" s="254"/>
      <x:c r="C3" s="254"/>
      <x:c r="D3" s="254"/>
      <x:c r="E3" s="254"/>
      <x:c r="F3" s="254"/>
      <x:c r="G3" s="254"/>
      <x:c r="H3" s="254"/>
      <x:c r="I3" s="254"/>
      <x:c r="J3" s="254"/>
      <x:c r="K3" s="254"/>
      <x:c r="L3" s="254"/>
      <x:c r="M3" s="254"/>
      <x:c r="N3" s="254"/>
      <x:c r="O3" s="254"/>
      <x:c r="P3" s="254"/>
      <x:c r="Q3" s="254"/>
      <x:c r="R3" s="254"/>
      <x:c r="S3" s="254"/>
      <x:c r="T3" s="254"/>
      <x:c r="U3" s="254"/>
      <x:c r="V3" s="254"/>
      <x:c r="W3" s="254"/>
      <x:c r="X3" s="254"/>
      <x:c r="Y3" s="254"/>
    </x:row>
    <x:row r="4" ht="20" customHeight="1">
      <x:c r="A4" s="264" t="str">
        <x:v>BASE MANIFEST SCORING WEIGHTS</x:v>
      </x:c>
      <x:c r="B4" s="264"/>
      <x:c r="D4" s="264" t="str">
        <x:v>CLOSE-DECISION / ELIGIBILITY CONTROLS</x:v>
      </x:c>
      <x:c r="E4" s="264"/>
      <x:c r="F4" s="264"/>
      <x:c r="H4" s="264" t="str">
        <x:v>OPERATING PRINCIPLE</x:v>
      </x:c>
      <x:c r="I4" s="264"/>
      <x:c r="J4" s="264"/>
      <x:c r="K4" s="264"/>
      <x:c r="L4" s="264"/>
      <x:c r="M4" s="264"/>
      <x:c r="N4" s="264"/>
      <x:c r="O4" s="264"/>
      <x:c r="P4" s="264"/>
      <x:c r="Q4" s="264"/>
      <x:c r="R4" s="264"/>
      <x:c r="S4" s="264"/>
      <x:c r="T4" s="264"/>
      <x:c r="U4" s="264"/>
      <x:c r="V4" s="264"/>
      <x:c r="W4" s="264"/>
      <x:c r="X4" s="264"/>
      <x:c r="Y4" s="264"/>
    </x:row>
    <x:row r="5">
      <x:c r="A5" s="261" t="str">
        <x:v>MICS Score</x:v>
      </x:c>
      <x:c r="B5" s="290" t="n">
        <x:v>0.25</x:v>
      </x:c>
      <x:c r="D5" s="280" t="str">
        <x:v>Close-decision score spread</x:v>
      </x:c>
      <x:c r="E5" s="261" t="str">
        <x:v>≤ 5 points</x:v>
      </x:c>
      <x:c r="F5" s="261" t="str">
        <x:v>Used to determine whether overlay is appropriate</x:v>
      </x:c>
      <x:c r="H5" s="306" t="str">
        <x:v>Candidate comparison is a controlled evidence record—not an automatic optimizer. A high score does not authorize selection. Each candidate must satisfy portfolio-role fit, research sufficiency, eligibility controls, funding logic and committee governance. Zacks #1/#2 receives a strong tie-breaking bias only after the primary Manifest evidence establishes a close decision. Merrill No Rating and sub-$50B market capitalization require a written exception rather than an unrecorded override.</x:v>
      </x:c>
      <x:c r="I5" s="306"/>
      <x:c r="J5" s="306"/>
      <x:c r="K5" s="306"/>
      <x:c r="L5" s="306"/>
      <x:c r="M5" s="306"/>
      <x:c r="N5" s="306"/>
      <x:c r="O5" s="306"/>
      <x:c r="P5" s="306"/>
      <x:c r="Q5" s="306"/>
      <x:c r="R5" s="306"/>
      <x:c r="S5" s="306"/>
      <x:c r="T5" s="306"/>
      <x:c r="U5" s="306"/>
      <x:c r="V5" s="306"/>
      <x:c r="W5" s="306"/>
      <x:c r="X5" s="306"/>
      <x:c r="Y5" s="306"/>
    </x:row>
    <x:row r="6">
      <x:c r="A6" s="261" t="str">
        <x:v>MIAR / Integrity Score</x:v>
      </x:c>
      <x:c r="B6" s="290" t="n">
        <x:v>0.2</x:v>
      </x:c>
      <x:c r="D6" s="280" t="str">
        <x:v>Zacks overlay weight</x:v>
      </x:c>
      <x:c r="E6" s="290" t="n">
        <x:v>0.8</x:v>
      </x:c>
      <x:c r="F6" s="261" t="str">
        <x:v>Applied only when Close Decision = Yes</x:v>
      </x:c>
      <x:c r="H6" s="306"/>
      <x:c r="I6" s="306"/>
      <x:c r="J6" s="306"/>
      <x:c r="K6" s="306"/>
      <x:c r="L6" s="306"/>
      <x:c r="M6" s="306"/>
      <x:c r="N6" s="306"/>
      <x:c r="O6" s="306"/>
      <x:c r="P6" s="306"/>
      <x:c r="Q6" s="306"/>
      <x:c r="R6" s="306"/>
      <x:c r="S6" s="306"/>
      <x:c r="T6" s="306"/>
      <x:c r="U6" s="306"/>
      <x:c r="V6" s="306"/>
      <x:c r="W6" s="306"/>
      <x:c r="X6" s="306"/>
      <x:c r="Y6" s="306"/>
    </x:row>
    <x:row r="7">
      <x:c r="A7" s="261" t="str">
        <x:v>Empirical Rank</x:v>
      </x:c>
      <x:c r="B7" s="290" t="n">
        <x:v>0.2</x:v>
      </x:c>
      <x:c r="D7" s="280" t="str">
        <x:v>Zacks-election market-cap preference ($B)</x:v>
      </x:c>
      <x:c r="E7" s="274" t="n">
        <x:v>50</x:v>
      </x:c>
      <x:c r="F7" s="261" t="str">
        <x:v>Sub-$50B requires documented exception</x:v>
      </x:c>
      <x:c r="H7" s="306"/>
      <x:c r="I7" s="306"/>
      <x:c r="J7" s="306"/>
      <x:c r="K7" s="306"/>
      <x:c r="L7" s="306"/>
      <x:c r="M7" s="306"/>
      <x:c r="N7" s="306"/>
      <x:c r="O7" s="306"/>
      <x:c r="P7" s="306"/>
      <x:c r="Q7" s="306"/>
      <x:c r="R7" s="306"/>
      <x:c r="S7" s="306"/>
      <x:c r="T7" s="306"/>
      <x:c r="U7" s="306"/>
      <x:c r="V7" s="306"/>
      <x:c r="W7" s="306"/>
      <x:c r="X7" s="306"/>
      <x:c r="Y7" s="306"/>
    </x:row>
    <x:row r="8">
      <x:c r="A8" s="261" t="str">
        <x:v>Portfolio Role Fit</x:v>
      </x:c>
      <x:c r="B8" s="290" t="n">
        <x:v>0.15</x:v>
      </x:c>
      <x:c r="D8" s="280" t="str">
        <x:v>Zacks Rank #1 / #2</x:v>
      </x:c>
      <x:c r="E8" s="261" t="str">
        <x:v>Favored</x:v>
      </x:c>
      <x:c r="F8" s="261" t="str">
        <x:v>Ranks #4 / #5 require exception review</x:v>
      </x:c>
      <x:c r="H8" s="306"/>
      <x:c r="I8" s="306"/>
      <x:c r="J8" s="306"/>
      <x:c r="K8" s="306"/>
      <x:c r="L8" s="306"/>
      <x:c r="M8" s="306"/>
      <x:c r="N8" s="306"/>
      <x:c r="O8" s="306"/>
      <x:c r="P8" s="306"/>
      <x:c r="Q8" s="306"/>
      <x:c r="R8" s="306"/>
      <x:c r="S8" s="306"/>
      <x:c r="T8" s="306"/>
      <x:c r="U8" s="306"/>
      <x:c r="V8" s="306"/>
      <x:c r="W8" s="306"/>
      <x:c r="X8" s="306"/>
      <x:c r="Y8" s="306"/>
    </x:row>
    <x:row r="9">
      <x:c r="A9" s="261" t="str">
        <x:v>Valuation</x:v>
      </x:c>
      <x:c r="B9" s="290" t="n">
        <x:v>0.1</x:v>
      </x:c>
      <x:c r="D9" s="280" t="str">
        <x:v>Merrill No Rating</x:v>
      </x:c>
      <x:c r="E9" s="261" t="str">
        <x:v>Document exception</x:v>
      </x:c>
      <x:c r="F9" s="261" t="str">
        <x:v>Not an automatic rejection where other evidence is compelling</x:v>
      </x:c>
      <x:c r="H9" s="306"/>
      <x:c r="I9" s="306"/>
      <x:c r="J9" s="306"/>
      <x:c r="K9" s="306"/>
      <x:c r="L9" s="306"/>
      <x:c r="M9" s="306"/>
      <x:c r="N9" s="306"/>
      <x:c r="O9" s="306"/>
      <x:c r="P9" s="306"/>
      <x:c r="Q9" s="306"/>
      <x:c r="R9" s="306"/>
      <x:c r="S9" s="306"/>
      <x:c r="T9" s="306"/>
      <x:c r="U9" s="306"/>
      <x:c r="V9" s="306"/>
      <x:c r="W9" s="306"/>
      <x:c r="X9" s="306"/>
      <x:c r="Y9" s="306"/>
    </x:row>
    <x:row r="10">
      <x:c r="A10" s="261" t="str">
        <x:v>Diversification Contribution</x:v>
      </x:c>
      <x:c r="B10" s="290" t="n">
        <x:v>0.1</x:v>
      </x:c>
      <x:c r="D10" s="280" t="str">
        <x:v>Automatic selection</x:v>
      </x:c>
      <x:c r="E10" s="261" t="str">
        <x:v>Prohibited</x:v>
      </x:c>
      <x:c r="F10" s="261" t="str">
        <x:v>Committee decision remains required</x:v>
      </x:c>
      <x:c r="H10" s="306"/>
      <x:c r="I10" s="306"/>
      <x:c r="J10" s="306"/>
      <x:c r="K10" s="306"/>
      <x:c r="L10" s="306"/>
      <x:c r="M10" s="306"/>
      <x:c r="N10" s="306"/>
      <x:c r="O10" s="306"/>
      <x:c r="P10" s="306"/>
      <x:c r="Q10" s="306"/>
      <x:c r="R10" s="306"/>
      <x:c r="S10" s="306"/>
      <x:c r="T10" s="306"/>
      <x:c r="U10" s="306"/>
      <x:c r="V10" s="306"/>
      <x:c r="W10" s="306"/>
      <x:c r="X10" s="306"/>
      <x:c r="Y10" s="306"/>
    </x:row>
    <x:row r="11">
      <x:c r="A11" s="299" t="str">
        <x:v>TOTAL</x:v>
      </x:c>
      <x:c r="B11" s="300" t="n">
        <x:f>SUM(B5:B10)</x:f>
        <x:v>1</x:v>
      </x:c>
    </x:row>
    <x:row r="12" ht="20" customHeight="1">
      <x:c r="A12" s="264" t="str">
        <x:v>CANDIDATE COMPARISON REGISTER — INPUT IN YELLOW CELLS</x:v>
      </x:c>
      <x:c r="B12" s="264"/>
      <x:c r="C12" s="264"/>
      <x:c r="D12" s="264"/>
      <x:c r="E12" s="264"/>
      <x:c r="F12" s="264"/>
      <x:c r="G12" s="264"/>
      <x:c r="H12" s="264"/>
      <x:c r="I12" s="264"/>
      <x:c r="J12" s="264"/>
      <x:c r="K12" s="264"/>
      <x:c r="L12" s="264"/>
      <x:c r="M12" s="264"/>
      <x:c r="N12" s="264"/>
      <x:c r="O12" s="264"/>
      <x:c r="P12" s="264"/>
      <x:c r="Q12" s="264"/>
      <x:c r="R12" s="264"/>
      <x:c r="S12" s="264"/>
      <x:c r="T12" s="264"/>
      <x:c r="U12" s="264"/>
      <x:c r="V12" s="264"/>
      <x:c r="W12" s="264"/>
      <x:c r="X12" s="264"/>
      <x:c r="Y12" s="264"/>
    </x:row>
    <x:row r="13" ht="30" customHeight="1">
      <x:c r="A13" s="267" t="str">
        <x:v>Candidate ID</x:v>
      </x:c>
      <x:c r="B13" s="267" t="str">
        <x:v>Comparison Group</x:v>
      </x:c>
      <x:c r="C13" s="267" t="str">
        <x:v>Candidate Type</x:v>
      </x:c>
      <x:c r="D13" s="267" t="str">
        <x:v>Symbol</x:v>
      </x:c>
      <x:c r="E13" s="267" t="str">
        <x:v>Security</x:v>
      </x:c>
      <x:c r="F13" s="267" t="str">
        <x:v>Proposed Sleeve</x:v>
      </x:c>
      <x:c r="G13" s="267" t="str">
        <x:v>Proposed Role</x:v>
      </x:c>
      <x:c r="H13" s="267" t="str">
        <x:v>Market Cap ($B)</x:v>
      </x:c>
      <x:c r="I13" s="267" t="str">
        <x:v>Merrill Status</x:v>
      </x:c>
      <x:c r="J13" s="267" t="str">
        <x:v>Zacks Rank</x:v>
      </x:c>
      <x:c r="K13" s="267" t="str">
        <x:v>MICS</x:v>
      </x:c>
      <x:c r="L13" s="267" t="str">
        <x:v>MIAR / Integrity</x:v>
      </x:c>
      <x:c r="M13" s="267" t="str">
        <x:v>Empirical Rank</x:v>
      </x:c>
      <x:c r="N13" s="267" t="str">
        <x:v>Role Fit</x:v>
      </x:c>
      <x:c r="O13" s="267" t="str">
        <x:v>Valuation</x:v>
      </x:c>
      <x:c r="P13" s="267" t="str">
        <x:v>Diversification</x:v>
      </x:c>
      <x:c r="Q13" s="267" t="str">
        <x:v>Base Score</x:v>
      </x:c>
      <x:c r="R13" s="267" t="str">
        <x:v>Close Decision?</x:v>
      </x:c>
      <x:c r="S13" s="267" t="str">
        <x:v>Zacks Overlay</x:v>
      </x:c>
      <x:c r="T13" s="267" t="str">
        <x:v>Final Score</x:v>
      </x:c>
      <x:c r="U13" s="267" t="str">
        <x:v>Eligibility Gate</x:v>
      </x:c>
      <x:c r="V13" s="267" t="str">
        <x:v>Recommended Action</x:v>
      </x:c>
      <x:c r="W13" s="267" t="str">
        <x:v>Committee Decision</x:v>
      </x:c>
      <x:c r="X13" s="267" t="str">
        <x:v>Evidence / Notes</x:v>
      </x:c>
      <x:c r="Y13" s="267" t="str">
        <x:v>Status</x:v>
      </x:c>
    </x:row>
    <x:row r="14" ht="28" customHeight="1">
      <x:c r="A14" s="269" t="str">
        <x:v>CAND-001</x:v>
      </x:c>
      <x:c r="B14" s="271"/>
      <x:c r="C14" s="271"/>
      <x:c r="D14" s="271"/>
      <x:c r="E14" s="271"/>
      <x:c r="F14" s="271"/>
      <x:c r="G14" s="271"/>
      <x:c r="H14" s="274"/>
      <x:c r="I14" s="271"/>
      <x:c r="J14" s="271"/>
      <x:c r="K14" s="274"/>
      <x:c r="L14" s="274"/>
      <x:c r="M14" s="274"/>
      <x:c r="N14" s="274"/>
      <x:c r="O14" s="274"/>
      <x:c r="P14" s="274"/>
      <x:c r="Q14" s="307" t="str">
        <x:f>IF(COUNTA(K14:P14)&lt;6,"",K14*$B$5+L14*$B$6+M14*$B$7+N14*$B$8+O14*$B$9+P14*$B$10)</x:f>
      </x:c>
      <x:c r="R14" s="274"/>
      <x:c r="S14" s="307" t="str">
        <x:f>IF(J14="","",IF(J14=1,100,IF(J14=2,85,IF(J14=3,60,IF(J14=4,25,0)))))</x:f>
      </x:c>
      <x:c r="T14" s="307" t="str">
        <x:f>IF(Q14="","",IF(R14="Yes",Q14*(1-$E$6)+S14*$E$6,Q14))</x:f>
      </x:c>
      <x:c r="U14" s="269" t="str">
        <x:f>IF(D14="","",IF(OR(H14="",I14="",J14="",COUNTA(K14:P14)&lt;6),"DATA MISSING",IF(AND(C14="Candidate",H14&lt;$E$7),"MARKET CAP EXCEPTION",IF(I14="No Rating","MERRILL EXCEPTION",IF(J14&gt;=4,"ZACKS EXCEPTION","ELIGIBLE")))))</x:f>
      </x:c>
      <x:c r="V14" s="269" t="str">
        <x:f>IF(D14="","",IF(Q14="","COMPLETE SCORING",IF(U14&lt;&gt;"ELIGIBLE","DOCUMENT / COMMITTEE EXCEPTION",IF(T14&gt;=85,"ADVANCE",IF(T14&gt;=75,"RETAIN ON SHORT LIST",IF(T14&gt;=65,"WATCH","REJECT / REPLACE"))))))</x:f>
      </x:c>
      <x:c r="W14" s="271"/>
      <x:c r="X14" s="271"/>
      <x:c r="Y14" s="269" t="str">
        <x:f>IF(D14="","Open Slot",IF(AND(W14&lt;&gt;"",W14&lt;&gt;"No Decision"),"Decision Recorded",IF(OR(V14="ADVANCE",ISNUMBER(SEARCH("EXCEPTION",V14))),"COMMITTEE DECISION REQUIRED","Under Review")))</x:f>
        <x:v>Open Slot</x:v>
      </x:c>
    </x:row>
    <x:row r="15" ht="28" customHeight="1">
      <x:c r="A15" s="269" t="str">
        <x:v>CAND-002</x:v>
      </x:c>
      <x:c r="B15" s="271"/>
      <x:c r="C15" s="271"/>
      <x:c r="D15" s="271"/>
      <x:c r="E15" s="271"/>
      <x:c r="F15" s="271"/>
      <x:c r="G15" s="271"/>
      <x:c r="H15" s="274"/>
      <x:c r="I15" s="271"/>
      <x:c r="J15" s="271"/>
      <x:c r="K15" s="274"/>
      <x:c r="L15" s="274"/>
      <x:c r="M15" s="274"/>
      <x:c r="N15" s="274"/>
      <x:c r="O15" s="274"/>
      <x:c r="P15" s="274"/>
      <x:c r="Q15" s="307" t="str">
        <x:f>IF(COUNTA(K15:P15)&lt;6,"",K15*$B$5+L15*$B$6+M15*$B$7+N15*$B$8+O15*$B$9+P15*$B$10)</x:f>
      </x:c>
      <x:c r="R15" s="274"/>
      <x:c r="S15" s="307" t="str">
        <x:f>IF(J15="","",IF(J15=1,100,IF(J15=2,85,IF(J15=3,60,IF(J15=4,25,0)))))</x:f>
      </x:c>
      <x:c r="T15" s="307" t="str">
        <x:f>IF(Q15="","",IF(R15="Yes",Q15*(1-$E$6)+S15*$E$6,Q15))</x:f>
      </x:c>
      <x:c r="U15" s="269" t="str">
        <x:f>IF(D15="","",IF(OR(H15="",I15="",J15="",COUNTA(K15:P15)&lt;6),"DATA MISSING",IF(AND(C15="Candidate",H15&lt;$E$7),"MARKET CAP EXCEPTION",IF(I15="No Rating","MERRILL EXCEPTION",IF(J15&gt;=4,"ZACKS EXCEPTION","ELIGIBLE")))))</x:f>
      </x:c>
      <x:c r="V15" s="269" t="str">
        <x:f>IF(D15="","",IF(Q15="","COMPLETE SCORING",IF(U15&lt;&gt;"ELIGIBLE","DOCUMENT / COMMITTEE EXCEPTION",IF(T15&gt;=85,"ADVANCE",IF(T15&gt;=75,"RETAIN ON SHORT LIST",IF(T15&gt;=65,"WATCH","REJECT / REPLACE"))))))</x:f>
      </x:c>
      <x:c r="W15" s="271"/>
      <x:c r="X15" s="271"/>
      <x:c r="Y15" s="269" t="str">
        <x:f>IF(D15="","Open Slot",IF(AND(W15&lt;&gt;"",W15&lt;&gt;"No Decision"),"Decision Recorded",IF(OR(V15="ADVANCE",ISNUMBER(SEARCH("EXCEPTION",V15))),"COMMITTEE DECISION REQUIRED","Under Review")))</x:f>
        <x:v>Open Slot</x:v>
      </x:c>
    </x:row>
    <x:row r="16" ht="28" customHeight="1">
      <x:c r="A16" s="269" t="str">
        <x:v>CAND-003</x:v>
      </x:c>
      <x:c r="B16" s="271"/>
      <x:c r="C16" s="271"/>
      <x:c r="D16" s="271"/>
      <x:c r="E16" s="271"/>
      <x:c r="F16" s="271"/>
      <x:c r="G16" s="271"/>
      <x:c r="H16" s="274"/>
      <x:c r="I16" s="271"/>
      <x:c r="J16" s="271"/>
      <x:c r="K16" s="274"/>
      <x:c r="L16" s="274"/>
      <x:c r="M16" s="274"/>
      <x:c r="N16" s="274"/>
      <x:c r="O16" s="274"/>
      <x:c r="P16" s="274"/>
      <x:c r="Q16" s="307" t="str">
        <x:f>IF(COUNTA(K16:P16)&lt;6,"",K16*$B$5+L16*$B$6+M16*$B$7+N16*$B$8+O16*$B$9+P16*$B$10)</x:f>
      </x:c>
      <x:c r="R16" s="274"/>
      <x:c r="S16" s="307" t="str">
        <x:f>IF(J16="","",IF(J16=1,100,IF(J16=2,85,IF(J16=3,60,IF(J16=4,25,0)))))</x:f>
      </x:c>
      <x:c r="T16" s="307" t="str">
        <x:f>IF(Q16="","",IF(R16="Yes",Q16*(1-$E$6)+S16*$E$6,Q16))</x:f>
      </x:c>
      <x:c r="U16" s="269" t="str">
        <x:f>IF(D16="","",IF(OR(H16="",I16="",J16="",COUNTA(K16:P16)&lt;6),"DATA MISSING",IF(AND(C16="Candidate",H16&lt;$E$7),"MARKET CAP EXCEPTION",IF(I16="No Rating","MERRILL EXCEPTION",IF(J16&gt;=4,"ZACKS EXCEPTION","ELIGIBLE")))))</x:f>
      </x:c>
      <x:c r="V16" s="269" t="str">
        <x:f>IF(D16="","",IF(Q16="","COMPLETE SCORING",IF(U16&lt;&gt;"ELIGIBLE","DOCUMENT / COMMITTEE EXCEPTION",IF(T16&gt;=85,"ADVANCE",IF(T16&gt;=75,"RETAIN ON SHORT LIST",IF(T16&gt;=65,"WATCH","REJECT / REPLACE"))))))</x:f>
      </x:c>
      <x:c r="W16" s="271"/>
      <x:c r="X16" s="271"/>
      <x:c r="Y16" s="269" t="str">
        <x:f>IF(D16="","Open Slot",IF(AND(W16&lt;&gt;"",W16&lt;&gt;"No Decision"),"Decision Recorded",IF(OR(V16="ADVANCE",ISNUMBER(SEARCH("EXCEPTION",V16))),"COMMITTEE DECISION REQUIRED","Under Review")))</x:f>
        <x:v>Open Slot</x:v>
      </x:c>
    </x:row>
    <x:row r="17" ht="28" customHeight="1">
      <x:c r="A17" s="269" t="str">
        <x:v>CAND-004</x:v>
      </x:c>
      <x:c r="B17" s="271"/>
      <x:c r="C17" s="271"/>
      <x:c r="D17" s="271"/>
      <x:c r="E17" s="271"/>
      <x:c r="F17" s="271"/>
      <x:c r="G17" s="271"/>
      <x:c r="H17" s="274"/>
      <x:c r="I17" s="271"/>
      <x:c r="J17" s="271"/>
      <x:c r="K17" s="274"/>
      <x:c r="L17" s="274"/>
      <x:c r="M17" s="274"/>
      <x:c r="N17" s="274"/>
      <x:c r="O17" s="274"/>
      <x:c r="P17" s="274"/>
      <x:c r="Q17" s="307" t="str">
        <x:f>IF(COUNTA(K17:P17)&lt;6,"",K17*$B$5+L17*$B$6+M17*$B$7+N17*$B$8+O17*$B$9+P17*$B$10)</x:f>
      </x:c>
      <x:c r="R17" s="274"/>
      <x:c r="S17" s="307" t="str">
        <x:f>IF(J17="","",IF(J17=1,100,IF(J17=2,85,IF(J17=3,60,IF(J17=4,25,0)))))</x:f>
      </x:c>
      <x:c r="T17" s="307" t="str">
        <x:f>IF(Q17="","",IF(R17="Yes",Q17*(1-$E$6)+S17*$E$6,Q17))</x:f>
      </x:c>
      <x:c r="U17" s="269" t="str">
        <x:f>IF(D17="","",IF(OR(H17="",I17="",J17="",COUNTA(K17:P17)&lt;6),"DATA MISSING",IF(AND(C17="Candidate",H17&lt;$E$7),"MARKET CAP EXCEPTION",IF(I17="No Rating","MERRILL EXCEPTION",IF(J17&gt;=4,"ZACKS EXCEPTION","ELIGIBLE")))))</x:f>
      </x:c>
      <x:c r="V17" s="269" t="str">
        <x:f>IF(D17="","",IF(Q17="","COMPLETE SCORING",IF(U17&lt;&gt;"ELIGIBLE","DOCUMENT / COMMITTEE EXCEPTION",IF(T17&gt;=85,"ADVANCE",IF(T17&gt;=75,"RETAIN ON SHORT LIST",IF(T17&gt;=65,"WATCH","REJECT / REPLACE"))))))</x:f>
      </x:c>
      <x:c r="W17" s="271"/>
      <x:c r="X17" s="271"/>
      <x:c r="Y17" s="269" t="str">
        <x:f>IF(D17="","Open Slot",IF(AND(W17&lt;&gt;"",W17&lt;&gt;"No Decision"),"Decision Recorded",IF(OR(V17="ADVANCE",ISNUMBER(SEARCH("EXCEPTION",V17))),"COMMITTEE DECISION REQUIRED","Under Review")))</x:f>
        <x:v>Open Slot</x:v>
      </x:c>
    </x:row>
    <x:row r="18" ht="28" customHeight="1">
      <x:c r="A18" s="269" t="str">
        <x:v>CAND-005</x:v>
      </x:c>
      <x:c r="B18" s="271"/>
      <x:c r="C18" s="271"/>
      <x:c r="D18" s="271"/>
      <x:c r="E18" s="271"/>
      <x:c r="F18" s="271"/>
      <x:c r="G18" s="271"/>
      <x:c r="H18" s="274"/>
      <x:c r="I18" s="271"/>
      <x:c r="J18" s="271"/>
      <x:c r="K18" s="274"/>
      <x:c r="L18" s="274"/>
      <x:c r="M18" s="274"/>
      <x:c r="N18" s="274"/>
      <x:c r="O18" s="274"/>
      <x:c r="P18" s="274"/>
      <x:c r="Q18" s="307" t="str">
        <x:f>IF(COUNTA(K18:P18)&lt;6,"",K18*$B$5+L18*$B$6+M18*$B$7+N18*$B$8+O18*$B$9+P18*$B$10)</x:f>
      </x:c>
      <x:c r="R18" s="274"/>
      <x:c r="S18" s="307" t="str">
        <x:f>IF(J18="","",IF(J18=1,100,IF(J18=2,85,IF(J18=3,60,IF(J18=4,25,0)))))</x:f>
      </x:c>
      <x:c r="T18" s="307" t="str">
        <x:f>IF(Q18="","",IF(R18="Yes",Q18*(1-$E$6)+S18*$E$6,Q18))</x:f>
      </x:c>
      <x:c r="U18" s="269" t="str">
        <x:f>IF(D18="","",IF(OR(H18="",I18="",J18="",COUNTA(K18:P18)&lt;6),"DATA MISSING",IF(AND(C18="Candidate",H18&lt;$E$7),"MARKET CAP EXCEPTION",IF(I18="No Rating","MERRILL EXCEPTION",IF(J18&gt;=4,"ZACKS EXCEPTION","ELIGIBLE")))))</x:f>
      </x:c>
      <x:c r="V18" s="269" t="str">
        <x:f>IF(D18="","",IF(Q18="","COMPLETE SCORING",IF(U18&lt;&gt;"ELIGIBLE","DOCUMENT / COMMITTEE EXCEPTION",IF(T18&gt;=85,"ADVANCE",IF(T18&gt;=75,"RETAIN ON SHORT LIST",IF(T18&gt;=65,"WATCH","REJECT / REPLACE"))))))</x:f>
      </x:c>
      <x:c r="W18" s="271"/>
      <x:c r="X18" s="271"/>
      <x:c r="Y18" s="269" t="str">
        <x:f>IF(D18="","Open Slot",IF(AND(W18&lt;&gt;"",W18&lt;&gt;"No Decision"),"Decision Recorded",IF(OR(V18="ADVANCE",ISNUMBER(SEARCH("EXCEPTION",V18))),"COMMITTEE DECISION REQUIRED","Under Review")))</x:f>
        <x:v>Open Slot</x:v>
      </x:c>
    </x:row>
    <x:row r="19" ht="28" customHeight="1">
      <x:c r="A19" s="269" t="str">
        <x:v>CAND-006</x:v>
      </x:c>
      <x:c r="B19" s="271"/>
      <x:c r="C19" s="271"/>
      <x:c r="D19" s="271"/>
      <x:c r="E19" s="271"/>
      <x:c r="F19" s="271"/>
      <x:c r="G19" s="271"/>
      <x:c r="H19" s="274"/>
      <x:c r="I19" s="271"/>
      <x:c r="J19" s="271"/>
      <x:c r="K19" s="274"/>
      <x:c r="L19" s="274"/>
      <x:c r="M19" s="274"/>
      <x:c r="N19" s="274"/>
      <x:c r="O19" s="274"/>
      <x:c r="P19" s="274"/>
      <x:c r="Q19" s="307" t="str">
        <x:f>IF(COUNTA(K19:P19)&lt;6,"",K19*$B$5+L19*$B$6+M19*$B$7+N19*$B$8+O19*$B$9+P19*$B$10)</x:f>
      </x:c>
      <x:c r="R19" s="274"/>
      <x:c r="S19" s="307" t="str">
        <x:f>IF(J19="","",IF(J19=1,100,IF(J19=2,85,IF(J19=3,60,IF(J19=4,25,0)))))</x:f>
      </x:c>
      <x:c r="T19" s="307" t="str">
        <x:f>IF(Q19="","",IF(R19="Yes",Q19*(1-$E$6)+S19*$E$6,Q19))</x:f>
      </x:c>
      <x:c r="U19" s="269" t="str">
        <x:f>IF(D19="","",IF(OR(H19="",I19="",J19="",COUNTA(K19:P19)&lt;6),"DATA MISSING",IF(AND(C19="Candidate",H19&lt;$E$7),"MARKET CAP EXCEPTION",IF(I19="No Rating","MERRILL EXCEPTION",IF(J19&gt;=4,"ZACKS EXCEPTION","ELIGIBLE")))))</x:f>
      </x:c>
      <x:c r="V19" s="269" t="str">
        <x:f>IF(D19="","",IF(Q19="","COMPLETE SCORING",IF(U19&lt;&gt;"ELIGIBLE","DOCUMENT / COMMITTEE EXCEPTION",IF(T19&gt;=85,"ADVANCE",IF(T19&gt;=75,"RETAIN ON SHORT LIST",IF(T19&gt;=65,"WATCH","REJECT / REPLACE"))))))</x:f>
      </x:c>
      <x:c r="W19" s="271"/>
      <x:c r="X19" s="271"/>
      <x:c r="Y19" s="269" t="str">
        <x:f>IF(D19="","Open Slot",IF(AND(W19&lt;&gt;"",W19&lt;&gt;"No Decision"),"Decision Recorded",IF(OR(V19="ADVANCE",ISNUMBER(SEARCH("EXCEPTION",V19))),"COMMITTEE DECISION REQUIRED","Under Review")))</x:f>
        <x:v>Open Slot</x:v>
      </x:c>
    </x:row>
    <x:row r="20" ht="28" customHeight="1">
      <x:c r="A20" s="269" t="str">
        <x:v>CAND-007</x:v>
      </x:c>
      <x:c r="B20" s="271"/>
      <x:c r="C20" s="271"/>
      <x:c r="D20" s="271"/>
      <x:c r="E20" s="271"/>
      <x:c r="F20" s="271"/>
      <x:c r="G20" s="271"/>
      <x:c r="H20" s="274"/>
      <x:c r="I20" s="271"/>
      <x:c r="J20" s="271"/>
      <x:c r="K20" s="274"/>
      <x:c r="L20" s="274"/>
      <x:c r="M20" s="274"/>
      <x:c r="N20" s="274"/>
      <x:c r="O20" s="274"/>
      <x:c r="P20" s="274"/>
      <x:c r="Q20" s="307" t="str">
        <x:f>IF(COUNTA(K20:P20)&lt;6,"",K20*$B$5+L20*$B$6+M20*$B$7+N20*$B$8+O20*$B$9+P20*$B$10)</x:f>
      </x:c>
      <x:c r="R20" s="274"/>
      <x:c r="S20" s="307" t="str">
        <x:f>IF(J20="","",IF(J20=1,100,IF(J20=2,85,IF(J20=3,60,IF(J20=4,25,0)))))</x:f>
      </x:c>
      <x:c r="T20" s="307" t="str">
        <x:f>IF(Q20="","",IF(R20="Yes",Q20*(1-$E$6)+S20*$E$6,Q20))</x:f>
      </x:c>
      <x:c r="U20" s="269" t="str">
        <x:f>IF(D20="","",IF(OR(H20="",I20="",J20="",COUNTA(K20:P20)&lt;6),"DATA MISSING",IF(AND(C20="Candidate",H20&lt;$E$7),"MARKET CAP EXCEPTION",IF(I20="No Rating","MERRILL EXCEPTION",IF(J20&gt;=4,"ZACKS EXCEPTION","ELIGIBLE")))))</x:f>
      </x:c>
      <x:c r="V20" s="269" t="str">
        <x:f>IF(D20="","",IF(Q20="","COMPLETE SCORING",IF(U20&lt;&gt;"ELIGIBLE","DOCUMENT / COMMITTEE EXCEPTION",IF(T20&gt;=85,"ADVANCE",IF(T20&gt;=75,"RETAIN ON SHORT LIST",IF(T20&gt;=65,"WATCH","REJECT / REPLACE"))))))</x:f>
      </x:c>
      <x:c r="W20" s="271"/>
      <x:c r="X20" s="271"/>
      <x:c r="Y20" s="269" t="str">
        <x:f>IF(D20="","Open Slot",IF(AND(W20&lt;&gt;"",W20&lt;&gt;"No Decision"),"Decision Recorded",IF(OR(V20="ADVANCE",ISNUMBER(SEARCH("EXCEPTION",V20))),"COMMITTEE DECISION REQUIRED","Under Review")))</x:f>
        <x:v>Open Slot</x:v>
      </x:c>
    </x:row>
    <x:row r="21" ht="28" customHeight="1">
      <x:c r="A21" s="269" t="str">
        <x:v>CAND-008</x:v>
      </x:c>
      <x:c r="B21" s="271"/>
      <x:c r="C21" s="271"/>
      <x:c r="D21" s="271"/>
      <x:c r="E21" s="271"/>
      <x:c r="F21" s="271"/>
      <x:c r="G21" s="271"/>
      <x:c r="H21" s="274"/>
      <x:c r="I21" s="271"/>
      <x:c r="J21" s="271"/>
      <x:c r="K21" s="274"/>
      <x:c r="L21" s="274"/>
      <x:c r="M21" s="274"/>
      <x:c r="N21" s="274"/>
      <x:c r="O21" s="274"/>
      <x:c r="P21" s="274"/>
      <x:c r="Q21" s="307" t="str">
        <x:f>IF(COUNTA(K21:P21)&lt;6,"",K21*$B$5+L21*$B$6+M21*$B$7+N21*$B$8+O21*$B$9+P21*$B$10)</x:f>
      </x:c>
      <x:c r="R21" s="274"/>
      <x:c r="S21" s="307" t="str">
        <x:f>IF(J21="","",IF(J21=1,100,IF(J21=2,85,IF(J21=3,60,IF(J21=4,25,0)))))</x:f>
      </x:c>
      <x:c r="T21" s="307" t="str">
        <x:f>IF(Q21="","",IF(R21="Yes",Q21*(1-$E$6)+S21*$E$6,Q21))</x:f>
      </x:c>
      <x:c r="U21" s="269" t="str">
        <x:f>IF(D21="","",IF(OR(H21="",I21="",J21="",COUNTA(K21:P21)&lt;6),"DATA MISSING",IF(AND(C21="Candidate",H21&lt;$E$7),"MARKET CAP EXCEPTION",IF(I21="No Rating","MERRILL EXCEPTION",IF(J21&gt;=4,"ZACKS EXCEPTION","ELIGIBLE")))))</x:f>
      </x:c>
      <x:c r="V21" s="269" t="str">
        <x:f>IF(D21="","",IF(Q21="","COMPLETE SCORING",IF(U21&lt;&gt;"ELIGIBLE","DOCUMENT / COMMITTEE EXCEPTION",IF(T21&gt;=85,"ADVANCE",IF(T21&gt;=75,"RETAIN ON SHORT LIST",IF(T21&gt;=65,"WATCH","REJECT / REPLACE"))))))</x:f>
      </x:c>
      <x:c r="W21" s="271"/>
      <x:c r="X21" s="271"/>
      <x:c r="Y21" s="269" t="str">
        <x:f>IF(D21="","Open Slot",IF(AND(W21&lt;&gt;"",W21&lt;&gt;"No Decision"),"Decision Recorded",IF(OR(V21="ADVANCE",ISNUMBER(SEARCH("EXCEPTION",V21))),"COMMITTEE DECISION REQUIRED","Under Review")))</x:f>
        <x:v>Open Slot</x:v>
      </x:c>
    </x:row>
    <x:row r="22" ht="28" customHeight="1">
      <x:c r="A22" s="269" t="str">
        <x:v>CAND-009</x:v>
      </x:c>
      <x:c r="B22" s="271"/>
      <x:c r="C22" s="271"/>
      <x:c r="D22" s="271"/>
      <x:c r="E22" s="271"/>
      <x:c r="F22" s="271"/>
      <x:c r="G22" s="271"/>
      <x:c r="H22" s="274"/>
      <x:c r="I22" s="271"/>
      <x:c r="J22" s="271"/>
      <x:c r="K22" s="274"/>
      <x:c r="L22" s="274"/>
      <x:c r="M22" s="274"/>
      <x:c r="N22" s="274"/>
      <x:c r="O22" s="274"/>
      <x:c r="P22" s="274"/>
      <x:c r="Q22" s="307" t="str">
        <x:f>IF(COUNTA(K22:P22)&lt;6,"",K22*$B$5+L22*$B$6+M22*$B$7+N22*$B$8+O22*$B$9+P22*$B$10)</x:f>
      </x:c>
      <x:c r="R22" s="274"/>
      <x:c r="S22" s="307" t="str">
        <x:f>IF(J22="","",IF(J22=1,100,IF(J22=2,85,IF(J22=3,60,IF(J22=4,25,0)))))</x:f>
      </x:c>
      <x:c r="T22" s="307" t="str">
        <x:f>IF(Q22="","",IF(R22="Yes",Q22*(1-$E$6)+S22*$E$6,Q22))</x:f>
      </x:c>
      <x:c r="U22" s="269" t="str">
        <x:f>IF(D22="","",IF(OR(H22="",I22="",J22="",COUNTA(K22:P22)&lt;6),"DATA MISSING",IF(AND(C22="Candidate",H22&lt;$E$7),"MARKET CAP EXCEPTION",IF(I22="No Rating","MERRILL EXCEPTION",IF(J22&gt;=4,"ZACKS EXCEPTION","ELIGIBLE")))))</x:f>
      </x:c>
      <x:c r="V22" s="269" t="str">
        <x:f>IF(D22="","",IF(Q22="","COMPLETE SCORING",IF(U22&lt;&gt;"ELIGIBLE","DOCUMENT / COMMITTEE EXCEPTION",IF(T22&gt;=85,"ADVANCE",IF(T22&gt;=75,"RETAIN ON SHORT LIST",IF(T22&gt;=65,"WATCH","REJECT / REPLACE"))))))</x:f>
      </x:c>
      <x:c r="W22" s="271"/>
      <x:c r="X22" s="271"/>
      <x:c r="Y22" s="269" t="str">
        <x:f>IF(D22="","Open Slot",IF(AND(W22&lt;&gt;"",W22&lt;&gt;"No Decision"),"Decision Recorded",IF(OR(V22="ADVANCE",ISNUMBER(SEARCH("EXCEPTION",V22))),"COMMITTEE DECISION REQUIRED","Under Review")))</x:f>
        <x:v>Open Slot</x:v>
      </x:c>
    </x:row>
    <x:row r="23" ht="28" customHeight="1">
      <x:c r="A23" s="269" t="str">
        <x:v>CAND-010</x:v>
      </x:c>
      <x:c r="B23" s="271"/>
      <x:c r="C23" s="271"/>
      <x:c r="D23" s="271"/>
      <x:c r="E23" s="271"/>
      <x:c r="F23" s="271"/>
      <x:c r="G23" s="271"/>
      <x:c r="H23" s="274"/>
      <x:c r="I23" s="271"/>
      <x:c r="J23" s="271"/>
      <x:c r="K23" s="274"/>
      <x:c r="L23" s="274"/>
      <x:c r="M23" s="274"/>
      <x:c r="N23" s="274"/>
      <x:c r="O23" s="274"/>
      <x:c r="P23" s="274"/>
      <x:c r="Q23" s="307" t="str">
        <x:f>IF(COUNTA(K23:P23)&lt;6,"",K23*$B$5+L23*$B$6+M23*$B$7+N23*$B$8+O23*$B$9+P23*$B$10)</x:f>
      </x:c>
      <x:c r="R23" s="274"/>
      <x:c r="S23" s="307" t="str">
        <x:f>IF(J23="","",IF(J23=1,100,IF(J23=2,85,IF(J23=3,60,IF(J23=4,25,0)))))</x:f>
      </x:c>
      <x:c r="T23" s="307" t="str">
        <x:f>IF(Q23="","",IF(R23="Yes",Q23*(1-$E$6)+S23*$E$6,Q23))</x:f>
      </x:c>
      <x:c r="U23" s="269" t="str">
        <x:f>IF(D23="","",IF(OR(H23="",I23="",J23="",COUNTA(K23:P23)&lt;6),"DATA MISSING",IF(AND(C23="Candidate",H23&lt;$E$7),"MARKET CAP EXCEPTION",IF(I23="No Rating","MERRILL EXCEPTION",IF(J23&gt;=4,"ZACKS EXCEPTION","ELIGIBLE")))))</x:f>
      </x:c>
      <x:c r="V23" s="269" t="str">
        <x:f>IF(D23="","",IF(Q23="","COMPLETE SCORING",IF(U23&lt;&gt;"ELIGIBLE","DOCUMENT / COMMITTEE EXCEPTION",IF(T23&gt;=85,"ADVANCE",IF(T23&gt;=75,"RETAIN ON SHORT LIST",IF(T23&gt;=65,"WATCH","REJECT / REPLACE"))))))</x:f>
      </x:c>
      <x:c r="W23" s="271"/>
      <x:c r="X23" s="271"/>
      <x:c r="Y23" s="269" t="str">
        <x:f>IF(D23="","Open Slot",IF(AND(W23&lt;&gt;"",W23&lt;&gt;"No Decision"),"Decision Recorded",IF(OR(V23="ADVANCE",ISNUMBER(SEARCH("EXCEPTION",V23))),"COMMITTEE DECISION REQUIRED","Under Review")))</x:f>
        <x:v>Open Slot</x:v>
      </x:c>
    </x:row>
    <x:row r="24" ht="28" customHeight="1">
      <x:c r="A24" s="269" t="str">
        <x:v>CAND-011</x:v>
      </x:c>
      <x:c r="B24" s="271"/>
      <x:c r="C24" s="271"/>
      <x:c r="D24" s="271"/>
      <x:c r="E24" s="271"/>
      <x:c r="F24" s="271"/>
      <x:c r="G24" s="271"/>
      <x:c r="H24" s="274"/>
      <x:c r="I24" s="271"/>
      <x:c r="J24" s="271"/>
      <x:c r="K24" s="274"/>
      <x:c r="L24" s="274"/>
      <x:c r="M24" s="274"/>
      <x:c r="N24" s="274"/>
      <x:c r="O24" s="274"/>
      <x:c r="P24" s="274"/>
      <x:c r="Q24" s="307" t="str">
        <x:f>IF(COUNTA(K24:P24)&lt;6,"",K24*$B$5+L24*$B$6+M24*$B$7+N24*$B$8+O24*$B$9+P24*$B$10)</x:f>
      </x:c>
      <x:c r="R24" s="274"/>
      <x:c r="S24" s="307" t="str">
        <x:f>IF(J24="","",IF(J24=1,100,IF(J24=2,85,IF(J24=3,60,IF(J24=4,25,0)))))</x:f>
      </x:c>
      <x:c r="T24" s="307" t="str">
        <x:f>IF(Q24="","",IF(R24="Yes",Q24*(1-$E$6)+S24*$E$6,Q24))</x:f>
      </x:c>
      <x:c r="U24" s="269" t="str">
        <x:f>IF(D24="","",IF(OR(H24="",I24="",J24="",COUNTA(K24:P24)&lt;6),"DATA MISSING",IF(AND(C24="Candidate",H24&lt;$E$7),"MARKET CAP EXCEPTION",IF(I24="No Rating","MERRILL EXCEPTION",IF(J24&gt;=4,"ZACKS EXCEPTION","ELIGIBLE")))))</x:f>
      </x:c>
      <x:c r="V24" s="269" t="str">
        <x:f>IF(D24="","",IF(Q24="","COMPLETE SCORING",IF(U24&lt;&gt;"ELIGIBLE","DOCUMENT / COMMITTEE EXCEPTION",IF(T24&gt;=85,"ADVANCE",IF(T24&gt;=75,"RETAIN ON SHORT LIST",IF(T24&gt;=65,"WATCH","REJECT / REPLACE"))))))</x:f>
      </x:c>
      <x:c r="W24" s="271"/>
      <x:c r="X24" s="271"/>
      <x:c r="Y24" s="269" t="str">
        <x:f>IF(D24="","Open Slot",IF(AND(W24&lt;&gt;"",W24&lt;&gt;"No Decision"),"Decision Recorded",IF(OR(V24="ADVANCE",ISNUMBER(SEARCH("EXCEPTION",V24))),"COMMITTEE DECISION REQUIRED","Under Review")))</x:f>
        <x:v>Open Slot</x:v>
      </x:c>
    </x:row>
    <x:row r="25" ht="28" customHeight="1">
      <x:c r="A25" s="269" t="str">
        <x:v>CAND-012</x:v>
      </x:c>
      <x:c r="B25" s="271"/>
      <x:c r="C25" s="271"/>
      <x:c r="D25" s="271"/>
      <x:c r="E25" s="271"/>
      <x:c r="F25" s="271"/>
      <x:c r="G25" s="271"/>
      <x:c r="H25" s="274"/>
      <x:c r="I25" s="271"/>
      <x:c r="J25" s="271"/>
      <x:c r="K25" s="274"/>
      <x:c r="L25" s="274"/>
      <x:c r="M25" s="274"/>
      <x:c r="N25" s="274"/>
      <x:c r="O25" s="274"/>
      <x:c r="P25" s="274"/>
      <x:c r="Q25" s="307" t="str">
        <x:f>IF(COUNTA(K25:P25)&lt;6,"",K25*$B$5+L25*$B$6+M25*$B$7+N25*$B$8+O25*$B$9+P25*$B$10)</x:f>
      </x:c>
      <x:c r="R25" s="274"/>
      <x:c r="S25" s="307" t="str">
        <x:f>IF(J25="","",IF(J25=1,100,IF(J25=2,85,IF(J25=3,60,IF(J25=4,25,0)))))</x:f>
      </x:c>
      <x:c r="T25" s="307" t="str">
        <x:f>IF(Q25="","",IF(R25="Yes",Q25*(1-$E$6)+S25*$E$6,Q25))</x:f>
      </x:c>
      <x:c r="U25" s="269" t="str">
        <x:f>IF(D25="","",IF(OR(H25="",I25="",J25="",COUNTA(K25:P25)&lt;6),"DATA MISSING",IF(AND(C25="Candidate",H25&lt;$E$7),"MARKET CAP EXCEPTION",IF(I25="No Rating","MERRILL EXCEPTION",IF(J25&gt;=4,"ZACKS EXCEPTION","ELIGIBLE")))))</x:f>
      </x:c>
      <x:c r="V25" s="269" t="str">
        <x:f>IF(D25="","",IF(Q25="","COMPLETE SCORING",IF(U25&lt;&gt;"ELIGIBLE","DOCUMENT / COMMITTEE EXCEPTION",IF(T25&gt;=85,"ADVANCE",IF(T25&gt;=75,"RETAIN ON SHORT LIST",IF(T25&gt;=65,"WATCH","REJECT / REPLACE"))))))</x:f>
      </x:c>
      <x:c r="W25" s="271"/>
      <x:c r="X25" s="271"/>
      <x:c r="Y25" s="269" t="str">
        <x:f>IF(D25="","Open Slot",IF(AND(W25&lt;&gt;"",W25&lt;&gt;"No Decision"),"Decision Recorded",IF(OR(V25="ADVANCE",ISNUMBER(SEARCH("EXCEPTION",V25))),"COMMITTEE DECISION REQUIRED","Under Review")))</x:f>
        <x:v>Open Slot</x:v>
      </x:c>
    </x:row>
    <x:row r="26" ht="28" customHeight="1">
      <x:c r="A26" s="269" t="str">
        <x:v>CAND-013</x:v>
      </x:c>
      <x:c r="B26" s="271"/>
      <x:c r="C26" s="271"/>
      <x:c r="D26" s="271"/>
      <x:c r="E26" s="271"/>
      <x:c r="F26" s="271"/>
      <x:c r="G26" s="271"/>
      <x:c r="H26" s="274"/>
      <x:c r="I26" s="271"/>
      <x:c r="J26" s="271"/>
      <x:c r="K26" s="274"/>
      <x:c r="L26" s="274"/>
      <x:c r="M26" s="274"/>
      <x:c r="N26" s="274"/>
      <x:c r="O26" s="274"/>
      <x:c r="P26" s="274"/>
      <x:c r="Q26" s="307" t="str">
        <x:f>IF(COUNTA(K26:P26)&lt;6,"",K26*$B$5+L26*$B$6+M26*$B$7+N26*$B$8+O26*$B$9+P26*$B$10)</x:f>
      </x:c>
      <x:c r="R26" s="274"/>
      <x:c r="S26" s="307" t="str">
        <x:f>IF(J26="","",IF(J26=1,100,IF(J26=2,85,IF(J26=3,60,IF(J26=4,25,0)))))</x:f>
      </x:c>
      <x:c r="T26" s="307" t="str">
        <x:f>IF(Q26="","",IF(R26="Yes",Q26*(1-$E$6)+S26*$E$6,Q26))</x:f>
      </x:c>
      <x:c r="U26" s="269" t="str">
        <x:f>IF(D26="","",IF(OR(H26="",I26="",J26="",COUNTA(K26:P26)&lt;6),"DATA MISSING",IF(AND(C26="Candidate",H26&lt;$E$7),"MARKET CAP EXCEPTION",IF(I26="No Rating","MERRILL EXCEPTION",IF(J26&gt;=4,"ZACKS EXCEPTION","ELIGIBLE")))))</x:f>
      </x:c>
      <x:c r="V26" s="269" t="str">
        <x:f>IF(D26="","",IF(Q26="","COMPLETE SCORING",IF(U26&lt;&gt;"ELIGIBLE","DOCUMENT / COMMITTEE EXCEPTION",IF(T26&gt;=85,"ADVANCE",IF(T26&gt;=75,"RETAIN ON SHORT LIST",IF(T26&gt;=65,"WATCH","REJECT / REPLACE"))))))</x:f>
      </x:c>
      <x:c r="W26" s="271"/>
      <x:c r="X26" s="271"/>
      <x:c r="Y26" s="269" t="str">
        <x:f>IF(D26="","Open Slot",IF(AND(W26&lt;&gt;"",W26&lt;&gt;"No Decision"),"Decision Recorded",IF(OR(V26="ADVANCE",ISNUMBER(SEARCH("EXCEPTION",V26))),"COMMITTEE DECISION REQUIRED","Under Review")))</x:f>
        <x:v>Open Slot</x:v>
      </x:c>
    </x:row>
    <x:row r="27" ht="28" customHeight="1">
      <x:c r="A27" s="269" t="str">
        <x:v>CAND-014</x:v>
      </x:c>
      <x:c r="B27" s="271"/>
      <x:c r="C27" s="271"/>
      <x:c r="D27" s="271"/>
      <x:c r="E27" s="271"/>
      <x:c r="F27" s="271"/>
      <x:c r="G27" s="271"/>
      <x:c r="H27" s="274"/>
      <x:c r="I27" s="271"/>
      <x:c r="J27" s="271"/>
      <x:c r="K27" s="274"/>
      <x:c r="L27" s="274"/>
      <x:c r="M27" s="274"/>
      <x:c r="N27" s="274"/>
      <x:c r="O27" s="274"/>
      <x:c r="P27" s="274"/>
      <x:c r="Q27" s="307" t="str">
        <x:f>IF(COUNTA(K27:P27)&lt;6,"",K27*$B$5+L27*$B$6+M27*$B$7+N27*$B$8+O27*$B$9+P27*$B$10)</x:f>
      </x:c>
      <x:c r="R27" s="274"/>
      <x:c r="S27" s="307" t="str">
        <x:f>IF(J27="","",IF(J27=1,100,IF(J27=2,85,IF(J27=3,60,IF(J27=4,25,0)))))</x:f>
      </x:c>
      <x:c r="T27" s="307" t="str">
        <x:f>IF(Q27="","",IF(R27="Yes",Q27*(1-$E$6)+S27*$E$6,Q27))</x:f>
      </x:c>
      <x:c r="U27" s="269" t="str">
        <x:f>IF(D27="","",IF(OR(H27="",I27="",J27="",COUNTA(K27:P27)&lt;6),"DATA MISSING",IF(AND(C27="Candidate",H27&lt;$E$7),"MARKET CAP EXCEPTION",IF(I27="No Rating","MERRILL EXCEPTION",IF(J27&gt;=4,"ZACKS EXCEPTION","ELIGIBLE")))))</x:f>
      </x:c>
      <x:c r="V27" s="269" t="str">
        <x:f>IF(D27="","",IF(Q27="","COMPLETE SCORING",IF(U27&lt;&gt;"ELIGIBLE","DOCUMENT / COMMITTEE EXCEPTION",IF(T27&gt;=85,"ADVANCE",IF(T27&gt;=75,"RETAIN ON SHORT LIST",IF(T27&gt;=65,"WATCH","REJECT / REPLACE"))))))</x:f>
      </x:c>
      <x:c r="W27" s="271"/>
      <x:c r="X27" s="271"/>
      <x:c r="Y27" s="269" t="str">
        <x:f>IF(D27="","Open Slot",IF(AND(W27&lt;&gt;"",W27&lt;&gt;"No Decision"),"Decision Recorded",IF(OR(V27="ADVANCE",ISNUMBER(SEARCH("EXCEPTION",V27))),"COMMITTEE DECISION REQUIRED","Under Review")))</x:f>
        <x:v>Open Slot</x:v>
      </x:c>
    </x:row>
    <x:row r="28" ht="28" customHeight="1">
      <x:c r="A28" s="269" t="str">
        <x:v>CAND-015</x:v>
      </x:c>
      <x:c r="B28" s="271"/>
      <x:c r="C28" s="271"/>
      <x:c r="D28" s="271"/>
      <x:c r="E28" s="271"/>
      <x:c r="F28" s="271"/>
      <x:c r="G28" s="271"/>
      <x:c r="H28" s="274"/>
      <x:c r="I28" s="271"/>
      <x:c r="J28" s="271"/>
      <x:c r="K28" s="274"/>
      <x:c r="L28" s="274"/>
      <x:c r="M28" s="274"/>
      <x:c r="N28" s="274"/>
      <x:c r="O28" s="274"/>
      <x:c r="P28" s="274"/>
      <x:c r="Q28" s="307" t="str">
        <x:f>IF(COUNTA(K28:P28)&lt;6,"",K28*$B$5+L28*$B$6+M28*$B$7+N28*$B$8+O28*$B$9+P28*$B$10)</x:f>
      </x:c>
      <x:c r="R28" s="274"/>
      <x:c r="S28" s="307" t="str">
        <x:f>IF(J28="","",IF(J28=1,100,IF(J28=2,85,IF(J28=3,60,IF(J28=4,25,0)))))</x:f>
      </x:c>
      <x:c r="T28" s="307" t="str">
        <x:f>IF(Q28="","",IF(R28="Yes",Q28*(1-$E$6)+S28*$E$6,Q28))</x:f>
      </x:c>
      <x:c r="U28" s="269" t="str">
        <x:f>IF(D28="","",IF(OR(H28="",I28="",J28="",COUNTA(K28:P28)&lt;6),"DATA MISSING",IF(AND(C28="Candidate",H28&lt;$E$7),"MARKET CAP EXCEPTION",IF(I28="No Rating","MERRILL EXCEPTION",IF(J28&gt;=4,"ZACKS EXCEPTION","ELIGIBLE")))))</x:f>
      </x:c>
      <x:c r="V28" s="269" t="str">
        <x:f>IF(D28="","",IF(Q28="","COMPLETE SCORING",IF(U28&lt;&gt;"ELIGIBLE","DOCUMENT / COMMITTEE EXCEPTION",IF(T28&gt;=85,"ADVANCE",IF(T28&gt;=75,"RETAIN ON SHORT LIST",IF(T28&gt;=65,"WATCH","REJECT / REPLACE"))))))</x:f>
      </x:c>
      <x:c r="W28" s="271"/>
      <x:c r="X28" s="271"/>
      <x:c r="Y28" s="269" t="str">
        <x:f>IF(D28="","Open Slot",IF(AND(W28&lt;&gt;"",W28&lt;&gt;"No Decision"),"Decision Recorded",IF(OR(V28="ADVANCE",ISNUMBER(SEARCH("EXCEPTION",V28))),"COMMITTEE DECISION REQUIRED","Under Review")))</x:f>
        <x:v>Open Slot</x:v>
      </x:c>
    </x:row>
    <x:row r="29" ht="28" customHeight="1">
      <x:c r="A29" s="269" t="str">
        <x:v>CAND-016</x:v>
      </x:c>
      <x:c r="B29" s="271"/>
      <x:c r="C29" s="271"/>
      <x:c r="D29" s="271"/>
      <x:c r="E29" s="271"/>
      <x:c r="F29" s="271"/>
      <x:c r="G29" s="271"/>
      <x:c r="H29" s="274"/>
      <x:c r="I29" s="271"/>
      <x:c r="J29" s="271"/>
      <x:c r="K29" s="274"/>
      <x:c r="L29" s="274"/>
      <x:c r="M29" s="274"/>
      <x:c r="N29" s="274"/>
      <x:c r="O29" s="274"/>
      <x:c r="P29" s="274"/>
      <x:c r="Q29" s="307" t="str">
        <x:f>IF(COUNTA(K29:P29)&lt;6,"",K29*$B$5+L29*$B$6+M29*$B$7+N29*$B$8+O29*$B$9+P29*$B$10)</x:f>
      </x:c>
      <x:c r="R29" s="274"/>
      <x:c r="S29" s="307" t="str">
        <x:f>IF(J29="","",IF(J29=1,100,IF(J29=2,85,IF(J29=3,60,IF(J29=4,25,0)))))</x:f>
      </x:c>
      <x:c r="T29" s="307" t="str">
        <x:f>IF(Q29="","",IF(R29="Yes",Q29*(1-$E$6)+S29*$E$6,Q29))</x:f>
      </x:c>
      <x:c r="U29" s="269" t="str">
        <x:f>IF(D29="","",IF(OR(H29="",I29="",J29="",COUNTA(K29:P29)&lt;6),"DATA MISSING",IF(AND(C29="Candidate",H29&lt;$E$7),"MARKET CAP EXCEPTION",IF(I29="No Rating","MERRILL EXCEPTION",IF(J29&gt;=4,"ZACKS EXCEPTION","ELIGIBLE")))))</x:f>
      </x:c>
      <x:c r="V29" s="269" t="str">
        <x:f>IF(D29="","",IF(Q29="","COMPLETE SCORING",IF(U29&lt;&gt;"ELIGIBLE","DOCUMENT / COMMITTEE EXCEPTION",IF(T29&gt;=85,"ADVANCE",IF(T29&gt;=75,"RETAIN ON SHORT LIST",IF(T29&gt;=65,"WATCH","REJECT / REPLACE"))))))</x:f>
      </x:c>
      <x:c r="W29" s="271"/>
      <x:c r="X29" s="271"/>
      <x:c r="Y29" s="269" t="str">
        <x:f>IF(D29="","Open Slot",IF(AND(W29&lt;&gt;"",W29&lt;&gt;"No Decision"),"Decision Recorded",IF(OR(V29="ADVANCE",ISNUMBER(SEARCH("EXCEPTION",V29))),"COMMITTEE DECISION REQUIRED","Under Review")))</x:f>
        <x:v>Open Slot</x:v>
      </x:c>
    </x:row>
    <x:row r="30" ht="28" customHeight="1">
      <x:c r="A30" s="269" t="str">
        <x:v>CAND-017</x:v>
      </x:c>
      <x:c r="B30" s="271"/>
      <x:c r="C30" s="271"/>
      <x:c r="D30" s="271"/>
      <x:c r="E30" s="271"/>
      <x:c r="F30" s="271"/>
      <x:c r="G30" s="271"/>
      <x:c r="H30" s="274"/>
      <x:c r="I30" s="271"/>
      <x:c r="J30" s="271"/>
      <x:c r="K30" s="274"/>
      <x:c r="L30" s="274"/>
      <x:c r="M30" s="274"/>
      <x:c r="N30" s="274"/>
      <x:c r="O30" s="274"/>
      <x:c r="P30" s="274"/>
      <x:c r="Q30" s="307" t="str">
        <x:f>IF(COUNTA(K30:P30)&lt;6,"",K30*$B$5+L30*$B$6+M30*$B$7+N30*$B$8+O30*$B$9+P30*$B$10)</x:f>
      </x:c>
      <x:c r="R30" s="274"/>
      <x:c r="S30" s="307" t="str">
        <x:f>IF(J30="","",IF(J30=1,100,IF(J30=2,85,IF(J30=3,60,IF(J30=4,25,0)))))</x:f>
      </x:c>
      <x:c r="T30" s="307" t="str">
        <x:f>IF(Q30="","",IF(R30="Yes",Q30*(1-$E$6)+S30*$E$6,Q30))</x:f>
      </x:c>
      <x:c r="U30" s="269" t="str">
        <x:f>IF(D30="","",IF(OR(H30="",I30="",J30="",COUNTA(K30:P30)&lt;6),"DATA MISSING",IF(AND(C30="Candidate",H30&lt;$E$7),"MARKET CAP EXCEPTION",IF(I30="No Rating","MERRILL EXCEPTION",IF(J30&gt;=4,"ZACKS EXCEPTION","ELIGIBLE")))))</x:f>
      </x:c>
      <x:c r="V30" s="269" t="str">
        <x:f>IF(D30="","",IF(Q30="","COMPLETE SCORING",IF(U30&lt;&gt;"ELIGIBLE","DOCUMENT / COMMITTEE EXCEPTION",IF(T30&gt;=85,"ADVANCE",IF(T30&gt;=75,"RETAIN ON SHORT LIST",IF(T30&gt;=65,"WATCH","REJECT / REPLACE"))))))</x:f>
      </x:c>
      <x:c r="W30" s="271"/>
      <x:c r="X30" s="271"/>
      <x:c r="Y30" s="269" t="str">
        <x:f>IF(D30="","Open Slot",IF(AND(W30&lt;&gt;"",W30&lt;&gt;"No Decision"),"Decision Recorded",IF(OR(V30="ADVANCE",ISNUMBER(SEARCH("EXCEPTION",V30))),"COMMITTEE DECISION REQUIRED","Under Review")))</x:f>
        <x:v>Open Slot</x:v>
      </x:c>
    </x:row>
    <x:row r="31" ht="28" customHeight="1">
      <x:c r="A31" s="269" t="str">
        <x:v>CAND-018</x:v>
      </x:c>
      <x:c r="B31" s="271"/>
      <x:c r="C31" s="271"/>
      <x:c r="D31" s="271"/>
      <x:c r="E31" s="271"/>
      <x:c r="F31" s="271"/>
      <x:c r="G31" s="271"/>
      <x:c r="H31" s="274"/>
      <x:c r="I31" s="271"/>
      <x:c r="J31" s="271"/>
      <x:c r="K31" s="274"/>
      <x:c r="L31" s="274"/>
      <x:c r="M31" s="274"/>
      <x:c r="N31" s="274"/>
      <x:c r="O31" s="274"/>
      <x:c r="P31" s="274"/>
      <x:c r="Q31" s="307" t="str">
        <x:f>IF(COUNTA(K31:P31)&lt;6,"",K31*$B$5+L31*$B$6+M31*$B$7+N31*$B$8+O31*$B$9+P31*$B$10)</x:f>
      </x:c>
      <x:c r="R31" s="274"/>
      <x:c r="S31" s="307" t="str">
        <x:f>IF(J31="","",IF(J31=1,100,IF(J31=2,85,IF(J31=3,60,IF(J31=4,25,0)))))</x:f>
      </x:c>
      <x:c r="T31" s="307" t="str">
        <x:f>IF(Q31="","",IF(R31="Yes",Q31*(1-$E$6)+S31*$E$6,Q31))</x:f>
      </x:c>
      <x:c r="U31" s="269" t="str">
        <x:f>IF(D31="","",IF(OR(H31="",I31="",J31="",COUNTA(K31:P31)&lt;6),"DATA MISSING",IF(AND(C31="Candidate",H31&lt;$E$7),"MARKET CAP EXCEPTION",IF(I31="No Rating","MERRILL EXCEPTION",IF(J31&gt;=4,"ZACKS EXCEPTION","ELIGIBLE")))))</x:f>
      </x:c>
      <x:c r="V31" s="269" t="str">
        <x:f>IF(D31="","",IF(Q31="","COMPLETE SCORING",IF(U31&lt;&gt;"ELIGIBLE","DOCUMENT / COMMITTEE EXCEPTION",IF(T31&gt;=85,"ADVANCE",IF(T31&gt;=75,"RETAIN ON SHORT LIST",IF(T31&gt;=65,"WATCH","REJECT / REPLACE"))))))</x:f>
      </x:c>
      <x:c r="W31" s="271"/>
      <x:c r="X31" s="271"/>
      <x:c r="Y31" s="269" t="str">
        <x:f>IF(D31="","Open Slot",IF(AND(W31&lt;&gt;"",W31&lt;&gt;"No Decision"),"Decision Recorded",IF(OR(V31="ADVANCE",ISNUMBER(SEARCH("EXCEPTION",V31))),"COMMITTEE DECISION REQUIRED","Under Review")))</x:f>
        <x:v>Open Slot</x:v>
      </x:c>
    </x:row>
    <x:row r="32" ht="28" customHeight="1">
      <x:c r="A32" s="269" t="str">
        <x:v>CAND-019</x:v>
      </x:c>
      <x:c r="B32" s="271"/>
      <x:c r="C32" s="271"/>
      <x:c r="D32" s="271"/>
      <x:c r="E32" s="271"/>
      <x:c r="F32" s="271"/>
      <x:c r="G32" s="271"/>
      <x:c r="H32" s="274"/>
      <x:c r="I32" s="271"/>
      <x:c r="J32" s="271"/>
      <x:c r="K32" s="274"/>
      <x:c r="L32" s="274"/>
      <x:c r="M32" s="274"/>
      <x:c r="N32" s="274"/>
      <x:c r="O32" s="274"/>
      <x:c r="P32" s="274"/>
      <x:c r="Q32" s="307" t="str">
        <x:f>IF(COUNTA(K32:P32)&lt;6,"",K32*$B$5+L32*$B$6+M32*$B$7+N32*$B$8+O32*$B$9+P32*$B$10)</x:f>
      </x:c>
      <x:c r="R32" s="274"/>
      <x:c r="S32" s="307" t="str">
        <x:f>IF(J32="","",IF(J32=1,100,IF(J32=2,85,IF(J32=3,60,IF(J32=4,25,0)))))</x:f>
      </x:c>
      <x:c r="T32" s="307" t="str">
        <x:f>IF(Q32="","",IF(R32="Yes",Q32*(1-$E$6)+S32*$E$6,Q32))</x:f>
      </x:c>
      <x:c r="U32" s="269" t="str">
        <x:f>IF(D32="","",IF(OR(H32="",I32="",J32="",COUNTA(K32:P32)&lt;6),"DATA MISSING",IF(AND(C32="Candidate",H32&lt;$E$7),"MARKET CAP EXCEPTION",IF(I32="No Rating","MERRILL EXCEPTION",IF(J32&gt;=4,"ZACKS EXCEPTION","ELIGIBLE")))))</x:f>
      </x:c>
      <x:c r="V32" s="269" t="str">
        <x:f>IF(D32="","",IF(Q32="","COMPLETE SCORING",IF(U32&lt;&gt;"ELIGIBLE","DOCUMENT / COMMITTEE EXCEPTION",IF(T32&gt;=85,"ADVANCE",IF(T32&gt;=75,"RETAIN ON SHORT LIST",IF(T32&gt;=65,"WATCH","REJECT / REPLACE"))))))</x:f>
      </x:c>
      <x:c r="W32" s="271"/>
      <x:c r="X32" s="271"/>
      <x:c r="Y32" s="269" t="str">
        <x:f>IF(D32="","Open Slot",IF(AND(W32&lt;&gt;"",W32&lt;&gt;"No Decision"),"Decision Recorded",IF(OR(V32="ADVANCE",ISNUMBER(SEARCH("EXCEPTION",V32))),"COMMITTEE DECISION REQUIRED","Under Review")))</x:f>
        <x:v>Open Slot</x:v>
      </x:c>
    </x:row>
    <x:row r="33" ht="28" customHeight="1">
      <x:c r="A33" s="269" t="str">
        <x:v>CAND-020</x:v>
      </x:c>
      <x:c r="B33" s="271"/>
      <x:c r="C33" s="271"/>
      <x:c r="D33" s="271"/>
      <x:c r="E33" s="271"/>
      <x:c r="F33" s="271"/>
      <x:c r="G33" s="271"/>
      <x:c r="H33" s="274"/>
      <x:c r="I33" s="271"/>
      <x:c r="J33" s="271"/>
      <x:c r="K33" s="274"/>
      <x:c r="L33" s="274"/>
      <x:c r="M33" s="274"/>
      <x:c r="N33" s="274"/>
      <x:c r="O33" s="274"/>
      <x:c r="P33" s="274"/>
      <x:c r="Q33" s="307" t="str">
        <x:f>IF(COUNTA(K33:P33)&lt;6,"",K33*$B$5+L33*$B$6+M33*$B$7+N33*$B$8+O33*$B$9+P33*$B$10)</x:f>
      </x:c>
      <x:c r="R33" s="274"/>
      <x:c r="S33" s="307" t="str">
        <x:f>IF(J33="","",IF(J33=1,100,IF(J33=2,85,IF(J33=3,60,IF(J33=4,25,0)))))</x:f>
      </x:c>
      <x:c r="T33" s="307" t="str">
        <x:f>IF(Q33="","",IF(R33="Yes",Q33*(1-$E$6)+S33*$E$6,Q33))</x:f>
      </x:c>
      <x:c r="U33" s="269" t="str">
        <x:f>IF(D33="","",IF(OR(H33="",I33="",J33="",COUNTA(K33:P33)&lt;6),"DATA MISSING",IF(AND(C33="Candidate",H33&lt;$E$7),"MARKET CAP EXCEPTION",IF(I33="No Rating","MERRILL EXCEPTION",IF(J33&gt;=4,"ZACKS EXCEPTION","ELIGIBLE")))))</x:f>
      </x:c>
      <x:c r="V33" s="269" t="str">
        <x:f>IF(D33="","",IF(Q33="","COMPLETE SCORING",IF(U33&lt;&gt;"ELIGIBLE","DOCUMENT / COMMITTEE EXCEPTION",IF(T33&gt;=85,"ADVANCE",IF(T33&gt;=75,"RETAIN ON SHORT LIST",IF(T33&gt;=65,"WATCH","REJECT / REPLACE"))))))</x:f>
      </x:c>
      <x:c r="W33" s="271"/>
      <x:c r="X33" s="271"/>
      <x:c r="Y33" s="269" t="str">
        <x:f>IF(D33="","Open Slot",IF(AND(W33&lt;&gt;"",W33&lt;&gt;"No Decision"),"Decision Recorded",IF(OR(V33="ADVANCE",ISNUMBER(SEARCH("EXCEPTION",V33))),"COMMITTEE DECISION REQUIRED","Under Review")))</x:f>
        <x:v>Open Slot</x:v>
      </x:c>
    </x:row>
  </x:sheetData>
  <x:mergeCells>
    <x:mergeCell ref="A1:Y1"/>
    <x:mergeCell ref="A2:Y2"/>
    <x:mergeCell ref="A3:Y3"/>
    <x:mergeCell ref="A4:B4"/>
    <x:mergeCell ref="D4:F4"/>
    <x:mergeCell ref="H4:Y4"/>
    <x:mergeCell ref="H5:Y10"/>
    <x:mergeCell ref="A12:Y12"/>
  </x:mergeCells>
  <x:conditionalFormatting sqref="U14:U33">
    <x:cfRule type="expression" dxfId="28" priority="1">
      <x:formula>OR(U14="PASS",U14="ACTIVE",U14="READY",U14="NO CHANGE",U14="BASELINE",U14="CERTIFIED",U14="ELIGIBLE",U14="NO DECISION")</x:formula>
    </x:cfRule>
    <x:cfRule type="expression" dxfId="29" priority="2">
      <x:formula>OR(ISNUMBER(SEARCH("REVIEW",U14)),ISNUMBER(SEARCH("MONITOR",U14)),ISNUMBER(SEARCH("PENDING",U14)),ISNUMBER(SEARCH("INPUT",U14)),ISNUMBER(SEARCH("ASSIGN",U14)),ISNUMBER(SEARCH("EXCEPTION",U14)),ISNUMBER(SEARCH("REQUIRED",U14)))</x:formula>
    </x:cfRule>
    <x:cfRule type="expression" dxfId="30" priority="3">
      <x:formula>OR(ISNUMBER(SEARCH("FAIL",U14)),ISNUMBER(SEARCH("PROHIBITED",U14)),ISNUMBER(SEARCH("IMPAIRED",U14)),ISNUMBER(SEARCH("REJECT",U14)))</x:formula>
    </x:cfRule>
  </x:conditionalFormatting>
  <x:conditionalFormatting sqref="Y14:Y33">
    <x:cfRule type="expression" dxfId="31" priority="4">
      <x:formula>OR(Y14="PASS",Y14="ACTIVE",Y14="READY",Y14="NO CHANGE",Y14="BASELINE",Y14="CERTIFIED",Y14="ELIGIBLE",Y14="NO DECISION")</x:formula>
    </x:cfRule>
    <x:cfRule type="expression" dxfId="32" priority="5">
      <x:formula>OR(ISNUMBER(SEARCH("REVIEW",Y14)),ISNUMBER(SEARCH("MONITOR",Y14)),ISNUMBER(SEARCH("PENDING",Y14)),ISNUMBER(SEARCH("INPUT",Y14)),ISNUMBER(SEARCH("ASSIGN",Y14)),ISNUMBER(SEARCH("EXCEPTION",Y14)),ISNUMBER(SEARCH("REQUIRED",Y14)))</x:formula>
    </x:cfRule>
    <x:cfRule type="expression" dxfId="33" priority="6">
      <x:formula>OR(ISNUMBER(SEARCH("FAIL",Y14)),ISNUMBER(SEARCH("PROHIBITED",Y14)),ISNUMBER(SEARCH("IMPAIRED",Y14)),ISNUMBER(SEARCH("REJECT",Y14)))</x:formula>
    </x:cfRule>
  </x:conditionalFormatting>
  <x:conditionalFormatting sqref="V14:V33">
    <x:cfRule type="expression" dxfId="34" priority="7">
      <x:formula>OR(V14="ADVANCE",V14="RETAIN ON SHORT LIST")</x:formula>
    </x:cfRule>
    <x:cfRule type="expression" dxfId="35" priority="8">
      <x:formula>OR(ISNUMBER(SEARCH("EXCEPTION",V14)),V14="WATCH")</x:formula>
    </x:cfRule>
    <x:cfRule type="expression" dxfId="36" priority="9">
      <x:formula>V14="REJECT / REPLACE"</x:formula>
    </x:cfRule>
  </x:conditionalFormatting>
  <x:dataValidations count="7">
    <x:dataValidation type="list" sqref="C14:C33">
      <x:formula1>"Incumbent,Candidate"</x:formula1>
    </x:dataValidation>
    <x:dataValidation type="list" sqref="F14:F33">
      <x:formula1>"Strategic Anchors,Growth Compounders,Digital Infrastructure &amp; AI,Industrials &amp; Infrastructure,Financial Infrastructure,Healthcare Leadership,Energy &amp; Natural Resources,Income &amp; Risk Management"</x:formula1>
    </x:dataValidation>
    <x:dataValidation type="list" sqref="G14:G33">
      <x:formula1>"Constitutional Anchor,Core Compounder,Growth Engine,Infrastructure Enabler,Quality Financial,Defensive Healthcare,Resource Exposure,Income Generator,Volatility Moderator,Diversifier"</x:formula1>
    </x:dataValidation>
    <x:dataValidation type="list" sqref="I14:I33">
      <x:formula1>"Buy,Neutral,Underperform,No Rating,Not Checked"</x:formula1>
    </x:dataValidation>
    <x:dataValidation type="list" sqref="J14:J33">
      <x:formula1>"1,2,3,4,5"</x:formula1>
    </x:dataValidation>
    <x:dataValidation type="list" sqref="R14:R33">
      <x:formula1>"Yes,No"</x:formula1>
    </x:dataValidation>
    <x:dataValidation type="list" sqref="W14:W33">
      <x:formula1>"Approve,Reject,Defer,Exception Approved,No Decision"</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13" hidden="0" customWidth="1"/>
    <x:col min="6" max="6" width="18" hidden="0" customWidth="1"/>
    <x:col min="7" max="7" width="22" hidden="0" customWidth="1"/>
    <x:col min="8" max="8" width="20" hidden="0" customWidth="1"/>
    <x:col min="9" max="9" width="12" hidden="0" customWidth="1"/>
    <x:col min="10" max="10" width="18" hidden="0" customWidth="1"/>
    <x:col min="11" max="11" width="18" hidden="0" customWidth="1"/>
    <x:col min="12" max="12" width="20" hidden="0" customWidth="1"/>
    <x:col min="13" max="13" width="22" hidden="0" customWidth="1"/>
    <x:col min="14" max="14" width="16" hidden="0" customWidth="1"/>
    <x:col min="15" max="15" width="24" hidden="0" customWidth="1"/>
    <x:col min="16" max="16" width="34" hidden="0" customWidth="1"/>
  </x:cols>
  <x:sheetData>
    <x:row r="1" ht="28" customHeight="1">
      <x:c r="A1" s="247" t="str">
        <x:v>MOPS-002 / PEW-005 — CONVICTION ASSIGNMENT &amp; THESIS CONTROL</x:v>
      </x:c>
      <x:c r="B1" s="247"/>
      <x:c r="C1" s="247"/>
      <x:c r="D1" s="247"/>
      <x:c r="E1" s="247"/>
      <x:c r="F1" s="247"/>
      <x:c r="G1" s="247"/>
      <x:c r="H1" s="247"/>
      <x:c r="I1" s="247"/>
      <x:c r="J1" s="247"/>
      <x:c r="K1" s="247"/>
      <x:c r="L1" s="247"/>
      <x:c r="M1" s="247"/>
      <x:c r="N1" s="247"/>
      <x:c r="O1" s="247"/>
      <x:c r="P1" s="247"/>
    </x:row>
    <x:row r="2" ht="20" customHeight="1">
      <x:c r="A2" s="250" t="str">
        <x:v>Separates security quality from portfolio conviction and documents thesis, risk, horizon and review requirements</x:v>
      </x:c>
      <x:c r="B2" s="250"/>
      <x:c r="C2" s="250"/>
      <x:c r="D2" s="250"/>
      <x:c r="E2" s="250"/>
      <x:c r="F2" s="250"/>
      <x:c r="G2" s="250"/>
      <x:c r="H2" s="250"/>
      <x:c r="I2" s="250"/>
      <x:c r="J2" s="250"/>
      <x:c r="K2" s="250"/>
      <x:c r="L2" s="250"/>
      <x:c r="M2" s="250"/>
      <x:c r="N2" s="250"/>
      <x:c r="O2" s="250"/>
      <x:c r="P2" s="250"/>
    </x:row>
    <x:row r="3" ht="18" customHeight="1">
      <x:c r="A3" s="254" t="str">
        <x:v>Conviction tiers: Tier 1 Anchor | Tier 2 Core | Tier 3 Opportunistic | Unassigned blocks certification</x:v>
      </x:c>
      <x:c r="B3" s="254"/>
      <x:c r="C3" s="254"/>
      <x:c r="D3" s="254"/>
      <x:c r="E3" s="254"/>
      <x:c r="F3" s="254"/>
      <x:c r="G3" s="254"/>
      <x:c r="H3" s="254"/>
      <x:c r="I3" s="254"/>
      <x:c r="J3" s="254"/>
      <x:c r="K3" s="254"/>
      <x:c r="L3" s="254"/>
      <x:c r="M3" s="254"/>
      <x:c r="N3" s="254"/>
      <x:c r="O3" s="254"/>
      <x:c r="P3" s="254"/>
    </x:row>
    <x:row r="4" ht="30" customHeight="1">
      <x:c r="A4" s="267" t="str">
        <x:v>Production Sleeve</x:v>
      </x:c>
      <x:c r="B4" s="267" t="str">
        <x:v>Symbol</x:v>
      </x:c>
      <x:c r="C4" s="267" t="str">
        <x:v>Security</x:v>
      </x:c>
      <x:c r="D4" s="267" t="str">
        <x:v>Type</x:v>
      </x:c>
      <x:c r="E4" s="267" t="str">
        <x:v>Certified Weight</x:v>
      </x:c>
      <x:c r="F4" s="267" t="str">
        <x:v>Current Conviction</x:v>
      </x:c>
      <x:c r="G4" s="267" t="str">
        <x:v>Proposed Conviction (Input)</x:v>
      </x:c>
      <x:c r="H4" s="267" t="str">
        <x:v>Effective Conviction</x:v>
      </x:c>
      <x:c r="I4" s="267" t="str">
        <x:v>Conviction Score</x:v>
      </x:c>
      <x:c r="J4" s="267" t="str">
        <x:v>Thesis Status (Input)</x:v>
      </x:c>
      <x:c r="K4" s="267" t="str">
        <x:v>Research Status</x:v>
      </x:c>
      <x:c r="L4" s="267" t="str">
        <x:v>Risk Classification (Input)</x:v>
      </x:c>
      <x:c r="M4" s="267" t="str">
        <x:v>Expected Holding Period (Input)</x:v>
      </x:c>
      <x:c r="N4" s="267" t="str">
        <x:v>Next Review Date (Input)</x:v>
      </x:c>
      <x:c r="O4" s="267" t="str">
        <x:v>Decision State</x:v>
      </x:c>
      <x:c r="P4" s="267" t="str">
        <x:v>Committee Rationale</x:v>
      </x:c>
    </x:row>
    <x:row r="5" ht="25" customHeight="1">
      <x:c r="A5" s="268" t="str">
        <x:f>'Certified Allocation'!A5</x:f>
        <x:v>Strategic Anchors</x:v>
      </x:c>
      <x:c r="B5" s="268" t="str">
        <x:f>'Certified Allocation'!B5</x:f>
        <x:v>BRK.B</x:v>
      </x:c>
      <x:c r="C5" s="268" t="str">
        <x:f>'Certified Allocation'!C5</x:f>
        <x:v>Berkshire Hathaway Inc. Class B</x:v>
      </x:c>
      <x:c r="D5" s="268" t="str">
        <x:f>'Certified Allocation'!D5</x:f>
        <x:v>Equity</x:v>
      </x:c>
      <x:c r="E5" s="275" t="n">
        <x:f>'Certified Allocation'!F5</x:f>
        <x:v>0.0302</x:v>
      </x:c>
      <x:c r="F5" s="268" t="str">
        <x:f>'Certified Allocation'!M5</x:f>
        <x:v>Unassigned</x:v>
      </x:c>
      <x:c r="G5" s="271"/>
      <x:c r="H5" s="269" t="str">
        <x:f>IF(G5="",F5,G5)</x:f>
        <x:v>Unassigned</x:v>
      </x:c>
      <x:c r="I5" s="269" t="n">
        <x:f>IF(H5="Tier 1 — Anchor",3,IF(H5="Tier 2 — Core",2,IF(H5="Tier 3 — Opportunistic",1,0)))</x:f>
        <x:v>0</x:v>
      </x:c>
      <x:c r="J5" s="271"/>
      <x:c r="K5" s="268" t="str">
        <x:f>'Certified Allocation'!N5</x:f>
        <x:v>Current</x:v>
      </x:c>
      <x:c r="L5" s="271"/>
      <x:c r="M5" s="271"/>
      <x:c r="N5" s="294"/>
      <x:c r="O5" s="269" t="str">
        <x:f>IF(H5="Unassigned","ASSIGN CONVICTION",IF(J5="Impaired","REDUCE / REPLACE REVIEW",IF(G5&lt;&gt;"","COMMITTEE REVIEW",IF(OR(K5="Update Due",K5="Review Due",K5="Decision Required"),"RESEARCH REVIEW","NO CHANGE"))))</x:f>
        <x:v>ASSIGN CONVICTION</x:v>
      </x:c>
      <x:c r="P5" s="271"/>
    </x:row>
    <x:row r="6" ht="25" customHeight="1">
      <x:c r="A6" s="268" t="str">
        <x:f>'Certified Allocation'!A6</x:f>
        <x:v>Strategic Anchors</x:v>
      </x:c>
      <x:c r="B6" s="268" t="str">
        <x:f>'Certified Allocation'!B6</x:f>
        <x:v>COST</x:v>
      </x:c>
      <x:c r="C6" s="268" t="str">
        <x:f>'Certified Allocation'!C6</x:f>
        <x:v>Costco Wholesale Corporation</x:v>
      </x:c>
      <x:c r="D6" s="268" t="str">
        <x:f>'Certified Allocation'!D6</x:f>
        <x:v>Equity</x:v>
      </x:c>
      <x:c r="E6" s="275" t="n">
        <x:f>'Certified Allocation'!F6</x:f>
        <x:v>0.0302</x:v>
      </x:c>
      <x:c r="F6" s="268" t="str">
        <x:f>'Certified Allocation'!M6</x:f>
        <x:v>Unassigned</x:v>
      </x:c>
      <x:c r="G6" s="271"/>
      <x:c r="H6" s="269" t="str">
        <x:f>IF(G6="",F6,G6)</x:f>
        <x:v>Unassigned</x:v>
      </x:c>
      <x:c r="I6" s="269" t="n">
        <x:f>IF(H6="Tier 1 — Anchor",3,IF(H6="Tier 2 — Core",2,IF(H6="Tier 3 — Opportunistic",1,0)))</x:f>
        <x:v>0</x:v>
      </x:c>
      <x:c r="J6" s="271"/>
      <x:c r="K6" s="268" t="str">
        <x:f>'Certified Allocation'!N6</x:f>
        <x:v>Current</x:v>
      </x:c>
      <x:c r="L6" s="271"/>
      <x:c r="M6" s="271"/>
      <x:c r="N6" s="294"/>
      <x:c r="O6" s="269" t="str">
        <x:f>IF(H6="Unassigned","ASSIGN CONVICTION",IF(J6="Impaired","REDUCE / REPLACE REVIEW",IF(G6&lt;&gt;"","COMMITTEE REVIEW",IF(OR(K6="Update Due",K6="Review Due",K6="Decision Required"),"RESEARCH REVIEW","NO CHANGE"))))</x:f>
        <x:v>ASSIGN CONVICTION</x:v>
      </x:c>
      <x:c r="P6" s="271"/>
    </x:row>
    <x:row r="7" ht="25" customHeight="1">
      <x:c r="A7" s="268" t="str">
        <x:f>'Certified Allocation'!A7</x:f>
        <x:v>Strategic Anchors</x:v>
      </x:c>
      <x:c r="B7" s="268" t="str">
        <x:f>'Certified Allocation'!B7</x:f>
        <x:v>JNJ</x:v>
      </x:c>
      <x:c r="C7" s="268" t="str">
        <x:f>'Certified Allocation'!C7</x:f>
        <x:v>Johnson &amp; Johnson</x:v>
      </x:c>
      <x:c r="D7" s="268" t="str">
        <x:f>'Certified Allocation'!D7</x:f>
        <x:v>Equity</x:v>
      </x:c>
      <x:c r="E7" s="275" t="n">
        <x:f>'Certified Allocation'!F7</x:f>
        <x:v>0.0302</x:v>
      </x:c>
      <x:c r="F7" s="268" t="str">
        <x:f>'Certified Allocation'!M7</x:f>
        <x:v>Unassigned</x:v>
      </x:c>
      <x:c r="G7" s="271"/>
      <x:c r="H7" s="269" t="str">
        <x:f>IF(G7="",F7,G7)</x:f>
        <x:v>Unassigned</x:v>
      </x:c>
      <x:c r="I7" s="269" t="n">
        <x:f>IF(H7="Tier 1 — Anchor",3,IF(H7="Tier 2 — Core",2,IF(H7="Tier 3 — Opportunistic",1,0)))</x:f>
        <x:v>0</x:v>
      </x:c>
      <x:c r="J7" s="271"/>
      <x:c r="K7" s="268" t="str">
        <x:f>'Certified Allocation'!N7</x:f>
        <x:v>Current</x:v>
      </x:c>
      <x:c r="L7" s="271"/>
      <x:c r="M7" s="271"/>
      <x:c r="N7" s="294"/>
      <x:c r="O7" s="269" t="str">
        <x:f>IF(H7="Unassigned","ASSIGN CONVICTION",IF(J7="Impaired","REDUCE / REPLACE REVIEW",IF(G7&lt;&gt;"","COMMITTEE REVIEW",IF(OR(K7="Update Due",K7="Review Due",K7="Decision Required"),"RESEARCH REVIEW","NO CHANGE"))))</x:f>
        <x:v>ASSIGN CONVICTION</x:v>
      </x:c>
      <x:c r="P7" s="271"/>
    </x:row>
    <x:row r="8" ht="25" customHeight="1">
      <x:c r="A8" s="268" t="str">
        <x:f>'Certified Allocation'!A8</x:f>
        <x:v>Strategic Anchors</x:v>
      </x:c>
      <x:c r="B8" s="268" t="str">
        <x:f>'Certified Allocation'!B8</x:f>
        <x:v>MSFT</x:v>
      </x:c>
      <x:c r="C8" s="268" t="str">
        <x:f>'Certified Allocation'!C8</x:f>
        <x:v>Microsoft Corporation</x:v>
      </x:c>
      <x:c r="D8" s="268" t="str">
        <x:f>'Certified Allocation'!D8</x:f>
        <x:v>Equity</x:v>
      </x:c>
      <x:c r="E8" s="275" t="n">
        <x:f>'Certified Allocation'!F8</x:f>
        <x:v>0.0302</x:v>
      </x:c>
      <x:c r="F8" s="268" t="str">
        <x:f>'Certified Allocation'!M8</x:f>
        <x:v>Unassigned</x:v>
      </x:c>
      <x:c r="G8" s="271"/>
      <x:c r="H8" s="269" t="str">
        <x:f>IF(G8="",F8,G8)</x:f>
        <x:v>Unassigned</x:v>
      </x:c>
      <x:c r="I8" s="269" t="n">
        <x:f>IF(H8="Tier 1 — Anchor",3,IF(H8="Tier 2 — Core",2,IF(H8="Tier 3 — Opportunistic",1,0)))</x:f>
        <x:v>0</x:v>
      </x:c>
      <x:c r="J8" s="271"/>
      <x:c r="K8" s="268" t="str">
        <x:f>'Certified Allocation'!N8</x:f>
        <x:v>Current</x:v>
      </x:c>
      <x:c r="L8" s="271"/>
      <x:c r="M8" s="271"/>
      <x:c r="N8" s="294"/>
      <x:c r="O8" s="269" t="str">
        <x:f>IF(H8="Unassigned","ASSIGN CONVICTION",IF(J8="Impaired","REDUCE / REPLACE REVIEW",IF(G8&lt;&gt;"","COMMITTEE REVIEW",IF(OR(K8="Update Due",K8="Review Due",K8="Decision Required"),"RESEARCH REVIEW","NO CHANGE"))))</x:f>
        <x:v>ASSIGN CONVICTION</x:v>
      </x:c>
      <x:c r="P8" s="271"/>
    </x:row>
    <x:row r="9" ht="25" customHeight="1">
      <x:c r="A9" s="268" t="str">
        <x:f>'Certified Allocation'!A9</x:f>
        <x:v>Strategic Anchors</x:v>
      </x:c>
      <x:c r="B9" s="268" t="str">
        <x:f>'Certified Allocation'!B9</x:f>
        <x:v>V</x:v>
      </x:c>
      <x:c r="C9" s="268" t="str">
        <x:f>'Certified Allocation'!C9</x:f>
        <x:v>Visa Inc.</x:v>
      </x:c>
      <x:c r="D9" s="268" t="str">
        <x:f>'Certified Allocation'!D9</x:f>
        <x:v>Equity</x:v>
      </x:c>
      <x:c r="E9" s="275" t="n">
        <x:f>'Certified Allocation'!F9</x:f>
        <x:v>0.0288</x:v>
      </x:c>
      <x:c r="F9" s="268" t="str">
        <x:f>'Certified Allocation'!M9</x:f>
        <x:v>Unassigned</x:v>
      </x:c>
      <x:c r="G9" s="271"/>
      <x:c r="H9" s="269" t="str">
        <x:f>IF(G9="",F9,G9)</x:f>
        <x:v>Unassigned</x:v>
      </x:c>
      <x:c r="I9" s="269" t="n">
        <x:f>IF(H9="Tier 1 — Anchor",3,IF(H9="Tier 2 — Core",2,IF(H9="Tier 3 — Opportunistic",1,0)))</x:f>
        <x:v>0</x:v>
      </x:c>
      <x:c r="J9" s="271"/>
      <x:c r="K9" s="268" t="str">
        <x:f>'Certified Allocation'!N9</x:f>
        <x:v>Current</x:v>
      </x:c>
      <x:c r="L9" s="271"/>
      <x:c r="M9" s="271"/>
      <x:c r="N9" s="294"/>
      <x:c r="O9" s="269" t="str">
        <x:f>IF(H9="Unassigned","ASSIGN CONVICTION",IF(J9="Impaired","REDUCE / REPLACE REVIEW",IF(G9&lt;&gt;"","COMMITTEE REVIEW",IF(OR(K9="Update Due",K9="Review Due",K9="Decision Required"),"RESEARCH REVIEW","NO CHANGE"))))</x:f>
        <x:v>ASSIGN CONVICTION</x:v>
      </x:c>
      <x:c r="P9" s="271"/>
    </x:row>
    <x:row r="10" ht="25" customHeight="1">
      <x:c r="A10" s="268" t="str">
        <x:f>'Certified Allocation'!A10</x:f>
        <x:v>Strategic Anchors</x:v>
      </x:c>
      <x:c r="B10" s="268" t="str">
        <x:f>'Certified Allocation'!B10</x:f>
        <x:v>GOOGL</x:v>
      </x:c>
      <x:c r="C10" s="268" t="str">
        <x:f>'Certified Allocation'!C10</x:f>
        <x:v>Alphabet Inc. Class A</x:v>
      </x:c>
      <x:c r="D10" s="268" t="str">
        <x:f>'Certified Allocation'!D10</x:f>
        <x:v>Equity</x:v>
      </x:c>
      <x:c r="E10" s="275" t="n">
        <x:f>'Certified Allocation'!F10</x:f>
        <x:v>0.0284</x:v>
      </x:c>
      <x:c r="F10" s="268" t="str">
        <x:f>'Certified Allocation'!M10</x:f>
        <x:v>Unassigned</x:v>
      </x:c>
      <x:c r="G10" s="271"/>
      <x:c r="H10" s="269" t="str">
        <x:f>IF(G10="",F10,G10)</x:f>
        <x:v>Unassigned</x:v>
      </x:c>
      <x:c r="I10" s="269" t="n">
        <x:f>IF(H10="Tier 1 — Anchor",3,IF(H10="Tier 2 — Core",2,IF(H10="Tier 3 — Opportunistic",1,0)))</x:f>
        <x:v>0</x:v>
      </x:c>
      <x:c r="J10" s="271"/>
      <x:c r="K10" s="268" t="str">
        <x:f>'Certified Allocation'!N10</x:f>
        <x:v>Current</x:v>
      </x:c>
      <x:c r="L10" s="271"/>
      <x:c r="M10" s="271"/>
      <x:c r="N10" s="294"/>
      <x:c r="O10" s="269" t="str">
        <x:f>IF(H10="Unassigned","ASSIGN CONVICTION",IF(J10="Impaired","REDUCE / REPLACE REVIEW",IF(G10&lt;&gt;"","COMMITTEE REVIEW",IF(OR(K10="Update Due",K10="Review Due",K10="Decision Required"),"RESEARCH REVIEW","NO CHANGE"))))</x:f>
        <x:v>ASSIGN CONVICTION</x:v>
      </x:c>
      <x:c r="P10" s="271"/>
    </x:row>
    <x:row r="11" ht="25" customHeight="1">
      <x:c r="A11" s="268" t="str">
        <x:f>'Certified Allocation'!A11</x:f>
        <x:v>Strategic Anchors</x:v>
      </x:c>
      <x:c r="B11" s="268" t="str">
        <x:f>'Certified Allocation'!B11</x:f>
        <x:v>MA</x:v>
      </x:c>
      <x:c r="C11" s="268" t="str">
        <x:f>'Certified Allocation'!C11</x:f>
        <x:v>Mastercard Incorporated</x:v>
      </x:c>
      <x:c r="D11" s="268" t="str">
        <x:f>'Certified Allocation'!D11</x:f>
        <x:v>Equity</x:v>
      </x:c>
      <x:c r="E11" s="275" t="n">
        <x:f>'Certified Allocation'!F11</x:f>
        <x:v>0.016</x:v>
      </x:c>
      <x:c r="F11" s="268" t="str">
        <x:f>'Certified Allocation'!M11</x:f>
        <x:v>Unassigned</x:v>
      </x:c>
      <x:c r="G11" s="271"/>
      <x:c r="H11" s="269" t="str">
        <x:f>IF(G11="",F11,G11)</x:f>
        <x:v>Unassigned</x:v>
      </x:c>
      <x:c r="I11" s="269" t="n">
        <x:f>IF(H11="Tier 1 — Anchor",3,IF(H11="Tier 2 — Core",2,IF(H11="Tier 3 — Opportunistic",1,0)))</x:f>
        <x:v>0</x:v>
      </x:c>
      <x:c r="J11" s="271"/>
      <x:c r="K11" s="268" t="str">
        <x:f>'Certified Allocation'!N11</x:f>
        <x:v>Current</x:v>
      </x:c>
      <x:c r="L11" s="271"/>
      <x:c r="M11" s="271"/>
      <x:c r="N11" s="294"/>
      <x:c r="O11" s="269" t="str">
        <x:f>IF(H11="Unassigned","ASSIGN CONVICTION",IF(J11="Impaired","REDUCE / REPLACE REVIEW",IF(G11&lt;&gt;"","COMMITTEE REVIEW",IF(OR(K11="Update Due",K11="Review Due",K11="Decision Required"),"RESEARCH REVIEW","NO CHANGE"))))</x:f>
        <x:v>ASSIGN CONVICTION</x:v>
      </x:c>
      <x:c r="P11" s="271"/>
    </x:row>
    <x:row r="12" ht="25" customHeight="1">
      <x:c r="A12" s="268" t="str">
        <x:f>'Certified Allocation'!A12</x:f>
        <x:v>Strategic Anchors</x:v>
      </x:c>
      <x:c r="B12" s="268" t="str">
        <x:f>'Certified Allocation'!B12</x:f>
        <x:v>AAPL</x:v>
      </x:c>
      <x:c r="C12" s="268" t="str">
        <x:f>'Certified Allocation'!C12</x:f>
        <x:v>Apple Inc.</x:v>
      </x:c>
      <x:c r="D12" s="268" t="str">
        <x:f>'Certified Allocation'!D12</x:f>
        <x:v>Equity</x:v>
      </x:c>
      <x:c r="E12" s="275" t="n">
        <x:f>'Certified Allocation'!F12</x:f>
        <x:v>0.0156</x:v>
      </x:c>
      <x:c r="F12" s="268" t="str">
        <x:f>'Certified Allocation'!M12</x:f>
        <x:v>Unassigned</x:v>
      </x:c>
      <x:c r="G12" s="271"/>
      <x:c r="H12" s="269" t="str">
        <x:f>IF(G12="",F12,G12)</x:f>
        <x:v>Unassigned</x:v>
      </x:c>
      <x:c r="I12" s="269" t="n">
        <x:f>IF(H12="Tier 1 — Anchor",3,IF(H12="Tier 2 — Core",2,IF(H12="Tier 3 — Opportunistic",1,0)))</x:f>
        <x:v>0</x:v>
      </x:c>
      <x:c r="J12" s="271"/>
      <x:c r="K12" s="268" t="str">
        <x:f>'Certified Allocation'!N12</x:f>
        <x:v>Current</x:v>
      </x:c>
      <x:c r="L12" s="271"/>
      <x:c r="M12" s="271"/>
      <x:c r="N12" s="294"/>
      <x:c r="O12" s="269" t="str">
        <x:f>IF(H12="Unassigned","ASSIGN CONVICTION",IF(J12="Impaired","REDUCE / REPLACE REVIEW",IF(G12&lt;&gt;"","COMMITTEE REVIEW",IF(OR(K12="Update Due",K12="Review Due",K12="Decision Required"),"RESEARCH REVIEW","NO CHANGE"))))</x:f>
        <x:v>ASSIGN CONVICTION</x:v>
      </x:c>
      <x:c r="P12" s="271"/>
    </x:row>
    <x:row r="13" ht="25" customHeight="1">
      <x:c r="A13" s="268" t="str">
        <x:f>'Certified Allocation'!A13</x:f>
        <x:v>Strategic Anchors</x:v>
      </x:c>
      <x:c r="B13" s="268" t="str">
        <x:f>'Certified Allocation'!B13</x:f>
        <x:v>AMZN</x:v>
      </x:c>
      <x:c r="C13" s="268" t="str">
        <x:f>'Certified Allocation'!C13</x:f>
        <x:v>Amazon.com, Inc.</x:v>
      </x:c>
      <x:c r="D13" s="268" t="str">
        <x:f>'Certified Allocation'!D13</x:f>
        <x:v>Equity</x:v>
      </x:c>
      <x:c r="E13" s="275" t="n">
        <x:f>'Certified Allocation'!F13</x:f>
        <x:v>0.0155</x:v>
      </x:c>
      <x:c r="F13" s="268" t="str">
        <x:f>'Certified Allocation'!M13</x:f>
        <x:v>Unassigned</x:v>
      </x:c>
      <x:c r="G13" s="271"/>
      <x:c r="H13" s="269" t="str">
        <x:f>IF(G13="",F13,G13)</x:f>
        <x:v>Unassigned</x:v>
      </x:c>
      <x:c r="I13" s="269" t="n">
        <x:f>IF(H13="Tier 1 — Anchor",3,IF(H13="Tier 2 — Core",2,IF(H13="Tier 3 — Opportunistic",1,0)))</x:f>
        <x:v>0</x:v>
      </x:c>
      <x:c r="J13" s="271"/>
      <x:c r="K13" s="268" t="str">
        <x:f>'Certified Allocation'!N13</x:f>
        <x:v>Current</x:v>
      </x:c>
      <x:c r="L13" s="271"/>
      <x:c r="M13" s="271"/>
      <x:c r="N13" s="294"/>
      <x:c r="O13" s="269" t="str">
        <x:f>IF(H13="Unassigned","ASSIGN CONVICTION",IF(J13="Impaired","REDUCE / REPLACE REVIEW",IF(G13&lt;&gt;"","COMMITTEE REVIEW",IF(OR(K13="Update Due",K13="Review Due",K13="Decision Required"),"RESEARCH REVIEW","NO CHANGE"))))</x:f>
        <x:v>ASSIGN CONVICTION</x:v>
      </x:c>
      <x:c r="P13" s="271"/>
    </x:row>
    <x:row r="14" ht="25" customHeight="1">
      <x:c r="A14" s="268" t="str">
        <x:f>'Certified Allocation'!A14</x:f>
        <x:v>Growth Compounders</x:v>
      </x:c>
      <x:c r="B14" s="268" t="str">
        <x:f>'Certified Allocation'!B14</x:f>
        <x:v>AVGO</x:v>
      </x:c>
      <x:c r="C14" s="268" t="str">
        <x:f>'Certified Allocation'!C14</x:f>
        <x:v>Broadcom Inc.</x:v>
      </x:c>
      <x:c r="D14" s="268" t="str">
        <x:f>'Certified Allocation'!D14</x:f>
        <x:v>Equity</x:v>
      </x:c>
      <x:c r="E14" s="275" t="n">
        <x:f>'Certified Allocation'!F14</x:f>
        <x:v>0.0302</x:v>
      </x:c>
      <x:c r="F14" s="268" t="str">
        <x:f>'Certified Allocation'!M14</x:f>
        <x:v>Unassigned</x:v>
      </x:c>
      <x:c r="G14" s="271"/>
      <x:c r="H14" s="269" t="str">
        <x:f>IF(G14="",F14,G14)</x:f>
        <x:v>Unassigned</x:v>
      </x:c>
      <x:c r="I14" s="269" t="n">
        <x:f>IF(H14="Tier 1 — Anchor",3,IF(H14="Tier 2 — Core",2,IF(H14="Tier 3 — Opportunistic",1,0)))</x:f>
        <x:v>0</x:v>
      </x:c>
      <x:c r="J14" s="271"/>
      <x:c r="K14" s="268" t="str">
        <x:f>'Certified Allocation'!N14</x:f>
        <x:v>Current</x:v>
      </x:c>
      <x:c r="L14" s="271"/>
      <x:c r="M14" s="271"/>
      <x:c r="N14" s="294"/>
      <x:c r="O14" s="269" t="str">
        <x:f>IF(H14="Unassigned","ASSIGN CONVICTION",IF(J14="Impaired","REDUCE / REPLACE REVIEW",IF(G14&lt;&gt;"","COMMITTEE REVIEW",IF(OR(K14="Update Due",K14="Review Due",K14="Decision Required"),"RESEARCH REVIEW","NO CHANGE"))))</x:f>
        <x:v>ASSIGN CONVICTION</x:v>
      </x:c>
      <x:c r="P14" s="271"/>
    </x:row>
    <x:row r="15" ht="25" customHeight="1">
      <x:c r="A15" s="268" t="str">
        <x:f>'Certified Allocation'!A15</x:f>
        <x:v>Growth Compounders</x:v>
      </x:c>
      <x:c r="B15" s="268" t="str">
        <x:f>'Certified Allocation'!B15</x:f>
        <x:v>LLY</x:v>
      </x:c>
      <x:c r="C15" s="268" t="str">
        <x:f>'Certified Allocation'!C15</x:f>
        <x:v>Eli Lilly and Company</x:v>
      </x:c>
      <x:c r="D15" s="268" t="str">
        <x:f>'Certified Allocation'!D15</x:f>
        <x:v>Equity</x:v>
      </x:c>
      <x:c r="E15" s="275" t="n">
        <x:f>'Certified Allocation'!F15</x:f>
        <x:v>0.0302</x:v>
      </x:c>
      <x:c r="F15" s="268" t="str">
        <x:f>'Certified Allocation'!M15</x:f>
        <x:v>Unassigned</x:v>
      </x:c>
      <x:c r="G15" s="271"/>
      <x:c r="H15" s="269" t="str">
        <x:f>IF(G15="",F15,G15)</x:f>
        <x:v>Unassigned</x:v>
      </x:c>
      <x:c r="I15" s="269" t="n">
        <x:f>IF(H15="Tier 1 — Anchor",3,IF(H15="Tier 2 — Core",2,IF(H15="Tier 3 — Opportunistic",1,0)))</x:f>
        <x:v>0</x:v>
      </x:c>
      <x:c r="J15" s="271"/>
      <x:c r="K15" s="268" t="str">
        <x:f>'Certified Allocation'!N15</x:f>
        <x:v>Current</x:v>
      </x:c>
      <x:c r="L15" s="271"/>
      <x:c r="M15" s="271"/>
      <x:c r="N15" s="294"/>
      <x:c r="O15" s="269" t="str">
        <x:f>IF(H15="Unassigned","ASSIGN CONVICTION",IF(J15="Impaired","REDUCE / REPLACE REVIEW",IF(G15&lt;&gt;"","COMMITTEE REVIEW",IF(OR(K15="Update Due",K15="Review Due",K15="Decision Required"),"RESEARCH REVIEW","NO CHANGE"))))</x:f>
        <x:v>ASSIGN CONVICTION</x:v>
      </x:c>
      <x:c r="P15" s="271"/>
    </x:row>
    <x:row r="16" ht="25" customHeight="1">
      <x:c r="A16" s="268" t="str">
        <x:f>'Certified Allocation'!A16</x:f>
        <x:v>Growth Compounders</x:v>
      </x:c>
      <x:c r="B16" s="268" t="str">
        <x:f>'Certified Allocation'!B16</x:f>
        <x:v>NVDA</x:v>
      </x:c>
      <x:c r="C16" s="268" t="str">
        <x:f>'Certified Allocation'!C16</x:f>
        <x:v>NVIDIA Corporation</x:v>
      </x:c>
      <x:c r="D16" s="268" t="str">
        <x:f>'Certified Allocation'!D16</x:f>
        <x:v>Equity</x:v>
      </x:c>
      <x:c r="E16" s="275" t="n">
        <x:f>'Certified Allocation'!F16</x:f>
        <x:v>0.0268</x:v>
      </x:c>
      <x:c r="F16" s="268" t="str">
        <x:f>'Certified Allocation'!M16</x:f>
        <x:v>Unassigned</x:v>
      </x:c>
      <x:c r="G16" s="271"/>
      <x:c r="H16" s="269" t="str">
        <x:f>IF(G16="",F16,G16)</x:f>
        <x:v>Unassigned</x:v>
      </x:c>
      <x:c r="I16" s="269" t="n">
        <x:f>IF(H16="Tier 1 — Anchor",3,IF(H16="Tier 2 — Core",2,IF(H16="Tier 3 — Opportunistic",1,0)))</x:f>
        <x:v>0</x:v>
      </x:c>
      <x:c r="J16" s="271"/>
      <x:c r="K16" s="268" t="str">
        <x:f>'Certified Allocation'!N16</x:f>
        <x:v>Current</x:v>
      </x:c>
      <x:c r="L16" s="271"/>
      <x:c r="M16" s="271"/>
      <x:c r="N16" s="294"/>
      <x:c r="O16" s="269" t="str">
        <x:f>IF(H16="Unassigned","ASSIGN CONVICTION",IF(J16="Impaired","REDUCE / REPLACE REVIEW",IF(G16&lt;&gt;"","COMMITTEE REVIEW",IF(OR(K16="Update Due",K16="Review Due",K16="Decision Required"),"RESEARCH REVIEW","NO CHANGE"))))</x:f>
        <x:v>ASSIGN CONVICTION</x:v>
      </x:c>
      <x:c r="P16" s="271"/>
    </x:row>
    <x:row r="17" ht="25" customHeight="1">
      <x:c r="A17" s="268" t="str">
        <x:f>'Certified Allocation'!A17</x:f>
        <x:v>Growth Compounders</x:v>
      </x:c>
      <x:c r="B17" s="268" t="str">
        <x:f>'Certified Allocation'!B17</x:f>
        <x:v>HD</x:v>
      </x:c>
      <x:c r="C17" s="268" t="str">
        <x:f>'Certified Allocation'!C17</x:f>
        <x:v>The Home Depot, Inc.</x:v>
      </x:c>
      <x:c r="D17" s="268" t="str">
        <x:f>'Certified Allocation'!D17</x:f>
        <x:v>Equity</x:v>
      </x:c>
      <x:c r="E17" s="275" t="n">
        <x:f>'Certified Allocation'!F17</x:f>
        <x:v>0.0156</x:v>
      </x:c>
      <x:c r="F17" s="268" t="str">
        <x:f>'Certified Allocation'!M17</x:f>
        <x:v>Unassigned</x:v>
      </x:c>
      <x:c r="G17" s="271"/>
      <x:c r="H17" s="269" t="str">
        <x:f>IF(G17="",F17,G17)</x:f>
        <x:v>Unassigned</x:v>
      </x:c>
      <x:c r="I17" s="269" t="n">
        <x:f>IF(H17="Tier 1 — Anchor",3,IF(H17="Tier 2 — Core",2,IF(H17="Tier 3 — Opportunistic",1,0)))</x:f>
        <x:v>0</x:v>
      </x:c>
      <x:c r="J17" s="271"/>
      <x:c r="K17" s="268" t="str">
        <x:f>'Certified Allocation'!N17</x:f>
        <x:v>Current</x:v>
      </x:c>
      <x:c r="L17" s="271"/>
      <x:c r="M17" s="271"/>
      <x:c r="N17" s="294"/>
      <x:c r="O17" s="269" t="str">
        <x:f>IF(H17="Unassigned","ASSIGN CONVICTION",IF(J17="Impaired","REDUCE / REPLACE REVIEW",IF(G17&lt;&gt;"","COMMITTEE REVIEW",IF(OR(K17="Update Due",K17="Review Due",K17="Decision Required"),"RESEARCH REVIEW","NO CHANGE"))))</x:f>
        <x:v>ASSIGN CONVICTION</x:v>
      </x:c>
      <x:c r="P17" s="271"/>
    </x:row>
    <x:row r="18" ht="25" customHeight="1">
      <x:c r="A18" s="268" t="str">
        <x:f>'Certified Allocation'!A18</x:f>
        <x:v>Growth Compounders</x:v>
      </x:c>
      <x:c r="B18" s="268" t="str">
        <x:f>'Certified Allocation'!B18</x:f>
        <x:v>META</x:v>
      </x:c>
      <x:c r="C18" s="268" t="str">
        <x:f>'Certified Allocation'!C18</x:f>
        <x:v>Meta Platforms, Inc.</x:v>
      </x:c>
      <x:c r="D18" s="268" t="str">
        <x:f>'Certified Allocation'!D18</x:f>
        <x:v>Equity</x:v>
      </x:c>
      <x:c r="E18" s="275" t="n">
        <x:f>'Certified Allocation'!F18</x:f>
        <x:v>0.0156</x:v>
      </x:c>
      <x:c r="F18" s="268" t="str">
        <x:f>'Certified Allocation'!M18</x:f>
        <x:v>Unassigned</x:v>
      </x:c>
      <x:c r="G18" s="271"/>
      <x:c r="H18" s="269" t="str">
        <x:f>IF(G18="",F18,G18)</x:f>
        <x:v>Unassigned</x:v>
      </x:c>
      <x:c r="I18" s="269" t="n">
        <x:f>IF(H18="Tier 1 — Anchor",3,IF(H18="Tier 2 — Core",2,IF(H18="Tier 3 — Opportunistic",1,0)))</x:f>
        <x:v>0</x:v>
      </x:c>
      <x:c r="J18" s="271"/>
      <x:c r="K18" s="268" t="str">
        <x:f>'Certified Allocation'!N18</x:f>
        <x:v>Current</x:v>
      </x:c>
      <x:c r="L18" s="271"/>
      <x:c r="M18" s="271"/>
      <x:c r="N18" s="294"/>
      <x:c r="O18" s="269" t="str">
        <x:f>IF(H18="Unassigned","ASSIGN CONVICTION",IF(J18="Impaired","REDUCE / REPLACE REVIEW",IF(G18&lt;&gt;"","COMMITTEE REVIEW",IF(OR(K18="Update Due",K18="Review Due",K18="Decision Required"),"RESEARCH REVIEW","NO CHANGE"))))</x:f>
        <x:v>ASSIGN CONVICTION</x:v>
      </x:c>
      <x:c r="P18" s="271"/>
    </x:row>
    <x:row r="19" ht="25" customHeight="1">
      <x:c r="A19" s="268" t="str">
        <x:f>'Certified Allocation'!A19</x:f>
        <x:v>Growth Compounders</x:v>
      </x:c>
      <x:c r="B19" s="268" t="str">
        <x:f>'Certified Allocation'!B19</x:f>
        <x:v>ANET</x:v>
      </x:c>
      <x:c r="C19" s="268" t="str">
        <x:f>'Certified Allocation'!C19</x:f>
        <x:v>Arista Networks, Inc.</x:v>
      </x:c>
      <x:c r="D19" s="268" t="str">
        <x:f>'Certified Allocation'!D19</x:f>
        <x:v>Equity</x:v>
      </x:c>
      <x:c r="E19" s="275" t="n">
        <x:f>'Certified Allocation'!F19</x:f>
        <x:v>0.0155</x:v>
      </x:c>
      <x:c r="F19" s="268" t="str">
        <x:f>'Certified Allocation'!M19</x:f>
        <x:v>Unassigned</x:v>
      </x:c>
      <x:c r="G19" s="271"/>
      <x:c r="H19" s="269" t="str">
        <x:f>IF(G19="",F19,G19)</x:f>
        <x:v>Unassigned</x:v>
      </x:c>
      <x:c r="I19" s="269" t="n">
        <x:f>IF(H19="Tier 1 — Anchor",3,IF(H19="Tier 2 — Core",2,IF(H19="Tier 3 — Opportunistic",1,0)))</x:f>
        <x:v>0</x:v>
      </x:c>
      <x:c r="J19" s="271"/>
      <x:c r="K19" s="268" t="str">
        <x:f>'Certified Allocation'!N19</x:f>
        <x:v>Current</x:v>
      </x:c>
      <x:c r="L19" s="271"/>
      <x:c r="M19" s="271"/>
      <x:c r="N19" s="294"/>
      <x:c r="O19" s="269" t="str">
        <x:f>IF(H19="Unassigned","ASSIGN CONVICTION",IF(J19="Impaired","REDUCE / REPLACE REVIEW",IF(G19&lt;&gt;"","COMMITTEE REVIEW",IF(OR(K19="Update Due",K19="Review Due",K19="Decision Required"),"RESEARCH REVIEW","NO CHANGE"))))</x:f>
        <x:v>ASSIGN CONVICTION</x:v>
      </x:c>
      <x:c r="P19" s="271"/>
    </x:row>
    <x:row r="20" ht="25" customHeight="1">
      <x:c r="A20" s="268" t="str">
        <x:f>'Certified Allocation'!A20</x:f>
        <x:v>Digital Infrastructure &amp; AI</x:v>
      </x:c>
      <x:c r="B20" s="268" t="str">
        <x:f>'Certified Allocation'!B20</x:f>
        <x:v>PANW</x:v>
      </x:c>
      <x:c r="C20" s="268" t="str">
        <x:f>'Certified Allocation'!C20</x:f>
        <x:v>Palo Alto Networks, Inc.</x:v>
      </x:c>
      <x:c r="D20" s="268" t="str">
        <x:f>'Certified Allocation'!D20</x:f>
        <x:v>Equity</x:v>
      </x:c>
      <x:c r="E20" s="275" t="n">
        <x:f>'Certified Allocation'!F20</x:f>
        <x:v>0.0199</x:v>
      </x:c>
      <x:c r="F20" s="268" t="str">
        <x:f>'Certified Allocation'!M20</x:f>
        <x:v>Unassigned</x:v>
      </x:c>
      <x:c r="G20" s="271"/>
      <x:c r="H20" s="269" t="str">
        <x:f>IF(G20="",F20,G20)</x:f>
        <x:v>Unassigned</x:v>
      </x:c>
      <x:c r="I20" s="269" t="n">
        <x:f>IF(H20="Tier 1 — Anchor",3,IF(H20="Tier 2 — Core",2,IF(H20="Tier 3 — Opportunistic",1,0)))</x:f>
        <x:v>0</x:v>
      </x:c>
      <x:c r="J20" s="271"/>
      <x:c r="K20" s="268" t="str">
        <x:f>'Certified Allocation'!N20</x:f>
        <x:v>Current</x:v>
      </x:c>
      <x:c r="L20" s="271"/>
      <x:c r="M20" s="271"/>
      <x:c r="N20" s="294"/>
      <x:c r="O20" s="269" t="str">
        <x:f>IF(H20="Unassigned","ASSIGN CONVICTION",IF(J20="Impaired","REDUCE / REPLACE REVIEW",IF(G20&lt;&gt;"","COMMITTEE REVIEW",IF(OR(K20="Update Due",K20="Review Due",K20="Decision Required"),"RESEARCH REVIEW","NO CHANGE"))))</x:f>
        <x:v>ASSIGN CONVICTION</x:v>
      </x:c>
      <x:c r="P20" s="271"/>
    </x:row>
    <x:row r="21" ht="25" customHeight="1">
      <x:c r="A21" s="268" t="str">
        <x:f>'Certified Allocation'!A21</x:f>
        <x:v>Digital Infrastructure &amp; AI</x:v>
      </x:c>
      <x:c r="B21" s="268" t="str">
        <x:f>'Certified Allocation'!B21</x:f>
        <x:v>AMAT</x:v>
      </x:c>
      <x:c r="C21" s="268" t="str">
        <x:f>'Certified Allocation'!C21</x:f>
        <x:v>Applied Materials, Inc.</x:v>
      </x:c>
      <x:c r="D21" s="268" t="str">
        <x:f>'Certified Allocation'!D21</x:f>
        <x:v>Equity</x:v>
      </x:c>
      <x:c r="E21" s="275" t="n">
        <x:f>'Certified Allocation'!F21</x:f>
        <x:v>0.0156</x:v>
      </x:c>
      <x:c r="F21" s="268" t="str">
        <x:f>'Certified Allocation'!M21</x:f>
        <x:v>Unassigned</x:v>
      </x:c>
      <x:c r="G21" s="271"/>
      <x:c r="H21" s="269" t="str">
        <x:f>IF(G21="",F21,G21)</x:f>
        <x:v>Unassigned</x:v>
      </x:c>
      <x:c r="I21" s="269" t="n">
        <x:f>IF(H21="Tier 1 — Anchor",3,IF(H21="Tier 2 — Core",2,IF(H21="Tier 3 — Opportunistic",1,0)))</x:f>
        <x:v>0</x:v>
      </x:c>
      <x:c r="J21" s="271"/>
      <x:c r="K21" s="268" t="str">
        <x:f>'Certified Allocation'!N21</x:f>
        <x:v>Current</x:v>
      </x:c>
      <x:c r="L21" s="271"/>
      <x:c r="M21" s="271"/>
      <x:c r="N21" s="294"/>
      <x:c r="O21" s="269" t="str">
        <x:f>IF(H21="Unassigned","ASSIGN CONVICTION",IF(J21="Impaired","REDUCE / REPLACE REVIEW",IF(G21&lt;&gt;"","COMMITTEE REVIEW",IF(OR(K21="Update Due",K21="Review Due",K21="Decision Required"),"RESEARCH REVIEW","NO CHANGE"))))</x:f>
        <x:v>ASSIGN CONVICTION</x:v>
      </x:c>
      <x:c r="P21" s="271"/>
    </x:row>
    <x:row r="22" ht="25" customHeight="1">
      <x:c r="A22" s="268" t="str">
        <x:f>'Certified Allocation'!A22</x:f>
        <x:v>Digital Infrastructure &amp; AI</x:v>
      </x:c>
      <x:c r="B22" s="268" t="str">
        <x:f>'Certified Allocation'!B22</x:f>
        <x:v>CSCO</x:v>
      </x:c>
      <x:c r="C22" s="268" t="str">
        <x:f>'Certified Allocation'!C22</x:f>
        <x:v>Cisco Systems, Inc.</x:v>
      </x:c>
      <x:c r="D22" s="268" t="str">
        <x:f>'Certified Allocation'!D22</x:f>
        <x:v>Equity</x:v>
      </x:c>
      <x:c r="E22" s="275" t="n">
        <x:f>'Certified Allocation'!F22</x:f>
        <x:v>0.0156</x:v>
      </x:c>
      <x:c r="F22" s="268" t="str">
        <x:f>'Certified Allocation'!M22</x:f>
        <x:v>Unassigned</x:v>
      </x:c>
      <x:c r="G22" s="271"/>
      <x:c r="H22" s="269" t="str">
        <x:f>IF(G22="",F22,G22)</x:f>
        <x:v>Unassigned</x:v>
      </x:c>
      <x:c r="I22" s="269" t="n">
        <x:f>IF(H22="Tier 1 — Anchor",3,IF(H22="Tier 2 — Core",2,IF(H22="Tier 3 — Opportunistic",1,0)))</x:f>
        <x:v>0</x:v>
      </x:c>
      <x:c r="J22" s="271"/>
      <x:c r="K22" s="268" t="str">
        <x:f>'Certified Allocation'!N22</x:f>
        <x:v>Current</x:v>
      </x:c>
      <x:c r="L22" s="271"/>
      <x:c r="M22" s="271"/>
      <x:c r="N22" s="294"/>
      <x:c r="O22" s="269" t="str">
        <x:f>IF(H22="Unassigned","ASSIGN CONVICTION",IF(J22="Impaired","REDUCE / REPLACE REVIEW",IF(G22&lt;&gt;"","COMMITTEE REVIEW",IF(OR(K22="Update Due",K22="Review Due",K22="Decision Required"),"RESEARCH REVIEW","NO CHANGE"))))</x:f>
        <x:v>ASSIGN CONVICTION</x:v>
      </x:c>
      <x:c r="P22" s="271"/>
    </x:row>
    <x:row r="23" ht="25" customHeight="1">
      <x:c r="A23" s="268" t="str">
        <x:f>'Certified Allocation'!A23</x:f>
        <x:v>Digital Infrastructure &amp; AI</x:v>
      </x:c>
      <x:c r="B23" s="268" t="str">
        <x:f>'Certified Allocation'!B23</x:f>
        <x:v>KLAC</x:v>
      </x:c>
      <x:c r="C23" s="268" t="str">
        <x:f>'Certified Allocation'!C23</x:f>
        <x:v>KLA Corporation</x:v>
      </x:c>
      <x:c r="D23" s="268" t="str">
        <x:f>'Certified Allocation'!D23</x:f>
        <x:v>Equity</x:v>
      </x:c>
      <x:c r="E23" s="275" t="n">
        <x:f>'Certified Allocation'!F23</x:f>
        <x:v>0.0156</x:v>
      </x:c>
      <x:c r="F23" s="268" t="str">
        <x:f>'Certified Allocation'!M23</x:f>
        <x:v>Unassigned</x:v>
      </x:c>
      <x:c r="G23" s="271"/>
      <x:c r="H23" s="269" t="str">
        <x:f>IF(G23="",F23,G23)</x:f>
        <x:v>Unassigned</x:v>
      </x:c>
      <x:c r="I23" s="269" t="n">
        <x:f>IF(H23="Tier 1 — Anchor",3,IF(H23="Tier 2 — Core",2,IF(H23="Tier 3 — Opportunistic",1,0)))</x:f>
        <x:v>0</x:v>
      </x:c>
      <x:c r="J23" s="271"/>
      <x:c r="K23" s="268" t="str">
        <x:f>'Certified Allocation'!N23</x:f>
        <x:v>Current</x:v>
      </x:c>
      <x:c r="L23" s="271"/>
      <x:c r="M23" s="271"/>
      <x:c r="N23" s="294"/>
      <x:c r="O23" s="269" t="str">
        <x:f>IF(H23="Unassigned","ASSIGN CONVICTION",IF(J23="Impaired","REDUCE / REPLACE REVIEW",IF(G23&lt;&gt;"","COMMITTEE REVIEW",IF(OR(K23="Update Due",K23="Review Due",K23="Decision Required"),"RESEARCH REVIEW","NO CHANGE"))))</x:f>
        <x:v>ASSIGN CONVICTION</x:v>
      </x:c>
      <x:c r="P23" s="271"/>
    </x:row>
    <x:row r="24" ht="25" customHeight="1">
      <x:c r="A24" s="268" t="str">
        <x:f>'Certified Allocation'!A24</x:f>
        <x:v>Digital Infrastructure &amp; AI</x:v>
      </x:c>
      <x:c r="B24" s="268" t="str">
        <x:f>'Certified Allocation'!B24</x:f>
        <x:v>MU</x:v>
      </x:c>
      <x:c r="C24" s="268" t="str">
        <x:f>'Certified Allocation'!C24</x:f>
        <x:v>Micron Technology, Inc.</x:v>
      </x:c>
      <x:c r="D24" s="268" t="str">
        <x:f>'Certified Allocation'!D24</x:f>
        <x:v>Equity</x:v>
      </x:c>
      <x:c r="E24" s="275" t="n">
        <x:f>'Certified Allocation'!F24</x:f>
        <x:v>0.0156</x:v>
      </x:c>
      <x:c r="F24" s="268" t="str">
        <x:f>'Certified Allocation'!M24</x:f>
        <x:v>Unassigned</x:v>
      </x:c>
      <x:c r="G24" s="271"/>
      <x:c r="H24" s="269" t="str">
        <x:f>IF(G24="",F24,G24)</x:f>
        <x:v>Unassigned</x:v>
      </x:c>
      <x:c r="I24" s="269" t="n">
        <x:f>IF(H24="Tier 1 — Anchor",3,IF(H24="Tier 2 — Core",2,IF(H24="Tier 3 — Opportunistic",1,0)))</x:f>
        <x:v>0</x:v>
      </x:c>
      <x:c r="J24" s="271"/>
      <x:c r="K24" s="268" t="str">
        <x:f>'Certified Allocation'!N24</x:f>
        <x:v>Current</x:v>
      </x:c>
      <x:c r="L24" s="271"/>
      <x:c r="M24" s="271"/>
      <x:c r="N24" s="294"/>
      <x:c r="O24" s="269" t="str">
        <x:f>IF(H24="Unassigned","ASSIGN CONVICTION",IF(J24="Impaired","REDUCE / REPLACE REVIEW",IF(G24&lt;&gt;"","COMMITTEE REVIEW",IF(OR(K24="Update Due",K24="Review Due",K24="Decision Required"),"RESEARCH REVIEW","NO CHANGE"))))</x:f>
        <x:v>ASSIGN CONVICTION</x:v>
      </x:c>
      <x:c r="P24" s="271"/>
    </x:row>
    <x:row r="25" ht="25" customHeight="1">
      <x:c r="A25" s="268" t="str">
        <x:f>'Certified Allocation'!A25</x:f>
        <x:v>Digital Infrastructure &amp; AI</x:v>
      </x:c>
      <x:c r="B25" s="268" t="str">
        <x:f>'Certified Allocation'!B25</x:f>
        <x:v>ORCL</x:v>
      </x:c>
      <x:c r="C25" s="268" t="str">
        <x:f>'Certified Allocation'!C25</x:f>
        <x:v>Oracle Corporation</x:v>
      </x:c>
      <x:c r="D25" s="268" t="str">
        <x:f>'Certified Allocation'!D25</x:f>
        <x:v>Equity</x:v>
      </x:c>
      <x:c r="E25" s="275" t="n">
        <x:f>'Certified Allocation'!F25</x:f>
        <x:v>0.0156</x:v>
      </x:c>
      <x:c r="F25" s="268" t="str">
        <x:f>'Certified Allocation'!M25</x:f>
        <x:v>Unassigned</x:v>
      </x:c>
      <x:c r="G25" s="271"/>
      <x:c r="H25" s="269" t="str">
        <x:f>IF(G25="",F25,G25)</x:f>
        <x:v>Unassigned</x:v>
      </x:c>
      <x:c r="I25" s="269" t="n">
        <x:f>IF(H25="Tier 1 — Anchor",3,IF(H25="Tier 2 — Core",2,IF(H25="Tier 3 — Opportunistic",1,0)))</x:f>
        <x:v>0</x:v>
      </x:c>
      <x:c r="J25" s="271"/>
      <x:c r="K25" s="268" t="str">
        <x:f>'Certified Allocation'!N25</x:f>
        <x:v>Current</x:v>
      </x:c>
      <x:c r="L25" s="271"/>
      <x:c r="M25" s="271"/>
      <x:c r="N25" s="294"/>
      <x:c r="O25" s="269" t="str">
        <x:f>IF(H25="Unassigned","ASSIGN CONVICTION",IF(J25="Impaired","REDUCE / REPLACE REVIEW",IF(G25&lt;&gt;"","COMMITTEE REVIEW",IF(OR(K25="Update Due",K25="Review Due",K25="Decision Required"),"RESEARCH REVIEW","NO CHANGE"))))</x:f>
        <x:v>ASSIGN CONVICTION</x:v>
      </x:c>
      <x:c r="P25" s="271"/>
    </x:row>
    <x:row r="26" ht="25" customHeight="1">
      <x:c r="A26" s="268" t="str">
        <x:f>'Certified Allocation'!A26</x:f>
        <x:v>Digital Infrastructure &amp; AI</x:v>
      </x:c>
      <x:c r="B26" s="268" t="str">
        <x:f>'Certified Allocation'!B26</x:f>
        <x:v>TXN</x:v>
      </x:c>
      <x:c r="C26" s="268" t="str">
        <x:f>'Certified Allocation'!C26</x:f>
        <x:v>Texas Instruments Incorporated</x:v>
      </x:c>
      <x:c r="D26" s="268" t="str">
        <x:f>'Certified Allocation'!D26</x:f>
        <x:v>Equity</x:v>
      </x:c>
      <x:c r="E26" s="275" t="n">
        <x:f>'Certified Allocation'!F26</x:f>
        <x:v>0.0156</x:v>
      </x:c>
      <x:c r="F26" s="268" t="str">
        <x:f>'Certified Allocation'!M26</x:f>
        <x:v>Unassigned</x:v>
      </x:c>
      <x:c r="G26" s="271"/>
      <x:c r="H26" s="269" t="str">
        <x:f>IF(G26="",F26,G26)</x:f>
        <x:v>Unassigned</x:v>
      </x:c>
      <x:c r="I26" s="269" t="n">
        <x:f>IF(H26="Tier 1 — Anchor",3,IF(H26="Tier 2 — Core",2,IF(H26="Tier 3 — Opportunistic",1,0)))</x:f>
        <x:v>0</x:v>
      </x:c>
      <x:c r="J26" s="271"/>
      <x:c r="K26" s="268" t="str">
        <x:f>'Certified Allocation'!N26</x:f>
        <x:v>Current</x:v>
      </x:c>
      <x:c r="L26" s="271"/>
      <x:c r="M26" s="271"/>
      <x:c r="N26" s="294"/>
      <x:c r="O26" s="269" t="str">
        <x:f>IF(H26="Unassigned","ASSIGN CONVICTION",IF(J26="Impaired","REDUCE / REPLACE REVIEW",IF(G26&lt;&gt;"","COMMITTEE REVIEW",IF(OR(K26="Update Due",K26="Review Due",K26="Decision Required"),"RESEARCH REVIEW","NO CHANGE"))))</x:f>
        <x:v>ASSIGN CONVICTION</x:v>
      </x:c>
      <x:c r="P26" s="271"/>
    </x:row>
    <x:row r="27" ht="25" customHeight="1">
      <x:c r="A27" s="268" t="str">
        <x:f>'Certified Allocation'!A27</x:f>
        <x:v>Digital Infrastructure &amp; AI</x:v>
      </x:c>
      <x:c r="B27" s="268" t="str">
        <x:f>'Certified Allocation'!B27</x:f>
        <x:v>VRT</x:v>
      </x:c>
      <x:c r="C27" s="268" t="str">
        <x:f>'Certified Allocation'!C27</x:f>
        <x:v>Vertiv Holdings Co.</x:v>
      </x:c>
      <x:c r="D27" s="268" t="str">
        <x:f>'Certified Allocation'!D27</x:f>
        <x:v>Equity</x:v>
      </x:c>
      <x:c r="E27" s="275" t="n">
        <x:f>'Certified Allocation'!F27</x:f>
        <x:v>0.0155</x:v>
      </x:c>
      <x:c r="F27" s="268" t="str">
        <x:f>'Certified Allocation'!M27</x:f>
        <x:v>Unassigned</x:v>
      </x:c>
      <x:c r="G27" s="271"/>
      <x:c r="H27" s="269" t="str">
        <x:f>IF(G27="",F27,G27)</x:f>
        <x:v>Unassigned</x:v>
      </x:c>
      <x:c r="I27" s="269" t="n">
        <x:f>IF(H27="Tier 1 — Anchor",3,IF(H27="Tier 2 — Core",2,IF(H27="Tier 3 — Opportunistic",1,0)))</x:f>
        <x:v>0</x:v>
      </x:c>
      <x:c r="J27" s="271"/>
      <x:c r="K27" s="268" t="str">
        <x:f>'Certified Allocation'!N27</x:f>
        <x:v>Current</x:v>
      </x:c>
      <x:c r="L27" s="271"/>
      <x:c r="M27" s="271"/>
      <x:c r="N27" s="294"/>
      <x:c r="O27" s="269" t="str">
        <x:f>IF(H27="Unassigned","ASSIGN CONVICTION",IF(J27="Impaired","REDUCE / REPLACE REVIEW",IF(G27&lt;&gt;"","COMMITTEE REVIEW",IF(OR(K27="Update Due",K27="Review Due",K27="Decision Required"),"RESEARCH REVIEW","NO CHANGE"))))</x:f>
        <x:v>ASSIGN CONVICTION</x:v>
      </x:c>
      <x:c r="P27" s="271"/>
    </x:row>
    <x:row r="28" ht="25" customHeight="1">
      <x:c r="A28" s="268" t="str">
        <x:f>'Certified Allocation'!A28</x:f>
        <x:v>Industrials &amp; Infrastructure</x:v>
      </x:c>
      <x:c r="B28" s="268" t="str">
        <x:f>'Certified Allocation'!B28</x:f>
        <x:v>DHR</x:v>
      </x:c>
      <x:c r="C28" s="268" t="str">
        <x:f>'Certified Allocation'!C28</x:f>
        <x:v>Danaher Corporation</x:v>
      </x:c>
      <x:c r="D28" s="268" t="str">
        <x:f>'Certified Allocation'!D28</x:f>
        <x:v>Equity</x:v>
      </x:c>
      <x:c r="E28" s="275" t="n">
        <x:f>'Certified Allocation'!F28</x:f>
        <x:v>0.03</x:v>
      </x:c>
      <x:c r="F28" s="268" t="str">
        <x:f>'Certified Allocation'!M28</x:f>
        <x:v>Unassigned</x:v>
      </x:c>
      <x:c r="G28" s="271"/>
      <x:c r="H28" s="269" t="str">
        <x:f>IF(G28="",F28,G28)</x:f>
        <x:v>Unassigned</x:v>
      </x:c>
      <x:c r="I28" s="269" t="n">
        <x:f>IF(H28="Tier 1 — Anchor",3,IF(H28="Tier 2 — Core",2,IF(H28="Tier 3 — Opportunistic",1,0)))</x:f>
        <x:v>0</x:v>
      </x:c>
      <x:c r="J28" s="271"/>
      <x:c r="K28" s="268" t="str">
        <x:f>'Certified Allocation'!N28</x:f>
        <x:v>Current</x:v>
      </x:c>
      <x:c r="L28" s="271"/>
      <x:c r="M28" s="271"/>
      <x:c r="N28" s="294"/>
      <x:c r="O28" s="269" t="str">
        <x:f>IF(H28="Unassigned","ASSIGN CONVICTION",IF(J28="Impaired","REDUCE / REPLACE REVIEW",IF(G28&lt;&gt;"","COMMITTEE REVIEW",IF(OR(K28="Update Due",K28="Review Due",K28="Decision Required"),"RESEARCH REVIEW","NO CHANGE"))))</x:f>
        <x:v>ASSIGN CONVICTION</x:v>
      </x:c>
      <x:c r="P28" s="271"/>
    </x:row>
    <x:row r="29" ht="25" customHeight="1">
      <x:c r="A29" s="268" t="str">
        <x:f>'Certified Allocation'!A29</x:f>
        <x:v>Industrials &amp; Infrastructure</x:v>
      </x:c>
      <x:c r="B29" s="268" t="str">
        <x:f>'Certified Allocation'!B29</x:f>
        <x:v>RTX</x:v>
      </x:c>
      <x:c r="C29" s="268" t="str">
        <x:f>'Certified Allocation'!C29</x:f>
        <x:v>RTX Corporation</x:v>
      </x:c>
      <x:c r="D29" s="268" t="str">
        <x:f>'Certified Allocation'!D29</x:f>
        <x:v>Equity</x:v>
      </x:c>
      <x:c r="E29" s="275" t="n">
        <x:f>'Certified Allocation'!F29</x:f>
        <x:v>0.0299</x:v>
      </x:c>
      <x:c r="F29" s="268" t="str">
        <x:f>'Certified Allocation'!M29</x:f>
        <x:v>Unassigned</x:v>
      </x:c>
      <x:c r="G29" s="271"/>
      <x:c r="H29" s="269" t="str">
        <x:f>IF(G29="",F29,G29)</x:f>
        <x:v>Unassigned</x:v>
      </x:c>
      <x:c r="I29" s="269" t="n">
        <x:f>IF(H29="Tier 1 — Anchor",3,IF(H29="Tier 2 — Core",2,IF(H29="Tier 3 — Opportunistic",1,0)))</x:f>
        <x:v>0</x:v>
      </x:c>
      <x:c r="J29" s="271"/>
      <x:c r="K29" s="268" t="str">
        <x:f>'Certified Allocation'!N29</x:f>
        <x:v>Current</x:v>
      </x:c>
      <x:c r="L29" s="271"/>
      <x:c r="M29" s="271"/>
      <x:c r="N29" s="294"/>
      <x:c r="O29" s="269" t="str">
        <x:f>IF(H29="Unassigned","ASSIGN CONVICTION",IF(J29="Impaired","REDUCE / REPLACE REVIEW",IF(G29&lt;&gt;"","COMMITTEE REVIEW",IF(OR(K29="Update Due",K29="Review Due",K29="Decision Required"),"RESEARCH REVIEW","NO CHANGE"))))</x:f>
        <x:v>ASSIGN CONVICTION</x:v>
      </x:c>
      <x:c r="P29" s="271"/>
    </x:row>
    <x:row r="30" ht="25" customHeight="1">
      <x:c r="A30" s="268" t="str">
        <x:f>'Certified Allocation'!A30</x:f>
        <x:v>Industrials &amp; Infrastructure</x:v>
      </x:c>
      <x:c r="B30" s="268" t="str">
        <x:f>'Certified Allocation'!B30</x:f>
        <x:v>DE</x:v>
      </x:c>
      <x:c r="C30" s="268" t="str">
        <x:f>'Certified Allocation'!C30</x:f>
        <x:v>Deere &amp; Company</x:v>
      </x:c>
      <x:c r="D30" s="268" t="str">
        <x:f>'Certified Allocation'!D30</x:f>
        <x:v>Equity</x:v>
      </x:c>
      <x:c r="E30" s="275" t="n">
        <x:f>'Certified Allocation'!F30</x:f>
        <x:v>0.0177</x:v>
      </x:c>
      <x:c r="F30" s="268" t="str">
        <x:f>'Certified Allocation'!M30</x:f>
        <x:v>Unassigned</x:v>
      </x:c>
      <x:c r="G30" s="271"/>
      <x:c r="H30" s="269" t="str">
        <x:f>IF(G30="",F30,G30)</x:f>
        <x:v>Unassigned</x:v>
      </x:c>
      <x:c r="I30" s="269" t="n">
        <x:f>IF(H30="Tier 1 — Anchor",3,IF(H30="Tier 2 — Core",2,IF(H30="Tier 3 — Opportunistic",1,0)))</x:f>
        <x:v>0</x:v>
      </x:c>
      <x:c r="J30" s="271"/>
      <x:c r="K30" s="268" t="str">
        <x:f>'Certified Allocation'!N30</x:f>
        <x:v>Current</x:v>
      </x:c>
      <x:c r="L30" s="271"/>
      <x:c r="M30" s="271"/>
      <x:c r="N30" s="294"/>
      <x:c r="O30" s="269" t="str">
        <x:f>IF(H30="Unassigned","ASSIGN CONVICTION",IF(J30="Impaired","REDUCE / REPLACE REVIEW",IF(G30&lt;&gt;"","COMMITTEE REVIEW",IF(OR(K30="Update Due",K30="Review Due",K30="Decision Required"),"RESEARCH REVIEW","NO CHANGE"))))</x:f>
        <x:v>ASSIGN CONVICTION</x:v>
      </x:c>
      <x:c r="P30" s="271"/>
    </x:row>
    <x:row r="31" ht="25" customHeight="1">
      <x:c r="A31" s="268" t="str">
        <x:f>'Certified Allocation'!A31</x:f>
        <x:v>Industrials &amp; Infrastructure</x:v>
      </x:c>
      <x:c r="B31" s="268" t="str">
        <x:f>'Certified Allocation'!B31</x:f>
        <x:v>CAT</x:v>
      </x:c>
      <x:c r="C31" s="268" t="str">
        <x:f>'Certified Allocation'!C31</x:f>
        <x:v>Caterpillar Inc.</x:v>
      </x:c>
      <x:c r="D31" s="268" t="str">
        <x:f>'Certified Allocation'!D31</x:f>
        <x:v>Equity</x:v>
      </x:c>
      <x:c r="E31" s="275" t="n">
        <x:f>'Certified Allocation'!F31</x:f>
        <x:v>0.0156</x:v>
      </x:c>
      <x:c r="F31" s="268" t="str">
        <x:f>'Certified Allocation'!M31</x:f>
        <x:v>Unassigned</x:v>
      </x:c>
      <x:c r="G31" s="271"/>
      <x:c r="H31" s="269" t="str">
        <x:f>IF(G31="",F31,G31)</x:f>
        <x:v>Unassigned</x:v>
      </x:c>
      <x:c r="I31" s="269" t="n">
        <x:f>IF(H31="Tier 1 — Anchor",3,IF(H31="Tier 2 — Core",2,IF(H31="Tier 3 — Opportunistic",1,0)))</x:f>
        <x:v>0</x:v>
      </x:c>
      <x:c r="J31" s="271"/>
      <x:c r="K31" s="268" t="str">
        <x:f>'Certified Allocation'!N31</x:f>
        <x:v>Current</x:v>
      </x:c>
      <x:c r="L31" s="271"/>
      <x:c r="M31" s="271"/>
      <x:c r="N31" s="294"/>
      <x:c r="O31" s="269" t="str">
        <x:f>IF(H31="Unassigned","ASSIGN CONVICTION",IF(J31="Impaired","REDUCE / REPLACE REVIEW",IF(G31&lt;&gt;"","COMMITTEE REVIEW",IF(OR(K31="Update Due",K31="Review Due",K31="Decision Required"),"RESEARCH REVIEW","NO CHANGE"))))</x:f>
        <x:v>ASSIGN CONVICTION</x:v>
      </x:c>
      <x:c r="P31" s="271"/>
    </x:row>
    <x:row r="32" ht="25" customHeight="1">
      <x:c r="A32" s="268" t="str">
        <x:f>'Certified Allocation'!A32</x:f>
        <x:v>Industrials &amp; Infrastructure</x:v>
      </x:c>
      <x:c r="B32" s="268" t="str">
        <x:f>'Certified Allocation'!B32</x:f>
        <x:v>ETN</x:v>
      </x:c>
      <x:c r="C32" s="268" t="str">
        <x:f>'Certified Allocation'!C32</x:f>
        <x:v>Eaton Corporation plc</x:v>
      </x:c>
      <x:c r="D32" s="268" t="str">
        <x:f>'Certified Allocation'!D32</x:f>
        <x:v>Equity</x:v>
      </x:c>
      <x:c r="E32" s="275" t="n">
        <x:f>'Certified Allocation'!F32</x:f>
        <x:v>0.0156</x:v>
      </x:c>
      <x:c r="F32" s="268" t="str">
        <x:f>'Certified Allocation'!M32</x:f>
        <x:v>Unassigned</x:v>
      </x:c>
      <x:c r="G32" s="271"/>
      <x:c r="H32" s="269" t="str">
        <x:f>IF(G32="",F32,G32)</x:f>
        <x:v>Unassigned</x:v>
      </x:c>
      <x:c r="I32" s="269" t="n">
        <x:f>IF(H32="Tier 1 — Anchor",3,IF(H32="Tier 2 — Core",2,IF(H32="Tier 3 — Opportunistic",1,0)))</x:f>
        <x:v>0</x:v>
      </x:c>
      <x:c r="J32" s="271"/>
      <x:c r="K32" s="268" t="str">
        <x:f>'Certified Allocation'!N32</x:f>
        <x:v>Current</x:v>
      </x:c>
      <x:c r="L32" s="271"/>
      <x:c r="M32" s="271"/>
      <x:c r="N32" s="294"/>
      <x:c r="O32" s="269" t="str">
        <x:f>IF(H32="Unassigned","ASSIGN CONVICTION",IF(J32="Impaired","REDUCE / REPLACE REVIEW",IF(G32&lt;&gt;"","COMMITTEE REVIEW",IF(OR(K32="Update Due",K32="Review Due",K32="Decision Required"),"RESEARCH REVIEW","NO CHANGE"))))</x:f>
        <x:v>ASSIGN CONVICTION</x:v>
      </x:c>
      <x:c r="P32" s="271"/>
    </x:row>
    <x:row r="33" ht="25" customHeight="1">
      <x:c r="A33" s="268" t="str">
        <x:f>'Certified Allocation'!A33</x:f>
        <x:v>Industrials &amp; Infrastructure</x:v>
      </x:c>
      <x:c r="B33" s="268" t="str">
        <x:f>'Certified Allocation'!B33</x:f>
        <x:v>GE</x:v>
      </x:c>
      <x:c r="C33" s="268" t="str">
        <x:f>'Certified Allocation'!C33</x:f>
        <x:v>GE Aerospace</x:v>
      </x:c>
      <x:c r="D33" s="268" t="str">
        <x:f>'Certified Allocation'!D33</x:f>
        <x:v>Equity</x:v>
      </x:c>
      <x:c r="E33" s="275" t="n">
        <x:f>'Certified Allocation'!F33</x:f>
        <x:v>0.0156</x:v>
      </x:c>
      <x:c r="F33" s="268" t="str">
        <x:f>'Certified Allocation'!M33</x:f>
        <x:v>Unassigned</x:v>
      </x:c>
      <x:c r="G33" s="271"/>
      <x:c r="H33" s="269" t="str">
        <x:f>IF(G33="",F33,G33)</x:f>
        <x:v>Unassigned</x:v>
      </x:c>
      <x:c r="I33" s="269" t="n">
        <x:f>IF(H33="Tier 1 — Anchor",3,IF(H33="Tier 2 — Core",2,IF(H33="Tier 3 — Opportunistic",1,0)))</x:f>
        <x:v>0</x:v>
      </x:c>
      <x:c r="J33" s="271"/>
      <x:c r="K33" s="268" t="str">
        <x:f>'Certified Allocation'!N33</x:f>
        <x:v>Current</x:v>
      </x:c>
      <x:c r="L33" s="271"/>
      <x:c r="M33" s="271"/>
      <x:c r="N33" s="294"/>
      <x:c r="O33" s="269" t="str">
        <x:f>IF(H33="Unassigned","ASSIGN CONVICTION",IF(J33="Impaired","REDUCE / REPLACE REVIEW",IF(G33&lt;&gt;"","COMMITTEE REVIEW",IF(OR(K33="Update Due",K33="Review Due",K33="Decision Required"),"RESEARCH REVIEW","NO CHANGE"))))</x:f>
        <x:v>ASSIGN CONVICTION</x:v>
      </x:c>
      <x:c r="P33" s="271"/>
    </x:row>
    <x:row r="34" ht="25" customHeight="1">
      <x:c r="A34" s="268" t="str">
        <x:f>'Certified Allocation'!A34</x:f>
        <x:v>Industrials &amp; Infrastructure</x:v>
      </x:c>
      <x:c r="B34" s="268" t="str">
        <x:f>'Certified Allocation'!B34</x:f>
        <x:v>PH</x:v>
      </x:c>
      <x:c r="C34" s="268" t="str">
        <x:f>'Certified Allocation'!C34</x:f>
        <x:v>Parker-Hannifin Corporation</x:v>
      </x:c>
      <x:c r="D34" s="268" t="str">
        <x:f>'Certified Allocation'!D34</x:f>
        <x:v>Equity</x:v>
      </x:c>
      <x:c r="E34" s="275" t="n">
        <x:f>'Certified Allocation'!F34</x:f>
        <x:v>0.0156</x:v>
      </x:c>
      <x:c r="F34" s="268" t="str">
        <x:f>'Certified Allocation'!M34</x:f>
        <x:v>Unassigned</x:v>
      </x:c>
      <x:c r="G34" s="271"/>
      <x:c r="H34" s="269" t="str">
        <x:f>IF(G34="",F34,G34)</x:f>
        <x:v>Unassigned</x:v>
      </x:c>
      <x:c r="I34" s="269" t="n">
        <x:f>IF(H34="Tier 1 — Anchor",3,IF(H34="Tier 2 — Core",2,IF(H34="Tier 3 — Opportunistic",1,0)))</x:f>
        <x:v>0</x:v>
      </x:c>
      <x:c r="J34" s="271"/>
      <x:c r="K34" s="268" t="str">
        <x:f>'Certified Allocation'!N34</x:f>
        <x:v>Current</x:v>
      </x:c>
      <x:c r="L34" s="271"/>
      <x:c r="M34" s="271"/>
      <x:c r="N34" s="294"/>
      <x:c r="O34" s="269" t="str">
        <x:f>IF(H34="Unassigned","ASSIGN CONVICTION",IF(J34="Impaired","REDUCE / REPLACE REVIEW",IF(G34&lt;&gt;"","COMMITTEE REVIEW",IF(OR(K34="Update Due",K34="Review Due",K34="Decision Required"),"RESEARCH REVIEW","NO CHANGE"))))</x:f>
        <x:v>ASSIGN CONVICTION</x:v>
      </x:c>
      <x:c r="P34" s="271"/>
    </x:row>
    <x:row r="35" ht="25" customHeight="1">
      <x:c r="A35" s="268" t="str">
        <x:f>'Certified Allocation'!A35</x:f>
        <x:v>Industrials &amp; Infrastructure</x:v>
      </x:c>
      <x:c r="B35" s="268" t="str">
        <x:f>'Certified Allocation'!B35</x:f>
        <x:v>TT</x:v>
      </x:c>
      <x:c r="C35" s="268" t="str">
        <x:f>'Certified Allocation'!C35</x:f>
        <x:v>Trane Technologies plc</x:v>
      </x:c>
      <x:c r="D35" s="268" t="str">
        <x:f>'Certified Allocation'!D35</x:f>
        <x:v>Equity</x:v>
      </x:c>
      <x:c r="E35" s="275" t="n">
        <x:f>'Certified Allocation'!F35</x:f>
        <x:v>0.0156</x:v>
      </x:c>
      <x:c r="F35" s="268" t="str">
        <x:f>'Certified Allocation'!M35</x:f>
        <x:v>Unassigned</x:v>
      </x:c>
      <x:c r="G35" s="271"/>
      <x:c r="H35" s="269" t="str">
        <x:f>IF(G35="",F35,G35)</x:f>
        <x:v>Unassigned</x:v>
      </x:c>
      <x:c r="I35" s="269" t="n">
        <x:f>IF(H35="Tier 1 — Anchor",3,IF(H35="Tier 2 — Core",2,IF(H35="Tier 3 — Opportunistic",1,0)))</x:f>
        <x:v>0</x:v>
      </x:c>
      <x:c r="J35" s="271"/>
      <x:c r="K35" s="268" t="str">
        <x:f>'Certified Allocation'!N35</x:f>
        <x:v>Current</x:v>
      </x:c>
      <x:c r="L35" s="271"/>
      <x:c r="M35" s="271"/>
      <x:c r="N35" s="294"/>
      <x:c r="O35" s="269" t="str">
        <x:f>IF(H35="Unassigned","ASSIGN CONVICTION",IF(J35="Impaired","REDUCE / REPLACE REVIEW",IF(G35&lt;&gt;"","COMMITTEE REVIEW",IF(OR(K35="Update Due",K35="Review Due",K35="Decision Required"),"RESEARCH REVIEW","NO CHANGE"))))</x:f>
        <x:v>ASSIGN CONVICTION</x:v>
      </x:c>
      <x:c r="P35" s="271"/>
    </x:row>
    <x:row r="36" ht="25" customHeight="1">
      <x:c r="A36" s="268" t="str">
        <x:f>'Certified Allocation'!A36</x:f>
        <x:v>Industrials &amp; Infrastructure</x:v>
      </x:c>
      <x:c r="B36" s="268" t="str">
        <x:f>'Certified Allocation'!B36</x:f>
        <x:v>UNP</x:v>
      </x:c>
      <x:c r="C36" s="268" t="str">
        <x:f>'Certified Allocation'!C36</x:f>
        <x:v>Union Pacific Corporation</x:v>
      </x:c>
      <x:c r="D36" s="268" t="str">
        <x:f>'Certified Allocation'!D36</x:f>
        <x:v>Equity</x:v>
      </x:c>
      <x:c r="E36" s="275" t="n">
        <x:f>'Certified Allocation'!F36</x:f>
        <x:v>0.0155</x:v>
      </x:c>
      <x:c r="F36" s="268" t="str">
        <x:f>'Certified Allocation'!M36</x:f>
        <x:v>Unassigned</x:v>
      </x:c>
      <x:c r="G36" s="271"/>
      <x:c r="H36" s="269" t="str">
        <x:f>IF(G36="",F36,G36)</x:f>
        <x:v>Unassigned</x:v>
      </x:c>
      <x:c r="I36" s="269" t="n">
        <x:f>IF(H36="Tier 1 — Anchor",3,IF(H36="Tier 2 — Core",2,IF(H36="Tier 3 — Opportunistic",1,0)))</x:f>
        <x:v>0</x:v>
      </x:c>
      <x:c r="J36" s="271"/>
      <x:c r="K36" s="268" t="str">
        <x:f>'Certified Allocation'!N36</x:f>
        <x:v>Current</x:v>
      </x:c>
      <x:c r="L36" s="271"/>
      <x:c r="M36" s="271"/>
      <x:c r="N36" s="294"/>
      <x:c r="O36" s="269" t="str">
        <x:f>IF(H36="Unassigned","ASSIGN CONVICTION",IF(J36="Impaired","REDUCE / REPLACE REVIEW",IF(G36&lt;&gt;"","COMMITTEE REVIEW",IF(OR(K36="Update Due",K36="Review Due",K36="Decision Required"),"RESEARCH REVIEW","NO CHANGE"))))</x:f>
        <x:v>ASSIGN CONVICTION</x:v>
      </x:c>
      <x:c r="P36" s="271"/>
    </x:row>
    <x:row r="37" ht="25" customHeight="1">
      <x:c r="A37" s="268" t="str">
        <x:f>'Certified Allocation'!A37</x:f>
        <x:v>Financial Infrastructure</x:v>
      </x:c>
      <x:c r="B37" s="268" t="str">
        <x:f>'Certified Allocation'!B37</x:f>
        <x:v>CME</x:v>
      </x:c>
      <x:c r="C37" s="268" t="str">
        <x:f>'Certified Allocation'!C37</x:f>
        <x:v>CME Group Inc.</x:v>
      </x:c>
      <x:c r="D37" s="268" t="str">
        <x:f>'Certified Allocation'!D37</x:f>
        <x:v>Equity</x:v>
      </x:c>
      <x:c r="E37" s="275" t="n">
        <x:f>'Certified Allocation'!F37</x:f>
        <x:v>0.0302</x:v>
      </x:c>
      <x:c r="F37" s="268" t="str">
        <x:f>'Certified Allocation'!M37</x:f>
        <x:v>Unassigned</x:v>
      </x:c>
      <x:c r="G37" s="271"/>
      <x:c r="H37" s="269" t="str">
        <x:f>IF(G37="",F37,G37)</x:f>
        <x:v>Unassigned</x:v>
      </x:c>
      <x:c r="I37" s="269" t="n">
        <x:f>IF(H37="Tier 1 — Anchor",3,IF(H37="Tier 2 — Core",2,IF(H37="Tier 3 — Opportunistic",1,0)))</x:f>
        <x:v>0</x:v>
      </x:c>
      <x:c r="J37" s="271"/>
      <x:c r="K37" s="268" t="str">
        <x:f>'Certified Allocation'!N37</x:f>
        <x:v>Current</x:v>
      </x:c>
      <x:c r="L37" s="271"/>
      <x:c r="M37" s="271"/>
      <x:c r="N37" s="294"/>
      <x:c r="O37" s="269" t="str">
        <x:f>IF(H37="Unassigned","ASSIGN CONVICTION",IF(J37="Impaired","REDUCE / REPLACE REVIEW",IF(G37&lt;&gt;"","COMMITTEE REVIEW",IF(OR(K37="Update Due",K37="Review Due",K37="Decision Required"),"RESEARCH REVIEW","NO CHANGE"))))</x:f>
        <x:v>ASSIGN CONVICTION</x:v>
      </x:c>
      <x:c r="P37" s="271"/>
    </x:row>
    <x:row r="38" ht="25" customHeight="1">
      <x:c r="A38" s="268" t="str">
        <x:f>'Certified Allocation'!A38</x:f>
        <x:v>Financial Infrastructure</x:v>
      </x:c>
      <x:c r="B38" s="268" t="str">
        <x:f>'Certified Allocation'!B38</x:f>
        <x:v>MMC</x:v>
      </x:c>
      <x:c r="C38" s="268" t="str">
        <x:f>'Certified Allocation'!C38</x:f>
        <x:v>Marsh &amp; McLennan Companies, Inc.</x:v>
      </x:c>
      <x:c r="D38" s="268" t="str">
        <x:f>'Certified Allocation'!D38</x:f>
        <x:v>Equity</x:v>
      </x:c>
      <x:c r="E38" s="275" t="n">
        <x:f>'Certified Allocation'!F38</x:f>
        <x:v>0.02</x:v>
      </x:c>
      <x:c r="F38" s="268" t="str">
        <x:f>'Certified Allocation'!M38</x:f>
        <x:v>Unassigned</x:v>
      </x:c>
      <x:c r="G38" s="271"/>
      <x:c r="H38" s="269" t="str">
        <x:f>IF(G38="",F38,G38)</x:f>
        <x:v>Unassigned</x:v>
      </x:c>
      <x:c r="I38" s="269" t="n">
        <x:f>IF(H38="Tier 1 — Anchor",3,IF(H38="Tier 2 — Core",2,IF(H38="Tier 3 — Opportunistic",1,0)))</x:f>
        <x:v>0</x:v>
      </x:c>
      <x:c r="J38" s="271"/>
      <x:c r="K38" s="268" t="str">
        <x:f>'Certified Allocation'!N38</x:f>
        <x:v>Current</x:v>
      </x:c>
      <x:c r="L38" s="271"/>
      <x:c r="M38" s="271"/>
      <x:c r="N38" s="294"/>
      <x:c r="O38" s="269" t="str">
        <x:f>IF(H38="Unassigned","ASSIGN CONVICTION",IF(J38="Impaired","REDUCE / REPLACE REVIEW",IF(G38&lt;&gt;"","COMMITTEE REVIEW",IF(OR(K38="Update Due",K38="Review Due",K38="Decision Required"),"RESEARCH REVIEW","NO CHANGE"))))</x:f>
        <x:v>ASSIGN CONVICTION</x:v>
      </x:c>
      <x:c r="P38" s="271"/>
    </x:row>
    <x:row r="39" ht="25" customHeight="1">
      <x:c r="A39" s="268" t="str">
        <x:f>'Certified Allocation'!A39</x:f>
        <x:v>Financial Infrastructure</x:v>
      </x:c>
      <x:c r="B39" s="268" t="str">
        <x:f>'Certified Allocation'!B39</x:f>
        <x:v>GS</x:v>
      </x:c>
      <x:c r="C39" s="268" t="str">
        <x:f>'Certified Allocation'!C39</x:f>
        <x:v>The Goldman Sachs Group, Inc.</x:v>
      </x:c>
      <x:c r="D39" s="268" t="str">
        <x:f>'Certified Allocation'!D39</x:f>
        <x:v>Equity</x:v>
      </x:c>
      <x:c r="E39" s="275" t="n">
        <x:f>'Certified Allocation'!F39</x:f>
        <x:v>0.0156</x:v>
      </x:c>
      <x:c r="F39" s="268" t="str">
        <x:f>'Certified Allocation'!M39</x:f>
        <x:v>Unassigned</x:v>
      </x:c>
      <x:c r="G39" s="271"/>
      <x:c r="H39" s="269" t="str">
        <x:f>IF(G39="",F39,G39)</x:f>
        <x:v>Unassigned</x:v>
      </x:c>
      <x:c r="I39" s="269" t="n">
        <x:f>IF(H39="Tier 1 — Anchor",3,IF(H39="Tier 2 — Core",2,IF(H39="Tier 3 — Opportunistic",1,0)))</x:f>
        <x:v>0</x:v>
      </x:c>
      <x:c r="J39" s="271"/>
      <x:c r="K39" s="268" t="str">
        <x:f>'Certified Allocation'!N39</x:f>
        <x:v>Current</x:v>
      </x:c>
      <x:c r="L39" s="271"/>
      <x:c r="M39" s="271"/>
      <x:c r="N39" s="294"/>
      <x:c r="O39" s="269" t="str">
        <x:f>IF(H39="Unassigned","ASSIGN CONVICTION",IF(J39="Impaired","REDUCE / REPLACE REVIEW",IF(G39&lt;&gt;"","COMMITTEE REVIEW",IF(OR(K39="Update Due",K39="Review Due",K39="Decision Required"),"RESEARCH REVIEW","NO CHANGE"))))</x:f>
        <x:v>ASSIGN CONVICTION</x:v>
      </x:c>
      <x:c r="P39" s="271"/>
    </x:row>
    <x:row r="40" ht="25" customHeight="1">
      <x:c r="A40" s="268" t="str">
        <x:f>'Certified Allocation'!A40</x:f>
        <x:v>Financial Infrastructure</x:v>
      </x:c>
      <x:c r="B40" s="268" t="str">
        <x:f>'Certified Allocation'!B40</x:f>
        <x:v>JPM</x:v>
      </x:c>
      <x:c r="C40" s="268" t="str">
        <x:f>'Certified Allocation'!C40</x:f>
        <x:v>JPMorgan Chase &amp; Co.</x:v>
      </x:c>
      <x:c r="D40" s="268" t="str">
        <x:f>'Certified Allocation'!D40</x:f>
        <x:v>Equity</x:v>
      </x:c>
      <x:c r="E40" s="275" t="n">
        <x:f>'Certified Allocation'!F40</x:f>
        <x:v>0.0156</x:v>
      </x:c>
      <x:c r="F40" s="268" t="str">
        <x:f>'Certified Allocation'!M40</x:f>
        <x:v>Unassigned</x:v>
      </x:c>
      <x:c r="G40" s="271"/>
      <x:c r="H40" s="269" t="str">
        <x:f>IF(G40="",F40,G40)</x:f>
        <x:v>Unassigned</x:v>
      </x:c>
      <x:c r="I40" s="269" t="n">
        <x:f>IF(H40="Tier 1 — Anchor",3,IF(H40="Tier 2 — Core",2,IF(H40="Tier 3 — Opportunistic",1,0)))</x:f>
        <x:v>0</x:v>
      </x:c>
      <x:c r="J40" s="271"/>
      <x:c r="K40" s="268" t="str">
        <x:f>'Certified Allocation'!N40</x:f>
        <x:v>Current</x:v>
      </x:c>
      <x:c r="L40" s="271"/>
      <x:c r="M40" s="271"/>
      <x:c r="N40" s="294"/>
      <x:c r="O40" s="269" t="str">
        <x:f>IF(H40="Unassigned","ASSIGN CONVICTION",IF(J40="Impaired","REDUCE / REPLACE REVIEW",IF(G40&lt;&gt;"","COMMITTEE REVIEW",IF(OR(K40="Update Due",K40="Review Due",K40="Decision Required"),"RESEARCH REVIEW","NO CHANGE"))))</x:f>
        <x:v>ASSIGN CONVICTION</x:v>
      </x:c>
      <x:c r="P40" s="271"/>
    </x:row>
    <x:row r="41" ht="25" customHeight="1">
      <x:c r="A41" s="268" t="str">
        <x:f>'Certified Allocation'!A41</x:f>
        <x:v>Financial Infrastructure</x:v>
      </x:c>
      <x:c r="B41" s="268" t="str">
        <x:f>'Certified Allocation'!B41</x:f>
        <x:v>VFH</x:v>
      </x:c>
      <x:c r="C41" s="268" t="str">
        <x:f>'Certified Allocation'!C41</x:f>
        <x:v>Vanguard Financials ETF</x:v>
      </x:c>
      <x:c r="D41" s="268" t="str">
        <x:f>'Certified Allocation'!D41</x:f>
        <x:v>ETF</x:v>
      </x:c>
      <x:c r="E41" s="275" t="n">
        <x:f>'Certified Allocation'!F41</x:f>
        <x:v>0.0156</x:v>
      </x:c>
      <x:c r="F41" s="268" t="str">
        <x:f>'Certified Allocation'!M41</x:f>
        <x:v>Unassigned</x:v>
      </x:c>
      <x:c r="G41" s="271"/>
      <x:c r="H41" s="269" t="str">
        <x:f>IF(G41="",F41,G41)</x:f>
        <x:v>Unassigned</x:v>
      </x:c>
      <x:c r="I41" s="269" t="n">
        <x:f>IF(H41="Tier 1 — Anchor",3,IF(H41="Tier 2 — Core",2,IF(H41="Tier 3 — Opportunistic",1,0)))</x:f>
        <x:v>0</x:v>
      </x:c>
      <x:c r="J41" s="271"/>
      <x:c r="K41" s="268" t="str">
        <x:f>'Certified Allocation'!N41</x:f>
        <x:v>Current</x:v>
      </x:c>
      <x:c r="L41" s="271"/>
      <x:c r="M41" s="271"/>
      <x:c r="N41" s="294"/>
      <x:c r="O41" s="269" t="str">
        <x:f>IF(H41="Unassigned","ASSIGN CONVICTION",IF(J41="Impaired","REDUCE / REPLACE REVIEW",IF(G41&lt;&gt;"","COMMITTEE REVIEW",IF(OR(K41="Update Due",K41="Review Due",K41="Decision Required"),"RESEARCH REVIEW","NO CHANGE"))))</x:f>
        <x:v>ASSIGN CONVICTION</x:v>
      </x:c>
      <x:c r="P41" s="271"/>
    </x:row>
    <x:row r="42" ht="25" customHeight="1">
      <x:c r="A42" s="268" t="str">
        <x:f>'Certified Allocation'!A42</x:f>
        <x:v>Healthcare Leadership</x:v>
      </x:c>
      <x:c r="B42" s="268" t="str">
        <x:f>'Certified Allocation'!B42</x:f>
        <x:v>VHT</x:v>
      </x:c>
      <x:c r="C42" s="268" t="str">
        <x:f>'Certified Allocation'!C42</x:f>
        <x:v>Vanguard Health Care ETF</x:v>
      </x:c>
      <x:c r="D42" s="268" t="str">
        <x:f>'Certified Allocation'!D42</x:f>
        <x:v>ETF</x:v>
      </x:c>
      <x:c r="E42" s="275" t="n">
        <x:f>'Certified Allocation'!F42</x:f>
        <x:v>0.0206</x:v>
      </x:c>
      <x:c r="F42" s="268" t="str">
        <x:f>'Certified Allocation'!M42</x:f>
        <x:v>Unassigned</x:v>
      </x:c>
      <x:c r="G42" s="271"/>
      <x:c r="H42" s="269" t="str">
        <x:f>IF(G42="",F42,G42)</x:f>
        <x:v>Unassigned</x:v>
      </x:c>
      <x:c r="I42" s="269" t="n">
        <x:f>IF(H42="Tier 1 — Anchor",3,IF(H42="Tier 2 — Core",2,IF(H42="Tier 3 — Opportunistic",1,0)))</x:f>
        <x:v>0</x:v>
      </x:c>
      <x:c r="J42" s="271"/>
      <x:c r="K42" s="268" t="str">
        <x:f>'Certified Allocation'!N42</x:f>
        <x:v>Current</x:v>
      </x:c>
      <x:c r="L42" s="271"/>
      <x:c r="M42" s="271"/>
      <x:c r="N42" s="294"/>
      <x:c r="O42" s="269" t="str">
        <x:f>IF(H42="Unassigned","ASSIGN CONVICTION",IF(J42="Impaired","REDUCE / REPLACE REVIEW",IF(G42&lt;&gt;"","COMMITTEE REVIEW",IF(OR(K42="Update Due",K42="Review Due",K42="Decision Required"),"RESEARCH REVIEW","NO CHANGE"))))</x:f>
        <x:v>ASSIGN CONVICTION</x:v>
      </x:c>
      <x:c r="P42" s="271"/>
    </x:row>
    <x:row r="43" ht="25" customHeight="1">
      <x:c r="A43" s="268" t="str">
        <x:f>'Certified Allocation'!A43</x:f>
        <x:v>Healthcare Leadership</x:v>
      </x:c>
      <x:c r="B43" s="268" t="str">
        <x:f>'Certified Allocation'!B43</x:f>
        <x:v>SYK</x:v>
      </x:c>
      <x:c r="C43" s="268" t="str">
        <x:f>'Certified Allocation'!C43</x:f>
        <x:v>Stryker Corporation</x:v>
      </x:c>
      <x:c r="D43" s="268" t="str">
        <x:f>'Certified Allocation'!D43</x:f>
        <x:v>Equity</x:v>
      </x:c>
      <x:c r="E43" s="275" t="n">
        <x:f>'Certified Allocation'!F43</x:f>
        <x:v>0.0155</x:v>
      </x:c>
      <x:c r="F43" s="268" t="str">
        <x:f>'Certified Allocation'!M43</x:f>
        <x:v>Unassigned</x:v>
      </x:c>
      <x:c r="G43" s="271"/>
      <x:c r="H43" s="269" t="str">
        <x:f>IF(G43="",F43,G43)</x:f>
        <x:v>Unassigned</x:v>
      </x:c>
      <x:c r="I43" s="269" t="n">
        <x:f>IF(H43="Tier 1 — Anchor",3,IF(H43="Tier 2 — Core",2,IF(H43="Tier 3 — Opportunistic",1,0)))</x:f>
        <x:v>0</x:v>
      </x:c>
      <x:c r="J43" s="271"/>
      <x:c r="K43" s="268" t="str">
        <x:f>'Certified Allocation'!N43</x:f>
        <x:v>Current</x:v>
      </x:c>
      <x:c r="L43" s="271"/>
      <x:c r="M43" s="271"/>
      <x:c r="N43" s="294"/>
      <x:c r="O43" s="269" t="str">
        <x:f>IF(H43="Unassigned","ASSIGN CONVICTION",IF(J43="Impaired","REDUCE / REPLACE REVIEW",IF(G43&lt;&gt;"","COMMITTEE REVIEW",IF(OR(K43="Update Due",K43="Review Due",K43="Decision Required"),"RESEARCH REVIEW","NO CHANGE"))))</x:f>
        <x:v>ASSIGN CONVICTION</x:v>
      </x:c>
      <x:c r="P43" s="271"/>
    </x:row>
    <x:row r="44" ht="25" customHeight="1">
      <x:c r="A44" s="268" t="str">
        <x:f>'Certified Allocation'!A44</x:f>
        <x:v>Energy &amp; Natural Resources</x:v>
      </x:c>
      <x:c r="B44" s="268" t="str">
        <x:f>'Certified Allocation'!B44</x:f>
        <x:v>LNG</x:v>
      </x:c>
      <x:c r="C44" s="268" t="str">
        <x:f>'Certified Allocation'!C44</x:f>
        <x:v>Cheniere Energy, Inc.</x:v>
      </x:c>
      <x:c r="D44" s="268" t="str">
        <x:f>'Certified Allocation'!D44</x:f>
        <x:v>Equity</x:v>
      </x:c>
      <x:c r="E44" s="275" t="n">
        <x:f>'Certified Allocation'!F44</x:f>
        <x:v>0.0302</x:v>
      </x:c>
      <x:c r="F44" s="268" t="str">
        <x:f>'Certified Allocation'!M44</x:f>
        <x:v>Unassigned</x:v>
      </x:c>
      <x:c r="G44" s="271"/>
      <x:c r="H44" s="269" t="str">
        <x:f>IF(G44="",F44,G44)</x:f>
        <x:v>Unassigned</x:v>
      </x:c>
      <x:c r="I44" s="269" t="n">
        <x:f>IF(H44="Tier 1 — Anchor",3,IF(H44="Tier 2 — Core",2,IF(H44="Tier 3 — Opportunistic",1,0)))</x:f>
        <x:v>0</x:v>
      </x:c>
      <x:c r="J44" s="271"/>
      <x:c r="K44" s="268" t="str">
        <x:f>'Certified Allocation'!N44</x:f>
        <x:v>Current</x:v>
      </x:c>
      <x:c r="L44" s="271"/>
      <x:c r="M44" s="271"/>
      <x:c r="N44" s="294"/>
      <x:c r="O44" s="269" t="str">
        <x:f>IF(H44="Unassigned","ASSIGN CONVICTION",IF(J44="Impaired","REDUCE / REPLACE REVIEW",IF(G44&lt;&gt;"","COMMITTEE REVIEW",IF(OR(K44="Update Due",K44="Review Due",K44="Decision Required"),"RESEARCH REVIEW","NO CHANGE"))))</x:f>
        <x:v>ASSIGN CONVICTION</x:v>
      </x:c>
      <x:c r="P44" s="271"/>
    </x:row>
    <x:row r="45" ht="25" customHeight="1">
      <x:c r="A45" s="268" t="str">
        <x:f>'Certified Allocation'!A45</x:f>
        <x:v>Energy &amp; Natural Resources</x:v>
      </x:c>
      <x:c r="B45" s="268" t="str">
        <x:f>'Certified Allocation'!B45</x:f>
        <x:v>VPU</x:v>
      </x:c>
      <x:c r="C45" s="268" t="str">
        <x:f>'Certified Allocation'!C45</x:f>
        <x:v>Vanguard Utilities ETF</x:v>
      </x:c>
      <x:c r="D45" s="268" t="str">
        <x:f>'Certified Allocation'!D45</x:f>
        <x:v>ETF</x:v>
      </x:c>
      <x:c r="E45" s="275" t="n">
        <x:f>'Certified Allocation'!F45</x:f>
        <x:v>0.0302</x:v>
      </x:c>
      <x:c r="F45" s="268" t="str">
        <x:f>'Certified Allocation'!M45</x:f>
        <x:v>Unassigned</x:v>
      </x:c>
      <x:c r="G45" s="271"/>
      <x:c r="H45" s="269" t="str">
        <x:f>IF(G45="",F45,G45)</x:f>
        <x:v>Unassigned</x:v>
      </x:c>
      <x:c r="I45" s="269" t="n">
        <x:f>IF(H45="Tier 1 — Anchor",3,IF(H45="Tier 2 — Core",2,IF(H45="Tier 3 — Opportunistic",1,0)))</x:f>
        <x:v>0</x:v>
      </x:c>
      <x:c r="J45" s="271"/>
      <x:c r="K45" s="268" t="str">
        <x:f>'Certified Allocation'!N45</x:f>
        <x:v>Current</x:v>
      </x:c>
      <x:c r="L45" s="271"/>
      <x:c r="M45" s="271"/>
      <x:c r="N45" s="294"/>
      <x:c r="O45" s="269" t="str">
        <x:f>IF(H45="Unassigned","ASSIGN CONVICTION",IF(J45="Impaired","REDUCE / REPLACE REVIEW",IF(G45&lt;&gt;"","COMMITTEE REVIEW",IF(OR(K45="Update Due",K45="Review Due",K45="Decision Required"),"RESEARCH REVIEW","NO CHANGE"))))</x:f>
        <x:v>ASSIGN CONVICTION</x:v>
      </x:c>
      <x:c r="P45" s="271"/>
    </x:row>
    <x:row r="46" ht="25" customHeight="1">
      <x:c r="A46" s="268" t="str">
        <x:f>'Certified Allocation'!A46</x:f>
        <x:v>Energy &amp; Natural Resources</x:v>
      </x:c>
      <x:c r="B46" s="268" t="str">
        <x:f>'Certified Allocation'!B46</x:f>
        <x:v>XOM</x:v>
      </x:c>
      <x:c r="C46" s="268" t="str">
        <x:f>'Certified Allocation'!C46</x:f>
        <x:v>Exxon Mobil Corporation</x:v>
      </x:c>
      <x:c r="D46" s="268" t="str">
        <x:f>'Certified Allocation'!D46</x:f>
        <x:v>Equity</x:v>
      </x:c>
      <x:c r="E46" s="275" t="n">
        <x:f>'Certified Allocation'!F46</x:f>
        <x:v>0.0256</x:v>
      </x:c>
      <x:c r="F46" s="268" t="str">
        <x:f>'Certified Allocation'!M46</x:f>
        <x:v>Unassigned</x:v>
      </x:c>
      <x:c r="G46" s="271"/>
      <x:c r="H46" s="269" t="str">
        <x:f>IF(G46="",F46,G46)</x:f>
        <x:v>Unassigned</x:v>
      </x:c>
      <x:c r="I46" s="269" t="n">
        <x:f>IF(H46="Tier 1 — Anchor",3,IF(H46="Tier 2 — Core",2,IF(H46="Tier 3 — Opportunistic",1,0)))</x:f>
        <x:v>0</x:v>
      </x:c>
      <x:c r="J46" s="271"/>
      <x:c r="K46" s="268" t="str">
        <x:f>'Certified Allocation'!N46</x:f>
        <x:v>Current</x:v>
      </x:c>
      <x:c r="L46" s="271"/>
      <x:c r="M46" s="271"/>
      <x:c r="N46" s="294"/>
      <x:c r="O46" s="269" t="str">
        <x:f>IF(H46="Unassigned","ASSIGN CONVICTION",IF(J46="Impaired","REDUCE / REPLACE REVIEW",IF(G46&lt;&gt;"","COMMITTEE REVIEW",IF(OR(K46="Update Due",K46="Review Due",K46="Decision Required"),"RESEARCH REVIEW","NO CHANGE"))))</x:f>
        <x:v>ASSIGN CONVICTION</x:v>
      </x:c>
      <x:c r="P46" s="271"/>
    </x:row>
    <x:row r="47" ht="25" customHeight="1">
      <x:c r="A47" s="268" t="str">
        <x:f>'Certified Allocation'!A47</x:f>
        <x:v>Energy &amp; Natural Resources</x:v>
      </x:c>
      <x:c r="B47" s="268" t="str">
        <x:f>'Certified Allocation'!B47</x:f>
        <x:v>CVX</x:v>
      </x:c>
      <x:c r="C47" s="268" t="str">
        <x:f>'Certified Allocation'!C47</x:f>
        <x:v>Chevron Corporation</x:v>
      </x:c>
      <x:c r="D47" s="268" t="str">
        <x:f>'Certified Allocation'!D47</x:f>
        <x:v>Equity</x:v>
      </x:c>
      <x:c r="E47" s="275" t="n">
        <x:f>'Certified Allocation'!F47</x:f>
        <x:v>0.0156</x:v>
      </x:c>
      <x:c r="F47" s="268" t="str">
        <x:f>'Certified Allocation'!M47</x:f>
        <x:v>Unassigned</x:v>
      </x:c>
      <x:c r="G47" s="271"/>
      <x:c r="H47" s="269" t="str">
        <x:f>IF(G47="",F47,G47)</x:f>
        <x:v>Unassigned</x:v>
      </x:c>
      <x:c r="I47" s="269" t="n">
        <x:f>IF(H47="Tier 1 — Anchor",3,IF(H47="Tier 2 — Core",2,IF(H47="Tier 3 — Opportunistic",1,0)))</x:f>
        <x:v>0</x:v>
      </x:c>
      <x:c r="J47" s="271"/>
      <x:c r="K47" s="268" t="str">
        <x:f>'Certified Allocation'!N47</x:f>
        <x:v>Current</x:v>
      </x:c>
      <x:c r="L47" s="271"/>
      <x:c r="M47" s="271"/>
      <x:c r="N47" s="294"/>
      <x:c r="O47" s="269" t="str">
        <x:f>IF(H47="Unassigned","ASSIGN CONVICTION",IF(J47="Impaired","REDUCE / REPLACE REVIEW",IF(G47&lt;&gt;"","COMMITTEE REVIEW",IF(OR(K47="Update Due",K47="Review Due",K47="Decision Required"),"RESEARCH REVIEW","NO CHANGE"))))</x:f>
        <x:v>ASSIGN CONVICTION</x:v>
      </x:c>
      <x:c r="P47" s="271"/>
    </x:row>
    <x:row r="48" ht="25" customHeight="1">
      <x:c r="A48" s="268" t="str">
        <x:f>'Certified Allocation'!A48</x:f>
        <x:v>Energy &amp; Natural Resources</x:v>
      </x:c>
      <x:c r="B48" s="268" t="str">
        <x:f>'Certified Allocation'!B48</x:f>
        <x:v>VDE</x:v>
      </x:c>
      <x:c r="C48" s="268" t="str">
        <x:f>'Certified Allocation'!C48</x:f>
        <x:v>Vanguard Energy ETF</x:v>
      </x:c>
      <x:c r="D48" s="268" t="str">
        <x:f>'Certified Allocation'!D48</x:f>
        <x:v>ETF</x:v>
      </x:c>
      <x:c r="E48" s="275" t="n">
        <x:f>'Certified Allocation'!F48</x:f>
        <x:v>0.0156</x:v>
      </x:c>
      <x:c r="F48" s="268" t="str">
        <x:f>'Certified Allocation'!M48</x:f>
        <x:v>Unassigned</x:v>
      </x:c>
      <x:c r="G48" s="271"/>
      <x:c r="H48" s="269" t="str">
        <x:f>IF(G48="",F48,G48)</x:f>
        <x:v>Unassigned</x:v>
      </x:c>
      <x:c r="I48" s="269" t="n">
        <x:f>IF(H48="Tier 1 — Anchor",3,IF(H48="Tier 2 — Core",2,IF(H48="Tier 3 — Opportunistic",1,0)))</x:f>
        <x:v>0</x:v>
      </x:c>
      <x:c r="J48" s="271"/>
      <x:c r="K48" s="268" t="str">
        <x:f>'Certified Allocation'!N48</x:f>
        <x:v>Current</x:v>
      </x:c>
      <x:c r="L48" s="271"/>
      <x:c r="M48" s="271"/>
      <x:c r="N48" s="294"/>
      <x:c r="O48" s="269" t="str">
        <x:f>IF(H48="Unassigned","ASSIGN CONVICTION",IF(J48="Impaired","REDUCE / REPLACE REVIEW",IF(G48&lt;&gt;"","COMMITTEE REVIEW",IF(OR(K48="Update Due",K48="Review Due",K48="Decision Required"),"RESEARCH REVIEW","NO CHANGE"))))</x:f>
        <x:v>ASSIGN CONVICTION</x:v>
      </x:c>
      <x:c r="P48" s="271"/>
    </x:row>
    <x:row r="49" ht="25" customHeight="1">
      <x:c r="A49" s="268" t="str">
        <x:f>'Certified Allocation'!A49</x:f>
        <x:v>Income &amp; Risk Management</x:v>
      </x:c>
      <x:c r="B49" s="268" t="str">
        <x:f>'Certified Allocation'!B49</x:f>
        <x:v>JEPI</x:v>
      </x:c>
      <x:c r="C49" s="268" t="str">
        <x:f>'Certified Allocation'!C49</x:f>
        <x:v>JPMorgan Equity Premium Income ETF</x:v>
      </x:c>
      <x:c r="D49" s="268" t="str">
        <x:f>'Certified Allocation'!D49</x:f>
        <x:v>ETF</x:v>
      </x:c>
      <x:c r="E49" s="275" t="n">
        <x:f>'Certified Allocation'!F49</x:f>
        <x:v>0.0302</x:v>
      </x:c>
      <x:c r="F49" s="268" t="str">
        <x:f>'Certified Allocation'!M49</x:f>
        <x:v>Unassigned</x:v>
      </x:c>
      <x:c r="G49" s="271"/>
      <x:c r="H49" s="269" t="str">
        <x:f>IF(G49="",F49,G49)</x:f>
        <x:v>Unassigned</x:v>
      </x:c>
      <x:c r="I49" s="269" t="n">
        <x:f>IF(H49="Tier 1 — Anchor",3,IF(H49="Tier 2 — Core",2,IF(H49="Tier 3 — Opportunistic",1,0)))</x:f>
        <x:v>0</x:v>
      </x:c>
      <x:c r="J49" s="271"/>
      <x:c r="K49" s="268" t="str">
        <x:f>'Certified Allocation'!N49</x:f>
        <x:v>Current</x:v>
      </x:c>
      <x:c r="L49" s="271"/>
      <x:c r="M49" s="271"/>
      <x:c r="N49" s="294"/>
      <x:c r="O49" s="269" t="str">
        <x:f>IF(H49="Unassigned","ASSIGN CONVICTION",IF(J49="Impaired","REDUCE / REPLACE REVIEW",IF(G49&lt;&gt;"","COMMITTEE REVIEW",IF(OR(K49="Update Due",K49="Review Due",K49="Decision Required"),"RESEARCH REVIEW","NO CHANGE"))))</x:f>
        <x:v>ASSIGN CONVICTION</x:v>
      </x:c>
      <x:c r="P49" s="271"/>
    </x:row>
    <x:row r="50" ht="25" customHeight="1">
      <x:c r="A50" s="268" t="str">
        <x:f>'Certified Allocation'!A50</x:f>
        <x:v>Income &amp; Risk Management</x:v>
      </x:c>
      <x:c r="B50" s="268" t="str">
        <x:f>'Certified Allocation'!B50</x:f>
        <x:v>JEPQ</x:v>
      </x:c>
      <x:c r="C50" s="268" t="str">
        <x:f>'Certified Allocation'!C50</x:f>
        <x:v>JPMorgan Nasdaq Equity Premium Income ETF</x:v>
      </x:c>
      <x:c r="D50" s="268" t="str">
        <x:f>'Certified Allocation'!D50</x:f>
        <x:v>ETF</x:v>
      </x:c>
      <x:c r="E50" s="275" t="n">
        <x:f>'Certified Allocation'!F50</x:f>
        <x:v>0.0302</x:v>
      </x:c>
      <x:c r="F50" s="268" t="str">
        <x:f>'Certified Allocation'!M50</x:f>
        <x:v>Unassigned</x:v>
      </x:c>
      <x:c r="G50" s="271"/>
      <x:c r="H50" s="269" t="str">
        <x:f>IF(G50="",F50,G50)</x:f>
        <x:v>Unassigned</x:v>
      </x:c>
      <x:c r="I50" s="269" t="n">
        <x:f>IF(H50="Tier 1 — Anchor",3,IF(H50="Tier 2 — Core",2,IF(H50="Tier 3 — Opportunistic",1,0)))</x:f>
        <x:v>0</x:v>
      </x:c>
      <x:c r="J50" s="271"/>
      <x:c r="K50" s="268" t="str">
        <x:f>'Certified Allocation'!N50</x:f>
        <x:v>Current</x:v>
      </x:c>
      <x:c r="L50" s="271"/>
      <x:c r="M50" s="271"/>
      <x:c r="N50" s="294"/>
      <x:c r="O50" s="269" t="str">
        <x:f>IF(H50="Unassigned","ASSIGN CONVICTION",IF(J50="Impaired","REDUCE / REPLACE REVIEW",IF(G50&lt;&gt;"","COMMITTEE REVIEW",IF(OR(K50="Update Due",K50="Review Due",K50="Decision Required"),"RESEARCH REVIEW","NO CHANGE"))))</x:f>
        <x:v>ASSIGN CONVICTION</x:v>
      </x:c>
      <x:c r="P50" s="271"/>
    </x:row>
    <x:row r="51" ht="25" customHeight="1">
      <x:c r="A51" s="268" t="str">
        <x:f>'Certified Allocation'!A51</x:f>
        <x:v>Income &amp; Risk Management</x:v>
      </x:c>
      <x:c r="B51" s="268" t="str">
        <x:f>'Certified Allocation'!B51</x:f>
        <x:v>PFF</x:v>
      </x:c>
      <x:c r="C51" s="268" t="str">
        <x:f>'Certified Allocation'!C51</x:f>
        <x:v>iShares Preferred and Income Securities ETF</x:v>
      </x:c>
      <x:c r="D51" s="268" t="str">
        <x:f>'Certified Allocation'!D51</x:f>
        <x:v>ETF</x:v>
      </x:c>
      <x:c r="E51" s="275" t="n">
        <x:f>'Certified Allocation'!F51</x:f>
        <x:v>0.0302</x:v>
      </x:c>
      <x:c r="F51" s="268" t="str">
        <x:f>'Certified Allocation'!M51</x:f>
        <x:v>Unassigned</x:v>
      </x:c>
      <x:c r="G51" s="271"/>
      <x:c r="H51" s="269" t="str">
        <x:f>IF(G51="",F51,G51)</x:f>
        <x:v>Unassigned</x:v>
      </x:c>
      <x:c r="I51" s="269" t="n">
        <x:f>IF(H51="Tier 1 — Anchor",3,IF(H51="Tier 2 — Core",2,IF(H51="Tier 3 — Opportunistic",1,0)))</x:f>
        <x:v>0</x:v>
      </x:c>
      <x:c r="J51" s="271"/>
      <x:c r="K51" s="268" t="str">
        <x:f>'Certified Allocation'!N51</x:f>
        <x:v>Current</x:v>
      </x:c>
      <x:c r="L51" s="271"/>
      <x:c r="M51" s="271"/>
      <x:c r="N51" s="294"/>
      <x:c r="O51" s="269" t="str">
        <x:f>IF(H51="Unassigned","ASSIGN CONVICTION",IF(J51="Impaired","REDUCE / REPLACE REVIEW",IF(G51&lt;&gt;"","COMMITTEE REVIEW",IF(OR(K51="Update Due",K51="Review Due",K51="Decision Required"),"RESEARCH REVIEW","NO CHANGE"))))</x:f>
        <x:v>ASSIGN CONVICTION</x:v>
      </x:c>
      <x:c r="P51" s="271"/>
    </x:row>
    <x:row r="52" ht="22" customHeight="1">
      <x:c r="A52" s="292" t="str">
        <x:v>CONVICTION COMPLETENESS / DECISION CONTROL</x:v>
      </x:c>
      <x:c r="B52" s="292"/>
      <x:c r="C52" s="292"/>
      <x:c r="D52" s="292"/>
      <x:c r="E52" s="292"/>
      <x:c r="F52" s="292" t="n">
        <x:f>COUNTIF(F5:F51,"&lt;&gt;Unassigned")</x:f>
        <x:v>0</x:v>
      </x:c>
      <x:c r="G52" s="292" t="str">
        <x:v>Current Assigned</x:v>
      </x:c>
      <x:c r="H52" s="292" t="n">
        <x:f>COUNTIF(H5:H51,"&lt;&gt;Unassigned")</x:f>
        <x:v>0</x:v>
      </x:c>
      <x:c r="I52" s="292" t="str">
        <x:v>Effective Assigned</x:v>
      </x:c>
      <x:c r="J52" s="292"/>
      <x:c r="K52" s="292"/>
      <x:c r="L52" s="292"/>
      <x:c r="M52" s="292"/>
      <x:c r="N52" s="292" t="str">
        <x:v>Open Decisions</x:v>
      </x:c>
      <x:c r="O52" s="292" t="n">
        <x:f>COUNTIF(O5:O51,"&lt;&gt;NO CHANGE")</x:f>
        <x:v>47</x:v>
      </x:c>
      <x:c r="P52" s="292"/>
    </x:row>
  </x:sheetData>
  <x:mergeCells>
    <x:mergeCell ref="A1:P1"/>
    <x:mergeCell ref="A2:P2"/>
    <x:mergeCell ref="A3:P3"/>
    <x:mergeCell ref="A52:E52"/>
  </x:mergeCells>
  <x:conditionalFormatting sqref="O5:O51">
    <x:cfRule type="expression" dxfId="22" priority="1">
      <x:formula>OR(O5="PASS",O5="ACTIVE",O5="READY",O5="NO CHANGE",O5="BASELINE",O5="CERTIFIED",O5="ELIGIBLE",O5="NO DECISION")</x:formula>
    </x:cfRule>
    <x:cfRule type="expression" dxfId="23" priority="2">
      <x:formula>OR(ISNUMBER(SEARCH("REVIEW",O5)),ISNUMBER(SEARCH("MONITOR",O5)),ISNUMBER(SEARCH("PENDING",O5)),ISNUMBER(SEARCH("INPUT",O5)),ISNUMBER(SEARCH("ASSIGN",O5)),ISNUMBER(SEARCH("EXCEPTION",O5)),ISNUMBER(SEARCH("REQUIRED",O5)))</x:formula>
    </x:cfRule>
    <x:cfRule type="expression" dxfId="24" priority="3">
      <x:formula>OR(ISNUMBER(SEARCH("FAIL",O5)),ISNUMBER(SEARCH("PROHIBITED",O5)),ISNUMBER(SEARCH("IMPAIRED",O5)),ISNUMBER(SEARCH("REJECT",O5)))</x:formula>
    </x:cfRule>
  </x:conditionalFormatting>
  <x:dataValidations count="4">
    <x:dataValidation type="list" sqref="G5:G51">
      <x:formula1>"Tier 1 — Anchor,Tier 2 — Core,Tier 3 — Opportunistic,Unassigned"</x:formula1>
    </x:dataValidation>
    <x:dataValidation type="list" sqref="J5:J51">
      <x:formula1>"Current,Watch,Review Due,Impaired"</x:formula1>
    </x:dataValidation>
    <x:dataValidation type="list" sqref="L5:L51">
      <x:formula1>"Low,Moderate,High,Not Assessed"</x:formula1>
    </x:dataValidation>
    <x:dataValidation type="list" sqref="M5:M51">
      <x:formula1>"1–3 years,3–5 years,5+ years,Tactical / event driven"</x:formula1>
    </x:dataValidation>
  </x:dataValidation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38" hidden="0" customWidth="1"/>
    <x:col min="6" max="6" width="13" hidden="0" customWidth="1"/>
    <x:col min="7" max="7" width="12" hidden="0" customWidth="1"/>
    <x:col min="8" max="8" width="12" hidden="0" customWidth="1"/>
    <x:col min="9" max="9" width="12" hidden="0" customWidth="1"/>
    <x:col min="10" max="10" width="15" hidden="0" customWidth="1"/>
    <x:col min="11" max="11" width="15" hidden="0" customWidth="1"/>
    <x:col min="12" max="12" width="14" hidden="0" customWidth="1"/>
    <x:col min="13" max="13" width="17" hidden="0" customWidth="1"/>
    <x:col min="14" max="14" width="20" hidden="0" customWidth="1"/>
    <x:col min="15" max="15" width="30" hidden="0" customWidth="1"/>
    <x:col min="16" max="16" width="34" hidden="0" customWidth="1"/>
    <x:col min="17" max="17" width="20" hidden="0" customWidth="1"/>
    <x:col min="18" max="18" width="13" hidden="0" customWidth="1"/>
  </x:cols>
  <x:sheetData>
    <x:row r="1" ht="28" customHeight="1">
      <x:c r="A1" s="247" t="str">
        <x:v>MOPS-002 / PEW-006 — ALLOCATION ENGINEERING LAB</x:v>
      </x:c>
      <x:c r="B1" s="247"/>
      <x:c r="C1" s="247"/>
      <x:c r="D1" s="247"/>
      <x:c r="E1" s="247"/>
      <x:c r="F1" s="247"/>
      <x:c r="G1" s="247"/>
      <x:c r="H1" s="247"/>
      <x:c r="I1" s="247"/>
      <x:c r="J1" s="247"/>
      <x:c r="K1" s="247"/>
      <x:c r="L1" s="247"/>
      <x:c r="M1" s="247"/>
      <x:c r="N1" s="247"/>
      <x:c r="O1" s="247"/>
      <x:c r="P1" s="247"/>
      <x:c r="Q1" s="247"/>
      <x:c r="R1" s="247"/>
    </x:row>
    <x:row r="2" ht="20" customHeight="1">
      <x:c r="A2" s="250" t="str">
        <x:v>Controlled scenario layer. The certified MFPDF portfolio remains unchanged until a new version is formally approved.</x:v>
      </x:c>
      <x:c r="B2" s="250"/>
      <x:c r="C2" s="250"/>
      <x:c r="D2" s="250"/>
      <x:c r="E2" s="250"/>
      <x:c r="F2" s="250"/>
      <x:c r="G2" s="250"/>
      <x:c r="H2" s="250"/>
      <x:c r="I2" s="250"/>
      <x:c r="J2" s="250"/>
      <x:c r="K2" s="250"/>
      <x:c r="L2" s="250"/>
      <x:c r="M2" s="250"/>
      <x:c r="N2" s="250"/>
      <x:c r="O2" s="250"/>
      <x:c r="P2" s="250"/>
      <x:c r="Q2" s="250"/>
      <x:c r="R2" s="250"/>
    </x:row>
    <x:row r="3" ht="18" customHeight="1">
      <x:c r="A3" s="254" t="str">
        <x:v>Scenario Baseline: Certified Portfolio B | No automatic trading | All proposed changes require evidence and governance</x:v>
      </x:c>
      <x:c r="B3" s="254"/>
      <x:c r="C3" s="254"/>
      <x:c r="D3" s="254"/>
      <x:c r="E3" s="254"/>
      <x:c r="F3" s="254"/>
      <x:c r="G3" s="254"/>
      <x:c r="H3" s="254"/>
      <x:c r="I3" s="254"/>
      <x:c r="J3" s="254"/>
      <x:c r="K3" s="254"/>
      <x:c r="L3" s="254"/>
      <x:c r="M3" s="254"/>
      <x:c r="N3" s="254"/>
      <x:c r="O3" s="254"/>
      <x:c r="P3" s="254"/>
      <x:c r="Q3" s="254"/>
      <x:c r="R3" s="254"/>
    </x:row>
    <x:row r="4">
      <x:c r="A4" s="280" t="str">
        <x:v>Scenario ID</x:v>
      </x:c>
      <x:c r="B4" s="284" t="str">
        <x:v>PEW-SCN-001</x:v>
      </x:c>
      <x:c r="D4" s="280" t="str">
        <x:v>Scenario Name</x:v>
      </x:c>
      <x:c r="E4" s="284" t="str">
        <x:v>Certified Baseline / No Change</x:v>
      </x:c>
      <x:c r="F4" s="284"/>
      <x:c r="G4" s="284"/>
      <x:c r="H4" s="284"/>
      <x:c r="I4" s="280" t="str">
        <x:v>Prepared Date</x:v>
      </x:c>
      <x:c r="J4" s="285" t="n">
        <x:v>46229</x:v>
      </x:c>
      <x:c r="L4" s="280" t="str">
        <x:v>Scenario Status</x:v>
      </x:c>
      <x:c r="M4" s="289" t="str">
        <x:f>IF(COUNTA('Certified Allocation'!I5:I51)&lt;47,"DATA SETUP REQUIRED",IF(ABS(E6-100%)&gt;'13 Validation &amp; Cert'!$B$9,"REVISION REQUIRED",IF(K6=0,"BASELINE / NO CHANGE","COMMITTEE REVIEW REQUIRED")))</x:f>
        <x:v>DATA SETUP REQUIRED</x:v>
      </x:c>
      <x:c r="N4" s="289"/>
      <x:c r="O4" s="289"/>
      <x:c r="P4" s="289"/>
      <x:c r="Q4" s="289"/>
      <x:c r="R4" s="289"/>
    </x:row>
    <x:row r="6">
      <x:c r="A6" s="280" t="str">
        <x:v>Certified Total</x:v>
      </x:c>
      <x:c r="B6" s="44" t="n">
        <x:f>SUM(F11:F57)</x:f>
        <x:v>0.9999999999999994</x:v>
      </x:c>
      <x:c r="D6" s="280" t="str">
        <x:v>Scenario Total</x:v>
      </x:c>
      <x:c r="E6" s="44" t="n">
        <x:f>SUM(K11:K57)</x:f>
        <x:v>0.9999999999999994</x:v>
      </x:c>
      <x:c r="G6" s="280" t="str">
        <x:v>Funding Balance</x:v>
      </x:c>
      <x:c r="H6" s="44" t="n">
        <x:f>E6-B6</x:f>
        <x:v>0</x:v>
      </x:c>
      <x:c r="J6" s="280" t="str">
        <x:v>Changed Positions</x:v>
      </x:c>
      <x:c r="K6" s="138" t="n">
        <x:f>COUNTIF(L11:L57,"&lt;&gt;0")</x:f>
        <x:v>0</x:v>
      </x:c>
      <x:c r="M6" s="280" t="str">
        <x:v>Gross Turnover</x:v>
      </x:c>
      <x:c r="N6" s="44" t="n">
        <x:f>SUM(R11:R57)/2</x:f>
        <x:v>0</x:v>
      </x:c>
      <x:c r="P6" s="280" t="str">
        <x:v>Band Exceptions</x:v>
      </x:c>
      <x:c r="Q6" s="138" t="n">
        <x:f>COUNTIF(N11:N57,"&lt;&gt;Within Certified Band")</x:f>
        <x:v>0</x:v>
      </x:c>
    </x:row>
    <x:row r="7">
      <x:c r="A7" s="280" t="str">
        <x:v>Current Actual Total</x:v>
      </x:c>
      <x:c r="B7" s="44" t="n">
        <x:f>SUM('Certified Allocation'!I5:I51)</x:f>
        <x:v>0</x:v>
      </x:c>
      <x:c r="D7" s="280" t="str">
        <x:v>Actual Weights Loaded</x:v>
      </x:c>
      <x:c r="E7" s="138" t="str">
        <x:f>COUNTA('Certified Allocation'!I5:I51)&amp;" / 47"</x:f>
        <x:v>0 / 47</x:v>
      </x:c>
      <x:c r="G7" s="280" t="str">
        <x:v>Implementation Readiness</x:v>
      </x:c>
      <x:c r="H7" s="138" t="str">
        <x:f>IF(COUNTA('Certified Allocation'!I5:I51)&lt;47,"INPUT REQUIRED — LOAD ACTUAL WEIGHTS",IF(ABS(E6-100%)&gt;'13 Validation &amp; Cert'!$B$9,"REVISION REQUIRED — SCENARIO MUST TOTAL 100%",IF(COUNTIF(Q11:Q57,"Rationale Required")&gt;0,"INPUT REQUIRED — COMPLETE RATIONALES","READY FOR VALIDATION")))</x:f>
        <x:v>INPUT REQUIRED — LOAD ACTUAL WEIGHTS</x:v>
      </x:c>
    </x:row>
    <x:row r="9" ht="20" customHeight="1">
      <x:c r="A9" s="264" t="str">
        <x:v>SCENARIO ALLOCATION SCHEDULE — INPUT ONLY IN YELLOW CELLS</x:v>
      </x:c>
      <x:c r="B9" s="264"/>
      <x:c r="C9" s="264"/>
      <x:c r="D9" s="264"/>
      <x:c r="E9" s="264"/>
      <x:c r="F9" s="264"/>
      <x:c r="G9" s="264"/>
      <x:c r="H9" s="264"/>
      <x:c r="I9" s="264"/>
      <x:c r="J9" s="264"/>
      <x:c r="K9" s="264"/>
      <x:c r="L9" s="264"/>
      <x:c r="M9" s="264"/>
      <x:c r="N9" s="264"/>
      <x:c r="O9" s="264"/>
      <x:c r="P9" s="264"/>
      <x:c r="Q9" s="264"/>
      <x:c r="R9" s="264"/>
    </x:row>
    <x:row r="10" ht="30" customHeight="1">
      <x:c r="A10" s="267" t="str">
        <x:v>Production Sleeve</x:v>
      </x:c>
      <x:c r="B10" s="267" t="str">
        <x:v>Symbol</x:v>
      </x:c>
      <x:c r="C10" s="267" t="str">
        <x:v>Security</x:v>
      </x:c>
      <x:c r="D10" s="267" t="str">
        <x:v>Type</x:v>
      </x:c>
      <x:c r="E10" s="267" t="str">
        <x:v>Certified Portfolio Role</x:v>
      </x:c>
      <x:c r="F10" s="267" t="str">
        <x:v>Certified Target</x:v>
      </x:c>
      <x:c r="G10" s="267" t="str">
        <x:v>Lower Band</x:v>
      </x:c>
      <x:c r="H10" s="267" t="str">
        <x:v>Upper Band</x:v>
      </x:c>
      <x:c r="I10" s="267" t="str">
        <x:v>Actual Weight</x:v>
      </x:c>
      <x:c r="J10" s="267" t="str">
        <x:v>Scenario Weight Input</x:v>
      </x:c>
      <x:c r="K10" s="267" t="str">
        <x:v>Effective Scenario Weight</x:v>
      </x:c>
      <x:c r="L10" s="267" t="str">
        <x:v>Change vs Certified</x:v>
      </x:c>
      <x:c r="M10" s="267" t="str">
        <x:v>Funding / Use</x:v>
      </x:c>
      <x:c r="N10" s="267" t="str">
        <x:v>Certified Band Test</x:v>
      </x:c>
      <x:c r="O10" s="267" t="str">
        <x:v>Decision Trigger</x:v>
      </x:c>
      <x:c r="P10" s="267" t="str">
        <x:v>Committee Rationale</x:v>
      </x:c>
      <x:c r="Q10" s="267" t="str">
        <x:v>Validation State</x:v>
      </x:c>
      <x:c r="R10" s="267" t="str">
        <x:v>Absolute Change</x:v>
      </x:c>
    </x:row>
    <x:row r="11" ht="26" customHeight="1">
      <x:c r="A11" s="268" t="str">
        <x:f>'Certified Allocation'!A5</x:f>
        <x:v>Strategic Anchors</x:v>
      </x:c>
      <x:c r="B11" s="268" t="str">
        <x:f>'Certified Allocation'!B5</x:f>
        <x:v>BRK.B</x:v>
      </x:c>
      <x:c r="C11" s="268" t="str">
        <x:f>'Certified Allocation'!C5</x:f>
        <x:v>Berkshire Hathaway Inc. Class B</x:v>
      </x:c>
      <x:c r="D11" s="268" t="str">
        <x:f>'Certified Allocation'!D5</x:f>
        <x:v>Equity</x:v>
      </x:c>
      <x:c r="E11" s="268" t="str">
        <x:f>'Certified Allocation'!E5</x:f>
        <x:v>Diversified capital-allocation anchor</x:v>
      </x:c>
      <x:c r="F11" s="275" t="n">
        <x:f>'Certified Allocation'!F5</x:f>
        <x:v>0.0302</x:v>
      </x:c>
      <x:c r="G11" s="275" t="n">
        <x:f>'Certified Allocation'!G5</x:f>
        <x:v>0.02265</x:v>
      </x:c>
      <x:c r="H11" s="275" t="n">
        <x:f>'Certified Allocation'!H5</x:f>
        <x:v>0.03775</x:v>
      </x:c>
      <x:c r="I11" s="275" t="n">
        <x:f>'Certified Allocation'!I5</x:f>
        <x:v>0</x:v>
      </x:c>
      <x:c r="J11" s="290"/>
      <x:c r="K11" s="291" t="n">
        <x:f>IF(J11="",F11,J11)</x:f>
        <x:v>0.0302</x:v>
      </x:c>
      <x:c r="L11" s="291" t="n">
        <x:f>K11-F11</x:f>
        <x:v>0</x:v>
      </x:c>
      <x:c r="M11" s="269" t="str">
        <x:f>IF(ABS(L11)&lt;'13 Validation &amp; Cert'!$B$9,"No Change",IF(L11&gt;0,"Funding Required","Source of Funds"))</x:f>
        <x:v>No Change</x:v>
      </x:c>
      <x:c r="N11" s="269" t="str">
        <x:f>IF(K11&lt;G11,"Below Certified Band",IF(K11&gt;H11,"Above Certified Band","Within Certified Band"))</x:f>
        <x:v>Within Certified Band</x:v>
      </x:c>
      <x:c r="O11" s="269" t="str">
        <x:f>IF(ABS(L11)&lt;'13 Validation &amp; Cert'!$B$9,"No scenario change",IF(N11&lt;&gt;"Within Certified Band","BAND EXCEPTION — COMMITTEE DECISION",IF(ABS(L11)&gt;='13 Validation &amp; Cert'!$B$7,"MATERIAL POSITION CHANGE","REVIEW PROPOSED CHANGE")))</x:f>
        <x:v>No scenario change</x:v>
      </x:c>
      <x:c r="P11" s="271"/>
      <x:c r="Q11" s="269" t="str">
        <x:f>IF(ABS(L11)&lt;'13 Validation &amp; Cert'!$B$9,"Baseline",IF(P11="","Rationale Required","Ready for Validation"))</x:f>
        <x:v>Baseline</x:v>
      </x:c>
      <x:c r="R11" s="291" t="n">
        <x:f>ABS(L11)</x:f>
        <x:v>0</x:v>
      </x:c>
    </x:row>
    <x:row r="12" ht="26" customHeight="1">
      <x:c r="A12" s="268" t="str">
        <x:f>'Certified Allocation'!A6</x:f>
        <x:v>Strategic Anchors</x:v>
      </x:c>
      <x:c r="B12" s="268" t="str">
        <x:f>'Certified Allocation'!B6</x:f>
        <x:v>COST</x:v>
      </x:c>
      <x:c r="C12" s="268" t="str">
        <x:f>'Certified Allocation'!C6</x:f>
        <x:v>Costco Wholesale Corporation</x:v>
      </x:c>
      <x:c r="D12" s="268" t="str">
        <x:f>'Certified Allocation'!D6</x:f>
        <x:v>Equity</x:v>
      </x:c>
      <x:c r="E12" s="268" t="str">
        <x:f>'Certified Allocation'!E6</x:f>
        <x:v>Consumer-resilience anchor</x:v>
      </x:c>
      <x:c r="F12" s="275" t="n">
        <x:f>'Certified Allocation'!F6</x:f>
        <x:v>0.0302</x:v>
      </x:c>
      <x:c r="G12" s="275" t="n">
        <x:f>'Certified Allocation'!G6</x:f>
        <x:v>0.02265</x:v>
      </x:c>
      <x:c r="H12" s="275" t="n">
        <x:f>'Certified Allocation'!H6</x:f>
        <x:v>0.03775</x:v>
      </x:c>
      <x:c r="I12" s="275" t="n">
        <x:f>'Certified Allocation'!I6</x:f>
        <x:v>0</x:v>
      </x:c>
      <x:c r="J12" s="290"/>
      <x:c r="K12" s="291" t="n">
        <x:f>IF(J12="",F12,J12)</x:f>
        <x:v>0.0302</x:v>
      </x:c>
      <x:c r="L12" s="291" t="n">
        <x:f>K12-F12</x:f>
        <x:v>0</x:v>
      </x:c>
      <x:c r="M12" s="269" t="str">
        <x:f>IF(ABS(L12)&lt;'13 Validation &amp; Cert'!$B$9,"No Change",IF(L12&gt;0,"Funding Required","Source of Funds"))</x:f>
        <x:v>No Change</x:v>
      </x:c>
      <x:c r="N12" s="269" t="str">
        <x:f>IF(K12&lt;G12,"Below Certified Band",IF(K12&gt;H12,"Above Certified Band","Within Certified Band"))</x:f>
        <x:v>Within Certified Band</x:v>
      </x:c>
      <x:c r="O12" s="269" t="str">
        <x:f>IF(ABS(L12)&lt;'13 Validation &amp; Cert'!$B$9,"No scenario change",IF(N12&lt;&gt;"Within Certified Band","BAND EXCEPTION — COMMITTEE DECISION",IF(ABS(L12)&gt;='13 Validation &amp; Cert'!$B$7,"MATERIAL POSITION CHANGE","REVIEW PROPOSED CHANGE")))</x:f>
        <x:v>No scenario change</x:v>
      </x:c>
      <x:c r="P12" s="271"/>
      <x:c r="Q12" s="269" t="str">
        <x:f>IF(ABS(L12)&lt;'13 Validation &amp; Cert'!$B$9,"Baseline",IF(P12="","Rationale Required","Ready for Validation"))</x:f>
        <x:v>Baseline</x:v>
      </x:c>
      <x:c r="R12" s="291" t="n">
        <x:f>ABS(L12)</x:f>
        <x:v>0</x:v>
      </x:c>
    </x:row>
    <x:row r="13" ht="26" customHeight="1">
      <x:c r="A13" s="268" t="str">
        <x:f>'Certified Allocation'!A7</x:f>
        <x:v>Strategic Anchors</x:v>
      </x:c>
      <x:c r="B13" s="268" t="str">
        <x:f>'Certified Allocation'!B7</x:f>
        <x:v>JNJ</x:v>
      </x:c>
      <x:c r="C13" s="268" t="str">
        <x:f>'Certified Allocation'!C7</x:f>
        <x:v>Johnson &amp; Johnson</x:v>
      </x:c>
      <x:c r="D13" s="268" t="str">
        <x:f>'Certified Allocation'!D7</x:f>
        <x:v>Equity</x:v>
      </x:c>
      <x:c r="E13" s="268" t="str">
        <x:f>'Certified Allocation'!E7</x:f>
        <x:v>Healthcare and life-sciences resilience anchor</x:v>
      </x:c>
      <x:c r="F13" s="275" t="n">
        <x:f>'Certified Allocation'!F7</x:f>
        <x:v>0.0302</x:v>
      </x:c>
      <x:c r="G13" s="275" t="n">
        <x:f>'Certified Allocation'!G7</x:f>
        <x:v>0.02265</x:v>
      </x:c>
      <x:c r="H13" s="275" t="n">
        <x:f>'Certified Allocation'!H7</x:f>
        <x:v>0.03775</x:v>
      </x:c>
      <x:c r="I13" s="275" t="n">
        <x:f>'Certified Allocation'!I7</x:f>
        <x:v>0</x:v>
      </x:c>
      <x:c r="J13" s="290"/>
      <x:c r="K13" s="291" t="n">
        <x:f>IF(J13="",F13,J13)</x:f>
        <x:v>0.0302</x:v>
      </x:c>
      <x:c r="L13" s="291" t="n">
        <x:f>K13-F13</x:f>
        <x:v>0</x:v>
      </x:c>
      <x:c r="M13" s="269" t="str">
        <x:f>IF(ABS(L13)&lt;'13 Validation &amp; Cert'!$B$9,"No Change",IF(L13&gt;0,"Funding Required","Source of Funds"))</x:f>
        <x:v>No Change</x:v>
      </x:c>
      <x:c r="N13" s="269" t="str">
        <x:f>IF(K13&lt;G13,"Below Certified Band",IF(K13&gt;H13,"Above Certified Band","Within Certified Band"))</x:f>
        <x:v>Within Certified Band</x:v>
      </x:c>
      <x:c r="O13" s="269" t="str">
        <x:f>IF(ABS(L13)&lt;'13 Validation &amp; Cert'!$B$9,"No scenario change",IF(N13&lt;&gt;"Within Certified Band","BAND EXCEPTION — COMMITTEE DECISION",IF(ABS(L13)&gt;='13 Validation &amp; Cert'!$B$7,"MATERIAL POSITION CHANGE","REVIEW PROPOSED CHANGE")))</x:f>
        <x:v>No scenario change</x:v>
      </x:c>
      <x:c r="P13" s="271"/>
      <x:c r="Q13" s="269" t="str">
        <x:f>IF(ABS(L13)&lt;'13 Validation &amp; Cert'!$B$9,"Baseline",IF(P13="","Rationale Required","Ready for Validation"))</x:f>
        <x:v>Baseline</x:v>
      </x:c>
      <x:c r="R13" s="291" t="n">
        <x:f>ABS(L13)</x:f>
        <x:v>0</x:v>
      </x:c>
    </x:row>
    <x:row r="14" ht="26" customHeight="1">
      <x:c r="A14" s="268" t="str">
        <x:f>'Certified Allocation'!A8</x:f>
        <x:v>Strategic Anchors</x:v>
      </x:c>
      <x:c r="B14" s="268" t="str">
        <x:f>'Certified Allocation'!B8</x:f>
        <x:v>MSFT</x:v>
      </x:c>
      <x:c r="C14" s="268" t="str">
        <x:f>'Certified Allocation'!C8</x:f>
        <x:v>Microsoft Corporation</x:v>
      </x:c>
      <x:c r="D14" s="268" t="str">
        <x:f>'Certified Allocation'!D8</x:f>
        <x:v>Equity</x:v>
      </x:c>
      <x:c r="E14" s="268" t="str">
        <x:f>'Certified Allocation'!E8</x:f>
        <x:v>Enterprise technology and AI platform anchor</x:v>
      </x:c>
      <x:c r="F14" s="275" t="n">
        <x:f>'Certified Allocation'!F8</x:f>
        <x:v>0.0302</x:v>
      </x:c>
      <x:c r="G14" s="275" t="n">
        <x:f>'Certified Allocation'!G8</x:f>
        <x:v>0.02265</x:v>
      </x:c>
      <x:c r="H14" s="275" t="n">
        <x:f>'Certified Allocation'!H8</x:f>
        <x:v>0.03775</x:v>
      </x:c>
      <x:c r="I14" s="275" t="n">
        <x:f>'Certified Allocation'!I8</x:f>
        <x:v>0</x:v>
      </x:c>
      <x:c r="J14" s="290"/>
      <x:c r="K14" s="291" t="n">
        <x:f>IF(J14="",F14,J14)</x:f>
        <x:v>0.0302</x:v>
      </x:c>
      <x:c r="L14" s="291" t="n">
        <x:f>K14-F14</x:f>
        <x:v>0</x:v>
      </x:c>
      <x:c r="M14" s="269" t="str">
        <x:f>IF(ABS(L14)&lt;'13 Validation &amp; Cert'!$B$9,"No Change",IF(L14&gt;0,"Funding Required","Source of Funds"))</x:f>
        <x:v>No Change</x:v>
      </x:c>
      <x:c r="N14" s="269" t="str">
        <x:f>IF(K14&lt;G14,"Below Certified Band",IF(K14&gt;H14,"Above Certified Band","Within Certified Band"))</x:f>
        <x:v>Within Certified Band</x:v>
      </x:c>
      <x:c r="O14" s="269" t="str">
        <x:f>IF(ABS(L14)&lt;'13 Validation &amp; Cert'!$B$9,"No scenario change",IF(N14&lt;&gt;"Within Certified Band","BAND EXCEPTION — COMMITTEE DECISION",IF(ABS(L14)&gt;='13 Validation &amp; Cert'!$B$7,"MATERIAL POSITION CHANGE","REVIEW PROPOSED CHANGE")))</x:f>
        <x:v>No scenario change</x:v>
      </x:c>
      <x:c r="P14" s="271"/>
      <x:c r="Q14" s="269" t="str">
        <x:f>IF(ABS(L14)&lt;'13 Validation &amp; Cert'!$B$9,"Baseline",IF(P14="","Rationale Required","Ready for Validation"))</x:f>
        <x:v>Baseline</x:v>
      </x:c>
      <x:c r="R14" s="291" t="n">
        <x:f>ABS(L14)</x:f>
        <x:v>0</x:v>
      </x:c>
    </x:row>
    <x:row r="15" ht="26" customHeight="1">
      <x:c r="A15" s="268" t="str">
        <x:f>'Certified Allocation'!A9</x:f>
        <x:v>Strategic Anchors</x:v>
      </x:c>
      <x:c r="B15" s="268" t="str">
        <x:f>'Certified Allocation'!B9</x:f>
        <x:v>V</x:v>
      </x:c>
      <x:c r="C15" s="268" t="str">
        <x:f>'Certified Allocation'!C9</x:f>
        <x:v>Visa Inc.</x:v>
      </x:c>
      <x:c r="D15" s="268" t="str">
        <x:f>'Certified Allocation'!D9</x:f>
        <x:v>Equity</x:v>
      </x:c>
      <x:c r="E15" s="268" t="str">
        <x:f>'Certified Allocation'!E9</x:f>
        <x:v>Global payments infrastructure anchor</x:v>
      </x:c>
      <x:c r="F15" s="275" t="n">
        <x:f>'Certified Allocation'!F9</x:f>
        <x:v>0.0288</x:v>
      </x:c>
      <x:c r="G15" s="275" t="n">
        <x:f>'Certified Allocation'!G9</x:f>
        <x:v>0.0216</x:v>
      </x:c>
      <x:c r="H15" s="275" t="n">
        <x:f>'Certified Allocation'!H9</x:f>
        <x:v>0.036</x:v>
      </x:c>
      <x:c r="I15" s="275" t="n">
        <x:f>'Certified Allocation'!I9</x:f>
        <x:v>0</x:v>
      </x:c>
      <x:c r="J15" s="290"/>
      <x:c r="K15" s="291" t="n">
        <x:f>IF(J15="",F15,J15)</x:f>
        <x:v>0.0288</x:v>
      </x:c>
      <x:c r="L15" s="291" t="n">
        <x:f>K15-F15</x:f>
        <x:v>0</x:v>
      </x:c>
      <x:c r="M15" s="269" t="str">
        <x:f>IF(ABS(L15)&lt;'13 Validation &amp; Cert'!$B$9,"No Change",IF(L15&gt;0,"Funding Required","Source of Funds"))</x:f>
        <x:v>No Change</x:v>
      </x:c>
      <x:c r="N15" s="269" t="str">
        <x:f>IF(K15&lt;G15,"Below Certified Band",IF(K15&gt;H15,"Above Certified Band","Within Certified Band"))</x:f>
        <x:v>Within Certified Band</x:v>
      </x:c>
      <x:c r="O15" s="269" t="str">
        <x:f>IF(ABS(L15)&lt;'13 Validation &amp; Cert'!$B$9,"No scenario change",IF(N15&lt;&gt;"Within Certified Band","BAND EXCEPTION — COMMITTEE DECISION",IF(ABS(L15)&gt;='13 Validation &amp; Cert'!$B$7,"MATERIAL POSITION CHANGE","REVIEW PROPOSED CHANGE")))</x:f>
        <x:v>No scenario change</x:v>
      </x:c>
      <x:c r="P15" s="271"/>
      <x:c r="Q15" s="269" t="str">
        <x:f>IF(ABS(L15)&lt;'13 Validation &amp; Cert'!$B$9,"Baseline",IF(P15="","Rationale Required","Ready for Validation"))</x:f>
        <x:v>Baseline</x:v>
      </x:c>
      <x:c r="R15" s="291" t="n">
        <x:f>ABS(L15)</x:f>
        <x:v>0</x:v>
      </x:c>
    </x:row>
    <x:row r="16" ht="26" customHeight="1">
      <x:c r="A16" s="268" t="str">
        <x:f>'Certified Allocation'!A10</x:f>
        <x:v>Strategic Anchors</x:v>
      </x:c>
      <x:c r="B16" s="268" t="str">
        <x:f>'Certified Allocation'!B10</x:f>
        <x:v>GOOGL</x:v>
      </x:c>
      <x:c r="C16" s="268" t="str">
        <x:f>'Certified Allocation'!C10</x:f>
        <x:v>Alphabet Inc. Class A</x:v>
      </x:c>
      <x:c r="D16" s="268" t="str">
        <x:f>'Certified Allocation'!D10</x:f>
        <x:v>Equity</x:v>
      </x:c>
      <x:c r="E16" s="268" t="str">
        <x:f>'Certified Allocation'!E10</x:f>
        <x:v>Digital platform and AI anchor</x:v>
      </x:c>
      <x:c r="F16" s="275" t="n">
        <x:f>'Certified Allocation'!F10</x:f>
        <x:v>0.0284</x:v>
      </x:c>
      <x:c r="G16" s="275" t="n">
        <x:f>'Certified Allocation'!G10</x:f>
        <x:v>0.0213</x:v>
      </x:c>
      <x:c r="H16" s="275" t="n">
        <x:f>'Certified Allocation'!H10</x:f>
        <x:v>0.035500000000000004</x:v>
      </x:c>
      <x:c r="I16" s="275" t="n">
        <x:f>'Certified Allocation'!I10</x:f>
        <x:v>0</x:v>
      </x:c>
      <x:c r="J16" s="290"/>
      <x:c r="K16" s="291" t="n">
        <x:f>IF(J16="",F16,J16)</x:f>
        <x:v>0.0284</x:v>
      </x:c>
      <x:c r="L16" s="291" t="n">
        <x:f>K16-F16</x:f>
        <x:v>0</x:v>
      </x:c>
      <x:c r="M16" s="269" t="str">
        <x:f>IF(ABS(L16)&lt;'13 Validation &amp; Cert'!$B$9,"No Change",IF(L16&gt;0,"Funding Required","Source of Funds"))</x:f>
        <x:v>No Change</x:v>
      </x:c>
      <x:c r="N16" s="269" t="str">
        <x:f>IF(K16&lt;G16,"Below Certified Band",IF(K16&gt;H16,"Above Certified Band","Within Certified Band"))</x:f>
        <x:v>Within Certified Band</x:v>
      </x:c>
      <x:c r="O16" s="269" t="str">
        <x:f>IF(ABS(L16)&lt;'13 Validation &amp; Cert'!$B$9,"No scenario change",IF(N16&lt;&gt;"Within Certified Band","BAND EXCEPTION — COMMITTEE DECISION",IF(ABS(L16)&gt;='13 Validation &amp; Cert'!$B$7,"MATERIAL POSITION CHANGE","REVIEW PROPOSED CHANGE")))</x:f>
        <x:v>No scenario change</x:v>
      </x:c>
      <x:c r="P16" s="271"/>
      <x:c r="Q16" s="269" t="str">
        <x:f>IF(ABS(L16)&lt;'13 Validation &amp; Cert'!$B$9,"Baseline",IF(P16="","Rationale Required","Ready for Validation"))</x:f>
        <x:v>Baseline</x:v>
      </x:c>
      <x:c r="R16" s="291" t="n">
        <x:f>ABS(L16)</x:f>
        <x:v>0</x:v>
      </x:c>
    </x:row>
    <x:row r="17" ht="26" customHeight="1">
      <x:c r="A17" s="268" t="str">
        <x:f>'Certified Allocation'!A11</x:f>
        <x:v>Strategic Anchors</x:v>
      </x:c>
      <x:c r="B17" s="268" t="str">
        <x:f>'Certified Allocation'!B11</x:f>
        <x:v>MA</x:v>
      </x:c>
      <x:c r="C17" s="268" t="str">
        <x:f>'Certified Allocation'!C11</x:f>
        <x:v>Mastercard Incorporated</x:v>
      </x:c>
      <x:c r="D17" s="268" t="str">
        <x:f>'Certified Allocation'!D11</x:f>
        <x:v>Equity</x:v>
      </x:c>
      <x:c r="E17" s="268" t="str">
        <x:f>'Certified Allocation'!E11</x:f>
        <x:v>Global payments infrastructure anchor</x:v>
      </x:c>
      <x:c r="F17" s="275" t="n">
        <x:f>'Certified Allocation'!F11</x:f>
        <x:v>0.016</x:v>
      </x:c>
      <x:c r="G17" s="275" t="n">
        <x:f>'Certified Allocation'!G11</x:f>
        <x:v>0.012</x:v>
      </x:c>
      <x:c r="H17" s="275" t="n">
        <x:f>'Certified Allocation'!H11</x:f>
        <x:v>0.02</x:v>
      </x:c>
      <x:c r="I17" s="275" t="n">
        <x:f>'Certified Allocation'!I11</x:f>
        <x:v>0</x:v>
      </x:c>
      <x:c r="J17" s="290"/>
      <x:c r="K17" s="291" t="n">
        <x:f>IF(J17="",F17,J17)</x:f>
        <x:v>0.016</x:v>
      </x:c>
      <x:c r="L17" s="291" t="n">
        <x:f>K17-F17</x:f>
        <x:v>0</x:v>
      </x:c>
      <x:c r="M17" s="269" t="str">
        <x:f>IF(ABS(L17)&lt;'13 Validation &amp; Cert'!$B$9,"No Change",IF(L17&gt;0,"Funding Required","Source of Funds"))</x:f>
        <x:v>No Change</x:v>
      </x:c>
      <x:c r="N17" s="269" t="str">
        <x:f>IF(K17&lt;G17,"Below Certified Band",IF(K17&gt;H17,"Above Certified Band","Within Certified Band"))</x:f>
        <x:v>Within Certified Band</x:v>
      </x:c>
      <x:c r="O17" s="269" t="str">
        <x:f>IF(ABS(L17)&lt;'13 Validation &amp; Cert'!$B$9,"No scenario change",IF(N17&lt;&gt;"Within Certified Band","BAND EXCEPTION — COMMITTEE DECISION",IF(ABS(L17)&gt;='13 Validation &amp; Cert'!$B$7,"MATERIAL POSITION CHANGE","REVIEW PROPOSED CHANGE")))</x:f>
        <x:v>No scenario change</x:v>
      </x:c>
      <x:c r="P17" s="271"/>
      <x:c r="Q17" s="269" t="str">
        <x:f>IF(ABS(L17)&lt;'13 Validation &amp; Cert'!$B$9,"Baseline",IF(P17="","Rationale Required","Ready for Validation"))</x:f>
        <x:v>Baseline</x:v>
      </x:c>
      <x:c r="R17" s="291" t="n">
        <x:f>ABS(L17)</x:f>
        <x:v>0</x:v>
      </x:c>
    </x:row>
    <x:row r="18" ht="26" customHeight="1">
      <x:c r="A18" s="268" t="str">
        <x:f>'Certified Allocation'!A12</x:f>
        <x:v>Strategic Anchors</x:v>
      </x:c>
      <x:c r="B18" s="268" t="str">
        <x:f>'Certified Allocation'!B12</x:f>
        <x:v>AAPL</x:v>
      </x:c>
      <x:c r="C18" s="268" t="str">
        <x:f>'Certified Allocation'!C12</x:f>
        <x:v>Apple Inc.</x:v>
      </x:c>
      <x:c r="D18" s="268" t="str">
        <x:f>'Certified Allocation'!D12</x:f>
        <x:v>Equity</x:v>
      </x:c>
      <x:c r="E18" s="268" t="str">
        <x:f>'Certified Allocation'!E12</x:f>
        <x:v>Consumer technology ecosystem anchor</x:v>
      </x:c>
      <x:c r="F18" s="275" t="n">
        <x:f>'Certified Allocation'!F12</x:f>
        <x:v>0.0156</x:v>
      </x:c>
      <x:c r="G18" s="275" t="n">
        <x:f>'Certified Allocation'!G12</x:f>
        <x:v>0.011699999999999999</x:v>
      </x:c>
      <x:c r="H18" s="275" t="n">
        <x:f>'Certified Allocation'!H12</x:f>
        <x:v>0.0195</x:v>
      </x:c>
      <x:c r="I18" s="275" t="n">
        <x:f>'Certified Allocation'!I12</x:f>
        <x:v>0</x:v>
      </x:c>
      <x:c r="J18" s="290"/>
      <x:c r="K18" s="291" t="n">
        <x:f>IF(J18="",F18,J18)</x:f>
        <x:v>0.0156</x:v>
      </x:c>
      <x:c r="L18" s="291" t="n">
        <x:f>K18-F18</x:f>
        <x:v>0</x:v>
      </x:c>
      <x:c r="M18" s="269" t="str">
        <x:f>IF(ABS(L18)&lt;'13 Validation &amp; Cert'!$B$9,"No Change",IF(L18&gt;0,"Funding Required","Source of Funds"))</x:f>
        <x:v>No Change</x:v>
      </x:c>
      <x:c r="N18" s="269" t="str">
        <x:f>IF(K18&lt;G18,"Below Certified Band",IF(K18&gt;H18,"Above Certified Band","Within Certified Band"))</x:f>
        <x:v>Within Certified Band</x:v>
      </x:c>
      <x:c r="O18" s="269" t="str">
        <x:f>IF(ABS(L18)&lt;'13 Validation &amp; Cert'!$B$9,"No scenario change",IF(N18&lt;&gt;"Within Certified Band","BAND EXCEPTION — COMMITTEE DECISION",IF(ABS(L18)&gt;='13 Validation &amp; Cert'!$B$7,"MATERIAL POSITION CHANGE","REVIEW PROPOSED CHANGE")))</x:f>
        <x:v>No scenario change</x:v>
      </x:c>
      <x:c r="P18" s="271"/>
      <x:c r="Q18" s="269" t="str">
        <x:f>IF(ABS(L18)&lt;'13 Validation &amp; Cert'!$B$9,"Baseline",IF(P18="","Rationale Required","Ready for Validation"))</x:f>
        <x:v>Baseline</x:v>
      </x:c>
      <x:c r="R18" s="291" t="n">
        <x:f>ABS(L18)</x:f>
        <x:v>0</x:v>
      </x:c>
    </x:row>
    <x:row r="19" ht="26" customHeight="1">
      <x:c r="A19" s="268" t="str">
        <x:f>'Certified Allocation'!A13</x:f>
        <x:v>Strategic Anchors</x:v>
      </x:c>
      <x:c r="B19" s="268" t="str">
        <x:f>'Certified Allocation'!B13</x:f>
        <x:v>AMZN</x:v>
      </x:c>
      <x:c r="C19" s="268" t="str">
        <x:f>'Certified Allocation'!C13</x:f>
        <x:v>Amazon.com, Inc.</x:v>
      </x:c>
      <x:c r="D19" s="268" t="str">
        <x:f>'Certified Allocation'!D13</x:f>
        <x:v>Equity</x:v>
      </x:c>
      <x:c r="E19" s="268" t="str">
        <x:f>'Certified Allocation'!E13</x:f>
        <x:v>Cloud, commerce and logistics anchor</x:v>
      </x:c>
      <x:c r="F19" s="275" t="n">
        <x:f>'Certified Allocation'!F13</x:f>
        <x:v>0.0155</x:v>
      </x:c>
      <x:c r="G19" s="275" t="n">
        <x:f>'Certified Allocation'!G13</x:f>
        <x:v>0.011625</x:v>
      </x:c>
      <x:c r="H19" s="275" t="n">
        <x:f>'Certified Allocation'!H13</x:f>
        <x:v>0.019375</x:v>
      </x:c>
      <x:c r="I19" s="275" t="n">
        <x:f>'Certified Allocation'!I13</x:f>
        <x:v>0</x:v>
      </x:c>
      <x:c r="J19" s="290"/>
      <x:c r="K19" s="291" t="n">
        <x:f>IF(J19="",F19,J19)</x:f>
        <x:v>0.0155</x:v>
      </x:c>
      <x:c r="L19" s="291" t="n">
        <x:f>K19-F19</x:f>
        <x:v>0</x:v>
      </x:c>
      <x:c r="M19" s="269" t="str">
        <x:f>IF(ABS(L19)&lt;'13 Validation &amp; Cert'!$B$9,"No Change",IF(L19&gt;0,"Funding Required","Source of Funds"))</x:f>
        <x:v>No Change</x:v>
      </x:c>
      <x:c r="N19" s="269" t="str">
        <x:f>IF(K19&lt;G19,"Below Certified Band",IF(K19&gt;H19,"Above Certified Band","Within Certified Band"))</x:f>
        <x:v>Within Certified Band</x:v>
      </x:c>
      <x:c r="O19" s="269" t="str">
        <x:f>IF(ABS(L19)&lt;'13 Validation &amp; Cert'!$B$9,"No scenario change",IF(N19&lt;&gt;"Within Certified Band","BAND EXCEPTION — COMMITTEE DECISION",IF(ABS(L19)&gt;='13 Validation &amp; Cert'!$B$7,"MATERIAL POSITION CHANGE","REVIEW PROPOSED CHANGE")))</x:f>
        <x:v>No scenario change</x:v>
      </x:c>
      <x:c r="P19" s="271"/>
      <x:c r="Q19" s="269" t="str">
        <x:f>IF(ABS(L19)&lt;'13 Validation &amp; Cert'!$B$9,"Baseline",IF(P19="","Rationale Required","Ready for Validation"))</x:f>
        <x:v>Baseline</x:v>
      </x:c>
      <x:c r="R19" s="291" t="n">
        <x:f>ABS(L19)</x:f>
        <x:v>0</x:v>
      </x:c>
    </x:row>
    <x:row r="20" ht="26" customHeight="1">
      <x:c r="A20" s="268" t="str">
        <x:f>'Certified Allocation'!A14</x:f>
        <x:v>Growth Compounders</x:v>
      </x:c>
      <x:c r="B20" s="268" t="str">
        <x:f>'Certified Allocation'!B14</x:f>
        <x:v>AVGO</x:v>
      </x:c>
      <x:c r="C20" s="268" t="str">
        <x:f>'Certified Allocation'!C14</x:f>
        <x:v>Broadcom Inc.</x:v>
      </x:c>
      <x:c r="D20" s="268" t="str">
        <x:f>'Certified Allocation'!D14</x:f>
        <x:v>Equity</x:v>
      </x:c>
      <x:c r="E20" s="268" t="str">
        <x:f>'Certified Allocation'!E14</x:f>
        <x:v>Semiconductor and infrastructure-software compounder</x:v>
      </x:c>
      <x:c r="F20" s="275" t="n">
        <x:f>'Certified Allocation'!F14</x:f>
        <x:v>0.0302</x:v>
      </x:c>
      <x:c r="G20" s="275" t="n">
        <x:f>'Certified Allocation'!G14</x:f>
        <x:v>0.02265</x:v>
      </x:c>
      <x:c r="H20" s="275" t="n">
        <x:f>'Certified Allocation'!H14</x:f>
        <x:v>0.03775</x:v>
      </x:c>
      <x:c r="I20" s="275" t="n">
        <x:f>'Certified Allocation'!I14</x:f>
        <x:v>0</x:v>
      </x:c>
      <x:c r="J20" s="290"/>
      <x:c r="K20" s="291" t="n">
        <x:f>IF(J20="",F20,J20)</x:f>
        <x:v>0.0302</x:v>
      </x:c>
      <x:c r="L20" s="291" t="n">
        <x:f>K20-F20</x:f>
        <x:v>0</x:v>
      </x:c>
      <x:c r="M20" s="269" t="str">
        <x:f>IF(ABS(L20)&lt;'13 Validation &amp; Cert'!$B$9,"No Change",IF(L20&gt;0,"Funding Required","Source of Funds"))</x:f>
        <x:v>No Change</x:v>
      </x:c>
      <x:c r="N20" s="269" t="str">
        <x:f>IF(K20&lt;G20,"Below Certified Band",IF(K20&gt;H20,"Above Certified Band","Within Certified Band"))</x:f>
        <x:v>Within Certified Band</x:v>
      </x:c>
      <x:c r="O20" s="269" t="str">
        <x:f>IF(ABS(L20)&lt;'13 Validation &amp; Cert'!$B$9,"No scenario change",IF(N20&lt;&gt;"Within Certified Band","BAND EXCEPTION — COMMITTEE DECISION",IF(ABS(L20)&gt;='13 Validation &amp; Cert'!$B$7,"MATERIAL POSITION CHANGE","REVIEW PROPOSED CHANGE")))</x:f>
        <x:v>No scenario change</x:v>
      </x:c>
      <x:c r="P20" s="271"/>
      <x:c r="Q20" s="269" t="str">
        <x:f>IF(ABS(L20)&lt;'13 Validation &amp; Cert'!$B$9,"Baseline",IF(P20="","Rationale Required","Ready for Validation"))</x:f>
        <x:v>Baseline</x:v>
      </x:c>
      <x:c r="R20" s="291" t="n">
        <x:f>ABS(L20)</x:f>
        <x:v>0</x:v>
      </x:c>
    </x:row>
    <x:row r="21" ht="26" customHeight="1">
      <x:c r="A21" s="268" t="str">
        <x:f>'Certified Allocation'!A15</x:f>
        <x:v>Growth Compounders</x:v>
      </x:c>
      <x:c r="B21" s="268" t="str">
        <x:f>'Certified Allocation'!B15</x:f>
        <x:v>LLY</x:v>
      </x:c>
      <x:c r="C21" s="268" t="str">
        <x:f>'Certified Allocation'!C15</x:f>
        <x:v>Eli Lilly and Company</x:v>
      </x:c>
      <x:c r="D21" s="268" t="str">
        <x:f>'Certified Allocation'!D15</x:f>
        <x:v>Equity</x:v>
      </x:c>
      <x:c r="E21" s="268" t="str">
        <x:f>'Certified Allocation'!E15</x:f>
        <x:v>Healthcare innovation compounder</x:v>
      </x:c>
      <x:c r="F21" s="275" t="n">
        <x:f>'Certified Allocation'!F15</x:f>
        <x:v>0.0302</x:v>
      </x:c>
      <x:c r="G21" s="275" t="n">
        <x:f>'Certified Allocation'!G15</x:f>
        <x:v>0.02265</x:v>
      </x:c>
      <x:c r="H21" s="275" t="n">
        <x:f>'Certified Allocation'!H15</x:f>
        <x:v>0.03775</x:v>
      </x:c>
      <x:c r="I21" s="275" t="n">
        <x:f>'Certified Allocation'!I15</x:f>
        <x:v>0</x:v>
      </x:c>
      <x:c r="J21" s="290"/>
      <x:c r="K21" s="291" t="n">
        <x:f>IF(J21="",F21,J21)</x:f>
        <x:v>0.0302</x:v>
      </x:c>
      <x:c r="L21" s="291" t="n">
        <x:f>K21-F21</x:f>
        <x:v>0</x:v>
      </x:c>
      <x:c r="M21" s="269" t="str">
        <x:f>IF(ABS(L21)&lt;'13 Validation &amp; Cert'!$B$9,"No Change",IF(L21&gt;0,"Funding Required","Source of Funds"))</x:f>
        <x:v>No Change</x:v>
      </x:c>
      <x:c r="N21" s="269" t="str">
        <x:f>IF(K21&lt;G21,"Below Certified Band",IF(K21&gt;H21,"Above Certified Band","Within Certified Band"))</x:f>
        <x:v>Within Certified Band</x:v>
      </x:c>
      <x:c r="O21" s="269" t="str">
        <x:f>IF(ABS(L21)&lt;'13 Validation &amp; Cert'!$B$9,"No scenario change",IF(N21&lt;&gt;"Within Certified Band","BAND EXCEPTION — COMMITTEE DECISION",IF(ABS(L21)&gt;='13 Validation &amp; Cert'!$B$7,"MATERIAL POSITION CHANGE","REVIEW PROPOSED CHANGE")))</x:f>
        <x:v>No scenario change</x:v>
      </x:c>
      <x:c r="P21" s="271"/>
      <x:c r="Q21" s="269" t="str">
        <x:f>IF(ABS(L21)&lt;'13 Validation &amp; Cert'!$B$9,"Baseline",IF(P21="","Rationale Required","Ready for Validation"))</x:f>
        <x:v>Baseline</x:v>
      </x:c>
      <x:c r="R21" s="291" t="n">
        <x:f>ABS(L21)</x:f>
        <x:v>0</x:v>
      </x:c>
    </x:row>
    <x:row r="22" ht="26" customHeight="1">
      <x:c r="A22" s="268" t="str">
        <x:f>'Certified Allocation'!A16</x:f>
        <x:v>Growth Compounders</x:v>
      </x:c>
      <x:c r="B22" s="268" t="str">
        <x:f>'Certified Allocation'!B16</x:f>
        <x:v>NVDA</x:v>
      </x:c>
      <x:c r="C22" s="268" t="str">
        <x:f>'Certified Allocation'!C16</x:f>
        <x:v>NVIDIA Corporation</x:v>
      </x:c>
      <x:c r="D22" s="268" t="str">
        <x:f>'Certified Allocation'!D16</x:f>
        <x:v>Equity</x:v>
      </x:c>
      <x:c r="E22" s="268" t="str">
        <x:f>'Certified Allocation'!E16</x:f>
        <x:v>AI compute growth engine</x:v>
      </x:c>
      <x:c r="F22" s="275" t="n">
        <x:f>'Certified Allocation'!F16</x:f>
        <x:v>0.0268</x:v>
      </x:c>
      <x:c r="G22" s="275" t="n">
        <x:f>'Certified Allocation'!G16</x:f>
        <x:v>0.0201</x:v>
      </x:c>
      <x:c r="H22" s="275" t="n">
        <x:f>'Certified Allocation'!H16</x:f>
        <x:v>0.0335</x:v>
      </x:c>
      <x:c r="I22" s="275" t="n">
        <x:f>'Certified Allocation'!I16</x:f>
        <x:v>0</x:v>
      </x:c>
      <x:c r="J22" s="290"/>
      <x:c r="K22" s="291" t="n">
        <x:f>IF(J22="",F22,J22)</x:f>
        <x:v>0.0268</x:v>
      </x:c>
      <x:c r="L22" s="291" t="n">
        <x:f>K22-F22</x:f>
        <x:v>0</x:v>
      </x:c>
      <x:c r="M22" s="269" t="str">
        <x:f>IF(ABS(L22)&lt;'13 Validation &amp; Cert'!$B$9,"No Change",IF(L22&gt;0,"Funding Required","Source of Funds"))</x:f>
        <x:v>No Change</x:v>
      </x:c>
      <x:c r="N22" s="269" t="str">
        <x:f>IF(K22&lt;G22,"Below Certified Band",IF(K22&gt;H22,"Above Certified Band","Within Certified Band"))</x:f>
        <x:v>Within Certified Band</x:v>
      </x:c>
      <x:c r="O22" s="269" t="str">
        <x:f>IF(ABS(L22)&lt;'13 Validation &amp; Cert'!$B$9,"No scenario change",IF(N22&lt;&gt;"Within Certified Band","BAND EXCEPTION — COMMITTEE DECISION",IF(ABS(L22)&gt;='13 Validation &amp; Cert'!$B$7,"MATERIAL POSITION CHANGE","REVIEW PROPOSED CHANGE")))</x:f>
        <x:v>No scenario change</x:v>
      </x:c>
      <x:c r="P22" s="271"/>
      <x:c r="Q22" s="269" t="str">
        <x:f>IF(ABS(L22)&lt;'13 Validation &amp; Cert'!$B$9,"Baseline",IF(P22="","Rationale Required","Ready for Validation"))</x:f>
        <x:v>Baseline</x:v>
      </x:c>
      <x:c r="R22" s="291" t="n">
        <x:f>ABS(L22)</x:f>
        <x:v>0</x:v>
      </x:c>
    </x:row>
    <x:row r="23" ht="26" customHeight="1">
      <x:c r="A23" s="268" t="str">
        <x:f>'Certified Allocation'!A17</x:f>
        <x:v>Growth Compounders</x:v>
      </x:c>
      <x:c r="B23" s="268" t="str">
        <x:f>'Certified Allocation'!B17</x:f>
        <x:v>HD</x:v>
      </x:c>
      <x:c r="C23" s="268" t="str">
        <x:f>'Certified Allocation'!C17</x:f>
        <x:v>The Home Depot, Inc.</x:v>
      </x:c>
      <x:c r="D23" s="268" t="str">
        <x:f>'Certified Allocation'!D17</x:f>
        <x:v>Equity</x:v>
      </x:c>
      <x:c r="E23" s="268" t="str">
        <x:f>'Certified Allocation'!E17</x:f>
        <x:v>Housing and professional distribution compounder</x:v>
      </x:c>
      <x:c r="F23" s="275" t="n">
        <x:f>'Certified Allocation'!F17</x:f>
        <x:v>0.0156</x:v>
      </x:c>
      <x:c r="G23" s="275" t="n">
        <x:f>'Certified Allocation'!G17</x:f>
        <x:v>0.011699999999999999</x:v>
      </x:c>
      <x:c r="H23" s="275" t="n">
        <x:f>'Certified Allocation'!H17</x:f>
        <x:v>0.0195</x:v>
      </x:c>
      <x:c r="I23" s="275" t="n">
        <x:f>'Certified Allocation'!I17</x:f>
        <x:v>0</x:v>
      </x:c>
      <x:c r="J23" s="290"/>
      <x:c r="K23" s="291" t="n">
        <x:f>IF(J23="",F23,J23)</x:f>
        <x:v>0.0156</x:v>
      </x:c>
      <x:c r="L23" s="291" t="n">
        <x:f>K23-F23</x:f>
        <x:v>0</x:v>
      </x:c>
      <x:c r="M23" s="269" t="str">
        <x:f>IF(ABS(L23)&lt;'13 Validation &amp; Cert'!$B$9,"No Change",IF(L23&gt;0,"Funding Required","Source of Funds"))</x:f>
        <x:v>No Change</x:v>
      </x:c>
      <x:c r="N23" s="269" t="str">
        <x:f>IF(K23&lt;G23,"Below Certified Band",IF(K23&gt;H23,"Above Certified Band","Within Certified Band"))</x:f>
        <x:v>Within Certified Band</x:v>
      </x:c>
      <x:c r="O23" s="269" t="str">
        <x:f>IF(ABS(L23)&lt;'13 Validation &amp; Cert'!$B$9,"No scenario change",IF(N23&lt;&gt;"Within Certified Band","BAND EXCEPTION — COMMITTEE DECISION",IF(ABS(L23)&gt;='13 Validation &amp; Cert'!$B$7,"MATERIAL POSITION CHANGE","REVIEW PROPOSED CHANGE")))</x:f>
        <x:v>No scenario change</x:v>
      </x:c>
      <x:c r="P23" s="271"/>
      <x:c r="Q23" s="269" t="str">
        <x:f>IF(ABS(L23)&lt;'13 Validation &amp; Cert'!$B$9,"Baseline",IF(P23="","Rationale Required","Ready for Validation"))</x:f>
        <x:v>Baseline</x:v>
      </x:c>
      <x:c r="R23" s="291" t="n">
        <x:f>ABS(L23)</x:f>
        <x:v>0</x:v>
      </x:c>
    </x:row>
    <x:row r="24" ht="26" customHeight="1">
      <x:c r="A24" s="268" t="str">
        <x:f>'Certified Allocation'!A18</x:f>
        <x:v>Growth Compounders</x:v>
      </x:c>
      <x:c r="B24" s="268" t="str">
        <x:f>'Certified Allocation'!B18</x:f>
        <x:v>META</x:v>
      </x:c>
      <x:c r="C24" s="268" t="str">
        <x:f>'Certified Allocation'!C18</x:f>
        <x:v>Meta Platforms, Inc.</x:v>
      </x:c>
      <x:c r="D24" s="268" t="str">
        <x:f>'Certified Allocation'!D18</x:f>
        <x:v>Equity</x:v>
      </x:c>
      <x:c r="E24" s="268" t="str">
        <x:f>'Certified Allocation'!E18</x:f>
        <x:v>Digital platform and AI compounder</x:v>
      </x:c>
      <x:c r="F24" s="275" t="n">
        <x:f>'Certified Allocation'!F18</x:f>
        <x:v>0.0156</x:v>
      </x:c>
      <x:c r="G24" s="275" t="n">
        <x:f>'Certified Allocation'!G18</x:f>
        <x:v>0.011699999999999999</x:v>
      </x:c>
      <x:c r="H24" s="275" t="n">
        <x:f>'Certified Allocation'!H18</x:f>
        <x:v>0.0195</x:v>
      </x:c>
      <x:c r="I24" s="275" t="n">
        <x:f>'Certified Allocation'!I18</x:f>
        <x:v>0</x:v>
      </x:c>
      <x:c r="J24" s="290"/>
      <x:c r="K24" s="291" t="n">
        <x:f>IF(J24="",F24,J24)</x:f>
        <x:v>0.0156</x:v>
      </x:c>
      <x:c r="L24" s="291" t="n">
        <x:f>K24-F24</x:f>
        <x:v>0</x:v>
      </x:c>
      <x:c r="M24" s="269" t="str">
        <x:f>IF(ABS(L24)&lt;'13 Validation &amp; Cert'!$B$9,"No Change",IF(L24&gt;0,"Funding Required","Source of Funds"))</x:f>
        <x:v>No Change</x:v>
      </x:c>
      <x:c r="N24" s="269" t="str">
        <x:f>IF(K24&lt;G24,"Below Certified Band",IF(K24&gt;H24,"Above Certified Band","Within Certified Band"))</x:f>
        <x:v>Within Certified Band</x:v>
      </x:c>
      <x:c r="O24" s="269" t="str">
        <x:f>IF(ABS(L24)&lt;'13 Validation &amp; Cert'!$B$9,"No scenario change",IF(N24&lt;&gt;"Within Certified Band","BAND EXCEPTION — COMMITTEE DECISION",IF(ABS(L24)&gt;='13 Validation &amp; Cert'!$B$7,"MATERIAL POSITION CHANGE","REVIEW PROPOSED CHANGE")))</x:f>
        <x:v>No scenario change</x:v>
      </x:c>
      <x:c r="P24" s="271"/>
      <x:c r="Q24" s="269" t="str">
        <x:f>IF(ABS(L24)&lt;'13 Validation &amp; Cert'!$B$9,"Baseline",IF(P24="","Rationale Required","Ready for Validation"))</x:f>
        <x:v>Baseline</x:v>
      </x:c>
      <x:c r="R24" s="291" t="n">
        <x:f>ABS(L24)</x:f>
        <x:v>0</x:v>
      </x:c>
    </x:row>
    <x:row r="25" ht="26" customHeight="1">
      <x:c r="A25" s="268" t="str">
        <x:f>'Certified Allocation'!A19</x:f>
        <x:v>Growth Compounders</x:v>
      </x:c>
      <x:c r="B25" s="268" t="str">
        <x:f>'Certified Allocation'!B19</x:f>
        <x:v>ANET</x:v>
      </x:c>
      <x:c r="C25" s="268" t="str">
        <x:f>'Certified Allocation'!C19</x:f>
        <x:v>Arista Networks, Inc.</x:v>
      </x:c>
      <x:c r="D25" s="268" t="str">
        <x:f>'Certified Allocation'!D19</x:f>
        <x:v>Equity</x:v>
      </x:c>
      <x:c r="E25" s="268" t="str">
        <x:f>'Certified Allocation'!E19</x:f>
        <x:v>AI networking compounder</x:v>
      </x:c>
      <x:c r="F25" s="275" t="n">
        <x:f>'Certified Allocation'!F19</x:f>
        <x:v>0.0155</x:v>
      </x:c>
      <x:c r="G25" s="275" t="n">
        <x:f>'Certified Allocation'!G19</x:f>
        <x:v>0.011625</x:v>
      </x:c>
      <x:c r="H25" s="275" t="n">
        <x:f>'Certified Allocation'!H19</x:f>
        <x:v>0.019375</x:v>
      </x:c>
      <x:c r="I25" s="275" t="n">
        <x:f>'Certified Allocation'!I19</x:f>
        <x:v>0</x:v>
      </x:c>
      <x:c r="J25" s="290"/>
      <x:c r="K25" s="291" t="n">
        <x:f>IF(J25="",F25,J25)</x:f>
        <x:v>0.0155</x:v>
      </x:c>
      <x:c r="L25" s="291" t="n">
        <x:f>K25-F25</x:f>
        <x:v>0</x:v>
      </x:c>
      <x:c r="M25" s="269" t="str">
        <x:f>IF(ABS(L25)&lt;'13 Validation &amp; Cert'!$B$9,"No Change",IF(L25&gt;0,"Funding Required","Source of Funds"))</x:f>
        <x:v>No Change</x:v>
      </x:c>
      <x:c r="N25" s="269" t="str">
        <x:f>IF(K25&lt;G25,"Below Certified Band",IF(K25&gt;H25,"Above Certified Band","Within Certified Band"))</x:f>
        <x:v>Within Certified Band</x:v>
      </x:c>
      <x:c r="O25" s="269" t="str">
        <x:f>IF(ABS(L25)&lt;'13 Validation &amp; Cert'!$B$9,"No scenario change",IF(N25&lt;&gt;"Within Certified Band","BAND EXCEPTION — COMMITTEE DECISION",IF(ABS(L25)&gt;='13 Validation &amp; Cert'!$B$7,"MATERIAL POSITION CHANGE","REVIEW PROPOSED CHANGE")))</x:f>
        <x:v>No scenario change</x:v>
      </x:c>
      <x:c r="P25" s="271"/>
      <x:c r="Q25" s="269" t="str">
        <x:f>IF(ABS(L25)&lt;'13 Validation &amp; Cert'!$B$9,"Baseline",IF(P25="","Rationale Required","Ready for Validation"))</x:f>
        <x:v>Baseline</x:v>
      </x:c>
      <x:c r="R25" s="291" t="n">
        <x:f>ABS(L25)</x:f>
        <x:v>0</x:v>
      </x:c>
    </x:row>
    <x:row r="26" ht="26" customHeight="1">
      <x:c r="A26" s="268" t="str">
        <x:f>'Certified Allocation'!A20</x:f>
        <x:v>Digital Infrastructure &amp; AI</x:v>
      </x:c>
      <x:c r="B26" s="268" t="str">
        <x:f>'Certified Allocation'!B20</x:f>
        <x:v>PANW</x:v>
      </x:c>
      <x:c r="C26" s="268" t="str">
        <x:f>'Certified Allocation'!C20</x:f>
        <x:v>Palo Alto Networks, Inc.</x:v>
      </x:c>
      <x:c r="D26" s="268" t="str">
        <x:f>'Certified Allocation'!D20</x:f>
        <x:v>Equity</x:v>
      </x:c>
      <x:c r="E26" s="268" t="str">
        <x:f>'Certified Allocation'!E20</x:f>
        <x:v>Cybersecurity infrastructure leader</x:v>
      </x:c>
      <x:c r="F26" s="275" t="n">
        <x:f>'Certified Allocation'!F20</x:f>
        <x:v>0.0199</x:v>
      </x:c>
      <x:c r="G26" s="275" t="n">
        <x:f>'Certified Allocation'!G20</x:f>
        <x:v>0.014925</x:v>
      </x:c>
      <x:c r="H26" s="275" t="n">
        <x:f>'Certified Allocation'!H20</x:f>
        <x:v>0.024875</x:v>
      </x:c>
      <x:c r="I26" s="275" t="n">
        <x:f>'Certified Allocation'!I20</x:f>
        <x:v>0</x:v>
      </x:c>
      <x:c r="J26" s="290"/>
      <x:c r="K26" s="291" t="n">
        <x:f>IF(J26="",F26,J26)</x:f>
        <x:v>0.0199</x:v>
      </x:c>
      <x:c r="L26" s="291" t="n">
        <x:f>K26-F26</x:f>
        <x:v>0</x:v>
      </x:c>
      <x:c r="M26" s="269" t="str">
        <x:f>IF(ABS(L26)&lt;'13 Validation &amp; Cert'!$B$9,"No Change",IF(L26&gt;0,"Funding Required","Source of Funds"))</x:f>
        <x:v>No Change</x:v>
      </x:c>
      <x:c r="N26" s="269" t="str">
        <x:f>IF(K26&lt;G26,"Below Certified Band",IF(K26&gt;H26,"Above Certified Band","Within Certified Band"))</x:f>
        <x:v>Within Certified Band</x:v>
      </x:c>
      <x:c r="O26" s="269" t="str">
        <x:f>IF(ABS(L26)&lt;'13 Validation &amp; Cert'!$B$9,"No scenario change",IF(N26&lt;&gt;"Within Certified Band","BAND EXCEPTION — COMMITTEE DECISION",IF(ABS(L26)&gt;='13 Validation &amp; Cert'!$B$7,"MATERIAL POSITION CHANGE","REVIEW PROPOSED CHANGE")))</x:f>
        <x:v>No scenario change</x:v>
      </x:c>
      <x:c r="P26" s="271"/>
      <x:c r="Q26" s="269" t="str">
        <x:f>IF(ABS(L26)&lt;'13 Validation &amp; Cert'!$B$9,"Baseline",IF(P26="","Rationale Required","Ready for Validation"))</x:f>
        <x:v>Baseline</x:v>
      </x:c>
      <x:c r="R26" s="291" t="n">
        <x:f>ABS(L26)</x:f>
        <x:v>0</x:v>
      </x:c>
    </x:row>
    <x:row r="27" ht="26" customHeight="1">
      <x:c r="A27" s="268" t="str">
        <x:f>'Certified Allocation'!A21</x:f>
        <x:v>Digital Infrastructure &amp; AI</x:v>
      </x:c>
      <x:c r="B27" s="268" t="str">
        <x:f>'Certified Allocation'!B21</x:f>
        <x:v>AMAT</x:v>
      </x:c>
      <x:c r="C27" s="268" t="str">
        <x:f>'Certified Allocation'!C21</x:f>
        <x:v>Applied Materials, Inc.</x:v>
      </x:c>
      <x:c r="D27" s="268" t="str">
        <x:f>'Certified Allocation'!D21</x:f>
        <x:v>Equity</x:v>
      </x:c>
      <x:c r="E27" s="268" t="str">
        <x:f>'Certified Allocation'!E21</x:f>
        <x:v>Semiconductor equipment enabler</x:v>
      </x:c>
      <x:c r="F27" s="275" t="n">
        <x:f>'Certified Allocation'!F21</x:f>
        <x:v>0.0156</x:v>
      </x:c>
      <x:c r="G27" s="275" t="n">
        <x:f>'Certified Allocation'!G21</x:f>
        <x:v>0.011699999999999999</x:v>
      </x:c>
      <x:c r="H27" s="275" t="n">
        <x:f>'Certified Allocation'!H21</x:f>
        <x:v>0.0195</x:v>
      </x:c>
      <x:c r="I27" s="275" t="n">
        <x:f>'Certified Allocation'!I21</x:f>
        <x:v>0</x:v>
      </x:c>
      <x:c r="J27" s="290"/>
      <x:c r="K27" s="291" t="n">
        <x:f>IF(J27="",F27,J27)</x:f>
        <x:v>0.0156</x:v>
      </x:c>
      <x:c r="L27" s="291" t="n">
        <x:f>K27-F27</x:f>
        <x:v>0</x:v>
      </x:c>
      <x:c r="M27" s="269" t="str">
        <x:f>IF(ABS(L27)&lt;'13 Validation &amp; Cert'!$B$9,"No Change",IF(L27&gt;0,"Funding Required","Source of Funds"))</x:f>
        <x:v>No Change</x:v>
      </x:c>
      <x:c r="N27" s="269" t="str">
        <x:f>IF(K27&lt;G27,"Below Certified Band",IF(K27&gt;H27,"Above Certified Band","Within Certified Band"))</x:f>
        <x:v>Within Certified Band</x:v>
      </x:c>
      <x:c r="O27" s="269" t="str">
        <x:f>IF(ABS(L27)&lt;'13 Validation &amp; Cert'!$B$9,"No scenario change",IF(N27&lt;&gt;"Within Certified Band","BAND EXCEPTION — COMMITTEE DECISION",IF(ABS(L27)&gt;='13 Validation &amp; Cert'!$B$7,"MATERIAL POSITION CHANGE","REVIEW PROPOSED CHANGE")))</x:f>
        <x:v>No scenario change</x:v>
      </x:c>
      <x:c r="P27" s="271"/>
      <x:c r="Q27" s="269" t="str">
        <x:f>IF(ABS(L27)&lt;'13 Validation &amp; Cert'!$B$9,"Baseline",IF(P27="","Rationale Required","Ready for Validation"))</x:f>
        <x:v>Baseline</x:v>
      </x:c>
      <x:c r="R27" s="291" t="n">
        <x:f>ABS(L27)</x:f>
        <x:v>0</x:v>
      </x:c>
    </x:row>
    <x:row r="28" ht="26" customHeight="1">
      <x:c r="A28" s="268" t="str">
        <x:f>'Certified Allocation'!A22</x:f>
        <x:v>Digital Infrastructure &amp; AI</x:v>
      </x:c>
      <x:c r="B28" s="268" t="str">
        <x:f>'Certified Allocation'!B22</x:f>
        <x:v>CSCO</x:v>
      </x:c>
      <x:c r="C28" s="268" t="str">
        <x:f>'Certified Allocation'!C22</x:f>
        <x:v>Cisco Systems, Inc.</x:v>
      </x:c>
      <x:c r="D28" s="268" t="str">
        <x:f>'Certified Allocation'!D22</x:f>
        <x:v>Equity</x:v>
      </x:c>
      <x:c r="E28" s="268" t="str">
        <x:f>'Certified Allocation'!E22</x:f>
        <x:v>Enterprise networking and secure infrastructure</x:v>
      </x:c>
      <x:c r="F28" s="275" t="n">
        <x:f>'Certified Allocation'!F22</x:f>
        <x:v>0.0156</x:v>
      </x:c>
      <x:c r="G28" s="275" t="n">
        <x:f>'Certified Allocation'!G22</x:f>
        <x:v>0.011699999999999999</x:v>
      </x:c>
      <x:c r="H28" s="275" t="n">
        <x:f>'Certified Allocation'!H22</x:f>
        <x:v>0.0195</x:v>
      </x:c>
      <x:c r="I28" s="275" t="n">
        <x:f>'Certified Allocation'!I22</x:f>
        <x:v>0</x:v>
      </x:c>
      <x:c r="J28" s="290"/>
      <x:c r="K28" s="291" t="n">
        <x:f>IF(J28="",F28,J28)</x:f>
        <x:v>0.0156</x:v>
      </x:c>
      <x:c r="L28" s="291" t="n">
        <x:f>K28-F28</x:f>
        <x:v>0</x:v>
      </x:c>
      <x:c r="M28" s="269" t="str">
        <x:f>IF(ABS(L28)&lt;'13 Validation &amp; Cert'!$B$9,"No Change",IF(L28&gt;0,"Funding Required","Source of Funds"))</x:f>
        <x:v>No Change</x:v>
      </x:c>
      <x:c r="N28" s="269" t="str">
        <x:f>IF(K28&lt;G28,"Below Certified Band",IF(K28&gt;H28,"Above Certified Band","Within Certified Band"))</x:f>
        <x:v>Within Certified Band</x:v>
      </x:c>
      <x:c r="O28" s="269" t="str">
        <x:f>IF(ABS(L28)&lt;'13 Validation &amp; Cert'!$B$9,"No scenario change",IF(N28&lt;&gt;"Within Certified Band","BAND EXCEPTION — COMMITTEE DECISION",IF(ABS(L28)&gt;='13 Validation &amp; Cert'!$B$7,"MATERIAL POSITION CHANGE","REVIEW PROPOSED CHANGE")))</x:f>
        <x:v>No scenario change</x:v>
      </x:c>
      <x:c r="P28" s="271"/>
      <x:c r="Q28" s="269" t="str">
        <x:f>IF(ABS(L28)&lt;'13 Validation &amp; Cert'!$B$9,"Baseline",IF(P28="","Rationale Required","Ready for Validation"))</x:f>
        <x:v>Baseline</x:v>
      </x:c>
      <x:c r="R28" s="291" t="n">
        <x:f>ABS(L28)</x:f>
        <x:v>0</x:v>
      </x:c>
    </x:row>
    <x:row r="29" ht="26" customHeight="1">
      <x:c r="A29" s="268" t="str">
        <x:f>'Certified Allocation'!A23</x:f>
        <x:v>Digital Infrastructure &amp; AI</x:v>
      </x:c>
      <x:c r="B29" s="268" t="str">
        <x:f>'Certified Allocation'!B23</x:f>
        <x:v>KLAC</x:v>
      </x:c>
      <x:c r="C29" s="268" t="str">
        <x:f>'Certified Allocation'!C23</x:f>
        <x:v>KLA Corporation</x:v>
      </x:c>
      <x:c r="D29" s="268" t="str">
        <x:f>'Certified Allocation'!D23</x:f>
        <x:v>Equity</x:v>
      </x:c>
      <x:c r="E29" s="268" t="str">
        <x:f>'Certified Allocation'!E23</x:f>
        <x:v>Semiconductor process-control enabler</x:v>
      </x:c>
      <x:c r="F29" s="275" t="n">
        <x:f>'Certified Allocation'!F23</x:f>
        <x:v>0.0156</x:v>
      </x:c>
      <x:c r="G29" s="275" t="n">
        <x:f>'Certified Allocation'!G23</x:f>
        <x:v>0.011699999999999999</x:v>
      </x:c>
      <x:c r="H29" s="275" t="n">
        <x:f>'Certified Allocation'!H23</x:f>
        <x:v>0.0195</x:v>
      </x:c>
      <x:c r="I29" s="275" t="n">
        <x:f>'Certified Allocation'!I23</x:f>
        <x:v>0</x:v>
      </x:c>
      <x:c r="J29" s="290"/>
      <x:c r="K29" s="291" t="n">
        <x:f>IF(J29="",F29,J29)</x:f>
        <x:v>0.0156</x:v>
      </x:c>
      <x:c r="L29" s="291" t="n">
        <x:f>K29-F29</x:f>
        <x:v>0</x:v>
      </x:c>
      <x:c r="M29" s="269" t="str">
        <x:f>IF(ABS(L29)&lt;'13 Validation &amp; Cert'!$B$9,"No Change",IF(L29&gt;0,"Funding Required","Source of Funds"))</x:f>
        <x:v>No Change</x:v>
      </x:c>
      <x:c r="N29" s="269" t="str">
        <x:f>IF(K29&lt;G29,"Below Certified Band",IF(K29&gt;H29,"Above Certified Band","Within Certified Band"))</x:f>
        <x:v>Within Certified Band</x:v>
      </x:c>
      <x:c r="O29" s="269" t="str">
        <x:f>IF(ABS(L29)&lt;'13 Validation &amp; Cert'!$B$9,"No scenario change",IF(N29&lt;&gt;"Within Certified Band","BAND EXCEPTION — COMMITTEE DECISION",IF(ABS(L29)&gt;='13 Validation &amp; Cert'!$B$7,"MATERIAL POSITION CHANGE","REVIEW PROPOSED CHANGE")))</x:f>
        <x:v>No scenario change</x:v>
      </x:c>
      <x:c r="P29" s="271"/>
      <x:c r="Q29" s="269" t="str">
        <x:f>IF(ABS(L29)&lt;'13 Validation &amp; Cert'!$B$9,"Baseline",IF(P29="","Rationale Required","Ready for Validation"))</x:f>
        <x:v>Baseline</x:v>
      </x:c>
      <x:c r="R29" s="291" t="n">
        <x:f>ABS(L29)</x:f>
        <x:v>0</x:v>
      </x:c>
    </x:row>
    <x:row r="30" ht="26" customHeight="1">
      <x:c r="A30" s="268" t="str">
        <x:f>'Certified Allocation'!A24</x:f>
        <x:v>Digital Infrastructure &amp; AI</x:v>
      </x:c>
      <x:c r="B30" s="268" t="str">
        <x:f>'Certified Allocation'!B24</x:f>
        <x:v>MU</x:v>
      </x:c>
      <x:c r="C30" s="268" t="str">
        <x:f>'Certified Allocation'!C24</x:f>
        <x:v>Micron Technology, Inc.</x:v>
      </x:c>
      <x:c r="D30" s="268" t="str">
        <x:f>'Certified Allocation'!D24</x:f>
        <x:v>Equity</x:v>
      </x:c>
      <x:c r="E30" s="268" t="str">
        <x:f>'Certified Allocation'!E24</x:f>
        <x:v>Memory and AI data-cycle enabler</x:v>
      </x:c>
      <x:c r="F30" s="275" t="n">
        <x:f>'Certified Allocation'!F24</x:f>
        <x:v>0.0156</x:v>
      </x:c>
      <x:c r="G30" s="275" t="n">
        <x:f>'Certified Allocation'!G24</x:f>
        <x:v>0.011699999999999999</x:v>
      </x:c>
      <x:c r="H30" s="275" t="n">
        <x:f>'Certified Allocation'!H24</x:f>
        <x:v>0.0195</x:v>
      </x:c>
      <x:c r="I30" s="275" t="n">
        <x:f>'Certified Allocation'!I24</x:f>
        <x:v>0</x:v>
      </x:c>
      <x:c r="J30" s="290"/>
      <x:c r="K30" s="291" t="n">
        <x:f>IF(J30="",F30,J30)</x:f>
        <x:v>0.0156</x:v>
      </x:c>
      <x:c r="L30" s="291" t="n">
        <x:f>K30-F30</x:f>
        <x:v>0</x:v>
      </x:c>
      <x:c r="M30" s="269" t="str">
        <x:f>IF(ABS(L30)&lt;'13 Validation &amp; Cert'!$B$9,"No Change",IF(L30&gt;0,"Funding Required","Source of Funds"))</x:f>
        <x:v>No Change</x:v>
      </x:c>
      <x:c r="N30" s="269" t="str">
        <x:f>IF(K30&lt;G30,"Below Certified Band",IF(K30&gt;H30,"Above Certified Band","Within Certified Band"))</x:f>
        <x:v>Within Certified Band</x:v>
      </x:c>
      <x:c r="O30" s="269" t="str">
        <x:f>IF(ABS(L30)&lt;'13 Validation &amp; Cert'!$B$9,"No scenario change",IF(N30&lt;&gt;"Within Certified Band","BAND EXCEPTION — COMMITTEE DECISION",IF(ABS(L30)&gt;='13 Validation &amp; Cert'!$B$7,"MATERIAL POSITION CHANGE","REVIEW PROPOSED CHANGE")))</x:f>
        <x:v>No scenario change</x:v>
      </x:c>
      <x:c r="P30" s="271"/>
      <x:c r="Q30" s="269" t="str">
        <x:f>IF(ABS(L30)&lt;'13 Validation &amp; Cert'!$B$9,"Baseline",IF(P30="","Rationale Required","Ready for Validation"))</x:f>
        <x:v>Baseline</x:v>
      </x:c>
      <x:c r="R30" s="291" t="n">
        <x:f>ABS(L30)</x:f>
        <x:v>0</x:v>
      </x:c>
    </x:row>
    <x:row r="31" ht="26" customHeight="1">
      <x:c r="A31" s="268" t="str">
        <x:f>'Certified Allocation'!A25</x:f>
        <x:v>Digital Infrastructure &amp; AI</x:v>
      </x:c>
      <x:c r="B31" s="268" t="str">
        <x:f>'Certified Allocation'!B25</x:f>
        <x:v>ORCL</x:v>
      </x:c>
      <x:c r="C31" s="268" t="str">
        <x:f>'Certified Allocation'!C25</x:f>
        <x:v>Oracle Corporation</x:v>
      </x:c>
      <x:c r="D31" s="268" t="str">
        <x:f>'Certified Allocation'!D25</x:f>
        <x:v>Equity</x:v>
      </x:c>
      <x:c r="E31" s="268" t="str">
        <x:f>'Certified Allocation'!E25</x:f>
        <x:v>Enterprise cloud and database platform</x:v>
      </x:c>
      <x:c r="F31" s="275" t="n">
        <x:f>'Certified Allocation'!F25</x:f>
        <x:v>0.0156</x:v>
      </x:c>
      <x:c r="G31" s="275" t="n">
        <x:f>'Certified Allocation'!G25</x:f>
        <x:v>0.011699999999999999</x:v>
      </x:c>
      <x:c r="H31" s="275" t="n">
        <x:f>'Certified Allocation'!H25</x:f>
        <x:v>0.0195</x:v>
      </x:c>
      <x:c r="I31" s="275" t="n">
        <x:f>'Certified Allocation'!I25</x:f>
        <x:v>0</x:v>
      </x:c>
      <x:c r="J31" s="290"/>
      <x:c r="K31" s="291" t="n">
        <x:f>IF(J31="",F31,J31)</x:f>
        <x:v>0.0156</x:v>
      </x:c>
      <x:c r="L31" s="291" t="n">
        <x:f>K31-F31</x:f>
        <x:v>0</x:v>
      </x:c>
      <x:c r="M31" s="269" t="str">
        <x:f>IF(ABS(L31)&lt;'13 Validation &amp; Cert'!$B$9,"No Change",IF(L31&gt;0,"Funding Required","Source of Funds"))</x:f>
        <x:v>No Change</x:v>
      </x:c>
      <x:c r="N31" s="269" t="str">
        <x:f>IF(K31&lt;G31,"Below Certified Band",IF(K31&gt;H31,"Above Certified Band","Within Certified Band"))</x:f>
        <x:v>Within Certified Band</x:v>
      </x:c>
      <x:c r="O31" s="269" t="str">
        <x:f>IF(ABS(L31)&lt;'13 Validation &amp; Cert'!$B$9,"No scenario change",IF(N31&lt;&gt;"Within Certified Band","BAND EXCEPTION — COMMITTEE DECISION",IF(ABS(L31)&gt;='13 Validation &amp; Cert'!$B$7,"MATERIAL POSITION CHANGE","REVIEW PROPOSED CHANGE")))</x:f>
        <x:v>No scenario change</x:v>
      </x:c>
      <x:c r="P31" s="271"/>
      <x:c r="Q31" s="269" t="str">
        <x:f>IF(ABS(L31)&lt;'13 Validation &amp; Cert'!$B$9,"Baseline",IF(P31="","Rationale Required","Ready for Validation"))</x:f>
        <x:v>Baseline</x:v>
      </x:c>
      <x:c r="R31" s="291" t="n">
        <x:f>ABS(L31)</x:f>
        <x:v>0</x:v>
      </x:c>
    </x:row>
    <x:row r="32" ht="26" customHeight="1">
      <x:c r="A32" s="268" t="str">
        <x:f>'Certified Allocation'!A26</x:f>
        <x:v>Digital Infrastructure &amp; AI</x:v>
      </x:c>
      <x:c r="B32" s="268" t="str">
        <x:f>'Certified Allocation'!B26</x:f>
        <x:v>TXN</x:v>
      </x:c>
      <x:c r="C32" s="268" t="str">
        <x:f>'Certified Allocation'!C26</x:f>
        <x:v>Texas Instruments Incorporated</x:v>
      </x:c>
      <x:c r="D32" s="268" t="str">
        <x:f>'Certified Allocation'!D26</x:f>
        <x:v>Equity</x:v>
      </x:c>
      <x:c r="E32" s="268" t="str">
        <x:f>'Certified Allocation'!E26</x:f>
        <x:v>Analog semiconductor infrastructure</x:v>
      </x:c>
      <x:c r="F32" s="275" t="n">
        <x:f>'Certified Allocation'!F26</x:f>
        <x:v>0.0156</x:v>
      </x:c>
      <x:c r="G32" s="275" t="n">
        <x:f>'Certified Allocation'!G26</x:f>
        <x:v>0.011699999999999999</x:v>
      </x:c>
      <x:c r="H32" s="275" t="n">
        <x:f>'Certified Allocation'!H26</x:f>
        <x:v>0.0195</x:v>
      </x:c>
      <x:c r="I32" s="275" t="n">
        <x:f>'Certified Allocation'!I26</x:f>
        <x:v>0</x:v>
      </x:c>
      <x:c r="J32" s="290"/>
      <x:c r="K32" s="291" t="n">
        <x:f>IF(J32="",F32,J32)</x:f>
        <x:v>0.0156</x:v>
      </x:c>
      <x:c r="L32" s="291" t="n">
        <x:f>K32-F32</x:f>
        <x:v>0</x:v>
      </x:c>
      <x:c r="M32" s="269" t="str">
        <x:f>IF(ABS(L32)&lt;'13 Validation &amp; Cert'!$B$9,"No Change",IF(L32&gt;0,"Funding Required","Source of Funds"))</x:f>
        <x:v>No Change</x:v>
      </x:c>
      <x:c r="N32" s="269" t="str">
        <x:f>IF(K32&lt;G32,"Below Certified Band",IF(K32&gt;H32,"Above Certified Band","Within Certified Band"))</x:f>
        <x:v>Within Certified Band</x:v>
      </x:c>
      <x:c r="O32" s="269" t="str">
        <x:f>IF(ABS(L32)&lt;'13 Validation &amp; Cert'!$B$9,"No scenario change",IF(N32&lt;&gt;"Within Certified Band","BAND EXCEPTION — COMMITTEE DECISION",IF(ABS(L32)&gt;='13 Validation &amp; Cert'!$B$7,"MATERIAL POSITION CHANGE","REVIEW PROPOSED CHANGE")))</x:f>
        <x:v>No scenario change</x:v>
      </x:c>
      <x:c r="P32" s="271"/>
      <x:c r="Q32" s="269" t="str">
        <x:f>IF(ABS(L32)&lt;'13 Validation &amp; Cert'!$B$9,"Baseline",IF(P32="","Rationale Required","Ready for Validation"))</x:f>
        <x:v>Baseline</x:v>
      </x:c>
      <x:c r="R32" s="291" t="n">
        <x:f>ABS(L32)</x:f>
        <x:v>0</x:v>
      </x:c>
    </x:row>
    <x:row r="33" ht="26" customHeight="1">
      <x:c r="A33" s="268" t="str">
        <x:f>'Certified Allocation'!A27</x:f>
        <x:v>Digital Infrastructure &amp; AI</x:v>
      </x:c>
      <x:c r="B33" s="268" t="str">
        <x:f>'Certified Allocation'!B27</x:f>
        <x:v>VRT</x:v>
      </x:c>
      <x:c r="C33" s="268" t="str">
        <x:f>'Certified Allocation'!C27</x:f>
        <x:v>Vertiv Holdings Co.</x:v>
      </x:c>
      <x:c r="D33" s="268" t="str">
        <x:f>'Certified Allocation'!D27</x:f>
        <x:v>Equity</x:v>
      </x:c>
      <x:c r="E33" s="268" t="str">
        <x:f>'Certified Allocation'!E27</x:f>
        <x:v>Critical data-center infrastructure</x:v>
      </x:c>
      <x:c r="F33" s="275" t="n">
        <x:f>'Certified Allocation'!F27</x:f>
        <x:v>0.0155</x:v>
      </x:c>
      <x:c r="G33" s="275" t="n">
        <x:f>'Certified Allocation'!G27</x:f>
        <x:v>0.011625</x:v>
      </x:c>
      <x:c r="H33" s="275" t="n">
        <x:f>'Certified Allocation'!H27</x:f>
        <x:v>0.019375</x:v>
      </x:c>
      <x:c r="I33" s="275" t="n">
        <x:f>'Certified Allocation'!I27</x:f>
        <x:v>0</x:v>
      </x:c>
      <x:c r="J33" s="290"/>
      <x:c r="K33" s="291" t="n">
        <x:f>IF(J33="",F33,J33)</x:f>
        <x:v>0.0155</x:v>
      </x:c>
      <x:c r="L33" s="291" t="n">
        <x:f>K33-F33</x:f>
        <x:v>0</x:v>
      </x:c>
      <x:c r="M33" s="269" t="str">
        <x:f>IF(ABS(L33)&lt;'13 Validation &amp; Cert'!$B$9,"No Change",IF(L33&gt;0,"Funding Required","Source of Funds"))</x:f>
        <x:v>No Change</x:v>
      </x:c>
      <x:c r="N33" s="269" t="str">
        <x:f>IF(K33&lt;G33,"Below Certified Band",IF(K33&gt;H33,"Above Certified Band","Within Certified Band"))</x:f>
        <x:v>Within Certified Band</x:v>
      </x:c>
      <x:c r="O33" s="269" t="str">
        <x:f>IF(ABS(L33)&lt;'13 Validation &amp; Cert'!$B$9,"No scenario change",IF(N33&lt;&gt;"Within Certified Band","BAND EXCEPTION — COMMITTEE DECISION",IF(ABS(L33)&gt;='13 Validation &amp; Cert'!$B$7,"MATERIAL POSITION CHANGE","REVIEW PROPOSED CHANGE")))</x:f>
        <x:v>No scenario change</x:v>
      </x:c>
      <x:c r="P33" s="271"/>
      <x:c r="Q33" s="269" t="str">
        <x:f>IF(ABS(L33)&lt;'13 Validation &amp; Cert'!$B$9,"Baseline",IF(P33="","Rationale Required","Ready for Validation"))</x:f>
        <x:v>Baseline</x:v>
      </x:c>
      <x:c r="R33" s="291" t="n">
        <x:f>ABS(L33)</x:f>
        <x:v>0</x:v>
      </x:c>
    </x:row>
    <x:row r="34" ht="26" customHeight="1">
      <x:c r="A34" s="268" t="str">
        <x:f>'Certified Allocation'!A28</x:f>
        <x:v>Industrials &amp; Infrastructure</x:v>
      </x:c>
      <x:c r="B34" s="268" t="str">
        <x:f>'Certified Allocation'!B28</x:f>
        <x:v>DHR</x:v>
      </x:c>
      <x:c r="C34" s="268" t="str">
        <x:f>'Certified Allocation'!C28</x:f>
        <x:v>Danaher Corporation</x:v>
      </x:c>
      <x:c r="D34" s="268" t="str">
        <x:f>'Certified Allocation'!D28</x:f>
        <x:v>Equity</x:v>
      </x:c>
      <x:c r="E34" s="268" t="str">
        <x:f>'Certified Allocation'!E28</x:f>
        <x:v>Life-science tools and industrial quality</x:v>
      </x:c>
      <x:c r="F34" s="275" t="n">
        <x:f>'Certified Allocation'!F28</x:f>
        <x:v>0.03</x:v>
      </x:c>
      <x:c r="G34" s="275" t="n">
        <x:f>'Certified Allocation'!G28</x:f>
        <x:v>0.0225</x:v>
      </x:c>
      <x:c r="H34" s="275" t="n">
        <x:f>'Certified Allocation'!H28</x:f>
        <x:v>0.0375</x:v>
      </x:c>
      <x:c r="I34" s="275" t="n">
        <x:f>'Certified Allocation'!I28</x:f>
        <x:v>0</x:v>
      </x:c>
      <x:c r="J34" s="290"/>
      <x:c r="K34" s="291" t="n">
        <x:f>IF(J34="",F34,J34)</x:f>
        <x:v>0.03</x:v>
      </x:c>
      <x:c r="L34" s="291" t="n">
        <x:f>K34-F34</x:f>
        <x:v>0</x:v>
      </x:c>
      <x:c r="M34" s="269" t="str">
        <x:f>IF(ABS(L34)&lt;'13 Validation &amp; Cert'!$B$9,"No Change",IF(L34&gt;0,"Funding Required","Source of Funds"))</x:f>
        <x:v>No Change</x:v>
      </x:c>
      <x:c r="N34" s="269" t="str">
        <x:f>IF(K34&lt;G34,"Below Certified Band",IF(K34&gt;H34,"Above Certified Band","Within Certified Band"))</x:f>
        <x:v>Within Certified Band</x:v>
      </x:c>
      <x:c r="O34" s="269" t="str">
        <x:f>IF(ABS(L34)&lt;'13 Validation &amp; Cert'!$B$9,"No scenario change",IF(N34&lt;&gt;"Within Certified Band","BAND EXCEPTION — COMMITTEE DECISION",IF(ABS(L34)&gt;='13 Validation &amp; Cert'!$B$7,"MATERIAL POSITION CHANGE","REVIEW PROPOSED CHANGE")))</x:f>
        <x:v>No scenario change</x:v>
      </x:c>
      <x:c r="P34" s="271"/>
      <x:c r="Q34" s="269" t="str">
        <x:f>IF(ABS(L34)&lt;'13 Validation &amp; Cert'!$B$9,"Baseline",IF(P34="","Rationale Required","Ready for Validation"))</x:f>
        <x:v>Baseline</x:v>
      </x:c>
      <x:c r="R34" s="291" t="n">
        <x:f>ABS(L34)</x:f>
        <x:v>0</x:v>
      </x:c>
    </x:row>
    <x:row r="35" ht="26" customHeight="1">
      <x:c r="A35" s="268" t="str">
        <x:f>'Certified Allocation'!A29</x:f>
        <x:v>Industrials &amp; Infrastructure</x:v>
      </x:c>
      <x:c r="B35" s="268" t="str">
        <x:f>'Certified Allocation'!B29</x:f>
        <x:v>RTX</x:v>
      </x:c>
      <x:c r="C35" s="268" t="str">
        <x:f>'Certified Allocation'!C29</x:f>
        <x:v>RTX Corporation</x:v>
      </x:c>
      <x:c r="D35" s="268" t="str">
        <x:f>'Certified Allocation'!D29</x:f>
        <x:v>Equity</x:v>
      </x:c>
      <x:c r="E35" s="268" t="str">
        <x:f>'Certified Allocation'!E29</x:f>
        <x:v>Aerospace and defense systems leader</x:v>
      </x:c>
      <x:c r="F35" s="275" t="n">
        <x:f>'Certified Allocation'!F29</x:f>
        <x:v>0.0299</x:v>
      </x:c>
      <x:c r="G35" s="275" t="n">
        <x:f>'Certified Allocation'!G29</x:f>
        <x:v>0.022425</x:v>
      </x:c>
      <x:c r="H35" s="275" t="n">
        <x:f>'Certified Allocation'!H29</x:f>
        <x:v>0.037375</x:v>
      </x:c>
      <x:c r="I35" s="275" t="n">
        <x:f>'Certified Allocation'!I29</x:f>
        <x:v>0</x:v>
      </x:c>
      <x:c r="J35" s="290"/>
      <x:c r="K35" s="291" t="n">
        <x:f>IF(J35="",F35,J35)</x:f>
        <x:v>0.0299</x:v>
      </x:c>
      <x:c r="L35" s="291" t="n">
        <x:f>K35-F35</x:f>
        <x:v>0</x:v>
      </x:c>
      <x:c r="M35" s="269" t="str">
        <x:f>IF(ABS(L35)&lt;'13 Validation &amp; Cert'!$B$9,"No Change",IF(L35&gt;0,"Funding Required","Source of Funds"))</x:f>
        <x:v>No Change</x:v>
      </x:c>
      <x:c r="N35" s="269" t="str">
        <x:f>IF(K35&lt;G35,"Below Certified Band",IF(K35&gt;H35,"Above Certified Band","Within Certified Band"))</x:f>
        <x:v>Within Certified Band</x:v>
      </x:c>
      <x:c r="O35" s="269" t="str">
        <x:f>IF(ABS(L35)&lt;'13 Validation &amp; Cert'!$B$9,"No scenario change",IF(N35&lt;&gt;"Within Certified Band","BAND EXCEPTION — COMMITTEE DECISION",IF(ABS(L35)&gt;='13 Validation &amp; Cert'!$B$7,"MATERIAL POSITION CHANGE","REVIEW PROPOSED CHANGE")))</x:f>
        <x:v>No scenario change</x:v>
      </x:c>
      <x:c r="P35" s="271"/>
      <x:c r="Q35" s="269" t="str">
        <x:f>IF(ABS(L35)&lt;'13 Validation &amp; Cert'!$B$9,"Baseline",IF(P35="","Rationale Required","Ready for Validation"))</x:f>
        <x:v>Baseline</x:v>
      </x:c>
      <x:c r="R35" s="291" t="n">
        <x:f>ABS(L35)</x:f>
        <x:v>0</x:v>
      </x:c>
    </x:row>
    <x:row r="36" ht="26" customHeight="1">
      <x:c r="A36" s="268" t="str">
        <x:f>'Certified Allocation'!A30</x:f>
        <x:v>Industrials &amp; Infrastructure</x:v>
      </x:c>
      <x:c r="B36" s="268" t="str">
        <x:f>'Certified Allocation'!B30</x:f>
        <x:v>DE</x:v>
      </x:c>
      <x:c r="C36" s="268" t="str">
        <x:f>'Certified Allocation'!C30</x:f>
        <x:v>Deere &amp; Company</x:v>
      </x:c>
      <x:c r="D36" s="268" t="str">
        <x:f>'Certified Allocation'!D30</x:f>
        <x:v>Equity</x:v>
      </x:c>
      <x:c r="E36" s="268" t="str">
        <x:f>'Certified Allocation'!E30</x:f>
        <x:v>Precision agriculture and equipment leader</x:v>
      </x:c>
      <x:c r="F36" s="275" t="n">
        <x:f>'Certified Allocation'!F30</x:f>
        <x:v>0.0177</x:v>
      </x:c>
      <x:c r="G36" s="275" t="n">
        <x:f>'Certified Allocation'!G30</x:f>
        <x:v>0.013275</x:v>
      </x:c>
      <x:c r="H36" s="275" t="n">
        <x:f>'Certified Allocation'!H30</x:f>
        <x:v>0.022125</x:v>
      </x:c>
      <x:c r="I36" s="275" t="n">
        <x:f>'Certified Allocation'!I30</x:f>
        <x:v>0</x:v>
      </x:c>
      <x:c r="J36" s="290"/>
      <x:c r="K36" s="291" t="n">
        <x:f>IF(J36="",F36,J36)</x:f>
        <x:v>0.0177</x:v>
      </x:c>
      <x:c r="L36" s="291" t="n">
        <x:f>K36-F36</x:f>
        <x:v>0</x:v>
      </x:c>
      <x:c r="M36" s="269" t="str">
        <x:f>IF(ABS(L36)&lt;'13 Validation &amp; Cert'!$B$9,"No Change",IF(L36&gt;0,"Funding Required","Source of Funds"))</x:f>
        <x:v>No Change</x:v>
      </x:c>
      <x:c r="N36" s="269" t="str">
        <x:f>IF(K36&lt;G36,"Below Certified Band",IF(K36&gt;H36,"Above Certified Band","Within Certified Band"))</x:f>
        <x:v>Within Certified Band</x:v>
      </x:c>
      <x:c r="O36" s="269" t="str">
        <x:f>IF(ABS(L36)&lt;'13 Validation &amp; Cert'!$B$9,"No scenario change",IF(N36&lt;&gt;"Within Certified Band","BAND EXCEPTION — COMMITTEE DECISION",IF(ABS(L36)&gt;='13 Validation &amp; Cert'!$B$7,"MATERIAL POSITION CHANGE","REVIEW PROPOSED CHANGE")))</x:f>
        <x:v>No scenario change</x:v>
      </x:c>
      <x:c r="P36" s="271"/>
      <x:c r="Q36" s="269" t="str">
        <x:f>IF(ABS(L36)&lt;'13 Validation &amp; Cert'!$B$9,"Baseline",IF(P36="","Rationale Required","Ready for Validation"))</x:f>
        <x:v>Baseline</x:v>
      </x:c>
      <x:c r="R36" s="291" t="n">
        <x:f>ABS(L36)</x:f>
        <x:v>0</x:v>
      </x:c>
    </x:row>
    <x:row r="37" ht="26" customHeight="1">
      <x:c r="A37" s="268" t="str">
        <x:f>'Certified Allocation'!A31</x:f>
        <x:v>Industrials &amp; Infrastructure</x:v>
      </x:c>
      <x:c r="B37" s="268" t="str">
        <x:f>'Certified Allocation'!B31</x:f>
        <x:v>CAT</x:v>
      </x:c>
      <x:c r="C37" s="268" t="str">
        <x:f>'Certified Allocation'!C31</x:f>
        <x:v>Caterpillar Inc.</x:v>
      </x:c>
      <x:c r="D37" s="268" t="str">
        <x:f>'Certified Allocation'!D31</x:f>
        <x:v>Equity</x:v>
      </x:c>
      <x:c r="E37" s="268" t="str">
        <x:f>'Certified Allocation'!E31</x:f>
        <x:v>Heavy equipment and infrastructure leader</x:v>
      </x:c>
      <x:c r="F37" s="275" t="n">
        <x:f>'Certified Allocation'!F31</x:f>
        <x:v>0.0156</x:v>
      </x:c>
      <x:c r="G37" s="275" t="n">
        <x:f>'Certified Allocation'!G31</x:f>
        <x:v>0.011699999999999999</x:v>
      </x:c>
      <x:c r="H37" s="275" t="n">
        <x:f>'Certified Allocation'!H31</x:f>
        <x:v>0.0195</x:v>
      </x:c>
      <x:c r="I37" s="275" t="n">
        <x:f>'Certified Allocation'!I31</x:f>
        <x:v>0</x:v>
      </x:c>
      <x:c r="J37" s="290"/>
      <x:c r="K37" s="291" t="n">
        <x:f>IF(J37="",F37,J37)</x:f>
        <x:v>0.0156</x:v>
      </x:c>
      <x:c r="L37" s="291" t="n">
        <x:f>K37-F37</x:f>
        <x:v>0</x:v>
      </x:c>
      <x:c r="M37" s="269" t="str">
        <x:f>IF(ABS(L37)&lt;'13 Validation &amp; Cert'!$B$9,"No Change",IF(L37&gt;0,"Funding Required","Source of Funds"))</x:f>
        <x:v>No Change</x:v>
      </x:c>
      <x:c r="N37" s="269" t="str">
        <x:f>IF(K37&lt;G37,"Below Certified Band",IF(K37&gt;H37,"Above Certified Band","Within Certified Band"))</x:f>
        <x:v>Within Certified Band</x:v>
      </x:c>
      <x:c r="O37" s="269" t="str">
        <x:f>IF(ABS(L37)&lt;'13 Validation &amp; Cert'!$B$9,"No scenario change",IF(N37&lt;&gt;"Within Certified Band","BAND EXCEPTION — COMMITTEE DECISION",IF(ABS(L37)&gt;='13 Validation &amp; Cert'!$B$7,"MATERIAL POSITION CHANGE","REVIEW PROPOSED CHANGE")))</x:f>
        <x:v>No scenario change</x:v>
      </x:c>
      <x:c r="P37" s="271"/>
      <x:c r="Q37" s="269" t="str">
        <x:f>IF(ABS(L37)&lt;'13 Validation &amp; Cert'!$B$9,"Baseline",IF(P37="","Rationale Required","Ready for Validation"))</x:f>
        <x:v>Baseline</x:v>
      </x:c>
      <x:c r="R37" s="291" t="n">
        <x:f>ABS(L37)</x:f>
        <x:v>0</x:v>
      </x:c>
    </x:row>
    <x:row r="38" ht="26" customHeight="1">
      <x:c r="A38" s="268" t="str">
        <x:f>'Certified Allocation'!A32</x:f>
        <x:v>Industrials &amp; Infrastructure</x:v>
      </x:c>
      <x:c r="B38" s="268" t="str">
        <x:f>'Certified Allocation'!B32</x:f>
        <x:v>ETN</x:v>
      </x:c>
      <x:c r="C38" s="268" t="str">
        <x:f>'Certified Allocation'!C32</x:f>
        <x:v>Eaton Corporation plc</x:v>
      </x:c>
      <x:c r="D38" s="268" t="str">
        <x:f>'Certified Allocation'!D32</x:f>
        <x:v>Equity</x:v>
      </x:c>
      <x:c r="E38" s="268" t="str">
        <x:f>'Certified Allocation'!E32</x:f>
        <x:v>Electrification and power-management leader</x:v>
      </x:c>
      <x:c r="F38" s="275" t="n">
        <x:f>'Certified Allocation'!F32</x:f>
        <x:v>0.0156</x:v>
      </x:c>
      <x:c r="G38" s="275" t="n">
        <x:f>'Certified Allocation'!G32</x:f>
        <x:v>0.011699999999999999</x:v>
      </x:c>
      <x:c r="H38" s="275" t="n">
        <x:f>'Certified Allocation'!H32</x:f>
        <x:v>0.0195</x:v>
      </x:c>
      <x:c r="I38" s="275" t="n">
        <x:f>'Certified Allocation'!I32</x:f>
        <x:v>0</x:v>
      </x:c>
      <x:c r="J38" s="290"/>
      <x:c r="K38" s="291" t="n">
        <x:f>IF(J38="",F38,J38)</x:f>
        <x:v>0.0156</x:v>
      </x:c>
      <x:c r="L38" s="291" t="n">
        <x:f>K38-F38</x:f>
        <x:v>0</x:v>
      </x:c>
      <x:c r="M38" s="269" t="str">
        <x:f>IF(ABS(L38)&lt;'13 Validation &amp; Cert'!$B$9,"No Change",IF(L38&gt;0,"Funding Required","Source of Funds"))</x:f>
        <x:v>No Change</x:v>
      </x:c>
      <x:c r="N38" s="269" t="str">
        <x:f>IF(K38&lt;G38,"Below Certified Band",IF(K38&gt;H38,"Above Certified Band","Within Certified Band"))</x:f>
        <x:v>Within Certified Band</x:v>
      </x:c>
      <x:c r="O38" s="269" t="str">
        <x:f>IF(ABS(L38)&lt;'13 Validation &amp; Cert'!$B$9,"No scenario change",IF(N38&lt;&gt;"Within Certified Band","BAND EXCEPTION — COMMITTEE DECISION",IF(ABS(L38)&gt;='13 Validation &amp; Cert'!$B$7,"MATERIAL POSITION CHANGE","REVIEW PROPOSED CHANGE")))</x:f>
        <x:v>No scenario change</x:v>
      </x:c>
      <x:c r="P38" s="271"/>
      <x:c r="Q38" s="269" t="str">
        <x:f>IF(ABS(L38)&lt;'13 Validation &amp; Cert'!$B$9,"Baseline",IF(P38="","Rationale Required","Ready for Validation"))</x:f>
        <x:v>Baseline</x:v>
      </x:c>
      <x:c r="R38" s="291" t="n">
        <x:f>ABS(L38)</x:f>
        <x:v>0</x:v>
      </x:c>
    </x:row>
    <x:row r="39" ht="26" customHeight="1">
      <x:c r="A39" s="268" t="str">
        <x:f>'Certified Allocation'!A33</x:f>
        <x:v>Industrials &amp; Infrastructure</x:v>
      </x:c>
      <x:c r="B39" s="268" t="str">
        <x:f>'Certified Allocation'!B33</x:f>
        <x:v>GE</x:v>
      </x:c>
      <x:c r="C39" s="268" t="str">
        <x:f>'Certified Allocation'!C33</x:f>
        <x:v>GE Aerospace</x:v>
      </x:c>
      <x:c r="D39" s="268" t="str">
        <x:f>'Certified Allocation'!D33</x:f>
        <x:v>Equity</x:v>
      </x:c>
      <x:c r="E39" s="268" t="str">
        <x:f>'Certified Allocation'!E33</x:f>
        <x:v>Aerospace propulsion leader</x:v>
      </x:c>
      <x:c r="F39" s="275" t="n">
        <x:f>'Certified Allocation'!F33</x:f>
        <x:v>0.0156</x:v>
      </x:c>
      <x:c r="G39" s="275" t="n">
        <x:f>'Certified Allocation'!G33</x:f>
        <x:v>0.011699999999999999</x:v>
      </x:c>
      <x:c r="H39" s="275" t="n">
        <x:f>'Certified Allocation'!H33</x:f>
        <x:v>0.0195</x:v>
      </x:c>
      <x:c r="I39" s="275" t="n">
        <x:f>'Certified Allocation'!I33</x:f>
        <x:v>0</x:v>
      </x:c>
      <x:c r="J39" s="290"/>
      <x:c r="K39" s="291" t="n">
        <x:f>IF(J39="",F39,J39)</x:f>
        <x:v>0.0156</x:v>
      </x:c>
      <x:c r="L39" s="291" t="n">
        <x:f>K39-F39</x:f>
        <x:v>0</x:v>
      </x:c>
      <x:c r="M39" s="269" t="str">
        <x:f>IF(ABS(L39)&lt;'13 Validation &amp; Cert'!$B$9,"No Change",IF(L39&gt;0,"Funding Required","Source of Funds"))</x:f>
        <x:v>No Change</x:v>
      </x:c>
      <x:c r="N39" s="269" t="str">
        <x:f>IF(K39&lt;G39,"Below Certified Band",IF(K39&gt;H39,"Above Certified Band","Within Certified Band"))</x:f>
        <x:v>Within Certified Band</x:v>
      </x:c>
      <x:c r="O39" s="269" t="str">
        <x:f>IF(ABS(L39)&lt;'13 Validation &amp; Cert'!$B$9,"No scenario change",IF(N39&lt;&gt;"Within Certified Band","BAND EXCEPTION — COMMITTEE DECISION",IF(ABS(L39)&gt;='13 Validation &amp; Cert'!$B$7,"MATERIAL POSITION CHANGE","REVIEW PROPOSED CHANGE")))</x:f>
        <x:v>No scenario change</x:v>
      </x:c>
      <x:c r="P39" s="271"/>
      <x:c r="Q39" s="269" t="str">
        <x:f>IF(ABS(L39)&lt;'13 Validation &amp; Cert'!$B$9,"Baseline",IF(P39="","Rationale Required","Ready for Validation"))</x:f>
        <x:v>Baseline</x:v>
      </x:c>
      <x:c r="R39" s="291" t="n">
        <x:f>ABS(L39)</x:f>
        <x:v>0</x:v>
      </x:c>
    </x:row>
    <x:row r="40" ht="26" customHeight="1">
      <x:c r="A40" s="268" t="str">
        <x:f>'Certified Allocation'!A34</x:f>
        <x:v>Industrials &amp; Infrastructure</x:v>
      </x:c>
      <x:c r="B40" s="268" t="str">
        <x:f>'Certified Allocation'!B34</x:f>
        <x:v>PH</x:v>
      </x:c>
      <x:c r="C40" s="268" t="str">
        <x:f>'Certified Allocation'!C34</x:f>
        <x:v>Parker-Hannifin Corporation</x:v>
      </x:c>
      <x:c r="D40" s="268" t="str">
        <x:f>'Certified Allocation'!D34</x:f>
        <x:v>Equity</x:v>
      </x:c>
      <x:c r="E40" s="268" t="str">
        <x:f>'Certified Allocation'!E34</x:f>
        <x:v>Motion and control systems leader</x:v>
      </x:c>
      <x:c r="F40" s="275" t="n">
        <x:f>'Certified Allocation'!F34</x:f>
        <x:v>0.0156</x:v>
      </x:c>
      <x:c r="G40" s="275" t="n">
        <x:f>'Certified Allocation'!G34</x:f>
        <x:v>0.011699999999999999</x:v>
      </x:c>
      <x:c r="H40" s="275" t="n">
        <x:f>'Certified Allocation'!H34</x:f>
        <x:v>0.0195</x:v>
      </x:c>
      <x:c r="I40" s="275" t="n">
        <x:f>'Certified Allocation'!I34</x:f>
        <x:v>0</x:v>
      </x:c>
      <x:c r="J40" s="290"/>
      <x:c r="K40" s="291" t="n">
        <x:f>IF(J40="",F40,J40)</x:f>
        <x:v>0.0156</x:v>
      </x:c>
      <x:c r="L40" s="291" t="n">
        <x:f>K40-F40</x:f>
        <x:v>0</x:v>
      </x:c>
      <x:c r="M40" s="269" t="str">
        <x:f>IF(ABS(L40)&lt;'13 Validation &amp; Cert'!$B$9,"No Change",IF(L40&gt;0,"Funding Required","Source of Funds"))</x:f>
        <x:v>No Change</x:v>
      </x:c>
      <x:c r="N40" s="269" t="str">
        <x:f>IF(K40&lt;G40,"Below Certified Band",IF(K40&gt;H40,"Above Certified Band","Within Certified Band"))</x:f>
        <x:v>Within Certified Band</x:v>
      </x:c>
      <x:c r="O40" s="269" t="str">
        <x:f>IF(ABS(L40)&lt;'13 Validation &amp; Cert'!$B$9,"No scenario change",IF(N40&lt;&gt;"Within Certified Band","BAND EXCEPTION — COMMITTEE DECISION",IF(ABS(L40)&gt;='13 Validation &amp; Cert'!$B$7,"MATERIAL POSITION CHANGE","REVIEW PROPOSED CHANGE")))</x:f>
        <x:v>No scenario change</x:v>
      </x:c>
      <x:c r="P40" s="271"/>
      <x:c r="Q40" s="269" t="str">
        <x:f>IF(ABS(L40)&lt;'13 Validation &amp; Cert'!$B$9,"Baseline",IF(P40="","Rationale Required","Ready for Validation"))</x:f>
        <x:v>Baseline</x:v>
      </x:c>
      <x:c r="R40" s="291" t="n">
        <x:f>ABS(L40)</x:f>
        <x:v>0</x:v>
      </x:c>
    </x:row>
    <x:row r="41" ht="26" customHeight="1">
      <x:c r="A41" s="268" t="str">
        <x:f>'Certified Allocation'!A35</x:f>
        <x:v>Industrials &amp; Infrastructure</x:v>
      </x:c>
      <x:c r="B41" s="268" t="str">
        <x:f>'Certified Allocation'!B35</x:f>
        <x:v>TT</x:v>
      </x:c>
      <x:c r="C41" s="268" t="str">
        <x:f>'Certified Allocation'!C35</x:f>
        <x:v>Trane Technologies plc</x:v>
      </x:c>
      <x:c r="D41" s="268" t="str">
        <x:f>'Certified Allocation'!D35</x:f>
        <x:v>Equity</x:v>
      </x:c>
      <x:c r="E41" s="268" t="str">
        <x:f>'Certified Allocation'!E35</x:f>
        <x:v>Climate and building efficiency leader</x:v>
      </x:c>
      <x:c r="F41" s="275" t="n">
        <x:f>'Certified Allocation'!F35</x:f>
        <x:v>0.0156</x:v>
      </x:c>
      <x:c r="G41" s="275" t="n">
        <x:f>'Certified Allocation'!G35</x:f>
        <x:v>0.011699999999999999</x:v>
      </x:c>
      <x:c r="H41" s="275" t="n">
        <x:f>'Certified Allocation'!H35</x:f>
        <x:v>0.0195</x:v>
      </x:c>
      <x:c r="I41" s="275" t="n">
        <x:f>'Certified Allocation'!I35</x:f>
        <x:v>0</x:v>
      </x:c>
      <x:c r="J41" s="290"/>
      <x:c r="K41" s="291" t="n">
        <x:f>IF(J41="",F41,J41)</x:f>
        <x:v>0.0156</x:v>
      </x:c>
      <x:c r="L41" s="291" t="n">
        <x:f>K41-F41</x:f>
        <x:v>0</x:v>
      </x:c>
      <x:c r="M41" s="269" t="str">
        <x:f>IF(ABS(L41)&lt;'13 Validation &amp; Cert'!$B$9,"No Change",IF(L41&gt;0,"Funding Required","Source of Funds"))</x:f>
        <x:v>No Change</x:v>
      </x:c>
      <x:c r="N41" s="269" t="str">
        <x:f>IF(K41&lt;G41,"Below Certified Band",IF(K41&gt;H41,"Above Certified Band","Within Certified Band"))</x:f>
        <x:v>Within Certified Band</x:v>
      </x:c>
      <x:c r="O41" s="269" t="str">
        <x:f>IF(ABS(L41)&lt;'13 Validation &amp; Cert'!$B$9,"No scenario change",IF(N41&lt;&gt;"Within Certified Band","BAND EXCEPTION — COMMITTEE DECISION",IF(ABS(L41)&gt;='13 Validation &amp; Cert'!$B$7,"MATERIAL POSITION CHANGE","REVIEW PROPOSED CHANGE")))</x:f>
        <x:v>No scenario change</x:v>
      </x:c>
      <x:c r="P41" s="271"/>
      <x:c r="Q41" s="269" t="str">
        <x:f>IF(ABS(L41)&lt;'13 Validation &amp; Cert'!$B$9,"Baseline",IF(P41="","Rationale Required","Ready for Validation"))</x:f>
        <x:v>Baseline</x:v>
      </x:c>
      <x:c r="R41" s="291" t="n">
        <x:f>ABS(L41)</x:f>
        <x:v>0</x:v>
      </x:c>
    </x:row>
    <x:row r="42" ht="26" customHeight="1">
      <x:c r="A42" s="268" t="str">
        <x:f>'Certified Allocation'!A36</x:f>
        <x:v>Industrials &amp; Infrastructure</x:v>
      </x:c>
      <x:c r="B42" s="268" t="str">
        <x:f>'Certified Allocation'!B36</x:f>
        <x:v>UNP</x:v>
      </x:c>
      <x:c r="C42" s="268" t="str">
        <x:f>'Certified Allocation'!C36</x:f>
        <x:v>Union Pacific Corporation</x:v>
      </x:c>
      <x:c r="D42" s="268" t="str">
        <x:f>'Certified Allocation'!D36</x:f>
        <x:v>Equity</x:v>
      </x:c>
      <x:c r="E42" s="268" t="str">
        <x:f>'Certified Allocation'!E36</x:f>
        <x:v>Freight rail infrastructure</x:v>
      </x:c>
      <x:c r="F42" s="275" t="n">
        <x:f>'Certified Allocation'!F36</x:f>
        <x:v>0.0155</x:v>
      </x:c>
      <x:c r="G42" s="275" t="n">
        <x:f>'Certified Allocation'!G36</x:f>
        <x:v>0.011625</x:v>
      </x:c>
      <x:c r="H42" s="275" t="n">
        <x:f>'Certified Allocation'!H36</x:f>
        <x:v>0.019375</x:v>
      </x:c>
      <x:c r="I42" s="275" t="n">
        <x:f>'Certified Allocation'!I36</x:f>
        <x:v>0</x:v>
      </x:c>
      <x:c r="J42" s="290"/>
      <x:c r="K42" s="291" t="n">
        <x:f>IF(J42="",F42,J42)</x:f>
        <x:v>0.0155</x:v>
      </x:c>
      <x:c r="L42" s="291" t="n">
        <x:f>K42-F42</x:f>
        <x:v>0</x:v>
      </x:c>
      <x:c r="M42" s="269" t="str">
        <x:f>IF(ABS(L42)&lt;'13 Validation &amp; Cert'!$B$9,"No Change",IF(L42&gt;0,"Funding Required","Source of Funds"))</x:f>
        <x:v>No Change</x:v>
      </x:c>
      <x:c r="N42" s="269" t="str">
        <x:f>IF(K42&lt;G42,"Below Certified Band",IF(K42&gt;H42,"Above Certified Band","Within Certified Band"))</x:f>
        <x:v>Within Certified Band</x:v>
      </x:c>
      <x:c r="O42" s="269" t="str">
        <x:f>IF(ABS(L42)&lt;'13 Validation &amp; Cert'!$B$9,"No scenario change",IF(N42&lt;&gt;"Within Certified Band","BAND EXCEPTION — COMMITTEE DECISION",IF(ABS(L42)&gt;='13 Validation &amp; Cert'!$B$7,"MATERIAL POSITION CHANGE","REVIEW PROPOSED CHANGE")))</x:f>
        <x:v>No scenario change</x:v>
      </x:c>
      <x:c r="P42" s="271"/>
      <x:c r="Q42" s="269" t="str">
        <x:f>IF(ABS(L42)&lt;'13 Validation &amp; Cert'!$B$9,"Baseline",IF(P42="","Rationale Required","Ready for Validation"))</x:f>
        <x:v>Baseline</x:v>
      </x:c>
      <x:c r="R42" s="291" t="n">
        <x:f>ABS(L42)</x:f>
        <x:v>0</x:v>
      </x:c>
    </x:row>
    <x:row r="43" ht="26" customHeight="1">
      <x:c r="A43" s="268" t="str">
        <x:f>'Certified Allocation'!A37</x:f>
        <x:v>Financial Infrastructure</x:v>
      </x:c>
      <x:c r="B43" s="268" t="str">
        <x:f>'Certified Allocation'!B37</x:f>
        <x:v>CME</x:v>
      </x:c>
      <x:c r="C43" s="268" t="str">
        <x:f>'Certified Allocation'!C37</x:f>
        <x:v>CME Group Inc.</x:v>
      </x:c>
      <x:c r="D43" s="268" t="str">
        <x:f>'Certified Allocation'!D37</x:f>
        <x:v>Equity</x:v>
      </x:c>
      <x:c r="E43" s="268" t="str">
        <x:f>'Certified Allocation'!E37</x:f>
        <x:v>Market infrastructure and derivatives exchange</x:v>
      </x:c>
      <x:c r="F43" s="275" t="n">
        <x:f>'Certified Allocation'!F37</x:f>
        <x:v>0.0302</x:v>
      </x:c>
      <x:c r="G43" s="275" t="n">
        <x:f>'Certified Allocation'!G37</x:f>
        <x:v>0.02265</x:v>
      </x:c>
      <x:c r="H43" s="275" t="n">
        <x:f>'Certified Allocation'!H37</x:f>
        <x:v>0.03775</x:v>
      </x:c>
      <x:c r="I43" s="275" t="n">
        <x:f>'Certified Allocation'!I37</x:f>
        <x:v>0</x:v>
      </x:c>
      <x:c r="J43" s="290"/>
      <x:c r="K43" s="291" t="n">
        <x:f>IF(J43="",F43,J43)</x:f>
        <x:v>0.0302</x:v>
      </x:c>
      <x:c r="L43" s="291" t="n">
        <x:f>K43-F43</x:f>
        <x:v>0</x:v>
      </x:c>
      <x:c r="M43" s="269" t="str">
        <x:f>IF(ABS(L43)&lt;'13 Validation &amp; Cert'!$B$9,"No Change",IF(L43&gt;0,"Funding Required","Source of Funds"))</x:f>
        <x:v>No Change</x:v>
      </x:c>
      <x:c r="N43" s="269" t="str">
        <x:f>IF(K43&lt;G43,"Below Certified Band",IF(K43&gt;H43,"Above Certified Band","Within Certified Band"))</x:f>
        <x:v>Within Certified Band</x:v>
      </x:c>
      <x:c r="O43" s="269" t="str">
        <x:f>IF(ABS(L43)&lt;'13 Validation &amp; Cert'!$B$9,"No scenario change",IF(N43&lt;&gt;"Within Certified Band","BAND EXCEPTION — COMMITTEE DECISION",IF(ABS(L43)&gt;='13 Validation &amp; Cert'!$B$7,"MATERIAL POSITION CHANGE","REVIEW PROPOSED CHANGE")))</x:f>
        <x:v>No scenario change</x:v>
      </x:c>
      <x:c r="P43" s="271"/>
      <x:c r="Q43" s="269" t="str">
        <x:f>IF(ABS(L43)&lt;'13 Validation &amp; Cert'!$B$9,"Baseline",IF(P43="","Rationale Required","Ready for Validation"))</x:f>
        <x:v>Baseline</x:v>
      </x:c>
      <x:c r="R43" s="291" t="n">
        <x:f>ABS(L43)</x:f>
        <x:v>0</x:v>
      </x:c>
    </x:row>
    <x:row r="44" ht="26" customHeight="1">
      <x:c r="A44" s="268" t="str">
        <x:f>'Certified Allocation'!A38</x:f>
        <x:v>Financial Infrastructure</x:v>
      </x:c>
      <x:c r="B44" s="268" t="str">
        <x:f>'Certified Allocation'!B38</x:f>
        <x:v>MMC</x:v>
      </x:c>
      <x:c r="C44" s="268" t="str">
        <x:f>'Certified Allocation'!C38</x:f>
        <x:v>Marsh &amp; McLennan Companies, Inc.</x:v>
      </x:c>
      <x:c r="D44" s="268" t="str">
        <x:f>'Certified Allocation'!D38</x:f>
        <x:v>Equity</x:v>
      </x:c>
      <x:c r="E44" s="268" t="str">
        <x:f>'Certified Allocation'!E38</x:f>
        <x:v>Risk, insurance and advisory infrastructure</x:v>
      </x:c>
      <x:c r="F44" s="275" t="n">
        <x:f>'Certified Allocation'!F38</x:f>
        <x:v>0.02</x:v>
      </x:c>
      <x:c r="G44" s="275" t="n">
        <x:f>'Certified Allocation'!G38</x:f>
        <x:v>0.015</x:v>
      </x:c>
      <x:c r="H44" s="275" t="n">
        <x:f>'Certified Allocation'!H38</x:f>
        <x:v>0.025</x:v>
      </x:c>
      <x:c r="I44" s="275" t="n">
        <x:f>'Certified Allocation'!I38</x:f>
        <x:v>0</x:v>
      </x:c>
      <x:c r="J44" s="290"/>
      <x:c r="K44" s="291" t="n">
        <x:f>IF(J44="",F44,J44)</x:f>
        <x:v>0.02</x:v>
      </x:c>
      <x:c r="L44" s="291" t="n">
        <x:f>K44-F44</x:f>
        <x:v>0</x:v>
      </x:c>
      <x:c r="M44" s="269" t="str">
        <x:f>IF(ABS(L44)&lt;'13 Validation &amp; Cert'!$B$9,"No Change",IF(L44&gt;0,"Funding Required","Source of Funds"))</x:f>
        <x:v>No Change</x:v>
      </x:c>
      <x:c r="N44" s="269" t="str">
        <x:f>IF(K44&lt;G44,"Below Certified Band",IF(K44&gt;H44,"Above Certified Band","Within Certified Band"))</x:f>
        <x:v>Within Certified Band</x:v>
      </x:c>
      <x:c r="O44" s="269" t="str">
        <x:f>IF(ABS(L44)&lt;'13 Validation &amp; Cert'!$B$9,"No scenario change",IF(N44&lt;&gt;"Within Certified Band","BAND EXCEPTION — COMMITTEE DECISION",IF(ABS(L44)&gt;='13 Validation &amp; Cert'!$B$7,"MATERIAL POSITION CHANGE","REVIEW PROPOSED CHANGE")))</x:f>
        <x:v>No scenario change</x:v>
      </x:c>
      <x:c r="P44" s="271"/>
      <x:c r="Q44" s="269" t="str">
        <x:f>IF(ABS(L44)&lt;'13 Validation &amp; Cert'!$B$9,"Baseline",IF(P44="","Rationale Required","Ready for Validation"))</x:f>
        <x:v>Baseline</x:v>
      </x:c>
      <x:c r="R44" s="291" t="n">
        <x:f>ABS(L44)</x:f>
        <x:v>0</x:v>
      </x:c>
    </x:row>
    <x:row r="45" ht="26" customHeight="1">
      <x:c r="A45" s="268" t="str">
        <x:f>'Certified Allocation'!A39</x:f>
        <x:v>Financial Infrastructure</x:v>
      </x:c>
      <x:c r="B45" s="268" t="str">
        <x:f>'Certified Allocation'!B39</x:f>
        <x:v>GS</x:v>
      </x:c>
      <x:c r="C45" s="268" t="str">
        <x:f>'Certified Allocation'!C39</x:f>
        <x:v>The Goldman Sachs Group, Inc.</x:v>
      </x:c>
      <x:c r="D45" s="268" t="str">
        <x:f>'Certified Allocation'!D39</x:f>
        <x:v>Equity</x:v>
      </x:c>
      <x:c r="E45" s="268" t="str">
        <x:f>'Certified Allocation'!E39</x:f>
        <x:v>Investment banking and capital markets</x:v>
      </x:c>
      <x:c r="F45" s="275" t="n">
        <x:f>'Certified Allocation'!F39</x:f>
        <x:v>0.0156</x:v>
      </x:c>
      <x:c r="G45" s="275" t="n">
        <x:f>'Certified Allocation'!G39</x:f>
        <x:v>0.011699999999999999</x:v>
      </x:c>
      <x:c r="H45" s="275" t="n">
        <x:f>'Certified Allocation'!H39</x:f>
        <x:v>0.0195</x:v>
      </x:c>
      <x:c r="I45" s="275" t="n">
        <x:f>'Certified Allocation'!I39</x:f>
        <x:v>0</x:v>
      </x:c>
      <x:c r="J45" s="290"/>
      <x:c r="K45" s="291" t="n">
        <x:f>IF(J45="",F45,J45)</x:f>
        <x:v>0.0156</x:v>
      </x:c>
      <x:c r="L45" s="291" t="n">
        <x:f>K45-F45</x:f>
        <x:v>0</x:v>
      </x:c>
      <x:c r="M45" s="269" t="str">
        <x:f>IF(ABS(L45)&lt;'13 Validation &amp; Cert'!$B$9,"No Change",IF(L45&gt;0,"Funding Required","Source of Funds"))</x:f>
        <x:v>No Change</x:v>
      </x:c>
      <x:c r="N45" s="269" t="str">
        <x:f>IF(K45&lt;G45,"Below Certified Band",IF(K45&gt;H45,"Above Certified Band","Within Certified Band"))</x:f>
        <x:v>Within Certified Band</x:v>
      </x:c>
      <x:c r="O45" s="269" t="str">
        <x:f>IF(ABS(L45)&lt;'13 Validation &amp; Cert'!$B$9,"No scenario change",IF(N45&lt;&gt;"Within Certified Band","BAND EXCEPTION — COMMITTEE DECISION",IF(ABS(L45)&gt;='13 Validation &amp; Cert'!$B$7,"MATERIAL POSITION CHANGE","REVIEW PROPOSED CHANGE")))</x:f>
        <x:v>No scenario change</x:v>
      </x:c>
      <x:c r="P45" s="271"/>
      <x:c r="Q45" s="269" t="str">
        <x:f>IF(ABS(L45)&lt;'13 Validation &amp; Cert'!$B$9,"Baseline",IF(P45="","Rationale Required","Ready for Validation"))</x:f>
        <x:v>Baseline</x:v>
      </x:c>
      <x:c r="R45" s="291" t="n">
        <x:f>ABS(L45)</x:f>
        <x:v>0</x:v>
      </x:c>
    </x:row>
    <x:row r="46" ht="26" customHeight="1">
      <x:c r="A46" s="268" t="str">
        <x:f>'Certified Allocation'!A40</x:f>
        <x:v>Financial Infrastructure</x:v>
      </x:c>
      <x:c r="B46" s="268" t="str">
        <x:f>'Certified Allocation'!B40</x:f>
        <x:v>JPM</x:v>
      </x:c>
      <x:c r="C46" s="268" t="str">
        <x:f>'Certified Allocation'!C40</x:f>
        <x:v>JPMorgan Chase &amp; Co.</x:v>
      </x:c>
      <x:c r="D46" s="268" t="str">
        <x:f>'Certified Allocation'!D40</x:f>
        <x:v>Equity</x:v>
      </x:c>
      <x:c r="E46" s="268" t="str">
        <x:f>'Certified Allocation'!E40</x:f>
        <x:v>Diversified banking and capital markets anchor</x:v>
      </x:c>
      <x:c r="F46" s="275" t="n">
        <x:f>'Certified Allocation'!F40</x:f>
        <x:v>0.0156</x:v>
      </x:c>
      <x:c r="G46" s="275" t="n">
        <x:f>'Certified Allocation'!G40</x:f>
        <x:v>0.011699999999999999</x:v>
      </x:c>
      <x:c r="H46" s="275" t="n">
        <x:f>'Certified Allocation'!H40</x:f>
        <x:v>0.0195</x:v>
      </x:c>
      <x:c r="I46" s="275" t="n">
        <x:f>'Certified Allocation'!I40</x:f>
        <x:v>0</x:v>
      </x:c>
      <x:c r="J46" s="290"/>
      <x:c r="K46" s="291" t="n">
        <x:f>IF(J46="",F46,J46)</x:f>
        <x:v>0.0156</x:v>
      </x:c>
      <x:c r="L46" s="291" t="n">
        <x:f>K46-F46</x:f>
        <x:v>0</x:v>
      </x:c>
      <x:c r="M46" s="269" t="str">
        <x:f>IF(ABS(L46)&lt;'13 Validation &amp; Cert'!$B$9,"No Change",IF(L46&gt;0,"Funding Required","Source of Funds"))</x:f>
        <x:v>No Change</x:v>
      </x:c>
      <x:c r="N46" s="269" t="str">
        <x:f>IF(K46&lt;G46,"Below Certified Band",IF(K46&gt;H46,"Above Certified Band","Within Certified Band"))</x:f>
        <x:v>Within Certified Band</x:v>
      </x:c>
      <x:c r="O46" s="269" t="str">
        <x:f>IF(ABS(L46)&lt;'13 Validation &amp; Cert'!$B$9,"No scenario change",IF(N46&lt;&gt;"Within Certified Band","BAND EXCEPTION — COMMITTEE DECISION",IF(ABS(L46)&gt;='13 Validation &amp; Cert'!$B$7,"MATERIAL POSITION CHANGE","REVIEW PROPOSED CHANGE")))</x:f>
        <x:v>No scenario change</x:v>
      </x:c>
      <x:c r="P46" s="271"/>
      <x:c r="Q46" s="269" t="str">
        <x:f>IF(ABS(L46)&lt;'13 Validation &amp; Cert'!$B$9,"Baseline",IF(P46="","Rationale Required","Ready for Validation"))</x:f>
        <x:v>Baseline</x:v>
      </x:c>
      <x:c r="R46" s="291" t="n">
        <x:f>ABS(L46)</x:f>
        <x:v>0</x:v>
      </x:c>
    </x:row>
    <x:row r="47" ht="26" customHeight="1">
      <x:c r="A47" s="268" t="str">
        <x:f>'Certified Allocation'!A41</x:f>
        <x:v>Financial Infrastructure</x:v>
      </x:c>
      <x:c r="B47" s="268" t="str">
        <x:f>'Certified Allocation'!B41</x:f>
        <x:v>VFH</x:v>
      </x:c>
      <x:c r="C47" s="268" t="str">
        <x:f>'Certified Allocation'!C41</x:f>
        <x:v>Vanguard Financials ETF</x:v>
      </x:c>
      <x:c r="D47" s="268" t="str">
        <x:f>'Certified Allocation'!D41</x:f>
        <x:v>ETF</x:v>
      </x:c>
      <x:c r="E47" s="268" t="str">
        <x:f>'Certified Allocation'!E41</x:f>
        <x:v>Diversified financial-sector implementation ETF</x:v>
      </x:c>
      <x:c r="F47" s="275" t="n">
        <x:f>'Certified Allocation'!F41</x:f>
        <x:v>0.0156</x:v>
      </x:c>
      <x:c r="G47" s="275" t="n">
        <x:f>'Certified Allocation'!G41</x:f>
        <x:v>0.011699999999999999</x:v>
      </x:c>
      <x:c r="H47" s="275" t="n">
        <x:f>'Certified Allocation'!H41</x:f>
        <x:v>0.0195</x:v>
      </x:c>
      <x:c r="I47" s="275" t="n">
        <x:f>'Certified Allocation'!I41</x:f>
        <x:v>0</x:v>
      </x:c>
      <x:c r="J47" s="290"/>
      <x:c r="K47" s="291" t="n">
        <x:f>IF(J47="",F47,J47)</x:f>
        <x:v>0.0156</x:v>
      </x:c>
      <x:c r="L47" s="291" t="n">
        <x:f>K47-F47</x:f>
        <x:v>0</x:v>
      </x:c>
      <x:c r="M47" s="269" t="str">
        <x:f>IF(ABS(L47)&lt;'13 Validation &amp; Cert'!$B$9,"No Change",IF(L47&gt;0,"Funding Required","Source of Funds"))</x:f>
        <x:v>No Change</x:v>
      </x:c>
      <x:c r="N47" s="269" t="str">
        <x:f>IF(K47&lt;G47,"Below Certified Band",IF(K47&gt;H47,"Above Certified Band","Within Certified Band"))</x:f>
        <x:v>Within Certified Band</x:v>
      </x:c>
      <x:c r="O47" s="269" t="str">
        <x:f>IF(ABS(L47)&lt;'13 Validation &amp; Cert'!$B$9,"No scenario change",IF(N47&lt;&gt;"Within Certified Band","BAND EXCEPTION — COMMITTEE DECISION",IF(ABS(L47)&gt;='13 Validation &amp; Cert'!$B$7,"MATERIAL POSITION CHANGE","REVIEW PROPOSED CHANGE")))</x:f>
        <x:v>No scenario change</x:v>
      </x:c>
      <x:c r="P47" s="271"/>
      <x:c r="Q47" s="269" t="str">
        <x:f>IF(ABS(L47)&lt;'13 Validation &amp; Cert'!$B$9,"Baseline",IF(P47="","Rationale Required","Ready for Validation"))</x:f>
        <x:v>Baseline</x:v>
      </x:c>
      <x:c r="R47" s="291" t="n">
        <x:f>ABS(L47)</x:f>
        <x:v>0</x:v>
      </x:c>
    </x:row>
    <x:row r="48" ht="26" customHeight="1">
      <x:c r="A48" s="268" t="str">
        <x:f>'Certified Allocation'!A42</x:f>
        <x:v>Healthcare Leadership</x:v>
      </x:c>
      <x:c r="B48" s="268" t="str">
        <x:f>'Certified Allocation'!B42</x:f>
        <x:v>VHT</x:v>
      </x:c>
      <x:c r="C48" s="268" t="str">
        <x:f>'Certified Allocation'!C42</x:f>
        <x:v>Vanguard Health Care ETF</x:v>
      </x:c>
      <x:c r="D48" s="268" t="str">
        <x:f>'Certified Allocation'!D42</x:f>
        <x:v>ETF</x:v>
      </x:c>
      <x:c r="E48" s="268" t="str">
        <x:f>'Certified Allocation'!E42</x:f>
        <x:v>Diversified healthcare implementation ETF</x:v>
      </x:c>
      <x:c r="F48" s="275" t="n">
        <x:f>'Certified Allocation'!F42</x:f>
        <x:v>0.0206</x:v>
      </x:c>
      <x:c r="G48" s="275" t="n">
        <x:f>'Certified Allocation'!G42</x:f>
        <x:v>0.01545</x:v>
      </x:c>
      <x:c r="H48" s="275" t="n">
        <x:f>'Certified Allocation'!H42</x:f>
        <x:v>0.025750000000000002</x:v>
      </x:c>
      <x:c r="I48" s="275" t="n">
        <x:f>'Certified Allocation'!I42</x:f>
        <x:v>0</x:v>
      </x:c>
      <x:c r="J48" s="290"/>
      <x:c r="K48" s="291" t="n">
        <x:f>IF(J48="",F48,J48)</x:f>
        <x:v>0.0206</x:v>
      </x:c>
      <x:c r="L48" s="291" t="n">
        <x:f>K48-F48</x:f>
        <x:v>0</x:v>
      </x:c>
      <x:c r="M48" s="269" t="str">
        <x:f>IF(ABS(L48)&lt;'13 Validation &amp; Cert'!$B$9,"No Change",IF(L48&gt;0,"Funding Required","Source of Funds"))</x:f>
        <x:v>No Change</x:v>
      </x:c>
      <x:c r="N48" s="269" t="str">
        <x:f>IF(K48&lt;G48,"Below Certified Band",IF(K48&gt;H48,"Above Certified Band","Within Certified Band"))</x:f>
        <x:v>Within Certified Band</x:v>
      </x:c>
      <x:c r="O48" s="269" t="str">
        <x:f>IF(ABS(L48)&lt;'13 Validation &amp; Cert'!$B$9,"No scenario change",IF(N48&lt;&gt;"Within Certified Band","BAND EXCEPTION — COMMITTEE DECISION",IF(ABS(L48)&gt;='13 Validation &amp; Cert'!$B$7,"MATERIAL POSITION CHANGE","REVIEW PROPOSED CHANGE")))</x:f>
        <x:v>No scenario change</x:v>
      </x:c>
      <x:c r="P48" s="271"/>
      <x:c r="Q48" s="269" t="str">
        <x:f>IF(ABS(L48)&lt;'13 Validation &amp; Cert'!$B$9,"Baseline",IF(P48="","Rationale Required","Ready for Validation"))</x:f>
        <x:v>Baseline</x:v>
      </x:c>
      <x:c r="R48" s="291" t="n">
        <x:f>ABS(L48)</x:f>
        <x:v>0</x:v>
      </x:c>
    </x:row>
    <x:row r="49" ht="26" customHeight="1">
      <x:c r="A49" s="268" t="str">
        <x:f>'Certified Allocation'!A43</x:f>
        <x:v>Healthcare Leadership</x:v>
      </x:c>
      <x:c r="B49" s="268" t="str">
        <x:f>'Certified Allocation'!B43</x:f>
        <x:v>SYK</x:v>
      </x:c>
      <x:c r="C49" s="268" t="str">
        <x:f>'Certified Allocation'!C43</x:f>
        <x:v>Stryker Corporation</x:v>
      </x:c>
      <x:c r="D49" s="268" t="str">
        <x:f>'Certified Allocation'!D43</x:f>
        <x:v>Equity</x:v>
      </x:c>
      <x:c r="E49" s="268" t="str">
        <x:f>'Certified Allocation'!E43</x:f>
        <x:v>Medical technology leader</x:v>
      </x:c>
      <x:c r="F49" s="275" t="n">
        <x:f>'Certified Allocation'!F43</x:f>
        <x:v>0.0155</x:v>
      </x:c>
      <x:c r="G49" s="275" t="n">
        <x:f>'Certified Allocation'!G43</x:f>
        <x:v>0.011625</x:v>
      </x:c>
      <x:c r="H49" s="275" t="n">
        <x:f>'Certified Allocation'!H43</x:f>
        <x:v>0.019375</x:v>
      </x:c>
      <x:c r="I49" s="275" t="n">
        <x:f>'Certified Allocation'!I43</x:f>
        <x:v>0</x:v>
      </x:c>
      <x:c r="J49" s="290"/>
      <x:c r="K49" s="291" t="n">
        <x:f>IF(J49="",F49,J49)</x:f>
        <x:v>0.0155</x:v>
      </x:c>
      <x:c r="L49" s="291" t="n">
        <x:f>K49-F49</x:f>
        <x:v>0</x:v>
      </x:c>
      <x:c r="M49" s="269" t="str">
        <x:f>IF(ABS(L49)&lt;'13 Validation &amp; Cert'!$B$9,"No Change",IF(L49&gt;0,"Funding Required","Source of Funds"))</x:f>
        <x:v>No Change</x:v>
      </x:c>
      <x:c r="N49" s="269" t="str">
        <x:f>IF(K49&lt;G49,"Below Certified Band",IF(K49&gt;H49,"Above Certified Band","Within Certified Band"))</x:f>
        <x:v>Within Certified Band</x:v>
      </x:c>
      <x:c r="O49" s="269" t="str">
        <x:f>IF(ABS(L49)&lt;'13 Validation &amp; Cert'!$B$9,"No scenario change",IF(N49&lt;&gt;"Within Certified Band","BAND EXCEPTION — COMMITTEE DECISION",IF(ABS(L49)&gt;='13 Validation &amp; Cert'!$B$7,"MATERIAL POSITION CHANGE","REVIEW PROPOSED CHANGE")))</x:f>
        <x:v>No scenario change</x:v>
      </x:c>
      <x:c r="P49" s="271"/>
      <x:c r="Q49" s="269" t="str">
        <x:f>IF(ABS(L49)&lt;'13 Validation &amp; Cert'!$B$9,"Baseline",IF(P49="","Rationale Required","Ready for Validation"))</x:f>
        <x:v>Baseline</x:v>
      </x:c>
      <x:c r="R49" s="291" t="n">
        <x:f>ABS(L49)</x:f>
        <x:v>0</x:v>
      </x:c>
    </x:row>
    <x:row r="50" ht="26" customHeight="1">
      <x:c r="A50" s="268" t="str">
        <x:f>'Certified Allocation'!A44</x:f>
        <x:v>Energy &amp; Natural Resources</x:v>
      </x:c>
      <x:c r="B50" s="268" t="str">
        <x:f>'Certified Allocation'!B44</x:f>
        <x:v>LNG</x:v>
      </x:c>
      <x:c r="C50" s="268" t="str">
        <x:f>'Certified Allocation'!C44</x:f>
        <x:v>Cheniere Energy, Inc.</x:v>
      </x:c>
      <x:c r="D50" s="268" t="str">
        <x:f>'Certified Allocation'!D44</x:f>
        <x:v>Equity</x:v>
      </x:c>
      <x:c r="E50" s="268" t="str">
        <x:f>'Certified Allocation'!E44</x:f>
        <x:v>LNG export infrastructure</x:v>
      </x:c>
      <x:c r="F50" s="275" t="n">
        <x:f>'Certified Allocation'!F44</x:f>
        <x:v>0.0302</x:v>
      </x:c>
      <x:c r="G50" s="275" t="n">
        <x:f>'Certified Allocation'!G44</x:f>
        <x:v>0.02265</x:v>
      </x:c>
      <x:c r="H50" s="275" t="n">
        <x:f>'Certified Allocation'!H44</x:f>
        <x:v>0.03775</x:v>
      </x:c>
      <x:c r="I50" s="275" t="n">
        <x:f>'Certified Allocation'!I44</x:f>
        <x:v>0</x:v>
      </x:c>
      <x:c r="J50" s="290"/>
      <x:c r="K50" s="291" t="n">
        <x:f>IF(J50="",F50,J50)</x:f>
        <x:v>0.0302</x:v>
      </x:c>
      <x:c r="L50" s="291" t="n">
        <x:f>K50-F50</x:f>
        <x:v>0</x:v>
      </x:c>
      <x:c r="M50" s="269" t="str">
        <x:f>IF(ABS(L50)&lt;'13 Validation &amp; Cert'!$B$9,"No Change",IF(L50&gt;0,"Funding Required","Source of Funds"))</x:f>
        <x:v>No Change</x:v>
      </x:c>
      <x:c r="N50" s="269" t="str">
        <x:f>IF(K50&lt;G50,"Below Certified Band",IF(K50&gt;H50,"Above Certified Band","Within Certified Band"))</x:f>
        <x:v>Within Certified Band</x:v>
      </x:c>
      <x:c r="O50" s="269" t="str">
        <x:f>IF(ABS(L50)&lt;'13 Validation &amp; Cert'!$B$9,"No scenario change",IF(N50&lt;&gt;"Within Certified Band","BAND EXCEPTION — COMMITTEE DECISION",IF(ABS(L50)&gt;='13 Validation &amp; Cert'!$B$7,"MATERIAL POSITION CHANGE","REVIEW PROPOSED CHANGE")))</x:f>
        <x:v>No scenario change</x:v>
      </x:c>
      <x:c r="P50" s="271"/>
      <x:c r="Q50" s="269" t="str">
        <x:f>IF(ABS(L50)&lt;'13 Validation &amp; Cert'!$B$9,"Baseline",IF(P50="","Rationale Required","Ready for Validation"))</x:f>
        <x:v>Baseline</x:v>
      </x:c>
      <x:c r="R50" s="291" t="n">
        <x:f>ABS(L50)</x:f>
        <x:v>0</x:v>
      </x:c>
    </x:row>
    <x:row r="51" ht="26" customHeight="1">
      <x:c r="A51" s="268" t="str">
        <x:f>'Certified Allocation'!A45</x:f>
        <x:v>Energy &amp; Natural Resources</x:v>
      </x:c>
      <x:c r="B51" s="268" t="str">
        <x:f>'Certified Allocation'!B45</x:f>
        <x:v>VPU</x:v>
      </x:c>
      <x:c r="C51" s="268" t="str">
        <x:f>'Certified Allocation'!C45</x:f>
        <x:v>Vanguard Utilities ETF</x:v>
      </x:c>
      <x:c r="D51" s="268" t="str">
        <x:f>'Certified Allocation'!D45</x:f>
        <x:v>ETF</x:v>
      </x:c>
      <x:c r="E51" s="268" t="str">
        <x:f>'Certified Allocation'!E45</x:f>
        <x:v>Utilities and defensive infrastructure ETF</x:v>
      </x:c>
      <x:c r="F51" s="275" t="n">
        <x:f>'Certified Allocation'!F45</x:f>
        <x:v>0.0302</x:v>
      </x:c>
      <x:c r="G51" s="275" t="n">
        <x:f>'Certified Allocation'!G45</x:f>
        <x:v>0.02265</x:v>
      </x:c>
      <x:c r="H51" s="275" t="n">
        <x:f>'Certified Allocation'!H45</x:f>
        <x:v>0.03775</x:v>
      </x:c>
      <x:c r="I51" s="275" t="n">
        <x:f>'Certified Allocation'!I45</x:f>
        <x:v>0</x:v>
      </x:c>
      <x:c r="J51" s="290"/>
      <x:c r="K51" s="291" t="n">
        <x:f>IF(J51="",F51,J51)</x:f>
        <x:v>0.0302</x:v>
      </x:c>
      <x:c r="L51" s="291" t="n">
        <x:f>K51-F51</x:f>
        <x:v>0</x:v>
      </x:c>
      <x:c r="M51" s="269" t="str">
        <x:f>IF(ABS(L51)&lt;'13 Validation &amp; Cert'!$B$9,"No Change",IF(L51&gt;0,"Funding Required","Source of Funds"))</x:f>
        <x:v>No Change</x:v>
      </x:c>
      <x:c r="N51" s="269" t="str">
        <x:f>IF(K51&lt;G51,"Below Certified Band",IF(K51&gt;H51,"Above Certified Band","Within Certified Band"))</x:f>
        <x:v>Within Certified Band</x:v>
      </x:c>
      <x:c r="O51" s="269" t="str">
        <x:f>IF(ABS(L51)&lt;'13 Validation &amp; Cert'!$B$9,"No scenario change",IF(N51&lt;&gt;"Within Certified Band","BAND EXCEPTION — COMMITTEE DECISION",IF(ABS(L51)&gt;='13 Validation &amp; Cert'!$B$7,"MATERIAL POSITION CHANGE","REVIEW PROPOSED CHANGE")))</x:f>
        <x:v>No scenario change</x:v>
      </x:c>
      <x:c r="P51" s="271"/>
      <x:c r="Q51" s="269" t="str">
        <x:f>IF(ABS(L51)&lt;'13 Validation &amp; Cert'!$B$9,"Baseline",IF(P51="","Rationale Required","Ready for Validation"))</x:f>
        <x:v>Baseline</x:v>
      </x:c>
      <x:c r="R51" s="291" t="n">
        <x:f>ABS(L51)</x:f>
        <x:v>0</x:v>
      </x:c>
    </x:row>
    <x:row r="52" ht="26" customHeight="1">
      <x:c r="A52" s="268" t="str">
        <x:f>'Certified Allocation'!A46</x:f>
        <x:v>Energy &amp; Natural Resources</x:v>
      </x:c>
      <x:c r="B52" s="268" t="str">
        <x:f>'Certified Allocation'!B46</x:f>
        <x:v>XOM</x:v>
      </x:c>
      <x:c r="C52" s="268" t="str">
        <x:f>'Certified Allocation'!C46</x:f>
        <x:v>Exxon Mobil Corporation</x:v>
      </x:c>
      <x:c r="D52" s="268" t="str">
        <x:f>'Certified Allocation'!D46</x:f>
        <x:v>Equity</x:v>
      </x:c>
      <x:c r="E52" s="268" t="str">
        <x:f>'Certified Allocation'!E46</x:f>
        <x:v>Integrated energy leader</x:v>
      </x:c>
      <x:c r="F52" s="275" t="n">
        <x:f>'Certified Allocation'!F46</x:f>
        <x:v>0.0256</x:v>
      </x:c>
      <x:c r="G52" s="275" t="n">
        <x:f>'Certified Allocation'!G46</x:f>
        <x:v>0.019200000000000002</x:v>
      </x:c>
      <x:c r="H52" s="275" t="n">
        <x:f>'Certified Allocation'!H46</x:f>
        <x:v>0.032</x:v>
      </x:c>
      <x:c r="I52" s="275" t="n">
        <x:f>'Certified Allocation'!I46</x:f>
        <x:v>0</x:v>
      </x:c>
      <x:c r="J52" s="290"/>
      <x:c r="K52" s="291" t="n">
        <x:f>IF(J52="",F52,J52)</x:f>
        <x:v>0.0256</x:v>
      </x:c>
      <x:c r="L52" s="291" t="n">
        <x:f>K52-F52</x:f>
        <x:v>0</x:v>
      </x:c>
      <x:c r="M52" s="269" t="str">
        <x:f>IF(ABS(L52)&lt;'13 Validation &amp; Cert'!$B$9,"No Change",IF(L52&gt;0,"Funding Required","Source of Funds"))</x:f>
        <x:v>No Change</x:v>
      </x:c>
      <x:c r="N52" s="269" t="str">
        <x:f>IF(K52&lt;G52,"Below Certified Band",IF(K52&gt;H52,"Above Certified Band","Within Certified Band"))</x:f>
        <x:v>Within Certified Band</x:v>
      </x:c>
      <x:c r="O52" s="269" t="str">
        <x:f>IF(ABS(L52)&lt;'13 Validation &amp; Cert'!$B$9,"No scenario change",IF(N52&lt;&gt;"Within Certified Band","BAND EXCEPTION — COMMITTEE DECISION",IF(ABS(L52)&gt;='13 Validation &amp; Cert'!$B$7,"MATERIAL POSITION CHANGE","REVIEW PROPOSED CHANGE")))</x:f>
        <x:v>No scenario change</x:v>
      </x:c>
      <x:c r="P52" s="271"/>
      <x:c r="Q52" s="269" t="str">
        <x:f>IF(ABS(L52)&lt;'13 Validation &amp; Cert'!$B$9,"Baseline",IF(P52="","Rationale Required","Ready for Validation"))</x:f>
        <x:v>Baseline</x:v>
      </x:c>
      <x:c r="R52" s="291" t="n">
        <x:f>ABS(L52)</x:f>
        <x:v>0</x:v>
      </x:c>
    </x:row>
    <x:row r="53" ht="26" customHeight="1">
      <x:c r="A53" s="268" t="str">
        <x:f>'Certified Allocation'!A47</x:f>
        <x:v>Energy &amp; Natural Resources</x:v>
      </x:c>
      <x:c r="B53" s="268" t="str">
        <x:f>'Certified Allocation'!B47</x:f>
        <x:v>CVX</x:v>
      </x:c>
      <x:c r="C53" s="268" t="str">
        <x:f>'Certified Allocation'!C47</x:f>
        <x:v>Chevron Corporation</x:v>
      </x:c>
      <x:c r="D53" s="268" t="str">
        <x:f>'Certified Allocation'!D47</x:f>
        <x:v>Equity</x:v>
      </x:c>
      <x:c r="E53" s="268" t="str">
        <x:f>'Certified Allocation'!E47</x:f>
        <x:v>Integrated energy leader</x:v>
      </x:c>
      <x:c r="F53" s="275" t="n">
        <x:f>'Certified Allocation'!F47</x:f>
        <x:v>0.0156</x:v>
      </x:c>
      <x:c r="G53" s="275" t="n">
        <x:f>'Certified Allocation'!G47</x:f>
        <x:v>0.011699999999999999</x:v>
      </x:c>
      <x:c r="H53" s="275" t="n">
        <x:f>'Certified Allocation'!H47</x:f>
        <x:v>0.0195</x:v>
      </x:c>
      <x:c r="I53" s="275" t="n">
        <x:f>'Certified Allocation'!I47</x:f>
        <x:v>0</x:v>
      </x:c>
      <x:c r="J53" s="290"/>
      <x:c r="K53" s="291" t="n">
        <x:f>IF(J53="",F53,J53)</x:f>
        <x:v>0.0156</x:v>
      </x:c>
      <x:c r="L53" s="291" t="n">
        <x:f>K53-F53</x:f>
        <x:v>0</x:v>
      </x:c>
      <x:c r="M53" s="269" t="str">
        <x:f>IF(ABS(L53)&lt;'13 Validation &amp; Cert'!$B$9,"No Change",IF(L53&gt;0,"Funding Required","Source of Funds"))</x:f>
        <x:v>No Change</x:v>
      </x:c>
      <x:c r="N53" s="269" t="str">
        <x:f>IF(K53&lt;G53,"Below Certified Band",IF(K53&gt;H53,"Above Certified Band","Within Certified Band"))</x:f>
        <x:v>Within Certified Band</x:v>
      </x:c>
      <x:c r="O53" s="269" t="str">
        <x:f>IF(ABS(L53)&lt;'13 Validation &amp; Cert'!$B$9,"No scenario change",IF(N53&lt;&gt;"Within Certified Band","BAND EXCEPTION — COMMITTEE DECISION",IF(ABS(L53)&gt;='13 Validation &amp; Cert'!$B$7,"MATERIAL POSITION CHANGE","REVIEW PROPOSED CHANGE")))</x:f>
        <x:v>No scenario change</x:v>
      </x:c>
      <x:c r="P53" s="271"/>
      <x:c r="Q53" s="269" t="str">
        <x:f>IF(ABS(L53)&lt;'13 Validation &amp; Cert'!$B$9,"Baseline",IF(P53="","Rationale Required","Ready for Validation"))</x:f>
        <x:v>Baseline</x:v>
      </x:c>
      <x:c r="R53" s="291" t="n">
        <x:f>ABS(L53)</x:f>
        <x:v>0</x:v>
      </x:c>
    </x:row>
    <x:row r="54" ht="26" customHeight="1">
      <x:c r="A54" s="268" t="str">
        <x:f>'Certified Allocation'!A48</x:f>
        <x:v>Energy &amp; Natural Resources</x:v>
      </x:c>
      <x:c r="B54" s="268" t="str">
        <x:f>'Certified Allocation'!B48</x:f>
        <x:v>VDE</x:v>
      </x:c>
      <x:c r="C54" s="268" t="str">
        <x:f>'Certified Allocation'!C48</x:f>
        <x:v>Vanguard Energy ETF</x:v>
      </x:c>
      <x:c r="D54" s="268" t="str">
        <x:f>'Certified Allocation'!D48</x:f>
        <x:v>ETF</x:v>
      </x:c>
      <x:c r="E54" s="268" t="str">
        <x:f>'Certified Allocation'!E48</x:f>
        <x:v>Diversified energy implementation ETF</x:v>
      </x:c>
      <x:c r="F54" s="275" t="n">
        <x:f>'Certified Allocation'!F48</x:f>
        <x:v>0.0156</x:v>
      </x:c>
      <x:c r="G54" s="275" t="n">
        <x:f>'Certified Allocation'!G48</x:f>
        <x:v>0.011699999999999999</x:v>
      </x:c>
      <x:c r="H54" s="275" t="n">
        <x:f>'Certified Allocation'!H48</x:f>
        <x:v>0.0195</x:v>
      </x:c>
      <x:c r="I54" s="275" t="n">
        <x:f>'Certified Allocation'!I48</x:f>
        <x:v>0</x:v>
      </x:c>
      <x:c r="J54" s="290"/>
      <x:c r="K54" s="291" t="n">
        <x:f>IF(J54="",F54,J54)</x:f>
        <x:v>0.0156</x:v>
      </x:c>
      <x:c r="L54" s="291" t="n">
        <x:f>K54-F54</x:f>
        <x:v>0</x:v>
      </x:c>
      <x:c r="M54" s="269" t="str">
        <x:f>IF(ABS(L54)&lt;'13 Validation &amp; Cert'!$B$9,"No Change",IF(L54&gt;0,"Funding Required","Source of Funds"))</x:f>
        <x:v>No Change</x:v>
      </x:c>
      <x:c r="N54" s="269" t="str">
        <x:f>IF(K54&lt;G54,"Below Certified Band",IF(K54&gt;H54,"Above Certified Band","Within Certified Band"))</x:f>
        <x:v>Within Certified Band</x:v>
      </x:c>
      <x:c r="O54" s="269" t="str">
        <x:f>IF(ABS(L54)&lt;'13 Validation &amp; Cert'!$B$9,"No scenario change",IF(N54&lt;&gt;"Within Certified Band","BAND EXCEPTION — COMMITTEE DECISION",IF(ABS(L54)&gt;='13 Validation &amp; Cert'!$B$7,"MATERIAL POSITION CHANGE","REVIEW PROPOSED CHANGE")))</x:f>
        <x:v>No scenario change</x:v>
      </x:c>
      <x:c r="P54" s="271"/>
      <x:c r="Q54" s="269" t="str">
        <x:f>IF(ABS(L54)&lt;'13 Validation &amp; Cert'!$B$9,"Baseline",IF(P54="","Rationale Required","Ready for Validation"))</x:f>
        <x:v>Baseline</x:v>
      </x:c>
      <x:c r="R54" s="291" t="n">
        <x:f>ABS(L54)</x:f>
        <x:v>0</x:v>
      </x:c>
    </x:row>
    <x:row r="55" ht="26" customHeight="1">
      <x:c r="A55" s="268" t="str">
        <x:f>'Certified Allocation'!A49</x:f>
        <x:v>Income &amp; Risk Management</x:v>
      </x:c>
      <x:c r="B55" s="268" t="str">
        <x:f>'Certified Allocation'!B49</x:f>
        <x:v>JEPI</x:v>
      </x:c>
      <x:c r="C55" s="268" t="str">
        <x:f>'Certified Allocation'!C49</x:f>
        <x:v>JPMorgan Equity Premium Income ETF</x:v>
      </x:c>
      <x:c r="D55" s="268" t="str">
        <x:f>'Certified Allocation'!D49</x:f>
        <x:v>ETF</x:v>
      </x:c>
      <x:c r="E55" s="268" t="str">
        <x:f>'Certified Allocation'!E49</x:f>
        <x:v>Diversified equity income and volatility moderation</x:v>
      </x:c>
      <x:c r="F55" s="275" t="n">
        <x:f>'Certified Allocation'!F49</x:f>
        <x:v>0.0302</x:v>
      </x:c>
      <x:c r="G55" s="275" t="n">
        <x:f>'Certified Allocation'!G49</x:f>
        <x:v>0.02265</x:v>
      </x:c>
      <x:c r="H55" s="275" t="n">
        <x:f>'Certified Allocation'!H49</x:f>
        <x:v>0.03775</x:v>
      </x:c>
      <x:c r="I55" s="275" t="n">
        <x:f>'Certified Allocation'!I49</x:f>
        <x:v>0</x:v>
      </x:c>
      <x:c r="J55" s="290"/>
      <x:c r="K55" s="291" t="n">
        <x:f>IF(J55="",F55,J55)</x:f>
        <x:v>0.0302</x:v>
      </x:c>
      <x:c r="L55" s="291" t="n">
        <x:f>K55-F55</x:f>
        <x:v>0</x:v>
      </x:c>
      <x:c r="M55" s="269" t="str">
        <x:f>IF(ABS(L55)&lt;'13 Validation &amp; Cert'!$B$9,"No Change",IF(L55&gt;0,"Funding Required","Source of Funds"))</x:f>
        <x:v>No Change</x:v>
      </x:c>
      <x:c r="N55" s="269" t="str">
        <x:f>IF(K55&lt;G55,"Below Certified Band",IF(K55&gt;H55,"Above Certified Band","Within Certified Band"))</x:f>
        <x:v>Within Certified Band</x:v>
      </x:c>
      <x:c r="O55" s="269" t="str">
        <x:f>IF(ABS(L55)&lt;'13 Validation &amp; Cert'!$B$9,"No scenario change",IF(N55&lt;&gt;"Within Certified Band","BAND EXCEPTION — COMMITTEE DECISION",IF(ABS(L55)&gt;='13 Validation &amp; Cert'!$B$7,"MATERIAL POSITION CHANGE","REVIEW PROPOSED CHANGE")))</x:f>
        <x:v>No scenario change</x:v>
      </x:c>
      <x:c r="P55" s="271"/>
      <x:c r="Q55" s="269" t="str">
        <x:f>IF(ABS(L55)&lt;'13 Validation &amp; Cert'!$B$9,"Baseline",IF(P55="","Rationale Required","Ready for Validation"))</x:f>
        <x:v>Baseline</x:v>
      </x:c>
      <x:c r="R55" s="291" t="n">
        <x:f>ABS(L55)</x:f>
        <x:v>0</x:v>
      </x:c>
    </x:row>
    <x:row r="56" ht="26" customHeight="1">
      <x:c r="A56" s="268" t="str">
        <x:f>'Certified Allocation'!A50</x:f>
        <x:v>Income &amp; Risk Management</x:v>
      </x:c>
      <x:c r="B56" s="268" t="str">
        <x:f>'Certified Allocation'!B50</x:f>
        <x:v>JEPQ</x:v>
      </x:c>
      <x:c r="C56" s="268" t="str">
        <x:f>'Certified Allocation'!C50</x:f>
        <x:v>JPMorgan Nasdaq Equity Premium Income ETF</x:v>
      </x:c>
      <x:c r="D56" s="268" t="str">
        <x:f>'Certified Allocation'!D50</x:f>
        <x:v>ETF</x:v>
      </x:c>
      <x:c r="E56" s="268" t="str">
        <x:f>'Certified Allocation'!E50</x:f>
        <x:v>Technology equity income implementation</x:v>
      </x:c>
      <x:c r="F56" s="275" t="n">
        <x:f>'Certified Allocation'!F50</x:f>
        <x:v>0.0302</x:v>
      </x:c>
      <x:c r="G56" s="275" t="n">
        <x:f>'Certified Allocation'!G50</x:f>
        <x:v>0.02265</x:v>
      </x:c>
      <x:c r="H56" s="275" t="n">
        <x:f>'Certified Allocation'!H50</x:f>
        <x:v>0.03775</x:v>
      </x:c>
      <x:c r="I56" s="275" t="n">
        <x:f>'Certified Allocation'!I50</x:f>
        <x:v>0</x:v>
      </x:c>
      <x:c r="J56" s="290"/>
      <x:c r="K56" s="291" t="n">
        <x:f>IF(J56="",F56,J56)</x:f>
        <x:v>0.0302</x:v>
      </x:c>
      <x:c r="L56" s="291" t="n">
        <x:f>K56-F56</x:f>
        <x:v>0</x:v>
      </x:c>
      <x:c r="M56" s="269" t="str">
        <x:f>IF(ABS(L56)&lt;'13 Validation &amp; Cert'!$B$9,"No Change",IF(L56&gt;0,"Funding Required","Source of Funds"))</x:f>
        <x:v>No Change</x:v>
      </x:c>
      <x:c r="N56" s="269" t="str">
        <x:f>IF(K56&lt;G56,"Below Certified Band",IF(K56&gt;H56,"Above Certified Band","Within Certified Band"))</x:f>
        <x:v>Within Certified Band</x:v>
      </x:c>
      <x:c r="O56" s="269" t="str">
        <x:f>IF(ABS(L56)&lt;'13 Validation &amp; Cert'!$B$9,"No scenario change",IF(N56&lt;&gt;"Within Certified Band","BAND EXCEPTION — COMMITTEE DECISION",IF(ABS(L56)&gt;='13 Validation &amp; Cert'!$B$7,"MATERIAL POSITION CHANGE","REVIEW PROPOSED CHANGE")))</x:f>
        <x:v>No scenario change</x:v>
      </x:c>
      <x:c r="P56" s="271"/>
      <x:c r="Q56" s="269" t="str">
        <x:f>IF(ABS(L56)&lt;'13 Validation &amp; Cert'!$B$9,"Baseline",IF(P56="","Rationale Required","Ready for Validation"))</x:f>
        <x:v>Baseline</x:v>
      </x:c>
      <x:c r="R56" s="291" t="n">
        <x:f>ABS(L56)</x:f>
        <x:v>0</x:v>
      </x:c>
    </x:row>
    <x:row r="57" ht="26" customHeight="1">
      <x:c r="A57" s="268" t="str">
        <x:f>'Certified Allocation'!A51</x:f>
        <x:v>Income &amp; Risk Management</x:v>
      </x:c>
      <x:c r="B57" s="268" t="str">
        <x:f>'Certified Allocation'!B51</x:f>
        <x:v>PFF</x:v>
      </x:c>
      <x:c r="C57" s="268" t="str">
        <x:f>'Certified Allocation'!C51</x:f>
        <x:v>iShares Preferred and Income Securities ETF</x:v>
      </x:c>
      <x:c r="D57" s="268" t="str">
        <x:f>'Certified Allocation'!D51</x:f>
        <x:v>ETF</x:v>
      </x:c>
      <x:c r="E57" s="268" t="str">
        <x:f>'Certified Allocation'!E51</x:f>
        <x:v>Preferred securities income diversification</x:v>
      </x:c>
      <x:c r="F57" s="275" t="n">
        <x:f>'Certified Allocation'!F51</x:f>
        <x:v>0.0302</x:v>
      </x:c>
      <x:c r="G57" s="275" t="n">
        <x:f>'Certified Allocation'!G51</x:f>
        <x:v>0.02265</x:v>
      </x:c>
      <x:c r="H57" s="275" t="n">
        <x:f>'Certified Allocation'!H51</x:f>
        <x:v>0.03775</x:v>
      </x:c>
      <x:c r="I57" s="275" t="n">
        <x:f>'Certified Allocation'!I51</x:f>
        <x:v>0</x:v>
      </x:c>
      <x:c r="J57" s="290"/>
      <x:c r="K57" s="291" t="n">
        <x:f>IF(J57="",F57,J57)</x:f>
        <x:v>0.0302</x:v>
      </x:c>
      <x:c r="L57" s="291" t="n">
        <x:f>K57-F57</x:f>
        <x:v>0</x:v>
      </x:c>
      <x:c r="M57" s="269" t="str">
        <x:f>IF(ABS(L57)&lt;'13 Validation &amp; Cert'!$B$9,"No Change",IF(L57&gt;0,"Funding Required","Source of Funds"))</x:f>
        <x:v>No Change</x:v>
      </x:c>
      <x:c r="N57" s="269" t="str">
        <x:f>IF(K57&lt;G57,"Below Certified Band",IF(K57&gt;H57,"Above Certified Band","Within Certified Band"))</x:f>
        <x:v>Within Certified Band</x:v>
      </x:c>
      <x:c r="O57" s="269" t="str">
        <x:f>IF(ABS(L57)&lt;'13 Validation &amp; Cert'!$B$9,"No scenario change",IF(N57&lt;&gt;"Within Certified Band","BAND EXCEPTION — COMMITTEE DECISION",IF(ABS(L57)&gt;='13 Validation &amp; Cert'!$B$7,"MATERIAL POSITION CHANGE","REVIEW PROPOSED CHANGE")))</x:f>
        <x:v>No scenario change</x:v>
      </x:c>
      <x:c r="P57" s="271"/>
      <x:c r="Q57" s="269" t="str">
        <x:f>IF(ABS(L57)&lt;'13 Validation &amp; Cert'!$B$9,"Baseline",IF(P57="","Rationale Required","Ready for Validation"))</x:f>
        <x:v>Baseline</x:v>
      </x:c>
      <x:c r="R57" s="291" t="n">
        <x:f>ABS(L57)</x:f>
        <x:v>0</x:v>
      </x:c>
    </x:row>
    <x:row r="58" ht="22" customHeight="1">
      <x:c r="A58" s="292" t="str">
        <x:v>PORTFOLIO TOTAL / SCENARIO CONTROL</x:v>
      </x:c>
      <x:c r="B58" s="292"/>
      <x:c r="C58" s="292"/>
      <x:c r="D58" s="292"/>
      <x:c r="E58" s="292"/>
      <x:c r="F58" s="293" t="n">
        <x:f>SUM(F11:F57)</x:f>
        <x:v>0.9999999999999994</x:v>
      </x:c>
      <x:c r="G58" s="292"/>
      <x:c r="H58" s="292"/>
      <x:c r="I58" s="293" t="n">
        <x:f>SUM(I11:I57)</x:f>
        <x:v>0</x:v>
      </x:c>
      <x:c r="J58" s="293" t="n">
        <x:f>SUM(J11:J57)</x:f>
        <x:v>0</x:v>
      </x:c>
      <x:c r="K58" s="293" t="n">
        <x:f>SUM(K11:K57)</x:f>
        <x:v>0.9999999999999994</x:v>
      </x:c>
      <x:c r="L58" s="293" t="n">
        <x:f>SUM(L11:L57)</x:f>
        <x:v>0</x:v>
      </x:c>
      <x:c r="M58" s="292"/>
      <x:c r="N58" s="292"/>
      <x:c r="O58" s="292"/>
      <x:c r="P58" s="292"/>
      <x:c r="Q58" s="292"/>
      <x:c r="R58" s="293" t="n">
        <x:f>SUM(R11:R57)/2</x:f>
        <x:v>0</x:v>
      </x:c>
    </x:row>
  </x:sheetData>
  <x:mergeCells>
    <x:mergeCell ref="A1:R1"/>
    <x:mergeCell ref="A2:R2"/>
    <x:mergeCell ref="A3:R3"/>
    <x:mergeCell ref="E4:H4"/>
    <x:mergeCell ref="M4:R4"/>
    <x:mergeCell ref="H7:R7"/>
    <x:mergeCell ref="A9:R9"/>
    <x:mergeCell ref="A58:E58"/>
  </x:mergeCells>
  <x:conditionalFormatting sqref="H7:R7">
    <x:cfRule type="expression" dxfId="14" priority="1">
      <x:formula>OR(H7="PASS",H7="ACTIVE",H7="READY",H7="NO CHANGE",H7="BASELINE",H7="CERTIFIED",H7="ELIGIBLE",H7="NO DECISION")</x:formula>
    </x:cfRule>
    <x:cfRule type="expression" dxfId="15" priority="2">
      <x:formula>OR(ISNUMBER(SEARCH("REVIEW",H7)),ISNUMBER(SEARCH("MONITOR",H7)),ISNUMBER(SEARCH("PENDING",H7)),ISNUMBER(SEARCH("INPUT",H7)),ISNUMBER(SEARCH("ASSIGN",H7)),ISNUMBER(SEARCH("EXCEPTION",H7)),ISNUMBER(SEARCH("REQUIRED",H7)))</x:formula>
    </x:cfRule>
    <x:cfRule type="expression" dxfId="16" priority="3">
      <x:formula>OR(ISNUMBER(SEARCH("FAIL",H7)),ISNUMBER(SEARCH("PROHIBITED",H7)),ISNUMBER(SEARCH("IMPAIRED",H7)),ISNUMBER(SEARCH("REJECT",H7)))</x:formula>
    </x:cfRule>
  </x:conditionalFormatting>
  <x:conditionalFormatting sqref="Q11:Q57">
    <x:cfRule type="expression" dxfId="17" priority="4">
      <x:formula>OR(Q11="PASS",Q11="ACTIVE",Q11="READY",Q11="NO CHANGE",Q11="BASELINE",Q11="CERTIFIED",Q11="ELIGIBLE",Q11="NO DECISION")</x:formula>
    </x:cfRule>
    <x:cfRule type="expression" dxfId="18" priority="5">
      <x:formula>OR(ISNUMBER(SEARCH("REVIEW",Q11)),ISNUMBER(SEARCH("MONITOR",Q11)),ISNUMBER(SEARCH("PENDING",Q11)),ISNUMBER(SEARCH("INPUT",Q11)),ISNUMBER(SEARCH("ASSIGN",Q11)),ISNUMBER(SEARCH("EXCEPTION",Q11)),ISNUMBER(SEARCH("REQUIRED",Q11)))</x:formula>
    </x:cfRule>
    <x:cfRule type="expression" dxfId="19" priority="6">
      <x:formula>OR(ISNUMBER(SEARCH("FAIL",Q11)),ISNUMBER(SEARCH("PROHIBITED",Q11)),ISNUMBER(SEARCH("IMPAIRED",Q11)),ISNUMBER(SEARCH("REJECT",Q11)))</x:formula>
    </x:cfRule>
  </x:conditionalFormatting>
  <x:conditionalFormatting sqref="N11:N57">
    <x:cfRule type="expression" dxfId="20" priority="7">
      <x:formula>N11&lt;&gt;"Within Certified Band"</x:formula>
    </x:cfRule>
  </x:conditionalFormatting>
  <x:conditionalFormatting sqref="O11:O57">
    <x:cfRule type="expression" dxfId="21" priority="8">
      <x:formula>ISNUMBER(SEARCH("COMMITTEE",O11))</x:formula>
    </x:cfRule>
  </x:conditionalFormatting>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8" hidden="0" customWidth="1"/>
    <x:col min="4" max="4" width="18" hidden="0" customWidth="1"/>
    <x:col min="5" max="5" width="22" hidden="0" customWidth="1"/>
    <x:col min="6" max="6" width="42" hidden="0" customWidth="1"/>
    <x:col min="7" max="7" width="23" hidden="0" customWidth="1"/>
    <x:col min="8" max="8" width="18" hidden="0" customWidth="1"/>
    <x:col min="9" max="9" width="24" hidden="0" customWidth="1"/>
    <x:col min="10" max="10" width="22" hidden="0" customWidth="1"/>
    <x:col min="11" max="11" width="16" hidden="0" customWidth="1"/>
    <x:col min="12" max="12" width="28" hidden="0" customWidth="1"/>
    <x:col min="13" max="13" width="34" hidden="0" customWidth="1"/>
  </x:cols>
  <x:sheetData>
    <x:row r="1" ht="28" customHeight="1">
      <x:c r="A1" s="247" t="str">
        <x:v>MOPS-002 / PEW-007 — PORTFOLIO SCENARIO VALIDATION &amp; CERTIFICATION</x:v>
      </x:c>
      <x:c r="B1" s="247"/>
      <x:c r="C1" s="247"/>
      <x:c r="D1" s="247"/>
      <x:c r="E1" s="247"/>
      <x:c r="F1" s="247"/>
      <x:c r="G1" s="247"/>
      <x:c r="H1" s="247"/>
      <x:c r="I1" s="247"/>
      <x:c r="J1" s="247"/>
      <x:c r="K1" s="247"/>
      <x:c r="L1" s="247"/>
      <x:c r="M1" s="247"/>
    </x:row>
    <x:row r="2" ht="20" customHeight="1">
      <x:c r="A2" s="250" t="str">
        <x:v>Automated engineering tests, evidence requirements, governance approvals and controlled issuance of a new MFPDF version</x:v>
      </x:c>
      <x:c r="B2" s="250"/>
      <x:c r="C2" s="250"/>
      <x:c r="D2" s="250"/>
      <x:c r="E2" s="250"/>
      <x:c r="F2" s="250"/>
      <x:c r="G2" s="250"/>
      <x:c r="H2" s="250"/>
      <x:c r="I2" s="250"/>
      <x:c r="J2" s="250"/>
      <x:c r="K2" s="250"/>
      <x:c r="L2" s="250"/>
      <x:c r="M2" s="250"/>
    </x:row>
    <x:row r="3" ht="18" customHeight="1">
      <x:c r="A3" s="254" t="str">
        <x:v>The workspace architecture is certified and frozen. A portfolio scenario remains non-operational until every required review is complete and the Chief Investment Steward issues a newly certified MFPDF version.</x:v>
      </x:c>
      <x:c r="B3" s="254"/>
      <x:c r="C3" s="254"/>
      <x:c r="D3" s="254"/>
      <x:c r="E3" s="254"/>
      <x:c r="F3" s="254"/>
      <x:c r="G3" s="254"/>
      <x:c r="H3" s="254"/>
      <x:c r="I3" s="254"/>
      <x:c r="J3" s="254"/>
      <x:c r="K3" s="254"/>
      <x:c r="L3" s="254"/>
      <x:c r="M3" s="254"/>
    </x:row>
    <x:row r="4" ht="20" customHeight="1">
      <x:c r="A4" s="264" t="str">
        <x:v>MATERIALITY AND CONSTRUCTION CONTROLS</x:v>
      </x:c>
      <x:c r="B4" s="264"/>
      <x:c r="C4" s="264"/>
      <x:c r="D4" s="264"/>
      <x:c r="E4" s="264"/>
      <x:c r="F4" s="264"/>
      <x:c r="G4" s="264"/>
      <x:c r="I4" s="264" t="str">
        <x:v>CURRENT ENGINEERING STATE</x:v>
      </x:c>
      <x:c r="J4" s="264"/>
      <x:c r="K4" s="264"/>
      <x:c r="L4" s="264"/>
      <x:c r="M4" s="264"/>
    </x:row>
    <x:row r="5" ht="30" customHeight="1">
      <x:c r="A5" s="267" t="str">
        <x:v>Validation Control</x:v>
      </x:c>
      <x:c r="B5" s="267" t="str">
        <x:v>Value</x:v>
      </x:c>
      <x:c r="C5" s="267" t="str">
        <x:v>Operating Meaning</x:v>
      </x:c>
      <x:c r="I5" s="278" t="str">
        <x:v>Scenario ID</x:v>
      </x:c>
      <x:c r="J5" s="310" t="str">
        <x:f>'12 Allocation Lab'!B4</x:f>
        <x:v>PEW-SCN-001</x:v>
      </x:c>
      <x:c r="K5" s="310"/>
      <x:c r="L5" s="310"/>
      <x:c r="M5" s="310"/>
    </x:row>
    <x:row r="6">
      <x:c r="A6" s="261" t="str">
        <x:v>Gross turnover materiality threshold</x:v>
      </x:c>
      <x:c r="B6" s="290" t="n">
        <x:v>0.1</x:v>
      </x:c>
      <x:c r="C6" s="261" t="str">
        <x:v>Empirical / Monte Carlo review is required above this level.</x:v>
      </x:c>
      <x:c r="I6" s="278" t="str">
        <x:v>Scenario Name</x:v>
      </x:c>
      <x:c r="J6" s="310" t="str">
        <x:f>'12 Allocation Lab'!E4</x:f>
        <x:v>Certified Baseline / No Change</x:v>
      </x:c>
      <x:c r="K6" s="310"/>
      <x:c r="L6" s="310"/>
      <x:c r="M6" s="310"/>
    </x:row>
    <x:row r="7">
      <x:c r="A7" s="261" t="str">
        <x:v>Single-position materiality threshold</x:v>
      </x:c>
      <x:c r="B7" s="290" t="n">
        <x:v>0.0075</x:v>
      </x:c>
      <x:c r="C7" s="261" t="str">
        <x:v>Absolute target change at or above this level is material.</x:v>
      </x:c>
      <x:c r="I7" s="278" t="str">
        <x:v>Scenario Status</x:v>
      </x:c>
      <x:c r="J7" s="310" t="str">
        <x:f>'12 Allocation Lab'!M4</x:f>
        <x:v>DATA SETUP REQUIRED</x:v>
      </x:c>
      <x:c r="K7" s="310"/>
      <x:c r="L7" s="310"/>
      <x:c r="M7" s="310"/>
    </x:row>
    <x:row r="8">
      <x:c r="A8" s="261" t="str">
        <x:v>Sleeve-shift materiality threshold</x:v>
      </x:c>
      <x:c r="B8" s="290" t="n">
        <x:v>0.02</x:v>
      </x:c>
      <x:c r="C8" s="261" t="str">
        <x:v>Absolute sleeve allocation change at or above this level is material.</x:v>
      </x:c>
      <x:c r="I8" s="278" t="str">
        <x:v>Certified Total</x:v>
      </x:c>
      <x:c r="J8" s="311" t="n">
        <x:f>'12 Allocation Lab'!B6</x:f>
        <x:v>0.9999999999999994</x:v>
      </x:c>
      <x:c r="K8" s="311"/>
      <x:c r="L8" s="311"/>
      <x:c r="M8" s="311"/>
    </x:row>
    <x:row r="9">
      <x:c r="A9" s="261" t="str">
        <x:v>Target-total tolerance</x:v>
      </x:c>
      <x:c r="B9" s="290" t="n">
        <x:v>0.000001</x:v>
      </x:c>
      <x:c r="C9" s="261" t="str">
        <x:v>Scenario effective weights must reconcile to 100% within tolerance.</x:v>
      </x:c>
      <x:c r="I9" s="278" t="str">
        <x:v>Scenario Total</x:v>
      </x:c>
      <x:c r="J9" s="311" t="n">
        <x:f>'12 Allocation Lab'!E6</x:f>
        <x:v>0.9999999999999994</x:v>
      </x:c>
      <x:c r="K9" s="311"/>
      <x:c r="L9" s="311"/>
      <x:c r="M9" s="311"/>
    </x:row>
    <x:row r="10">
      <x:c r="A10" s="261" t="str">
        <x:v>Preferred equity minimum</x:v>
      </x:c>
      <x:c r="B10" s="296" t="n">
        <x:v>32</x:v>
      </x:c>
      <x:c r="C10" s="261" t="str">
        <x:v>Soft construction objective.</x:v>
      </x:c>
      <x:c r="I10" s="278" t="str">
        <x:v>Changed Positions</x:v>
      </x:c>
      <x:c r="J10" s="310" t="n">
        <x:f>'12 Allocation Lab'!K6</x:f>
        <x:v>0</x:v>
      </x:c>
      <x:c r="K10" s="310"/>
      <x:c r="L10" s="310"/>
      <x:c r="M10" s="310"/>
    </x:row>
    <x:row r="11">
      <x:c r="A11" s="261" t="str">
        <x:v>Preferred equity maximum</x:v>
      </x:c>
      <x:c r="B11" s="296" t="n">
        <x:v>38</x:v>
      </x:c>
      <x:c r="C11" s="261" t="str">
        <x:v>Soft construction objective.</x:v>
      </x:c>
      <x:c r="I11" s="278" t="str">
        <x:v>Gross Turnover</x:v>
      </x:c>
      <x:c r="J11" s="311" t="n">
        <x:f>'12 Allocation Lab'!N6</x:f>
        <x:v>0</x:v>
      </x:c>
      <x:c r="K11" s="311"/>
      <x:c r="L11" s="311"/>
      <x:c r="M11" s="311"/>
    </x:row>
    <x:row r="12">
      <x:c r="A12" s="261" t="str">
        <x:v>Operating equity ceiling</x:v>
      </x:c>
      <x:c r="B12" s="296" t="n">
        <x:v>41</x:v>
      </x:c>
      <x:c r="C12" s="261" t="str">
        <x:v>Hard certification ceiling without formal amendment.</x:v>
      </x:c>
      <x:c r="I12" s="278" t="str">
        <x:v>Overall Readiness</x:v>
      </x:c>
      <x:c r="J12" s="138" t="str">
        <x:f>IF(OR(COUNTIF(E16:E33,"FAIL")&gt;0,COUNTIF(E16:E33,"INPUT REQUIRED")&gt;0),"NOT READY",IF(OR(COUNTIF(E16:E33,"COMMITTEE REVIEW")&gt;0,COUNTIF(E16:E33,"REVIEW")&gt;0,COUNTIF(E16:E33,"REQUIRED")&gt;0),"COMMITTEE REVIEW","READY"))</x:f>
        <x:v>NOT READY</x:v>
      </x:c>
      <x:c r="K12" s="138"/>
      <x:c r="L12" s="138"/>
      <x:c r="M12" s="138"/>
    </x:row>
    <x:row r="14" ht="20" customHeight="1">
      <x:c r="A14" s="264" t="str">
        <x:v>AUTOMATED VALIDATION TESTS</x:v>
      </x:c>
      <x:c r="B14" s="264"/>
      <x:c r="C14" s="264"/>
      <x:c r="D14" s="264"/>
      <x:c r="E14" s="264"/>
      <x:c r="F14" s="264"/>
      <x:c r="G14" s="264"/>
    </x:row>
    <x:row r="15" ht="30" customHeight="1">
      <x:c r="A15" s="267" t="str">
        <x:v>Test ID</x:v>
      </x:c>
      <x:c r="B15" s="267" t="str">
        <x:v>Validation Test</x:v>
      </x:c>
      <x:c r="C15" s="267" t="str">
        <x:v>Current Result</x:v>
      </x:c>
      <x:c r="D15" s="267" t="str">
        <x:v>Standard / Threshold</x:v>
      </x:c>
      <x:c r="E15" s="267" t="str">
        <x:v>Status</x:v>
      </x:c>
      <x:c r="F15" s="267" t="str">
        <x:v>Required Evidence / Action</x:v>
      </x:c>
      <x:c r="G15" s="267" t="str">
        <x:v>Authority</x:v>
      </x:c>
    </x:row>
    <x:row r="16" ht="30" customHeight="1">
      <x:c r="A16" s="261" t="str">
        <x:v>VAL-001</x:v>
      </x:c>
      <x:c r="B16" s="261" t="str">
        <x:v>Scenario effective weights total</x:v>
      </x:c>
      <x:c r="C16" s="275" t="n">
        <x:f>'12 Allocation Lab'!E6</x:f>
        <x:v>0.9999999999999994</x:v>
      </x:c>
      <x:c r="D16" s="261" t="str">
        <x:v>100.00% ± tolerance</x:v>
      </x:c>
      <x:c r="E16" s="269" t="str">
        <x:f>IF(ABS(C16-100%)&lt;=$B$9,"PASS","FAIL")</x:f>
        <x:v>PASS</x:v>
      </x:c>
      <x:c r="F16" s="261" t="str">
        <x:v>Reconcile scenario weights before review</x:v>
      </x:c>
      <x:c r="G16" s="261" t="str">
        <x:v>Portfolio Engineering</x:v>
      </x:c>
    </x:row>
    <x:row r="17" ht="30" customHeight="1">
      <x:c r="A17" s="261" t="str">
        <x:v>VAL-002</x:v>
      </x:c>
      <x:c r="B17" s="261" t="str">
        <x:v>Funding balance</x:v>
      </x:c>
      <x:c r="C17" s="275" t="n">
        <x:f>'12 Allocation Lab'!H6</x:f>
        <x:v>0</x:v>
      </x:c>
      <x:c r="D17" s="261" t="str">
        <x:v>0.00% ± tolerance</x:v>
      </x:c>
      <x:c r="E17" s="269" t="str">
        <x:f>IF(ABS(C17)&lt;=$B$9,"PASS","FAIL")</x:f>
        <x:v>PASS</x:v>
      </x:c>
      <x:c r="F17" s="261" t="str">
        <x:v>Adds must be fully funded by trims / cash source</x:v>
      </x:c>
      <x:c r="G17" s="261" t="str">
        <x:v>Portfolio Engineering</x:v>
      </x:c>
    </x:row>
    <x:row r="18" ht="30" customHeight="1">
      <x:c r="A18" s="261" t="str">
        <x:v>VAL-003</x:v>
      </x:c>
      <x:c r="B18" s="261" t="str">
        <x:v>No negative scenario weights</x:v>
      </x:c>
      <x:c r="C18" s="275" t="n">
        <x:f>MIN('12 Allocation Lab'!K11:K57)</x:f>
        <x:v>0.0155</x:v>
      </x:c>
      <x:c r="D18" s="261" t="str">
        <x:v>Minimum weight ≥ 0.00%</x:v>
      </x:c>
      <x:c r="E18" s="269" t="str">
        <x:f>IF(C18&gt;=0,"PASS","FAIL")</x:f>
        <x:v>PASS</x:v>
      </x:c>
      <x:c r="F18" s="261" t="str">
        <x:v>Correct any negative allocation</x:v>
      </x:c>
      <x:c r="G18" s="261" t="str">
        <x:v>Portfolio Engineering</x:v>
      </x:c>
    </x:row>
    <x:row r="19" ht="30" customHeight="1">
      <x:c r="A19" s="261" t="str">
        <x:v>VAL-004</x:v>
      </x:c>
      <x:c r="B19" s="261" t="str">
        <x:v>Changed-position rationales complete</x:v>
      </x:c>
      <x:c r="C19" s="268" t="n">
        <x:f>COUNTIF('12 Allocation Lab'!Q11:Q57,"Rationale Required")</x:f>
        <x:v>0</x:v>
      </x:c>
      <x:c r="D19" s="261" t="str">
        <x:v>0 missing rationales</x:v>
      </x:c>
      <x:c r="E19" s="269" t="str">
        <x:f>IF(C19=0,"PASS","INPUT REQUIRED")</x:f>
        <x:v>PASS</x:v>
      </x:c>
      <x:c r="F19" s="261" t="str">
        <x:v>Complete evidence for every changed position</x:v>
      </x:c>
      <x:c r="G19" s="261" t="str">
        <x:v>Chief Investment Steward</x:v>
      </x:c>
    </x:row>
    <x:row r="20" ht="30" customHeight="1">
      <x:c r="A20" s="261" t="str">
        <x:v>VAL-005</x:v>
      </x:c>
      <x:c r="B20" s="261" t="str">
        <x:v>Certified holding-band exceptions</x:v>
      </x:c>
      <x:c r="C20" s="268" t="n">
        <x:f>COUNTIF('12 Allocation Lab'!N11:N57,"&lt;&gt;Within Certified Band")</x:f>
        <x:v>0</x:v>
      </x:c>
      <x:c r="D20" s="261" t="str">
        <x:v>Review each exception; no automatic trade</x:v>
      </x:c>
      <x:c r="E20" s="269" t="str">
        <x:f>IF(C20=0,"PASS","COMMITTEE REVIEW")</x:f>
        <x:v>PASS</x:v>
      </x:c>
      <x:c r="F20" s="261" t="str">
        <x:v>Document add / trim decision or accepted exception</x:v>
      </x:c>
      <x:c r="G20" s="261" t="str">
        <x:v>Stewardship Committee</x:v>
      </x:c>
    </x:row>
    <x:row r="21" ht="30" customHeight="1">
      <x:c r="A21" s="261" t="str">
        <x:v>VAL-006</x:v>
      </x:c>
      <x:c r="B21" s="261" t="str">
        <x:v>Gross turnover materiality</x:v>
      </x:c>
      <x:c r="C21" s="275" t="n">
        <x:f>'12 Allocation Lab'!N6</x:f>
        <x:v>0</x:v>
      </x:c>
      <x:c r="D21" s="261" t="str">
        <x:v>≤ materiality threshold</x:v>
      </x:c>
      <x:c r="E21" s="269" t="str">
        <x:f>IF(C21&lt;=$B$6,"PASS","COMMITTEE REVIEW")</x:f>
        <x:v>PASS</x:v>
      </x:c>
      <x:c r="F21" s="261" t="str">
        <x:v>Run empirical / Monte Carlo review if exceeded</x:v>
      </x:c>
      <x:c r="G21" s="261" t="str">
        <x:v>Validation Committee</x:v>
      </x:c>
    </x:row>
    <x:row r="22" ht="30" customHeight="1">
      <x:c r="A22" s="261" t="str">
        <x:v>VAL-007</x:v>
      </x:c>
      <x:c r="B22" s="261" t="str">
        <x:v>Maximum single-position change</x:v>
      </x:c>
      <x:c r="C22" s="275" t="n">
        <x:f>MAX('12 Allocation Lab'!R11:R57)</x:f>
        <x:v>0</x:v>
      </x:c>
      <x:c r="D22" s="261" t="str">
        <x:v>&lt; single-position threshold unless validated</x:v>
      </x:c>
      <x:c r="E22" s="269" t="str">
        <x:f>IF(C22&lt;$B$7,"PASS","COMMITTEE REVIEW")</x:f>
        <x:v>PASS</x:v>
      </x:c>
      <x:c r="F22" s="261" t="str">
        <x:v>Document material position changes</x:v>
      </x:c>
      <x:c r="G22" s="261" t="str">
        <x:v>Validation Committee</x:v>
      </x:c>
    </x:row>
    <x:row r="23" ht="30" customHeight="1">
      <x:c r="A23" s="261" t="str">
        <x:v>VAL-008</x:v>
      </x:c>
      <x:c r="B23" s="261" t="str">
        <x:v>Maximum sleeve allocation shift</x:v>
      </x:c>
      <x:c r="C23" s="275" t="n">
        <x:f>MAX(MAX('08 Sleeve Architecture'!I5:I12),-MIN('08 Sleeve Architecture'!I5:I12))</x:f>
        <x:v>0</x:v>
      </x:c>
      <x:c r="D23" s="261" t="str">
        <x:v>&lt; sleeve-shift threshold unless validated</x:v>
      </x:c>
      <x:c r="E23" s="269" t="str">
        <x:f>IF(C23&lt;$B$8,"PASS","COMMITTEE REVIEW")</x:f>
        <x:v>PASS</x:v>
      </x:c>
      <x:c r="F23" s="261" t="str">
        <x:v>Document sleeve-level risk / purpose change</x:v>
      </x:c>
      <x:c r="G23" s="261" t="str">
        <x:v>Validation Committee</x:v>
      </x:c>
    </x:row>
    <x:row r="24" ht="30" customHeight="1">
      <x:c r="A24" s="261" t="str">
        <x:v>VAL-009</x:v>
      </x:c>
      <x:c r="B24" s="261" t="str">
        <x:v>Positive-weight position count</x:v>
      </x:c>
      <x:c r="C24" s="268" t="n">
        <x:f>COUNTIF('12 Allocation Lab'!K11:K57,"&gt;0")</x:f>
        <x:v>47</x:v>
      </x:c>
      <x:c r="D24" s="261" t="str">
        <x:v>Baseline 47 unless add / remove is approved</x:v>
      </x:c>
      <x:c r="E24" s="269" t="str">
        <x:f>IF(C24=47,"PASS","COMMITTEE REVIEW")</x:f>
        <x:v>PASS</x:v>
      </x:c>
      <x:c r="F24" s="261" t="str">
        <x:v>Document any removal or candidate addition</x:v>
      </x:c>
      <x:c r="G24" s="261" t="str">
        <x:v>Stewardship Committee</x:v>
      </x:c>
    </x:row>
    <x:row r="25" ht="30" customHeight="1">
      <x:c r="A25" s="261" t="str">
        <x:v>VAL-010</x:v>
      </x:c>
      <x:c r="B25" s="261" t="str">
        <x:v>Equity-core position count</x:v>
      </x:c>
      <x:c r="C25" s="268" t="n">
        <x:f>COUNTIFS('12 Allocation Lab'!D11:D57,"Equity",'12 Allocation Lab'!K11:K57,"&gt;0")</x:f>
        <x:v>40</x:v>
      </x:c>
      <x:c r="D25" s="261" t="str">
        <x:v>Preferred 32–38; hard ceiling 41</x:v>
      </x:c>
      <x:c r="E25" s="269" t="str">
        <x:f>IF(C25&gt;$B$12,"FAIL",IF(AND(C25&gt;=$B$10,C25&lt;=$B$11),"PASS","MONITOR — OUTSIDE PREFERRED RANGE"))</x:f>
        <x:v>MONITOR — OUTSIDE PREFERRED RANGE</x:v>
      </x:c>
      <x:c r="F25" s="261" t="str">
        <x:v>Review complexity above preferred range</x:v>
      </x:c>
      <x:c r="G25" s="261" t="str">
        <x:v>Stewardship Committee</x:v>
      </x:c>
    </x:row>
    <x:row r="26" ht="30" customHeight="1">
      <x:c r="A26" s="261" t="str">
        <x:v>VAL-011</x:v>
      </x:c>
      <x:c r="B26" s="261" t="str">
        <x:v>ETF position count</x:v>
      </x:c>
      <x:c r="C26" s="268" t="n">
        <x:f>COUNTIFS('12 Allocation Lab'!D11:D57,"ETF",'12 Allocation Lab'!K11:K57,"&gt;0")</x:f>
        <x:v>7</x:v>
      </x:c>
      <x:c r="D26" s="261" t="str">
        <x:v>Approved implementation exposures only</x:v>
      </x:c>
      <x:c r="E26" s="269" t="str">
        <x:f>IF(C26=7,"PASS","COMMITTEE REVIEW")</x:f>
        <x:v>PASS</x:v>
      </x:c>
      <x:c r="F26" s="261" t="str">
        <x:v>Confirm eligible ETF architecture</x:v>
      </x:c>
      <x:c r="G26" s="261" t="str">
        <x:v>Stewardship Committee</x:v>
      </x:c>
    </x:row>
    <x:row r="27" ht="30" customHeight="1">
      <x:c r="A27" s="261" t="str">
        <x:v>VAL-012</x:v>
      </x:c>
      <x:c r="B27" s="261" t="str">
        <x:v>Actual portfolio weights loaded</x:v>
      </x:c>
      <x:c r="C27" s="268" t="n">
        <x:f>COUNTA('Certified Allocation'!I5:I51)</x:f>
        <x:v>0</x:v>
      </x:c>
      <x:c r="D27" s="261" t="str">
        <x:v>47 of 47</x:v>
      </x:c>
      <x:c r="E27" s="269" t="str">
        <x:f>IF(C27=47,"PASS","INPUT REQUIRED")</x:f>
        <x:v>INPUT REQUIRED</x:v>
      </x:c>
      <x:c r="F27" s="261" t="str">
        <x:v>Load actual weights before implementation review</x:v>
      </x:c>
      <x:c r="G27" s="261" t="str">
        <x:v>Portfolio Operations</x:v>
      </x:c>
    </x:row>
    <x:row r="28" ht="30" customHeight="1">
      <x:c r="A28" s="261" t="str">
        <x:v>VAL-013</x:v>
      </x:c>
      <x:c r="B28" s="261" t="str">
        <x:v>Effective conviction tiers assigned</x:v>
      </x:c>
      <x:c r="C28" s="268" t="n">
        <x:f>COUNTIF('11 Conviction'!H5:H51,"&lt;&gt;Unassigned")</x:f>
        <x:v>0</x:v>
      </x:c>
      <x:c r="D28" s="261" t="str">
        <x:v>47 of 47</x:v>
      </x:c>
      <x:c r="E28" s="269" t="str">
        <x:f>IF(C28=47,"PASS","INPUT REQUIRED")</x:f>
        <x:v>INPUT REQUIRED</x:v>
      </x:c>
      <x:c r="F28" s="261" t="str">
        <x:v>Assign conviction before certification</x:v>
      </x:c>
      <x:c r="G28" s="261" t="str">
        <x:v>Stewardship Committee</x:v>
      </x:c>
    </x:row>
    <x:row r="29" ht="30" customHeight="1">
      <x:c r="A29" s="261" t="str">
        <x:v>VAL-014</x:v>
      </x:c>
      <x:c r="B29" s="261" t="str">
        <x:v>Portfolio-role controls passed</x:v>
      </x:c>
      <x:c r="C29" s="268" t="n">
        <x:f>COUNTIF('09 Role Assignment'!O5:O51,"PASS")</x:f>
        <x:v>47</x:v>
      </x:c>
      <x:c r="D29" s="261" t="str">
        <x:v>47 of 47</x:v>
      </x:c>
      <x:c r="E29" s="269" t="str">
        <x:f>IF(C29=47,"PASS","REVIEW")</x:f>
        <x:v>PASS</x:v>
      </x:c>
      <x:c r="F29" s="261" t="str">
        <x:v>Resolve role / evidence exceptions</x:v>
      </x:c>
      <x:c r="G29" s="261" t="str">
        <x:v>Research Committee</x:v>
      </x:c>
    </x:row>
    <x:row r="30" ht="30" customHeight="1">
      <x:c r="A30" s="261" t="str">
        <x:v>VAL-015</x:v>
      </x:c>
      <x:c r="B30" s="261" t="str">
        <x:v>Candidate committee decisions outstanding</x:v>
      </x:c>
      <x:c r="C30" s="268" t="n">
        <x:f>COUNTIF('10 Candidate Comparison'!Y14:Y33,"COMMITTEE DECISION REQUIRED")</x:f>
        <x:v>0</x:v>
      </x:c>
      <x:c r="D30" s="261" t="str">
        <x:v>0 unresolved committee decisions</x:v>
      </x:c>
      <x:c r="E30" s="269" t="str">
        <x:f>IF(C30=0,"PASS","COMMITTEE REVIEW")</x:f>
        <x:v>PASS</x:v>
      </x:c>
      <x:c r="F30" s="261" t="str">
        <x:v>Resolve candidate / replacement decisions</x:v>
      </x:c>
      <x:c r="G30" s="261" t="str">
        <x:v>Stewardship Committee</x:v>
      </x:c>
    </x:row>
    <x:row r="31" ht="30" customHeight="1">
      <x:c r="A31" s="261" t="str">
        <x:v>VAL-016</x:v>
      </x:c>
      <x:c r="B31" s="261" t="str">
        <x:v>Research / conviction decisions outstanding</x:v>
      </x:c>
      <x:c r="C31" s="268" t="n">
        <x:f>COUNTIF('11 Conviction'!O5:O51,"&lt;&gt;NO CHANGE")</x:f>
        <x:v>47</x:v>
      </x:c>
      <x:c r="D31" s="261" t="str">
        <x:v>0 unresolved research / conviction decisions</x:v>
      </x:c>
      <x:c r="E31" s="269" t="str">
        <x:f>IF(C31=0,"PASS","REVIEW")</x:f>
        <x:v>REVIEW</x:v>
      </x:c>
      <x:c r="F31" s="261" t="str">
        <x:v>Complete thesis and conviction review</x:v>
      </x:c>
      <x:c r="G31" s="261" t="str">
        <x:v>Research Committee</x:v>
      </x:c>
    </x:row>
    <x:row r="32" ht="30" customHeight="1">
      <x:c r="A32" s="261" t="str">
        <x:v>VAL-017</x:v>
      </x:c>
      <x:c r="B32" s="261" t="str">
        <x:v>Implementation data readiness</x:v>
      </x:c>
      <x:c r="C32" s="268" t="str">
        <x:f>'12 Allocation Lab'!H7</x:f>
        <x:v>INPUT REQUIRED — LOAD ACTUAL WEIGHTS</x:v>
      </x:c>
      <x:c r="D32" s="261" t="str">
        <x:v>READY FOR VALIDATION</x:v>
      </x:c>
      <x:c r="E32" s="269" t="str">
        <x:f>IF(C32="READY FOR VALIDATION","PASS","INPUT REQUIRED")</x:f>
        <x:v>INPUT REQUIRED</x:v>
      </x:c>
      <x:c r="F32" s="261" t="str">
        <x:v>Complete required workbook inputs</x:v>
      </x:c>
      <x:c r="G32" s="261" t="str">
        <x:v>Portfolio Operations</x:v>
      </x:c>
    </x:row>
    <x:row r="33" ht="30" customHeight="1">
      <x:c r="A33" s="261" t="str">
        <x:v>VAL-018</x:v>
      </x:c>
      <x:c r="B33" s="261" t="str">
        <x:v>Empirical / Monte Carlo requirement</x:v>
      </x:c>
      <x:c r="C33" s="268" t="str">
        <x:f>IF(OR(C21&gt;$B$6,C22&gt;=$B$7,C23&gt;=$B$8,C24&lt;&gt;47,COUNTIF('10 Candidate Comparison'!V14:V33,"ADVANCE")&gt;0),"REQUIRED","NOT REQUIRED")</x:f>
        <x:v>NOT REQUIRED</x:v>
      </x:c>
      <x:c r="D33" s="261" t="str">
        <x:v>Required when any materiality trigger is breached</x:v>
      </x:c>
      <x:c r="E33" s="269" t="str">
        <x:f>IF(C33="NOT REQUIRED","PASS","REQUIRED")</x:f>
        <x:v>PASS</x:v>
      </x:c>
      <x:c r="F33" s="261" t="str">
        <x:v>Attach validation package when required</x:v>
      </x:c>
      <x:c r="G33" s="261" t="str">
        <x:v>Validation Committee</x:v>
      </x:c>
    </x:row>
    <x:row r="36" ht="20" customHeight="1">
      <x:c r="A36" s="264" t="str">
        <x:v>FORMAL PORTFOLIO SCENARIO CERTIFICATION WORKFLOW</x:v>
      </x:c>
      <x:c r="B36" s="264"/>
      <x:c r="C36" s="264"/>
      <x:c r="D36" s="264"/>
      <x:c r="E36" s="264"/>
      <x:c r="F36" s="264"/>
      <x:c r="G36" s="264"/>
      <x:c r="H36" s="264"/>
      <x:c r="I36" s="264"/>
      <x:c r="J36" s="264"/>
      <x:c r="K36" s="264"/>
      <x:c r="L36" s="264"/>
      <x:c r="M36" s="264"/>
    </x:row>
    <x:row r="37" ht="30" customHeight="1">
      <x:c r="A37" s="267" t="str">
        <x:v>Review Stage</x:v>
      </x:c>
      <x:c r="B37" s="267" t="str">
        <x:v>Status (Input)</x:v>
      </x:c>
      <x:c r="C37" s="267" t="str">
        <x:v>Reviewed By</x:v>
      </x:c>
      <x:c r="D37" s="267" t="str">
        <x:v>Review Date</x:v>
      </x:c>
      <x:c r="E37" s="267" t="str">
        <x:v>Evidence Reference</x:v>
      </x:c>
      <x:c r="F37" s="267" t="str">
        <x:v>Decision / Notes</x:v>
      </x:c>
      <x:c r="G37" s="267" t="str">
        <x:v>Blocking?</x:v>
      </x:c>
      <x:c r="H37" s="267" t="str">
        <x:v>Scenario ID</x:v>
      </x:c>
      <x:c r="I37" s="267" t="str">
        <x:v>Scenario Name</x:v>
      </x:c>
      <x:c r="J37" s="267" t="str">
        <x:v>Proposed MFPDF Version</x:v>
      </x:c>
      <x:c r="K37" s="267" t="str">
        <x:v>Effective Date</x:v>
      </x:c>
      <x:c r="L37" s="267" t="str">
        <x:v>Certification State</x:v>
      </x:c>
      <x:c r="M37" s="267" t="str">
        <x:v>Governance Rule</x:v>
      </x:c>
    </x:row>
    <x:row r="38" ht="28" customHeight="1">
      <x:c r="A38" s="261" t="str">
        <x:v>Portfolio Engineering Review</x:v>
      </x:c>
      <x:c r="B38" s="271" t="str">
        <x:v>Pending</x:v>
      </x:c>
      <x:c r="C38" s="271" t="str"/>
      <x:c r="D38" s="294" t="str"/>
      <x:c r="E38" s="271" t="str"/>
      <x:c r="F38" s="271" t="str"/>
      <x:c r="G38" s="261" t="str">
        <x:v>Yes</x:v>
      </x:c>
      <x:c r="H38" s="268" t="str">
        <x:f>'12 Allocation Lab'!B4</x:f>
        <x:v>PEW-SCN-001</x:v>
      </x:c>
      <x:c r="I38" s="268" t="str">
        <x:f>'12 Allocation Lab'!E4</x:f>
        <x:v>Certified Baseline / No Change</x:v>
      </x:c>
      <x:c r="J38" s="271" t="str">
        <x:v>MFPDF v1.1 (proposed)</x:v>
      </x:c>
      <x:c r="K38" s="294"/>
      <x:c r="L38" s="269" t="str">
        <x:f>IF(COUNTIF(B38:B44,"Rejected")&gt;0,"REJECTED",IF(OR(COUNTIF(B38:B44,"Pending")&gt;0,COUNTIF(E16:E33,"FAIL")&gt;0,COUNTIF(E16:E33,"INPUT REQUIRED")&gt;0,AND(E33="REQUIRED",B41&lt;&gt;"Approved")),"NOT READY","READY TO ISSUE NEW MFPDF"))</x:f>
        <x:v>NOT READY</x:v>
      </x:c>
      <x:c r="M38" s="313" t="str">
        <x:v>No scenario becomes operational until the new MFPDF is issued. Automatic trading remains prohibited.</x:v>
      </x:c>
    </x:row>
    <x:row r="39" ht="28" customHeight="1">
      <x:c r="A39" s="261" t="str">
        <x:v>Research Sufficiency Review</x:v>
      </x:c>
      <x:c r="B39" s="271" t="str">
        <x:v>Pending</x:v>
      </x:c>
      <x:c r="C39" s="271" t="str"/>
      <x:c r="D39" s="294" t="str"/>
      <x:c r="E39" s="271" t="str"/>
      <x:c r="F39" s="271" t="str"/>
      <x:c r="G39" s="261" t="str">
        <x:v>Yes</x:v>
      </x:c>
      <x:c r="H39" s="268" t="str">
        <x:f>'12 Allocation Lab'!B4</x:f>
        <x:v>PEW-SCN-001</x:v>
      </x:c>
      <x:c r="I39" s="268" t="str">
        <x:f>'12 Allocation Lab'!E4</x:f>
        <x:v>Certified Baseline / No Change</x:v>
      </x:c>
      <x:c r="J39" s="271"/>
      <x:c r="K39" s="271"/>
      <x:c r="L39" s="269"/>
      <x:c r="M39" s="313"/>
    </x:row>
    <x:row r="40" ht="28" customHeight="1">
      <x:c r="A40" s="261" t="str">
        <x:v>Allocation &amp; Risk Review</x:v>
      </x:c>
      <x:c r="B40" s="271" t="str">
        <x:v>Pending</x:v>
      </x:c>
      <x:c r="C40" s="271" t="str"/>
      <x:c r="D40" s="294" t="str"/>
      <x:c r="E40" s="271" t="str"/>
      <x:c r="F40" s="271" t="str"/>
      <x:c r="G40" s="261" t="str">
        <x:v>Yes</x:v>
      </x:c>
      <x:c r="H40" s="268" t="str">
        <x:f>'12 Allocation Lab'!B4</x:f>
        <x:v>PEW-SCN-001</x:v>
      </x:c>
      <x:c r="I40" s="268" t="str">
        <x:f>'12 Allocation Lab'!E4</x:f>
        <x:v>Certified Baseline / No Change</x:v>
      </x:c>
      <x:c r="J40" s="271"/>
      <x:c r="K40" s="271"/>
      <x:c r="L40" s="269"/>
      <x:c r="M40" s="313"/>
    </x:row>
    <x:row r="41" ht="28" customHeight="1">
      <x:c r="A41" s="261" t="str">
        <x:v>Empirical / Monte Carlo Review</x:v>
      </x:c>
      <x:c r="B41" s="271" t="str">
        <x:v>Not Required</x:v>
      </x:c>
      <x:c r="C41" s="271" t="str"/>
      <x:c r="D41" s="294" t="str"/>
      <x:c r="E41" s="271" t="str"/>
      <x:c r="F41" s="271" t="str"/>
      <x:c r="G41" s="261" t="str">
        <x:v>When Required</x:v>
      </x:c>
      <x:c r="H41" s="268" t="str">
        <x:f>'12 Allocation Lab'!B4</x:f>
        <x:v>PEW-SCN-001</x:v>
      </x:c>
      <x:c r="I41" s="268" t="str">
        <x:f>'12 Allocation Lab'!E4</x:f>
        <x:v>Certified Baseline / No Change</x:v>
      </x:c>
      <x:c r="J41" s="271"/>
      <x:c r="K41" s="271"/>
      <x:c r="L41" s="269"/>
      <x:c r="M41" s="313"/>
    </x:row>
    <x:row r="42" ht="28" customHeight="1">
      <x:c r="A42" s="261" t="str">
        <x:v>Stewardship Committee Decision</x:v>
      </x:c>
      <x:c r="B42" s="271" t="str">
        <x:v>Pending</x:v>
      </x:c>
      <x:c r="C42" s="271" t="str"/>
      <x:c r="D42" s="294" t="str"/>
      <x:c r="E42" s="271" t="str"/>
      <x:c r="F42" s="271" t="str"/>
      <x:c r="G42" s="261" t="str">
        <x:v>Yes</x:v>
      </x:c>
      <x:c r="H42" s="268" t="str">
        <x:f>'12 Allocation Lab'!B4</x:f>
        <x:v>PEW-SCN-001</x:v>
      </x:c>
      <x:c r="I42" s="268" t="str">
        <x:f>'12 Allocation Lab'!E4</x:f>
        <x:v>Certified Baseline / No Change</x:v>
      </x:c>
      <x:c r="J42" s="271"/>
      <x:c r="K42" s="271"/>
      <x:c r="L42" s="269"/>
      <x:c r="M42" s="313"/>
    </x:row>
    <x:row r="43" ht="28" customHeight="1">
      <x:c r="A43" s="261" t="str">
        <x:v>Chief Investment Steward Certification</x:v>
      </x:c>
      <x:c r="B43" s="271" t="str">
        <x:v>Pending</x:v>
      </x:c>
      <x:c r="C43" s="271" t="str"/>
      <x:c r="D43" s="294" t="str"/>
      <x:c r="E43" s="271" t="str"/>
      <x:c r="F43" s="271" t="str"/>
      <x:c r="G43" s="261" t="str">
        <x:v>Yes</x:v>
      </x:c>
      <x:c r="H43" s="268" t="str">
        <x:f>'12 Allocation Lab'!B4</x:f>
        <x:v>PEW-SCN-001</x:v>
      </x:c>
      <x:c r="I43" s="268" t="str">
        <x:f>'12 Allocation Lab'!E4</x:f>
        <x:v>Certified Baseline / No Change</x:v>
      </x:c>
      <x:c r="J43" s="271"/>
      <x:c r="K43" s="271"/>
      <x:c r="L43" s="269"/>
      <x:c r="M43" s="313"/>
    </x:row>
    <x:row r="44" ht="28" customHeight="1">
      <x:c r="A44" s="261" t="str">
        <x:v>MFPDF Version Issuance</x:v>
      </x:c>
      <x:c r="B44" s="271" t="str">
        <x:v>Pending</x:v>
      </x:c>
      <x:c r="C44" s="271" t="str"/>
      <x:c r="D44" s="294" t="str"/>
      <x:c r="E44" s="271" t="str"/>
      <x:c r="F44" s="271" t="str"/>
      <x:c r="G44" s="261" t="str">
        <x:v>Yes</x:v>
      </x:c>
      <x:c r="H44" s="268" t="str">
        <x:f>'12 Allocation Lab'!B4</x:f>
        <x:v>PEW-SCN-001</x:v>
      </x:c>
      <x:c r="I44" s="268" t="str">
        <x:f>'12 Allocation Lab'!E4</x:f>
        <x:v>Certified Baseline / No Change</x:v>
      </x:c>
      <x:c r="J44" s="271"/>
      <x:c r="K44" s="271"/>
      <x:c r="L44" s="269"/>
      <x:c r="M44" s="313"/>
    </x:row>
    <x:row r="47" ht="20" customHeight="1">
      <x:c r="A47" s="264" t="str">
        <x:v>CERTIFICATION CHANGE REGISTER</x:v>
      </x:c>
      <x:c r="B47" s="264"/>
      <x:c r="C47" s="264"/>
      <x:c r="D47" s="264"/>
      <x:c r="E47" s="264"/>
      <x:c r="F47" s="264"/>
      <x:c r="G47" s="264"/>
      <x:c r="H47" s="264"/>
      <x:c r="I47" s="264"/>
      <x:c r="J47" s="264"/>
      <x:c r="K47" s="264"/>
      <x:c r="L47" s="264"/>
      <x:c r="M47" s="264"/>
    </x:row>
    <x:row r="48" ht="30" customHeight="1">
      <x:c r="A48" s="267" t="str">
        <x:v>Change ID</x:v>
      </x:c>
      <x:c r="B48" s="267" t="str">
        <x:v>Symbol / Sleeve</x:v>
      </x:c>
      <x:c r="C48" s="267" t="str">
        <x:v>Change Type</x:v>
      </x:c>
      <x:c r="D48" s="267" t="str">
        <x:v>Certified Weight</x:v>
      </x:c>
      <x:c r="E48" s="267" t="str">
        <x:v>Proposed Weight</x:v>
      </x:c>
      <x:c r="F48" s="267" t="str">
        <x:v>Delta</x:v>
      </x:c>
      <x:c r="G48" s="267" t="str">
        <x:v>Rationale / Evidence</x:v>
      </x:c>
      <x:c r="H48" s="267" t="str">
        <x:v>Certification Outcome</x:v>
      </x:c>
    </x:row>
    <x:row r="49">
      <x:c r="A49" s="261" t="str">
        <x:v>CHG-001</x:v>
      </x:c>
      <x:c r="B49" s="271"/>
      <x:c r="C49" s="271"/>
      <x:c r="D49" s="290"/>
      <x:c r="E49" s="290"/>
      <x:c r="F49" s="291" t="str">
        <x:f>IF(OR(D49="",E49=""),"",E49-D49)</x:f>
      </x:c>
      <x:c r="G49" s="271"/>
      <x:c r="H49" s="271"/>
    </x:row>
    <x:row r="50">
      <x:c r="A50" s="261" t="str">
        <x:v>CHG-002</x:v>
      </x:c>
      <x:c r="B50" s="271"/>
      <x:c r="C50" s="271"/>
      <x:c r="D50" s="290"/>
      <x:c r="E50" s="290"/>
      <x:c r="F50" s="291" t="str">
        <x:f>IF(OR(D50="",E50=""),"",E50-D50)</x:f>
      </x:c>
      <x:c r="G50" s="271"/>
      <x:c r="H50" s="271"/>
    </x:row>
    <x:row r="51">
      <x:c r="A51" s="261" t="str">
        <x:v>CHG-003</x:v>
      </x:c>
      <x:c r="B51" s="271"/>
      <x:c r="C51" s="271"/>
      <x:c r="D51" s="290"/>
      <x:c r="E51" s="290"/>
      <x:c r="F51" s="291" t="str">
        <x:f>IF(OR(D51="",E51=""),"",E51-D51)</x:f>
      </x:c>
      <x:c r="G51" s="271"/>
      <x:c r="H51" s="271"/>
    </x:row>
    <x:row r="52">
      <x:c r="A52" s="261" t="str">
        <x:v>CHG-004</x:v>
      </x:c>
      <x:c r="B52" s="271"/>
      <x:c r="C52" s="271"/>
      <x:c r="D52" s="290"/>
      <x:c r="E52" s="290"/>
      <x:c r="F52" s="291" t="str">
        <x:f>IF(OR(D52="",E52=""),"",E52-D52)</x:f>
      </x:c>
      <x:c r="G52" s="271"/>
      <x:c r="H52" s="271"/>
    </x:row>
    <x:row r="53">
      <x:c r="A53" s="261" t="str">
        <x:v>CHG-005</x:v>
      </x:c>
      <x:c r="B53" s="271"/>
      <x:c r="C53" s="271"/>
      <x:c r="D53" s="290"/>
      <x:c r="E53" s="290"/>
      <x:c r="F53" s="291" t="str">
        <x:f>IF(OR(D53="",E53=""),"",E53-D53)</x:f>
      </x:c>
      <x:c r="G53" s="271"/>
      <x:c r="H53" s="271"/>
    </x:row>
    <x:row r="54">
      <x:c r="A54" s="261" t="str">
        <x:v>CHG-006</x:v>
      </x:c>
      <x:c r="B54" s="271"/>
      <x:c r="C54" s="271"/>
      <x:c r="D54" s="290"/>
      <x:c r="E54" s="290"/>
      <x:c r="F54" s="291" t="str">
        <x:f>IF(OR(D54="",E54=""),"",E54-D54)</x:f>
      </x:c>
      <x:c r="G54" s="271"/>
      <x:c r="H54" s="271"/>
    </x:row>
    <x:row r="55">
      <x:c r="A55" s="261" t="str">
        <x:v>CHG-007</x:v>
      </x:c>
      <x:c r="B55" s="271"/>
      <x:c r="C55" s="271"/>
      <x:c r="D55" s="290"/>
      <x:c r="E55" s="290"/>
      <x:c r="F55" s="291" t="str">
        <x:f>IF(OR(D55="",E55=""),"",E55-D55)</x:f>
      </x:c>
      <x:c r="G55" s="271"/>
      <x:c r="H55" s="271"/>
    </x:row>
    <x:row r="56">
      <x:c r="A56" s="261" t="str">
        <x:v>CHG-008</x:v>
      </x:c>
      <x:c r="B56" s="271"/>
      <x:c r="C56" s="271"/>
      <x:c r="D56" s="290"/>
      <x:c r="E56" s="290"/>
      <x:c r="F56" s="291" t="str">
        <x:f>IF(OR(D56="",E56=""),"",E56-D56)</x:f>
      </x:c>
      <x:c r="G56" s="271"/>
      <x:c r="H56" s="271"/>
    </x:row>
    <x:row r="57">
      <x:c r="A57" s="261" t="str">
        <x:v>CHG-009</x:v>
      </x:c>
      <x:c r="B57" s="271"/>
      <x:c r="C57" s="271"/>
      <x:c r="D57" s="290"/>
      <x:c r="E57" s="290"/>
      <x:c r="F57" s="291" t="str">
        <x:f>IF(OR(D57="",E57=""),"",E57-D57)</x:f>
      </x:c>
      <x:c r="G57" s="271"/>
      <x:c r="H57" s="271"/>
    </x:row>
    <x:row r="58">
      <x:c r="A58" s="261" t="str">
        <x:v>CHG-010</x:v>
      </x:c>
      <x:c r="B58" s="271"/>
      <x:c r="C58" s="271"/>
      <x:c r="D58" s="290"/>
      <x:c r="E58" s="290"/>
      <x:c r="F58" s="291" t="str">
        <x:f>IF(OR(D58="",E58=""),"",E58-D58)</x:f>
      </x:c>
      <x:c r="G58" s="271"/>
      <x:c r="H58" s="271"/>
    </x:row>
  </x:sheetData>
  <x:mergeCells>
    <x:mergeCell ref="A1:M1"/>
    <x:mergeCell ref="A2:M2"/>
    <x:mergeCell ref="A3:M3"/>
    <x:mergeCell ref="A4:G4"/>
    <x:mergeCell ref="I4:M4"/>
    <x:mergeCell ref="J5:M5"/>
    <x:mergeCell ref="J6:M6"/>
    <x:mergeCell ref="J7:M7"/>
    <x:mergeCell ref="J8:M8"/>
    <x:mergeCell ref="J9:M9"/>
    <x:mergeCell ref="J10:M10"/>
    <x:mergeCell ref="J11:M11"/>
    <x:mergeCell ref="J12:M12"/>
    <x:mergeCell ref="A14:G14"/>
    <x:mergeCell ref="A36:M36"/>
    <x:mergeCell ref="J38:J44"/>
    <x:mergeCell ref="K38:K44"/>
    <x:mergeCell ref="L38:L44"/>
    <x:mergeCell ref="M38:M44"/>
    <x:mergeCell ref="A47:M47"/>
  </x:mergeCells>
  <x:conditionalFormatting sqref="J12:M12">
    <x:cfRule type="expression" dxfId="43" priority="1">
      <x:formula>OR(J12="PASS",J12="ACTIVE",J12="READY",J12="NO CHANGE",J12="BASELINE",J12="CERTIFIED",J12="ELIGIBLE",J12="NO DECISION")</x:formula>
    </x:cfRule>
    <x:cfRule type="expression" dxfId="44" priority="2">
      <x:formula>OR(ISNUMBER(SEARCH("REVIEW",J12)),ISNUMBER(SEARCH("MONITOR",J12)),ISNUMBER(SEARCH("PENDING",J12)),ISNUMBER(SEARCH("INPUT",J12)),ISNUMBER(SEARCH("ASSIGN",J12)),ISNUMBER(SEARCH("EXCEPTION",J12)),ISNUMBER(SEARCH("REQUIRED",J12)))</x:formula>
    </x:cfRule>
    <x:cfRule type="expression" dxfId="45" priority="3">
      <x:formula>OR(ISNUMBER(SEARCH("FAIL",J12)),ISNUMBER(SEARCH("PROHIBITED",J12)),ISNUMBER(SEARCH("IMPAIRED",J12)),ISNUMBER(SEARCH("REJECT",J12)))</x:formula>
    </x:cfRule>
  </x:conditionalFormatting>
  <x:conditionalFormatting sqref="E16:E33">
    <x:cfRule type="expression" dxfId="46" priority="4">
      <x:formula>OR(E16="PASS",E16="ACTIVE",E16="READY",E16="NO CHANGE",E16="BASELINE",E16="CERTIFIED",E16="ELIGIBLE",E16="NO DECISION")</x:formula>
    </x:cfRule>
    <x:cfRule type="expression" dxfId="47" priority="5">
      <x:formula>OR(ISNUMBER(SEARCH("REVIEW",E16)),ISNUMBER(SEARCH("MONITOR",E16)),ISNUMBER(SEARCH("PENDING",E16)),ISNUMBER(SEARCH("INPUT",E16)),ISNUMBER(SEARCH("ASSIGN",E16)),ISNUMBER(SEARCH("EXCEPTION",E16)),ISNUMBER(SEARCH("REQUIRED",E16)))</x:formula>
    </x:cfRule>
    <x:cfRule type="expression" dxfId="48" priority="6">
      <x:formula>OR(ISNUMBER(SEARCH("FAIL",E16)),ISNUMBER(SEARCH("PROHIBITED",E16)),ISNUMBER(SEARCH("IMPAIRED",E16)),ISNUMBER(SEARCH("REJECT",E16)))</x:formula>
    </x:cfRule>
  </x:conditionalFormatting>
  <x:conditionalFormatting sqref="L38:L44">
    <x:cfRule type="expression" dxfId="49" priority="7">
      <x:formula>OR(L38="PASS",L38="ACTIVE",L38="READY",L38="NO CHANGE",L38="BASELINE",L38="CERTIFIED",L38="ELIGIBLE",L38="NO DECISION")</x:formula>
    </x:cfRule>
    <x:cfRule type="expression" dxfId="50" priority="8">
      <x:formula>OR(ISNUMBER(SEARCH("REVIEW",L38)),ISNUMBER(SEARCH("MONITOR",L38)),ISNUMBER(SEARCH("PENDING",L38)),ISNUMBER(SEARCH("INPUT",L38)),ISNUMBER(SEARCH("ASSIGN",L38)),ISNUMBER(SEARCH("EXCEPTION",L38)),ISNUMBER(SEARCH("REQUIRED",L38)))</x:formula>
    </x:cfRule>
    <x:cfRule type="expression" dxfId="51" priority="9">
      <x:formula>OR(ISNUMBER(SEARCH("FAIL",L38)),ISNUMBER(SEARCH("PROHIBITED",L38)),ISNUMBER(SEARCH("IMPAIRED",L38)),ISNUMBER(SEARCH("REJECT",L38)))</x:formula>
    </x:cfRule>
  </x:conditionalFormatting>
  <x:dataValidations count="3">
    <x:dataValidation type="list" sqref="B38:B44">
      <x:formula1>"Pending,Approved,Rejected,Not Required"</x:formula1>
    </x:dataValidation>
    <x:dataValidation type="list" sqref="C49:C58">
      <x:formula1>"Add,Remove,Increase,Decrease,Sleeve Reassignment,Role Change,Conviction Change"</x:formula1>
    </x:dataValidation>
    <x:dataValidation type="list" sqref="H49:H58">
      <x:formula1>"Approved,Rejected,Deferred,Exception Approved,Pending"</x:formula1>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30" hidden="0" customWidth="1"/>
    <x:col min="4" max="4" width="28" hidden="0" customWidth="1"/>
    <x:col min="5" max="5" width="28" hidden="0" customWidth="1"/>
    <x:col min="6" max="6" width="28" hidden="0" customWidth="1"/>
    <x:col min="7" max="7" width="24" hidden="0" customWidth="1"/>
    <x:col min="8" max="8" width="22" hidden="0" customWidth="1"/>
    <x:col min="9" max="9" width="28" hidden="0" customWidth="1"/>
    <x:col min="10" max="10" width="24" hidden="0" customWidth="1"/>
  </x:cols>
  <x:sheetData>
    <x:row r="1" ht="28" customHeight="1">
      <x:c r="A1" s="247" t="str">
        <x:v>MOPS-002 — PORTFOLIO ENGINEERING WORKSPACE OPERATING GUIDE</x:v>
      </x:c>
      <x:c r="B1" s="247"/>
      <x:c r="C1" s="247"/>
      <x:c r="D1" s="247"/>
      <x:c r="E1" s="247"/>
      <x:c r="F1" s="247"/>
      <x:c r="G1" s="247"/>
      <x:c r="H1" s="247"/>
      <x:c r="I1" s="247"/>
      <x:c r="J1" s="247"/>
    </x:row>
    <x:row r="2" ht="20" customHeight="1">
      <x:c r="A2" s="250" t="str">
        <x:v>How to use PEW-001 through PEW-007 without disturbing the frozen CISC architecture or the certified MFPDF portfolio</x:v>
      </x:c>
      <x:c r="B2" s="250"/>
      <x:c r="C2" s="250"/>
      <x:c r="D2" s="250"/>
      <x:c r="E2" s="250"/>
      <x:c r="F2" s="250"/>
      <x:c r="G2" s="250"/>
      <x:c r="H2" s="250"/>
      <x:c r="I2" s="250"/>
      <x:c r="J2" s="250"/>
    </x:row>
    <x:row r="3" ht="18" customHeight="1">
      <x:c r="A3" s="254" t="str">
        <x:v>Founders Edition v1.0 — CERTIFIED &amp; FROZEN | MOPS-001 remains frozen | Operating inputs remain live</x:v>
      </x:c>
      <x:c r="B3" s="254"/>
      <x:c r="C3" s="254"/>
      <x:c r="D3" s="254"/>
      <x:c r="E3" s="254"/>
      <x:c r="F3" s="254"/>
      <x:c r="G3" s="254"/>
      <x:c r="H3" s="254"/>
      <x:c r="I3" s="254"/>
      <x:c r="J3" s="254"/>
    </x:row>
    <x:row r="4" ht="20" customHeight="1">
      <x:c r="A4" s="264" t="str">
        <x:v>MOPS-002 GOVERNANCE RECORD</x:v>
      </x:c>
      <x:c r="B4" s="264"/>
      <x:c r="C4" s="264"/>
      <x:c r="D4" s="264"/>
      <x:c r="E4" s="264"/>
      <x:c r="F4" s="264"/>
      <x:c r="G4" s="264"/>
      <x:c r="H4" s="264"/>
      <x:c r="I4" s="264"/>
      <x:c r="J4" s="264"/>
    </x:row>
    <x:row r="5" ht="30" customHeight="1">
      <x:c r="A5" s="267" t="str">
        <x:v>Field</x:v>
      </x:c>
      <x:c r="B5" s="267" t="str">
        <x:v>Adopted / Proposed Standard</x:v>
      </x:c>
      <x:c r="C5" s="267" t="str">
        <x:v>Status</x:v>
      </x:c>
      <x:c r="D5" s="267" t="str">
        <x:v>Operating Effect</x:v>
      </x:c>
      <x:c r="E5" s="267" t="str"/>
      <x:c r="F5" s="267" t="str">
        <x:v>Control Principle</x:v>
      </x:c>
      <x:c r="G5" s="267" t="str">
        <x:v>Meaning</x:v>
      </x:c>
      <x:c r="H5" s="267" t="str">
        <x:v>Authority</x:v>
      </x:c>
      <x:c r="I5" s="267" t="str">
        <x:v>Workbook Location</x:v>
      </x:c>
      <x:c r="J5" s="267" t="str">
        <x:v>Implementation</x:v>
      </x:c>
    </x:row>
    <x:row r="6" ht="32" customHeight="1">
      <x:c r="A6" s="261" t="str">
        <x:v>Operating Product</x:v>
      </x:c>
      <x:c r="B6" s="261" t="str">
        <x:v>MOPS-002 — Portfolio Engineering Workspace</x:v>
      </x:c>
      <x:c r="C6" s="261" t="str">
        <x:v>Certified &amp; Frozen</x:v>
      </x:c>
      <x:c r="D6" s="261" t="str">
        <x:v>Operational architecture authorized for institutional use</x:v>
      </x:c>
      <x:c r="E6" s="261" t="str"/>
      <x:c r="F6" s="261" t="str">
        <x:v>System of Record</x:v>
      </x:c>
      <x:c r="G6" s="261" t="str">
        <x:v>Certified MFPDF remains authoritative</x:v>
      </x:c>
      <x:c r="H6" s="261" t="str">
        <x:v>Chief Investment Steward</x:v>
      </x:c>
      <x:c r="I6" s="261" t="str">
        <x:v>Certified Allocation</x:v>
      </x:c>
      <x:c r="J6" s="261" t="str">
        <x:v>No scenario overwrite</x:v>
      </x:c>
    </x:row>
    <x:row r="7" ht="32" customHeight="1">
      <x:c r="A7" s="261" t="str">
        <x:v>Workspace Designation</x:v>
      </x:c>
      <x:c r="B7" s="261" t="str">
        <x:v>PEW-001 through PEW-007</x:v>
      </x:c>
      <x:c r="C7" s="261" t="str">
        <x:v>Frozen Architecture</x:v>
      </x:c>
      <x:c r="D7" s="261" t="str">
        <x:v>Seven controlled engineering modules</x:v>
      </x:c>
      <x:c r="E7" s="261" t="str"/>
      <x:c r="F7" s="261" t="str">
        <x:v>Scenario Layer</x:v>
      </x:c>
      <x:c r="G7" s="261" t="str">
        <x:v>All changes remain hypothetical until certified</x:v>
      </x:c>
      <x:c r="H7" s="261" t="str">
        <x:v>Portfolio Engineering</x:v>
      </x:c>
      <x:c r="I7" s="261" t="str">
        <x:v>12 Allocation Lab</x:v>
      </x:c>
      <x:c r="J7" s="261" t="str">
        <x:v>Separate from certified weights</x:v>
      </x:c>
    </x:row>
    <x:row r="8" ht="32" customHeight="1">
      <x:c r="A8" s="261" t="str">
        <x:v>Certified Foundation</x:v>
      </x:c>
      <x:c r="B8" s="261" t="str">
        <x:v>Portfolio B — 47 positions / 100% target</x:v>
      </x:c>
      <x:c r="C8" s="261" t="str">
        <x:v>Preserved</x:v>
      </x:c>
      <x:c r="D8" s="261" t="str">
        <x:v>No target weight changed by construction of MOPS-002</x:v>
      </x:c>
      <x:c r="E8" s="261" t="str"/>
      <x:c r="F8" s="261" t="str">
        <x:v>Automatic Trading</x:v>
      </x:c>
      <x:c r="G8" s="261" t="str">
        <x:v>Not authorized</x:v>
      </x:c>
      <x:c r="H8" s="261" t="str">
        <x:v>Stewardship Committee</x:v>
      </x:c>
      <x:c r="I8" s="261" t="str">
        <x:v>Rebalancing / PEW-007</x:v>
      </x:c>
      <x:c r="J8" s="261" t="str">
        <x:v>Committee review required</x:v>
      </x:c>
    </x:row>
    <x:row r="9" ht="32" customHeight="1">
      <x:c r="A9" s="261" t="str">
        <x:v>Visual Foundation</x:v>
      </x:c>
      <x:c r="B9" s="261" t="str">
        <x:v>CISC-001 five-panel console</x:v>
      </x:c>
      <x:c r="C9" s="261" t="str">
        <x:v>Frozen</x:v>
      </x:c>
      <x:c r="D9" s="261" t="str">
        <x:v>MOPS-002 inherits navy/gold institutional visual standard</x:v>
      </x:c>
      <x:c r="E9" s="261" t="str"/>
      <x:c r="F9" s="261" t="str">
        <x:v>Certification Gate</x:v>
      </x:c>
      <x:c r="G9" s="261" t="str">
        <x:v>New MFPDF version required</x:v>
      </x:c>
      <x:c r="H9" s="261" t="str">
        <x:v>Chief Investment Steward</x:v>
      </x:c>
      <x:c r="I9" s="261" t="str">
        <x:v>13 Validation &amp; Cert</x:v>
      </x:c>
      <x:c r="J9" s="261" t="str">
        <x:v>Only certified version operational</x:v>
      </x:c>
    </x:row>
    <x:row r="10" ht="32" customHeight="1">
      <x:c r="A10" s="261" t="str">
        <x:v>Current Readiness</x:v>
      </x:c>
      <x:c r="B10" s="261" t="str">
        <x:v>Actual weights and convictions are incomplete</x:v>
      </x:c>
      <x:c r="C10" s="261" t="str">
        <x:v>Data Setup Required</x:v>
      </x:c>
      <x:c r="D10" s="261" t="str">
        <x:v>Live implementation and final certification remain blocked</x:v>
      </x:c>
      <x:c r="E10" s="261" t="str"/>
      <x:c r="F10" s="261" t="str">
        <x:v>Valid No-Change Outcome</x:v>
      </x:c>
      <x:c r="G10" s="261" t="str">
        <x:v>Baseline / no redesign is an authorized conclusion</x:v>
      </x:c>
      <x:c r="H10" s="261" t="str">
        <x:v>Stewardship Committee</x:v>
      </x:c>
      <x:c r="I10" s="261" t="str">
        <x:v>06 PEW Control Center</x:v>
      </x:c>
      <x:c r="J10" s="261" t="str">
        <x:v>Avoid forced activity</x:v>
      </x:c>
    </x:row>
    <x:row r="11" ht="32" customHeight="1"/>
    <x:row r="12" ht="32" customHeight="1">
      <x:c r="A12" s="264" t="str">
        <x:v>MODULE ARCHITECTURE</x:v>
      </x:c>
      <x:c r="B12" s="264"/>
      <x:c r="C12" s="264"/>
      <x:c r="D12" s="264"/>
      <x:c r="E12" s="264"/>
      <x:c r="F12" s="264"/>
      <x:c r="G12" s="264"/>
      <x:c r="H12" s="264"/>
      <x:c r="I12" s="264"/>
      <x:c r="J12" s="264"/>
    </x:row>
    <x:row r="13" ht="32" customHeight="1">
      <x:c r="A13" s="267" t="str">
        <x:v>Module</x:v>
      </x:c>
      <x:c r="B13" s="267" t="str">
        <x:v>Workspace</x:v>
      </x:c>
      <x:c r="C13" s="267" t="str">
        <x:v>Core Question</x:v>
      </x:c>
      <x:c r="D13" s="267" t="str">
        <x:v>Primary Inputs</x:v>
      </x:c>
      <x:c r="E13" s="267" t="str">
        <x:v>Primary Output</x:v>
      </x:c>
      <x:c r="F13" s="267" t="str">
        <x:v>Authority</x:v>
      </x:c>
      <x:c r="G13" s="267" t="str">
        <x:v>System of Record</x:v>
      </x:c>
      <x:c r="H13" s="267" t="str">
        <x:v>Blocks Certification?</x:v>
      </x:c>
      <x:c r="I13" s="267" t="str">
        <x:v>Use Frequency</x:v>
      </x:c>
      <x:c r="J13" s="267" t="str">
        <x:v>Status</x:v>
      </x:c>
    </x:row>
    <x:row r="14" ht="32" customHeight="1">
      <x:c r="A14" s="261" t="str">
        <x:v>PEW-001</x:v>
      </x:c>
      <x:c r="B14" s="261" t="str">
        <x:v>Mandate &amp; Constraints</x:v>
      </x:c>
      <x:c r="C14" s="261" t="str">
        <x:v>What must the portfolio accomplish and never violate?</x:v>
      </x:c>
      <x:c r="D14" s="261" t="str">
        <x:v>Objectives, risk limits, construction and governance rules</x:v>
      </x:c>
      <x:c r="E14" s="261" t="str">
        <x:v>Mandate compliance register</x:v>
      </x:c>
      <x:c r="F14" s="261" t="str">
        <x:v>Chief Investment Steward</x:v>
      </x:c>
      <x:c r="G14" s="261" t="str">
        <x:v>07 Mandate &amp; Constraints</x:v>
      </x:c>
      <x:c r="H14" s="261" t="str">
        <x:v>Yes — hard controls</x:v>
      </x:c>
      <x:c r="I14" s="261" t="str">
        <x:v>Annual / amendment / material review</x:v>
      </x:c>
      <x:c r="J14" s="261" t="str">
        <x:v>Active</x:v>
      </x:c>
    </x:row>
    <x:row r="15" ht="32" customHeight="1">
      <x:c r="A15" s="261" t="str">
        <x:v>PEW-002</x:v>
      </x:c>
      <x:c r="B15" s="261" t="str">
        <x:v>Sleeve Architecture</x:v>
      </x:c>
      <x:c r="C15" s="261" t="str">
        <x:v>Is each sleeve serving its purpose at an appropriate allocation?</x:v>
      </x:c>
      <x:c r="D15" s="261" t="str">
        <x:v>Certified and scenario sleeve allocations</x:v>
      </x:c>
      <x:c r="E15" s="261" t="str">
        <x:v>Sleeve review decision</x:v>
      </x:c>
      <x:c r="F15" s="261" t="str">
        <x:v>Stewardship Committee</x:v>
      </x:c>
      <x:c r="G15" s="261" t="str">
        <x:v>08 Sleeve Architecture</x:v>
      </x:c>
      <x:c r="H15" s="261" t="str">
        <x:v>When material / unresolved</x:v>
      </x:c>
      <x:c r="I15" s="261" t="str">
        <x:v>Quarterly / material event</x:v>
      </x:c>
      <x:c r="J15" s="261" t="str">
        <x:v>Active</x:v>
      </x:c>
    </x:row>
    <x:row r="16" ht="32" customHeight="1">
      <x:c r="A16" s="261" t="str">
        <x:v>PEW-003</x:v>
      </x:c>
      <x:c r="B16" s="261" t="str">
        <x:v>Role Assignment</x:v>
      </x:c>
      <x:c r="C16" s="261" t="str">
        <x:v>What institutional function does every holding perform?</x:v>
      </x:c>
      <x:c r="D16" s="261" t="str">
        <x:v>Certified roles, functional role, evidence and duplication</x:v>
      </x:c>
      <x:c r="E16" s="261" t="str">
        <x:v>Retain / review / replace decision</x:v>
      </x:c>
      <x:c r="F16" s="261" t="str">
        <x:v>Research Committee</x:v>
      </x:c>
      <x:c r="G16" s="261" t="str">
        <x:v>09 Role Assignment</x:v>
      </x:c>
      <x:c r="H16" s="261" t="str">
        <x:v>Yes — role unresolved</x:v>
      </x:c>
      <x:c r="I16" s="261" t="str">
        <x:v>Annual / candidate review</x:v>
      </x:c>
      <x:c r="J16" s="261" t="str">
        <x:v>Active</x:v>
      </x:c>
    </x:row>
    <x:row r="17" ht="32" customHeight="1">
      <x:c r="A17" s="261" t="str">
        <x:v>PEW-004</x:v>
      </x:c>
      <x:c r="B17" s="261" t="str">
        <x:v>Candidate Comparison</x:v>
      </x:c>
      <x:c r="C17" s="261" t="str">
        <x:v>Should an incumbent or candidate occupy the role?</x:v>
      </x:c>
      <x:c r="D17" s="261" t="str">
        <x:v>MIAR, MICS, empirical, Merrill, Zacks and role-fit evidence</x:v>
      </x:c>
      <x:c r="E17" s="261" t="str">
        <x:v>Advance / watch / reject / exception</x:v>
      </x:c>
      <x:c r="F17" s="261" t="str">
        <x:v>Stewardship Committee</x:v>
      </x:c>
      <x:c r="G17" s="261" t="str">
        <x:v>10 Candidate Comparison</x:v>
      </x:c>
      <x:c r="H17" s="261" t="str">
        <x:v>Yes — open committee decision</x:v>
      </x:c>
      <x:c r="I17" s="261" t="str">
        <x:v>As needed</x:v>
      </x:c>
      <x:c r="J17" s="261" t="str">
        <x:v>Ready</x:v>
      </x:c>
    </x:row>
    <x:row r="18" ht="32" customHeight="1">
      <x:c r="A18" s="261" t="str">
        <x:v>PEW-005</x:v>
      </x:c>
      <x:c r="B18" s="261" t="str">
        <x:v>Conviction</x:v>
      </x:c>
      <x:c r="C18" s="261" t="str">
        <x:v>How strongly should the portfolio express the thesis?</x:v>
      </x:c>
      <x:c r="D18" s="261" t="str">
        <x:v>Conviction tier, thesis, research, risk and horizon</x:v>
      </x:c>
      <x:c r="E18" s="261" t="str">
        <x:v>Effective conviction and review decision</x:v>
      </x:c>
      <x:c r="F18" s="261" t="str">
        <x:v>Stewardship Committee</x:v>
      </x:c>
      <x:c r="G18" s="261" t="str">
        <x:v>11 Conviction</x:v>
      </x:c>
      <x:c r="H18" s="261" t="str">
        <x:v>Yes — unassigned conviction</x:v>
      </x:c>
      <x:c r="I18" s="261" t="str">
        <x:v>Quarterly / material event</x:v>
      </x:c>
      <x:c r="J18" s="261" t="str">
        <x:v>Input Required</x:v>
      </x:c>
    </x:row>
    <x:row r="19" ht="32" customHeight="1">
      <x:c r="A19" s="261" t="str">
        <x:v>PEW-006</x:v>
      </x:c>
      <x:c r="B19" s="261" t="str">
        <x:v>Allocation Lab</x:v>
      </x:c>
      <x:c r="C19" s="261" t="str">
        <x:v>What funded target-weight changes are being proposed?</x:v>
      </x:c>
      <x:c r="D19" s="261" t="str">
        <x:v>Certified targets, actual weights, scenario weights and rationale</x:v>
      </x:c>
      <x:c r="E19" s="261" t="str">
        <x:v>Band-aware funded scenario</x:v>
      </x:c>
      <x:c r="F19" s="261" t="str">
        <x:v>Portfolio Engineering</x:v>
      </x:c>
      <x:c r="G19" s="261" t="str">
        <x:v>12 Allocation Lab</x:v>
      </x:c>
      <x:c r="H19" s="261" t="str">
        <x:v>Yes — unbalanced / unsupported</x:v>
      </x:c>
      <x:c r="I19" s="261" t="str">
        <x:v>As needed</x:v>
      </x:c>
      <x:c r="J19" s="261" t="str">
        <x:v>Baseline</x:v>
      </x:c>
    </x:row>
    <x:row r="20" ht="32" customHeight="1">
      <x:c r="A20" s="261" t="str">
        <x:v>PEW-007</x:v>
      </x:c>
      <x:c r="B20" s="261" t="str">
        <x:v>Validation &amp; Certification</x:v>
      </x:c>
      <x:c r="C20" s="261" t="str">
        <x:v>Is the proposal sufficiently evidenced and approved to become operational?</x:v>
      </x:c>
      <x:c r="D20" s="261" t="str">
        <x:v>Automated tests and formal approvals</x:v>
      </x:c>
      <x:c r="E20" s="261" t="str">
        <x:v>New certified MFPDF version</x:v>
      </x:c>
      <x:c r="F20" s="261" t="str">
        <x:v>Chief Investment Steward</x:v>
      </x:c>
      <x:c r="G20" s="261" t="str">
        <x:v>13 Validation &amp; Cert</x:v>
      </x:c>
      <x:c r="H20" s="261" t="str">
        <x:v>Sole final gate</x:v>
      </x:c>
      <x:c r="I20" s="261" t="str">
        <x:v>Every proposed version</x:v>
      </x:c>
      <x:c r="J20" s="261" t="str">
        <x:v>Not Ready</x:v>
      </x:c>
    </x:row>
    <x:row r="21" ht="32" customHeight="1"/>
    <x:row r="22" ht="32" customHeight="1">
      <x:c r="A22" s="264" t="str">
        <x:v>OPERATING WORKFLOW</x:v>
      </x:c>
      <x:c r="B22" s="264"/>
      <x:c r="C22" s="264"/>
      <x:c r="D22" s="264"/>
      <x:c r="E22" s="264"/>
      <x:c r="F22" s="264"/>
      <x:c r="G22" s="264"/>
      <x:c r="H22" s="264"/>
      <x:c r="I22" s="264"/>
      <x:c r="J22" s="264"/>
    </x:row>
    <x:row r="23" ht="32" customHeight="1">
      <x:c r="A23" s="267" t="str">
        <x:v>Step</x:v>
      </x:c>
      <x:c r="B23" s="267" t="str">
        <x:v>Action</x:v>
      </x:c>
      <x:c r="C23" s="267" t="str">
        <x:v>Primary Sheet</x:v>
      </x:c>
      <x:c r="D23" s="267" t="str">
        <x:v>Input Convention</x:v>
      </x:c>
      <x:c r="E23" s="267" t="str">
        <x:v>Decision Rule</x:v>
      </x:c>
      <x:c r="F23" s="267" t="str">
        <x:v>Required Evidence</x:v>
      </x:c>
      <x:c r="G23" s="267" t="str">
        <x:v>Authority</x:v>
      </x:c>
      <x:c r="H23" s="267" t="str">
        <x:v>Output</x:v>
      </x:c>
      <x:c r="I23" s="267" t="str">
        <x:v>Implementation Rule</x:v>
      </x:c>
      <x:c r="J23" s="267" t="str">
        <x:v>Control</x:v>
      </x:c>
    </x:row>
    <x:row r="24" ht="32" customHeight="1">
      <x:c r="A24" s="261" t="str">
        <x:v>1</x:v>
      </x:c>
      <x:c r="B24" s="261" t="str">
        <x:v>Confirm mandate and constraints</x:v>
      </x:c>
      <x:c r="C24" s="261" t="str">
        <x:v>07 Mandate &amp; Constraints</x:v>
      </x:c>
      <x:c r="D24" s="261" t="str">
        <x:v>Yellow / blue policy inputs only when formally changed</x:v>
      </x:c>
      <x:c r="E24" s="261" t="str">
        <x:v>Hard constraints cannot be optimized away</x:v>
      </x:c>
      <x:c r="F24" s="261" t="str">
        <x:v>Adopted governance record</x:v>
      </x:c>
      <x:c r="G24" s="261" t="str">
        <x:v>Chief Investment Steward</x:v>
      </x:c>
      <x:c r="H24" s="261" t="str">
        <x:v>Mandate-compliant design space</x:v>
      </x:c>
      <x:c r="I24" s="261" t="str">
        <x:v>Amendment required for hard-rule change</x:v>
      </x:c>
      <x:c r="J24" s="261" t="str">
        <x:v>PEW-001</x:v>
      </x:c>
    </x:row>
    <x:row r="25" ht="32" customHeight="1">
      <x:c r="A25" s="261" t="str">
        <x:v>2</x:v>
      </x:c>
      <x:c r="B25" s="261" t="str">
        <x:v>Review sleeve purpose and capacity</x:v>
      </x:c>
      <x:c r="C25" s="261" t="str">
        <x:v>08 Sleeve Architecture</x:v>
      </x:c>
      <x:c r="D25" s="261" t="str">
        <x:v>Scenario allocations flow from PEW-006</x:v>
      </x:c>
      <x:c r="E25" s="261" t="str">
        <x:v>Material sleeve shifts require review</x:v>
      </x:c>
      <x:c r="F25" s="261" t="str">
        <x:v>Purpose, risk and diversification effect</x:v>
      </x:c>
      <x:c r="G25" s="261" t="str">
        <x:v>Stewardship Committee</x:v>
      </x:c>
      <x:c r="H25" s="261" t="str">
        <x:v>Sleeve decision</x:v>
      </x:c>
      <x:c r="I25" s="261" t="str">
        <x:v>No direct trade instruction</x:v>
      </x:c>
      <x:c r="J25" s="261" t="str">
        <x:v>PEW-002</x:v>
      </x:c>
    </x:row>
    <x:row r="26" ht="32" customHeight="1">
      <x:c r="A26" s="261" t="str">
        <x:v>3</x:v>
      </x:c>
      <x:c r="B26" s="261" t="str">
        <x:v>Confirm each holding's portfolio role</x:v>
      </x:c>
      <x:c r="C26" s="261" t="str">
        <x:v>09 Role Assignment</x:v>
      </x:c>
      <x:c r="D26" s="261" t="str">
        <x:v>Blue baseline / yellow assessment inputs</x:v>
      </x:c>
      <x:c r="E26" s="261" t="str">
        <x:v>No role = no allocation</x:v>
      </x:c>
      <x:c r="F26" s="261" t="str">
        <x:v>MIAR and thesis record</x:v>
      </x:c>
      <x:c r="G26" s="261" t="str">
        <x:v>Research Committee</x:v>
      </x:c>
      <x:c r="H26" s="261" t="str">
        <x:v>Retain / review / replace</x:v>
      </x:c>
      <x:c r="I26" s="261" t="str">
        <x:v>Candidate process required for replacement</x:v>
      </x:c>
      <x:c r="J26" s="261" t="str">
        <x:v>PEW-003</x:v>
      </x:c>
    </x:row>
    <x:row r="27" ht="32" customHeight="1">
      <x:c r="A27" s="261" t="str">
        <x:v>4</x:v>
      </x:c>
      <x:c r="B27" s="261" t="str">
        <x:v>Compare incumbent and candidate evidence</x:v>
      </x:c>
      <x:c r="C27" s="261" t="str">
        <x:v>10 Candidate Comparison</x:v>
      </x:c>
      <x:c r="D27" s="261" t="str">
        <x:v>Yellow cells; score 0–100</x:v>
      </x:c>
      <x:c r="E27" s="261" t="str">
        <x:v>Zacks overlay only for close decisions</x:v>
      </x:c>
      <x:c r="F27" s="261" t="str">
        <x:v>MIAR, MICS, empirical, Merrill and role fit</x:v>
      </x:c>
      <x:c r="G27" s="261" t="str">
        <x:v>Stewardship Committee</x:v>
      </x:c>
      <x:c r="H27" s="261" t="str">
        <x:v>Candidate decision</x:v>
      </x:c>
      <x:c r="I27" s="261" t="str">
        <x:v>No automatic selection</x:v>
      </x:c>
      <x:c r="J27" s="261" t="str">
        <x:v>PEW-004</x:v>
      </x:c>
    </x:row>
    <x:row r="28" ht="32" customHeight="1">
      <x:c r="A28" s="261" t="str">
        <x:v>5</x:v>
      </x:c>
      <x:c r="B28" s="261" t="str">
        <x:v>Assign conviction and thesis controls</x:v>
      </x:c>
      <x:c r="C28" s="261" t="str">
        <x:v>11 Conviction</x:v>
      </x:c>
      <x:c r="D28" s="261" t="str">
        <x:v>Yellow proposed conviction and review inputs</x:v>
      </x:c>
      <x:c r="E28" s="261" t="str">
        <x:v>Unassigned conviction blocks certification</x:v>
      </x:c>
      <x:c r="F28" s="261" t="str">
        <x:v>Current research and thesis evidence</x:v>
      </x:c>
      <x:c r="G28" s="261" t="str">
        <x:v>Stewardship Committee</x:v>
      </x:c>
      <x:c r="H28" s="261" t="str">
        <x:v>Effective conviction</x:v>
      </x:c>
      <x:c r="I28" s="261" t="str">
        <x:v>Sizing remains scenario-only</x:v>
      </x:c>
      <x:c r="J28" s="261" t="str">
        <x:v>PEW-005</x:v>
      </x:c>
    </x:row>
    <x:row r="29" ht="32" customHeight="1">
      <x:c r="A29" s="261" t="str">
        <x:v>6</x:v>
      </x:c>
      <x:c r="B29" s="261" t="str">
        <x:v>Build a fully funded scenario</x:v>
      </x:c>
      <x:c r="C29" s="261" t="str">
        <x:v>12 Allocation Lab</x:v>
      </x:c>
      <x:c r="D29" s="261" t="str">
        <x:v>Enter only Scenario Weight Input and rationale</x:v>
      </x:c>
      <x:c r="E29" s="261" t="str">
        <x:v>Effective weights must total 100%</x:v>
      </x:c>
      <x:c r="F29" s="261" t="str">
        <x:v>Funding, bands and rationale</x:v>
      </x:c>
      <x:c r="G29" s="261" t="str">
        <x:v>Portfolio Engineering</x:v>
      </x:c>
      <x:c r="H29" s="261" t="str">
        <x:v>Engineering scenario</x:v>
      </x:c>
      <x:c r="I29" s="261" t="str">
        <x:v>Certified targets remain unchanged</x:v>
      </x:c>
      <x:c r="J29" s="261" t="str">
        <x:v>PEW-006</x:v>
      </x:c>
    </x:row>
    <x:row r="30" ht="32" customHeight="1">
      <x:c r="A30" s="261" t="str">
        <x:v>7</x:v>
      </x:c>
      <x:c r="B30" s="261" t="str">
        <x:v>Validate, approve and issue</x:v>
      </x:c>
      <x:c r="C30" s="261" t="str">
        <x:v>13 Validation &amp; Cert</x:v>
      </x:c>
      <x:c r="D30" s="261" t="str">
        <x:v>Approval status, reviewers and evidence</x:v>
      </x:c>
      <x:c r="E30" s="261" t="str">
        <x:v>Every blocking review must be approved</x:v>
      </x:c>
      <x:c r="F30" s="261" t="str">
        <x:v>Empirical / Monte Carlo when triggered</x:v>
      </x:c>
      <x:c r="G30" s="261" t="str">
        <x:v>Chief Investment Steward</x:v>
      </x:c>
      <x:c r="H30" s="261" t="str">
        <x:v>New MFPDF version</x:v>
      </x:c>
      <x:c r="I30" s="261" t="str">
        <x:v>Only issued version becomes operational</x:v>
      </x:c>
      <x:c r="J30" s="261" t="str">
        <x:v>PEW-007</x:v>
      </x:c>
    </x:row>
    <x:row r="31" ht="32" customHeight="1">
      <x:c r="A31" s="261" t="str">
        <x:v>8</x:v>
      </x:c>
      <x:c r="B31" s="261" t="str">
        <x:v>Synchronize executive publications</x:v>
      </x:c>
      <x:c r="C31" s="261" t="str">
        <x:v>00 CISC Dashboard / MWIR</x:v>
      </x:c>
      <x:c r="D31" s="261" t="str">
        <x:v>Linked outputs after certification</x:v>
      </x:c>
      <x:c r="E31" s="261" t="str">
        <x:v>No publication may imply unapproved change</x:v>
      </x:c>
      <x:c r="F31" s="261" t="str">
        <x:v>Certified MFPDF and committee record</x:v>
      </x:c>
      <x:c r="G31" s="261" t="str">
        <x:v>Publication Division</x:v>
      </x:c>
      <x:c r="H31" s="261" t="str">
        <x:v>Updated dashboard / MWIR</x:v>
      </x:c>
      <x:c r="I31" s="261" t="str">
        <x:v>No automatic execution</x:v>
      </x:c>
      <x:c r="J31" s="261" t="str">
        <x:v>Publication protocol</x:v>
      </x:c>
    </x:row>
    <x:row r="32" ht="32" customHeight="1"/>
    <x:row r="33" ht="32" customHeight="1">
      <x:c r="A33" s="264" t="str">
        <x:v>COLOR AND ENTRY CONVENTIONS</x:v>
      </x:c>
      <x:c r="B33" s="264"/>
      <x:c r="C33" s="264"/>
      <x:c r="D33" s="264"/>
      <x:c r="E33" s="264"/>
      <x:c r="F33" s="264"/>
      <x:c r="G33" s="264"/>
      <x:c r="H33" s="264"/>
      <x:c r="I33" s="264"/>
      <x:c r="J33" s="264"/>
    </x:row>
    <x:row r="34" ht="32" customHeight="1">
      <x:c r="A34" s="267" t="str">
        <x:v>Convention</x:v>
      </x:c>
      <x:c r="B34" s="267" t="str">
        <x:v>Meaning</x:v>
      </x:c>
      <x:c r="C34" s="267" t="str">
        <x:v>Where Used</x:v>
      </x:c>
      <x:c r="D34" s="267" t="str">
        <x:v>User Action</x:v>
      </x:c>
      <x:c r="E34" s="267" t="str">
        <x:v>Do Not</x:v>
      </x:c>
      <x:c r="F34" s="267" t="str"/>
      <x:c r="G34" s="267" t="str">
        <x:v>Freeze Field</x:v>
      </x:c>
      <x:c r="H34" s="267" t="str">
        <x:v>Current State</x:v>
      </x:c>
      <x:c r="I34" s="267" t="str">
        <x:v>Certification Requirement</x:v>
      </x:c>
      <x:c r="J34" s="267" t="str">
        <x:v>Result</x:v>
      </x:c>
    </x:row>
    <x:row r="35" ht="32" customHeight="1">
      <x:c r="A35" s="261" t="str">
        <x:v>Blue text + yellow fill</x:v>
      </x:c>
      <x:c r="B35" s="261" t="str">
        <x:v>Hardcoded scenario or policy input</x:v>
      </x:c>
      <x:c r="C35" s="261" t="str">
        <x:v>Candidate, conviction, allocation and certification inputs</x:v>
      </x:c>
      <x:c r="D35" s="261" t="str">
        <x:v>Enter verified information</x:v>
      </x:c>
      <x:c r="E35" s="261" t="str">
        <x:v>Do not paste over formula cells</x:v>
      </x:c>
      <x:c r="F35" s="261" t="str"/>
      <x:c r="G35" s="261" t="str">
        <x:v>MOPS-001 CISC-001</x:v>
      </x:c>
      <x:c r="H35" s="261" t="str">
        <x:v>Frozen</x:v>
      </x:c>
      <x:c r="I35" s="261" t="str">
        <x:v>No alteration without formal amendment</x:v>
      </x:c>
      <x:c r="J35" s="261" t="str">
        <x:v>Preserved</x:v>
      </x:c>
    </x:row>
    <x:row r="36" ht="32" customHeight="1">
      <x:c r="A36" s="261" t="str">
        <x:v>Green text</x:v>
      </x:c>
      <x:c r="B36" s="261" t="str">
        <x:v>Cross-sheet link to certified or supporting data</x:v>
      </x:c>
      <x:c r="C36" s="261" t="str">
        <x:v>All PEW linked fields</x:v>
      </x:c>
      <x:c r="D36" s="261" t="str">
        <x:v>Review source sheet if value appears wrong</x:v>
      </x:c>
      <x:c r="E36" s="261" t="str">
        <x:v>Do not replace with hardcode</x:v>
      </x:c>
      <x:c r="F36" s="261" t="str"/>
      <x:c r="G36" s="261" t="str">
        <x:v>MOPS-002 Architecture</x:v>
      </x:c>
      <x:c r="H36" s="261" t="str">
        <x:v>Certified &amp; Frozen</x:v>
      </x:c>
      <x:c r="I36" s="261" t="str">
        <x:v>Version-controlled amendment required</x:v>
      </x:c>
      <x:c r="J36" s="261" t="str">
        <x:v>FROZEN</x:v>
      </x:c>
    </x:row>
    <x:row r="37" ht="32" customHeight="1">
      <x:c r="A37" s="261" t="str">
        <x:v>Black text</x:v>
      </x:c>
      <x:c r="B37" s="261" t="str">
        <x:v>Formula or calculated output</x:v>
      </x:c>
      <x:c r="C37" s="261" t="str">
        <x:v>Scores, deltas, statuses and validation</x:v>
      </x:c>
      <x:c r="D37" s="261" t="str">
        <x:v>Allow workbook to calculate</x:v>
      </x:c>
      <x:c r="E37" s="261" t="str">
        <x:v>Do not overwrite</x:v>
      </x:c>
      <x:c r="F37" s="261" t="str"/>
      <x:c r="G37" s="261" t="str">
        <x:v>Certified Portfolio</x:v>
      </x:c>
      <x:c r="H37" s="261" t="str">
        <x:v>MFPDF v1.0</x:v>
      </x:c>
      <x:c r="I37" s="261" t="str">
        <x:v>New version required for operational change</x:v>
      </x:c>
      <x:c r="J37" s="261" t="str">
        <x:v>Preserved</x:v>
      </x:c>
    </x:row>
    <x:row r="38" ht="32" customHeight="1">
      <x:c r="A38" s="261" t="str">
        <x:v>Green status</x:v>
      </x:c>
      <x:c r="B38" s="261" t="str">
        <x:v>Passed, aligned or no decision required</x:v>
      </x:c>
      <x:c r="C38" s="261" t="str">
        <x:v>Control and validation status</x:v>
      </x:c>
      <x:c r="D38" s="261" t="str">
        <x:v>Continue monitoring</x:v>
      </x:c>
      <x:c r="E38" s="261" t="str">
        <x:v>Do not create activity merely to change status</x:v>
      </x:c>
      <x:c r="F38" s="261" t="str"/>
      <x:c r="G38" s="261" t="str">
        <x:v>Actual Weights</x:v>
      </x:c>
      <x:c r="H38" s="268" t="str">
        <x:f>COUNTA('Certified Allocation'!I5:I51)&amp;" / 47 loaded"</x:f>
        <x:v>0 / 47 loaded</x:v>
      </x:c>
      <x:c r="I38" s="261" t="str">
        <x:v>Required before implementation review</x:v>
      </x:c>
      <x:c r="J38" s="269" t="str">
        <x:f>IF(COUNTA('Certified Allocation'!I5:I51)=47,"PASS","INPUT REQUIRED")</x:f>
        <x:v>INPUT REQUIRED</x:v>
      </x:c>
    </x:row>
    <x:row r="39" ht="32" customHeight="1">
      <x:c r="A39" s="261" t="str">
        <x:v>Amber status</x:v>
      </x:c>
      <x:c r="B39" s="261" t="str">
        <x:v>Input, review or committee attention required</x:v>
      </x:c>
      <x:c r="C39" s="261" t="str">
        <x:v>Decision queue and validation</x:v>
      </x:c>
      <x:c r="D39" s="261" t="str">
        <x:v>Resolve evidence or enter required data</x:v>
      </x:c>
      <x:c r="E39" s="261" t="str">
        <x:v>Do not interpret as automatic trade</x:v>
      </x:c>
      <x:c r="F39" s="261" t="str"/>
      <x:c r="G39" s="261" t="str">
        <x:v>Conviction</x:v>
      </x:c>
      <x:c r="H39" s="268" t="str">
        <x:f>COUNTIF('11 Conviction'!H5:H51,"&lt;&gt;Unassigned")&amp;" / 47 assigned"</x:f>
        <x:v>0 / 47 assigned</x:v>
      </x:c>
      <x:c r="I39" s="261" t="str">
        <x:v>Required before certification</x:v>
      </x:c>
      <x:c r="J39" s="269" t="str">
        <x:f>IF(COUNTIF('11 Conviction'!H5:H51,"&lt;&gt;Unassigned")=47,"PASS","INPUT REQUIRED")</x:f>
        <x:v>INPUT REQUIRED</x:v>
      </x:c>
    </x:row>
    <x:row r="41">
      <x:c r="A41" s="347" t="str">
        <x:v>MOPS-002 FREEZE RECORD — Effective July 26, 2026, the PEW-001 through PEW-007 architecture is certified and frozen as the Manifest Portfolio Engineering Workspace, Founders Edition v1.0. Future changes must be version-controlled and may not silently alter the certified portfolio, rebalance authority, Zacks/Merrill governance, scenario-isolation rule or prohibition on automatic trading.</x:v>
      </x:c>
      <x:c r="B41" s="347"/>
      <x:c r="C41" s="347"/>
      <x:c r="D41" s="347"/>
      <x:c r="E41" s="347"/>
      <x:c r="F41" s="347"/>
      <x:c r="G41" s="347"/>
      <x:c r="H41" s="347"/>
      <x:c r="I41" s="347"/>
      <x:c r="J41" s="347"/>
    </x:row>
    <x:row r="42">
      <x:c r="A42" s="347"/>
      <x:c r="B42" s="347"/>
      <x:c r="C42" s="347"/>
      <x:c r="D42" s="347"/>
      <x:c r="E42" s="347"/>
      <x:c r="F42" s="347"/>
      <x:c r="G42" s="347"/>
      <x:c r="H42" s="347"/>
      <x:c r="I42" s="347"/>
      <x:c r="J42" s="347"/>
    </x:row>
    <x:row r="43">
      <x:c r="A43" s="347"/>
      <x:c r="B43" s="347"/>
      <x:c r="C43" s="347"/>
      <x:c r="D43" s="347"/>
      <x:c r="E43" s="347"/>
      <x:c r="F43" s="347"/>
      <x:c r="G43" s="347"/>
      <x:c r="H43" s="347"/>
      <x:c r="I43" s="347"/>
      <x:c r="J43" s="347"/>
    </x:row>
    <x:row r="44">
      <x:c r="A44" s="347"/>
      <x:c r="B44" s="347"/>
      <x:c r="C44" s="347"/>
      <x:c r="D44" s="347"/>
      <x:c r="E44" s="347"/>
      <x:c r="F44" s="347"/>
      <x:c r="G44" s="347"/>
      <x:c r="H44" s="347"/>
      <x:c r="I44" s="347"/>
      <x:c r="J44" s="347"/>
    </x:row>
  </x:sheetData>
  <x:mergeCells>
    <x:mergeCell ref="A1:J1"/>
    <x:mergeCell ref="A2:J2"/>
    <x:mergeCell ref="A3:J3"/>
    <x:mergeCell ref="A4:J4"/>
    <x:mergeCell ref="A12:J12"/>
    <x:mergeCell ref="A22:J22"/>
    <x:mergeCell ref="A33:J33"/>
    <x:mergeCell ref="A41:J44"/>
  </x:mergeCells>
  <x:conditionalFormatting sqref="C6:C10">
    <x:cfRule type="expression" dxfId="64" priority="1">
      <x:formula>OR(C6="PASS",C6="ACTIVE",C6="READY",C6="NO CHANGE",C6="BASELINE",C6="CERTIFIED",C6="ELIGIBLE",C6="NO DECISION")</x:formula>
    </x:cfRule>
    <x:cfRule type="expression" dxfId="65" priority="2">
      <x:formula>OR(ISNUMBER(SEARCH("REVIEW",C6)),ISNUMBER(SEARCH("MONITOR",C6)),ISNUMBER(SEARCH("PENDING",C6)),ISNUMBER(SEARCH("INPUT",C6)),ISNUMBER(SEARCH("ASSIGN",C6)),ISNUMBER(SEARCH("EXCEPTION",C6)),ISNUMBER(SEARCH("REQUIRED",C6)))</x:formula>
    </x:cfRule>
    <x:cfRule type="expression" dxfId="66" priority="3">
      <x:formula>OR(ISNUMBER(SEARCH("FAIL",C6)),ISNUMBER(SEARCH("PROHIBITED",C6)),ISNUMBER(SEARCH("IMPAIRED",C6)),ISNUMBER(SEARCH("REJECT",C6)))</x:formula>
    </x:cfRule>
  </x:conditionalFormatting>
  <x:conditionalFormatting sqref="J14:J20">
    <x:cfRule type="expression" dxfId="67" priority="4">
      <x:formula>OR(J14="PASS",J14="ACTIVE",J14="READY",J14="NO CHANGE",J14="BASELINE",J14="CERTIFIED",J14="ELIGIBLE",J14="NO DECISION")</x:formula>
    </x:cfRule>
    <x:cfRule type="expression" dxfId="68" priority="5">
      <x:formula>OR(ISNUMBER(SEARCH("REVIEW",J14)),ISNUMBER(SEARCH("MONITOR",J14)),ISNUMBER(SEARCH("PENDING",J14)),ISNUMBER(SEARCH("INPUT",J14)),ISNUMBER(SEARCH("ASSIGN",J14)),ISNUMBER(SEARCH("EXCEPTION",J14)),ISNUMBER(SEARCH("REQUIRED",J14)))</x:formula>
    </x:cfRule>
    <x:cfRule type="expression" dxfId="69" priority="6">
      <x:formula>OR(ISNUMBER(SEARCH("FAIL",J14)),ISNUMBER(SEARCH("PROHIBITED",J14)),ISNUMBER(SEARCH("IMPAIRED",J14)),ISNUMBER(SEARCH("REJECT",J14)))</x:formula>
    </x:cfRule>
  </x:conditionalFormatting>
  <x:conditionalFormatting sqref="J35:J39">
    <x:cfRule type="expression" dxfId="70" priority="7">
      <x:formula>OR(J35="PASS",J35="ACTIVE",J35="READY",J35="NO CHANGE",J35="BASELINE",J35="CERTIFIED",J35="ELIGIBLE",J35="NO DECISION")</x:formula>
    </x:cfRule>
    <x:cfRule type="expression" dxfId="71" priority="8">
      <x:formula>OR(ISNUMBER(SEARCH("REVIEW",J35)),ISNUMBER(SEARCH("MONITOR",J35)),ISNUMBER(SEARCH("PENDING",J35)),ISNUMBER(SEARCH("INPUT",J35)),ISNUMBER(SEARCH("ASSIGN",J35)),ISNUMBER(SEARCH("EXCEPTION",J35)),ISNUMBER(SEARCH("REQUIRED",J35)))</x:formula>
    </x:cfRule>
    <x:cfRule type="expression" dxfId="72" priority="9">
      <x:formula>OR(ISNUMBER(SEARCH("FAIL",J35)),ISNUMBER(SEARCH("PROHIBITED",J35)),ISNUMBER(SEARCH("IMPAIRED",J35)),ISNUMBER(SEARCH("REJECT",J35)))</x:formula>
    </x:cfRule>
  </x:conditionalFormatting>
  <x:conditionalFormatting sqref="J38:J39">
    <x:cfRule type="expression" dxfId="73" priority="10">
      <x:formula>OR(J38="PASS",J38="ACTIVE",J38="READY",J38="NO CHANGE",J38="BASELINE",J38="CERTIFIED",J38="ELIGIBLE",J38="NO DECISION")</x:formula>
    </x:cfRule>
    <x:cfRule type="expression" dxfId="74" priority="11">
      <x:formula>OR(ISNUMBER(SEARCH("REVIEW",J38)),ISNUMBER(SEARCH("MONITOR",J38)),ISNUMBER(SEARCH("PENDING",J38)),ISNUMBER(SEARCH("INPUT",J38)),ISNUMBER(SEARCH("ASSIGN",J38)),ISNUMBER(SEARCH("EXCEPTION",J38)),ISNUMBER(SEARCH("REQUIRED",J38)))</x:formula>
    </x:cfRule>
    <x:cfRule type="expression" dxfId="75" priority="12">
      <x:formula>OR(ISNUMBER(SEARCH("FAIL",J38)),ISNUMBER(SEARCH("PROHIBITED",J38)),ISNUMBER(SEARCH("IMPAIRED",J38)),ISNUMBER(SEARCH("REJECT",J38)))</x:formula>
    </x:cfRule>
  </x:conditionalFormatting>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s>
  <x:sheetData>
    <x:row r="1" ht="28" customHeight="1">
      <x:c r="A1" s="247" t="str">
        <x:v>MOPS-002 — PORTFOLIO ENGINEERING VALIDATION LISTS</x:v>
      </x:c>
      <x:c r="B1" s="247"/>
      <x:c r="C1" s="247"/>
      <x:c r="D1" s="247"/>
      <x:c r="E1" s="247"/>
      <x:c r="F1" s="247"/>
      <x:c r="G1" s="247"/>
      <x:c r="H1" s="247"/>
    </x:row>
    <x:row r="2" ht="20" customHeight="1">
      <x:c r="A2" s="250" t="str">
        <x:v>Controlled categories used by the Portfolio Engineering Workspace</x:v>
      </x:c>
      <x:c r="B2" s="250"/>
      <x:c r="C2" s="250"/>
      <x:c r="D2" s="250"/>
      <x:c r="E2" s="250"/>
      <x:c r="F2" s="250"/>
      <x:c r="G2" s="250"/>
      <x:c r="H2" s="250"/>
    </x:row>
    <x:row r="3" ht="18" customHeight="1">
      <x:c r="A3" s="254" t="str">
        <x:v>MOPS-002 | PEW-001–PEW-007 | Founders Edition Production Candidate</x:v>
      </x:c>
      <x:c r="B3" s="254"/>
      <x:c r="C3" s="254"/>
      <x:c r="D3" s="254"/>
      <x:c r="E3" s="254"/>
      <x:c r="F3" s="254"/>
      <x:c r="G3" s="254"/>
      <x:c r="H3" s="254"/>
    </x:row>
    <x:row r="5">
      <x:c r="A5" s="257" t="str">
        <x:v>Constraint Type</x:v>
      </x:c>
      <x:c r="B5" s="257" t="str">
        <x:v>Functional Role</x:v>
      </x:c>
      <x:c r="C5" s="257" t="str">
        <x:v>Role Priority</x:v>
      </x:c>
      <x:c r="D5" s="257" t="str">
        <x:v>Candidate Type</x:v>
      </x:c>
      <x:c r="E5" s="257" t="str">
        <x:v>Merrill Status</x:v>
      </x:c>
      <x:c r="F5" s="257" t="str">
        <x:v>Zacks Rank</x:v>
      </x:c>
      <x:c r="G5" s="257" t="str">
        <x:v>Yes / No</x:v>
      </x:c>
      <x:c r="H5" s="257" t="str">
        <x:v>Conviction Tier</x:v>
      </x:c>
    </x:row>
    <x:row r="6">
      <x:c r="A6" s="261" t="str">
        <x:v>Hard Constraint</x:v>
      </x:c>
      <x:c r="B6" s="261" t="str">
        <x:v>Constitutional Anchor</x:v>
      </x:c>
      <x:c r="C6" s="261" t="str">
        <x:v>Primary</x:v>
      </x:c>
      <x:c r="D6" s="261" t="str">
        <x:v>Incumbent</x:v>
      </x:c>
      <x:c r="E6" s="261" t="str">
        <x:v>Buy</x:v>
      </x:c>
      <x:c r="F6" s="261" t="n">
        <x:v>1</x:v>
      </x:c>
      <x:c r="G6" s="261" t="str">
        <x:v>Yes</x:v>
      </x:c>
      <x:c r="H6" s="261" t="str">
        <x:v>Tier 1 — Anchor</x:v>
      </x:c>
    </x:row>
    <x:row r="7">
      <x:c r="A7" s="261" t="str">
        <x:v>Soft Objective</x:v>
      </x:c>
      <x:c r="B7" s="261" t="str">
        <x:v>Core Compounder</x:v>
      </x:c>
      <x:c r="C7" s="261" t="str">
        <x:v>Secondary</x:v>
      </x:c>
      <x:c r="D7" s="261" t="str">
        <x:v>Candidate</x:v>
      </x:c>
      <x:c r="E7" s="261" t="str">
        <x:v>Neutral</x:v>
      </x:c>
      <x:c r="F7" s="261" t="n">
        <x:v>2</x:v>
      </x:c>
      <x:c r="G7" s="261" t="str">
        <x:v>No</x:v>
      </x:c>
      <x:c r="H7" s="261" t="str">
        <x:v>Tier 2 — Core</x:v>
      </x:c>
    </x:row>
    <x:row r="8">
      <x:c r="A8" s="261" t="str">
        <x:v>Governance Rule</x:v>
      </x:c>
      <x:c r="B8" s="261" t="str">
        <x:v>Growth Engine</x:v>
      </x:c>
      <x:c r="C8" s="261" t="str">
        <x:v>Implementation</x:v>
      </x:c>
      <x:c r="E8" s="261" t="str">
        <x:v>Underperform</x:v>
      </x:c>
      <x:c r="F8" s="261" t="n">
        <x:v>3</x:v>
      </x:c>
      <x:c r="H8" s="261" t="str">
        <x:v>Tier 3 — Opportunistic</x:v>
      </x:c>
    </x:row>
    <x:row r="9">
      <x:c r="A9" s="261" t="str">
        <x:v>Preference</x:v>
      </x:c>
      <x:c r="B9" s="261" t="str">
        <x:v>Infrastructure Enabler</x:v>
      </x:c>
      <x:c r="E9" s="261" t="str">
        <x:v>No Rating</x:v>
      </x:c>
      <x:c r="F9" s="261" t="n">
        <x:v>4</x:v>
      </x:c>
      <x:c r="H9" s="261" t="str">
        <x:v>Unassigned</x:v>
      </x:c>
    </x:row>
    <x:row r="10">
      <x:c r="A10" s="261" t="str">
        <x:v>Monitoring Control</x:v>
      </x:c>
      <x:c r="B10" s="261" t="str">
        <x:v>Quality Financial</x:v>
      </x:c>
      <x:c r="E10" s="261" t="str">
        <x:v>Not Checked</x:v>
      </x:c>
      <x:c r="F10" s="261" t="n">
        <x:v>5</x:v>
      </x:c>
    </x:row>
    <x:row r="11">
      <x:c r="B11" s="261" t="str">
        <x:v>Defensive Healthcare</x:v>
      </x:c>
    </x:row>
    <x:row r="12">
      <x:c r="B12" s="261" t="str">
        <x:v>Resource Exposure</x:v>
      </x:c>
    </x:row>
    <x:row r="13">
      <x:c r="B13" s="261" t="str">
        <x:v>Income Generator</x:v>
      </x:c>
    </x:row>
    <x:row r="14">
      <x:c r="B14" s="261" t="str">
        <x:v>Volatility Moderator</x:v>
      </x:c>
    </x:row>
    <x:row r="15">
      <x:c r="B15" s="261" t="str">
        <x:v>Diversifier</x:v>
      </x:c>
    </x:row>
    <x:row r="20">
      <x:c r="A20" s="257" t="str">
        <x:v>Thesis Status</x:v>
      </x:c>
      <x:c r="B20" s="257" t="str">
        <x:v>Research Status</x:v>
      </x:c>
      <x:c r="C20" s="257" t="str">
        <x:v>Risk Class</x:v>
      </x:c>
      <x:c r="D20" s="257" t="str">
        <x:v>Holding Period</x:v>
      </x:c>
      <x:c r="E20" s="257" t="str">
        <x:v>Role Decision</x:v>
      </x:c>
      <x:c r="F20" s="257" t="str">
        <x:v>Committee Decision</x:v>
      </x:c>
      <x:c r="G20" s="257" t="str">
        <x:v>Certification Status</x:v>
      </x:c>
      <x:c r="H20" s="257" t="str">
        <x:v>Scenario Status</x:v>
      </x:c>
    </x:row>
    <x:row r="21">
      <x:c r="A21" s="261" t="str">
        <x:v>Current</x:v>
      </x:c>
      <x:c r="B21" s="261" t="str">
        <x:v>Current</x:v>
      </x:c>
      <x:c r="C21" s="261" t="str">
        <x:v>Low</x:v>
      </x:c>
      <x:c r="D21" s="261" t="str">
        <x:v>1–3 years</x:v>
      </x:c>
      <x:c r="E21" s="261" t="str">
        <x:v>Retain — Certified Baseline</x:v>
      </x:c>
      <x:c r="F21" s="261" t="str">
        <x:v>Approve</x:v>
      </x:c>
      <x:c r="G21" s="261" t="str">
        <x:v>Pending</x:v>
      </x:c>
      <x:c r="H21" s="261" t="str">
        <x:v>Open</x:v>
      </x:c>
    </x:row>
    <x:row r="22">
      <x:c r="A22" s="261" t="str">
        <x:v>Watch</x:v>
      </x:c>
      <x:c r="B22" s="261" t="str">
        <x:v>Update Due</x:v>
      </x:c>
      <x:c r="C22" s="261" t="str">
        <x:v>Moderate</x:v>
      </x:c>
      <x:c r="D22" s="261" t="str">
        <x:v>3–5 years</x:v>
      </x:c>
      <x:c r="E22" s="261" t="str">
        <x:v>Retain</x:v>
      </x:c>
      <x:c r="F22" s="261" t="str">
        <x:v>Reject</x:v>
      </x:c>
      <x:c r="G22" s="261" t="str">
        <x:v>Approved</x:v>
      </x:c>
      <x:c r="H22" s="261" t="str">
        <x:v>Ready for Validation</x:v>
      </x:c>
    </x:row>
    <x:row r="23">
      <x:c r="A23" s="261" t="str">
        <x:v>Review Due</x:v>
      </x:c>
      <x:c r="B23" s="261" t="str">
        <x:v>Review Due</x:v>
      </x:c>
      <x:c r="C23" s="261" t="str">
        <x:v>High</x:v>
      </x:c>
      <x:c r="D23" s="261" t="str">
        <x:v>5+ years</x:v>
      </x:c>
      <x:c r="E23" s="261" t="str">
        <x:v>Review</x:v>
      </x:c>
      <x:c r="F23" s="261" t="str">
        <x:v>Defer</x:v>
      </x:c>
      <x:c r="G23" s="261" t="str">
        <x:v>Rejected</x:v>
      </x:c>
      <x:c r="H23" s="261" t="str">
        <x:v>Committee Review</x:v>
      </x:c>
    </x:row>
    <x:row r="24">
      <x:c r="A24" s="261" t="str">
        <x:v>Impaired</x:v>
      </x:c>
      <x:c r="B24" s="261" t="str">
        <x:v>Decision Required</x:v>
      </x:c>
      <x:c r="C24" s="261" t="str">
        <x:v>Not Assessed</x:v>
      </x:c>
      <x:c r="D24" s="261" t="str">
        <x:v>Tactical / event driven</x:v>
      </x:c>
      <x:c r="E24" s="261" t="str">
        <x:v>Replacement Candidate</x:v>
      </x:c>
      <x:c r="F24" s="261" t="str">
        <x:v>Exception Approved</x:v>
      </x:c>
      <x:c r="G24" s="261" t="str">
        <x:v>Not Required</x:v>
      </x:c>
      <x:c r="H24" s="261" t="str">
        <x:v>Certified</x:v>
      </x:c>
    </x:row>
    <x:row r="25">
      <x:c r="F25" s="261" t="str">
        <x:v>No Decision</x:v>
      </x:c>
      <x:c r="H25" s="261" t="str">
        <x:v>Rejected</x:v>
      </x:c>
    </x:row>
  </x:sheetData>
  <x:mergeCells>
    <x:mergeCell ref="A1:H1"/>
    <x:mergeCell ref="A2:H2"/>
    <x:mergeCell ref="A3:H3"/>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396" t="str">
        <x:v>MOPS-002 — MANIFEST PORTFOLIO ENGINEERING WORKSPACE</x:v>
      </x:c>
      <x:c r="B1" s="396"/>
      <x:c r="C1" s="396"/>
      <x:c r="D1" s="396"/>
      <x:c r="E1" s="396"/>
      <x:c r="F1" s="396"/>
      <x:c r="G1" s="396"/>
      <x:c r="H1" s="396"/>
      <x:c r="I1" s="396"/>
      <x:c r="J1" s="396"/>
    </x:row>
    <x:row r="2" ht="24" customHeight="1">
      <x:c r="A2" s="399" t="str">
        <x:v>FOUNDERS EDITION v1.0 — CERTIFICATION AND FREEZE RECORD</x:v>
      </x:c>
      <x:c r="B2" s="399"/>
      <x:c r="C2" s="399"/>
      <x:c r="D2" s="399"/>
      <x:c r="E2" s="399"/>
      <x:c r="F2" s="399"/>
      <x:c r="G2" s="399"/>
      <x:c r="H2" s="399"/>
      <x:c r="I2" s="399"/>
      <x:c r="J2" s="399"/>
    </x:row>
    <x:row r="3" ht="22" customHeight="1">
      <x:c r="A3" s="403" t="str">
        <x:v>Resolution MOPS-002-FR-001  |  Effective July 26, 2026  |  Status: CERTIFIED &amp; FROZEN</x:v>
      </x:c>
      <x:c r="B3" s="403"/>
      <x:c r="C3" s="403"/>
      <x:c r="D3" s="403"/>
      <x:c r="E3" s="403"/>
      <x:c r="F3" s="403"/>
      <x:c r="G3" s="403"/>
      <x:c r="H3" s="403"/>
      <x:c r="I3" s="403"/>
      <x:c r="J3" s="403"/>
    </x:row>
    <x:row r="5">
      <x:c r="A5" s="406" t="str">
        <x:v>FORMAL RESOLUTION</x:v>
      </x:c>
      <x:c r="B5" s="406"/>
      <x:c r="C5" s="406"/>
      <x:c r="D5" s="406"/>
      <x:c r="E5" s="406"/>
      <x:c r="F5" s="406"/>
      <x:c r="G5" s="406"/>
      <x:c r="H5" s="406"/>
      <x:c r="I5" s="406"/>
      <x:c r="J5" s="406"/>
    </x:row>
    <x:row r="6" ht="28" customHeight="1">
      <x:c r="A6" s="436" t="str">
        <x:v>By direction of the Chief Investment Steward, MOPS-002 — Portfolio Engineering Workspace is adopted, certified and frozen as the Manifest Portfolio Engineering Workspace, Founders Edition v1.0. The certified architecture comprises PEW-001 through PEW-007 and is authorized as the controlled institutional environment for mandate review, sleeve design, role assignment, candidate comparison, conviction governance, allocation engineering, and validation/certification. This resolution freezes the operating architecture and control principles; it does not approve a portfolio trade, a scenario allocation, or a replacement MFPDF version.</x:v>
      </x:c>
      <x:c r="B6" s="437"/>
      <x:c r="C6" s="437"/>
      <x:c r="D6" s="437"/>
      <x:c r="E6" s="437"/>
      <x:c r="F6" s="437"/>
      <x:c r="G6" s="437"/>
      <x:c r="H6" s="437"/>
      <x:c r="I6" s="437"/>
      <x:c r="J6" s="438"/>
    </x:row>
    <x:row r="7" ht="28" customHeight="1">
      <x:c r="A7" s="439"/>
      <x:c r="B7" s="440"/>
      <x:c r="C7" s="440"/>
      <x:c r="D7" s="440"/>
      <x:c r="E7" s="440"/>
      <x:c r="F7" s="440"/>
      <x:c r="G7" s="440"/>
      <x:c r="H7" s="440"/>
      <x:c r="I7" s="440"/>
      <x:c r="J7" s="441"/>
    </x:row>
    <x:row r="8" ht="28" customHeight="1">
      <x:c r="A8" s="439"/>
      <x:c r="B8" s="440"/>
      <x:c r="C8" s="440"/>
      <x:c r="D8" s="440"/>
      <x:c r="E8" s="440"/>
      <x:c r="F8" s="440"/>
      <x:c r="G8" s="440"/>
      <x:c r="H8" s="440"/>
      <x:c r="I8" s="440"/>
      <x:c r="J8" s="441"/>
    </x:row>
    <x:row r="9" ht="28" customHeight="1">
      <x:c r="A9" s="439"/>
      <x:c r="B9" s="440"/>
      <x:c r="C9" s="440"/>
      <x:c r="D9" s="440"/>
      <x:c r="E9" s="440"/>
      <x:c r="F9" s="440"/>
      <x:c r="G9" s="440"/>
      <x:c r="H9" s="440"/>
      <x:c r="I9" s="440"/>
      <x:c r="J9" s="441"/>
    </x:row>
    <x:row r="10" ht="28" customHeight="1">
      <x:c r="A10" s="442"/>
      <x:c r="B10" s="443"/>
      <x:c r="C10" s="443"/>
      <x:c r="D10" s="443"/>
      <x:c r="E10" s="443"/>
      <x:c r="F10" s="443"/>
      <x:c r="G10" s="443"/>
      <x:c r="H10" s="443"/>
      <x:c r="I10" s="443"/>
      <x:c r="J10" s="444"/>
    </x:row>
    <x:row r="12">
      <x:c r="A12" s="406" t="str">
        <x:v>CERTIFIED WORKSPACE RECORD</x:v>
      </x:c>
      <x:c r="B12" s="406"/>
      <x:c r="C12" s="406"/>
      <x:c r="D12" s="406"/>
      <x:c r="E12" s="406"/>
      <x:c r="F12" s="406"/>
      <x:c r="G12" s="406"/>
      <x:c r="H12" s="406"/>
      <x:c r="I12" s="406"/>
      <x:c r="J12" s="406"/>
    </x:row>
    <x:row r="13">
      <x:c r="A13" s="448" t="str">
        <x:v>Certification Field</x:v>
      </x:c>
      <x:c r="B13" s="448"/>
      <x:c r="C13" s="448"/>
      <x:c r="D13" s="448" t="str">
        <x:v>Certified Standard</x:v>
      </x:c>
      <x:c r="E13" s="448"/>
      <x:c r="F13" s="448"/>
      <x:c r="G13" s="448"/>
      <x:c r="H13" s="448" t="str">
        <x:v>Status / Authority</x:v>
      </x:c>
      <x:c r="I13" s="448"/>
      <x:c r="J13" s="448"/>
    </x:row>
    <x:row r="14" ht="24" customHeight="1">
      <x:c r="A14" s="460" t="str">
        <x:v>Operating Product</x:v>
      </x:c>
      <x:c r="B14" s="461"/>
      <x:c r="C14" s="461"/>
      <x:c r="D14" s="458" t="str">
        <x:v>MOPS-002 — Portfolio Engineering Workspace</x:v>
      </x:c>
      <x:c r="E14" s="458"/>
      <x:c r="F14" s="458"/>
      <x:c r="G14" s="458"/>
      <x:c r="H14" s="462" t="str">
        <x:v>CERTIFIED &amp; FROZEN</x:v>
      </x:c>
      <x:c r="I14" s="462"/>
      <x:c r="J14" s="463"/>
    </x:row>
    <x:row r="15" ht="24" customHeight="1">
      <x:c r="A15" s="475" t="str">
        <x:v>Edition</x:v>
      </x:c>
      <x:c r="B15" s="476"/>
      <x:c r="C15" s="476"/>
      <x:c r="D15" s="473" t="str">
        <x:v>Founders Edition v1.0</x:v>
      </x:c>
      <x:c r="E15" s="473"/>
      <x:c r="F15" s="473"/>
      <x:c r="G15" s="473"/>
      <x:c r="H15" s="477" t="str">
        <x:v>Effective July 26, 2026</x:v>
      </x:c>
      <x:c r="I15" s="477"/>
      <x:c r="J15" s="478"/>
    </x:row>
    <x:row r="16" ht="24" customHeight="1">
      <x:c r="A16" s="460" t="str">
        <x:v>Workspace Architecture</x:v>
      </x:c>
      <x:c r="B16" s="461"/>
      <x:c r="C16" s="461"/>
      <x:c r="D16" s="458" t="str">
        <x:v>PEW-001 through PEW-007</x:v>
      </x:c>
      <x:c r="E16" s="458"/>
      <x:c r="F16" s="458"/>
      <x:c r="G16" s="458"/>
      <x:c r="H16" s="462" t="str">
        <x:v>Frozen</x:v>
      </x:c>
      <x:c r="I16" s="462"/>
      <x:c r="J16" s="463"/>
    </x:row>
    <x:row r="17" ht="24" customHeight="1">
      <x:c r="A17" s="475" t="str">
        <x:v>Visual Foundation</x:v>
      </x:c>
      <x:c r="B17" s="476"/>
      <x:c r="C17" s="476"/>
      <x:c r="D17" s="473" t="str">
        <x:v>CISC-001 five-panel executive console</x:v>
      </x:c>
      <x:c r="E17" s="473"/>
      <x:c r="F17" s="473"/>
      <x:c r="G17" s="473"/>
      <x:c r="H17" s="477" t="str">
        <x:v>Preserved</x:v>
      </x:c>
      <x:c r="I17" s="477"/>
      <x:c r="J17" s="478"/>
    </x:row>
    <x:row r="18" ht="24" customHeight="1">
      <x:c r="A18" s="460" t="str">
        <x:v>System of Record</x:v>
      </x:c>
      <x:c r="B18" s="461"/>
      <x:c r="C18" s="461"/>
      <x:c r="D18" s="458" t="str">
        <x:v>Certified MFPDF v1.0 / Portfolio B</x:v>
      </x:c>
      <x:c r="E18" s="458"/>
      <x:c r="F18" s="458"/>
      <x:c r="G18" s="458"/>
      <x:c r="H18" s="462" t="str">
        <x:v>Authoritative</x:v>
      </x:c>
      <x:c r="I18" s="462"/>
      <x:c r="J18" s="463"/>
    </x:row>
    <x:row r="19" ht="24" customHeight="1">
      <x:c r="A19" s="475" t="str">
        <x:v>Portfolio Foundation</x:v>
      </x:c>
      <x:c r="B19" s="476"/>
      <x:c r="C19" s="476"/>
      <x:c r="D19" s="473" t="str">
        <x:v>47 positions | 40 equities | 7 ETFs | 100.00% target</x:v>
      </x:c>
      <x:c r="E19" s="473"/>
      <x:c r="F19" s="473"/>
      <x:c r="G19" s="473"/>
      <x:c r="H19" s="477" t="str">
        <x:v>Unchanged</x:v>
      </x:c>
      <x:c r="I19" s="477"/>
      <x:c r="J19" s="478"/>
    </x:row>
    <x:row r="20" ht="24" customHeight="1">
      <x:c r="A20" s="460" t="str">
        <x:v>Certification Authority</x:v>
      </x:c>
      <x:c r="B20" s="461"/>
      <x:c r="C20" s="461"/>
      <x:c r="D20" s="458" t="str">
        <x:v>Chief Investment Steward</x:v>
      </x:c>
      <x:c r="E20" s="458"/>
      <x:c r="F20" s="458"/>
      <x:c r="G20" s="458"/>
      <x:c r="H20" s="462" t="str">
        <x:v>Adopted</x:v>
      </x:c>
      <x:c r="I20" s="462"/>
      <x:c r="J20" s="463"/>
    </x:row>
    <x:row r="21" ht="24" customHeight="1">
      <x:c r="A21" s="475" t="str">
        <x:v>Resolution</x:v>
      </x:c>
      <x:c r="B21" s="476"/>
      <x:c r="C21" s="476"/>
      <x:c r="D21" s="473" t="str">
        <x:v>MOPS-002-FR-001</x:v>
      </x:c>
      <x:c r="E21" s="473"/>
      <x:c r="F21" s="473"/>
      <x:c r="G21" s="473"/>
      <x:c r="H21" s="477" t="str">
        <x:v>Final</x:v>
      </x:c>
      <x:c r="I21" s="477"/>
      <x:c r="J21" s="478"/>
    </x:row>
    <x:row r="23">
      <x:c r="A23" s="406" t="str">
        <x:v>FROZEN CONTROL PRINCIPLES</x:v>
      </x:c>
      <x:c r="B23" s="406"/>
      <x:c r="C23" s="406"/>
      <x:c r="D23" s="406"/>
      <x:c r="E23" s="406"/>
      <x:c r="F23" s="406"/>
      <x:c r="G23" s="406"/>
      <x:c r="H23" s="406"/>
      <x:c r="I23" s="406"/>
      <x:c r="J23" s="406"/>
    </x:row>
    <x:row r="24" ht="22" customHeight="1">
      <x:c r="A24" s="480" t="str">
        <x:v>1. The certified MFPDF remains the sole portfolio system of record.</x:v>
      </x:c>
      <x:c r="B24" s="480"/>
      <x:c r="C24" s="480"/>
      <x:c r="D24" s="480"/>
      <x:c r="E24" s="480"/>
      <x:c r="F24" s="480"/>
      <x:c r="G24" s="480"/>
      <x:c r="H24" s="480"/>
      <x:c r="I24" s="480"/>
      <x:c r="J24" s="480"/>
    </x:row>
    <x:row r="25" ht="22" customHeight="1">
      <x:c r="A25" s="482" t="str">
        <x:v>2. The Portfolio Engineering Workspace is a scenario layer and may not overwrite certified target weights.</x:v>
      </x:c>
      <x:c r="B25" s="482"/>
      <x:c r="C25" s="482"/>
      <x:c r="D25" s="482"/>
      <x:c r="E25" s="482"/>
      <x:c r="F25" s="482"/>
      <x:c r="G25" s="482"/>
      <x:c r="H25" s="482"/>
      <x:c r="I25" s="482"/>
      <x:c r="J25" s="482"/>
    </x:row>
    <x:row r="26" ht="22" customHeight="1">
      <x:c r="A26" s="480" t="str">
        <x:v>3. Automatic trading or automatic implementation is prohibited; committee authority is retained.</x:v>
      </x:c>
      <x:c r="B26" s="480"/>
      <x:c r="C26" s="480"/>
      <x:c r="D26" s="480"/>
      <x:c r="E26" s="480"/>
      <x:c r="F26" s="480"/>
      <x:c r="G26" s="480"/>
      <x:c r="H26" s="480"/>
      <x:c r="I26" s="480"/>
      <x:c r="J26" s="480"/>
    </x:row>
    <x:row r="27" ht="22" customHeight="1">
      <x:c r="A27" s="482" t="str">
        <x:v>4. The PEW-001 through PEW-007 module architecture and operating sequence are frozen.</x:v>
      </x:c>
      <x:c r="B27" s="482"/>
      <x:c r="C27" s="482"/>
      <x:c r="D27" s="482"/>
      <x:c r="E27" s="482"/>
      <x:c r="F27" s="482"/>
      <x:c r="G27" s="482"/>
      <x:c r="H27" s="482"/>
      <x:c r="I27" s="482"/>
      <x:c r="J27" s="482"/>
    </x:row>
    <x:row r="28" ht="22" customHeight="1">
      <x:c r="A28" s="480" t="str">
        <x:v>5. Zacks/Merrill governance, evidence hierarchy, and documented exception controls remain in force.</x:v>
      </x:c>
      <x:c r="B28" s="480"/>
      <x:c r="C28" s="480"/>
      <x:c r="D28" s="480"/>
      <x:c r="E28" s="480"/>
      <x:c r="F28" s="480"/>
      <x:c r="G28" s="480"/>
      <x:c r="H28" s="480"/>
      <x:c r="I28" s="480"/>
      <x:c r="J28" s="480"/>
    </x:row>
    <x:row r="29" ht="22" customHeight="1">
      <x:c r="A29" s="482" t="str">
        <x:v>6. Any operational portfolio change requires a newly certified and issued MFPDF version.</x:v>
      </x:c>
      <x:c r="B29" s="482"/>
      <x:c r="C29" s="482"/>
      <x:c r="D29" s="482"/>
      <x:c r="E29" s="482"/>
      <x:c r="F29" s="482"/>
      <x:c r="G29" s="482"/>
      <x:c r="H29" s="482"/>
      <x:c r="I29" s="482"/>
      <x:c r="J29" s="482"/>
    </x:row>
    <x:row r="30" ht="22" customHeight="1">
      <x:c r="A30" s="480" t="str">
        <x:v>7. CISC and MWIR publications may reflect portfolio changes only after formal certification.</x:v>
      </x:c>
      <x:c r="B30" s="480"/>
      <x:c r="C30" s="480"/>
      <x:c r="D30" s="480"/>
      <x:c r="E30" s="480"/>
      <x:c r="F30" s="480"/>
      <x:c r="G30" s="480"/>
      <x:c r="H30" s="480"/>
      <x:c r="I30" s="480"/>
      <x:c r="J30" s="480"/>
    </x:row>
    <x:row r="32">
      <x:c r="A32" s="406" t="str">
        <x:v>SCOPE EXCLUSION AND OPERATING STATE AT FREEZE</x:v>
      </x:c>
      <x:c r="B32" s="406"/>
      <x:c r="C32" s="406"/>
      <x:c r="D32" s="406"/>
      <x:c r="E32" s="406"/>
      <x:c r="F32" s="406"/>
      <x:c r="G32" s="406"/>
      <x:c r="H32" s="406"/>
      <x:c r="I32" s="406"/>
      <x:c r="J32" s="406"/>
    </x:row>
    <x:row r="33" ht="26" customHeight="1">
      <x:c r="A33" s="512" t="str">
        <x:v>This certification freezes the workspace architecture, not a portfolio transaction or new scenario. At the time of certification, actual portfolio weights loaded were 0 of 47, effective conviction tiers assigned were 0 of 47, scenario positions changed were 0, and PEW-SCN-001 remained NOT READY for implementation. These are operating-data conditions, not defects in the certified workspace. The certified Portfolio B target allocation remains unchanged and fully authoritative.</x:v>
      </x:c>
      <x:c r="B33" s="513"/>
      <x:c r="C33" s="513"/>
      <x:c r="D33" s="513"/>
      <x:c r="E33" s="513"/>
      <x:c r="F33" s="513"/>
      <x:c r="G33" s="513"/>
      <x:c r="H33" s="513"/>
      <x:c r="I33" s="513"/>
      <x:c r="J33" s="514"/>
    </x:row>
    <x:row r="34" ht="26" customHeight="1">
      <x:c r="A34" s="515"/>
      <x:c r="B34" s="516"/>
      <x:c r="C34" s="516"/>
      <x:c r="D34" s="516"/>
      <x:c r="E34" s="516"/>
      <x:c r="F34" s="516"/>
      <x:c r="G34" s="516"/>
      <x:c r="H34" s="516"/>
      <x:c r="I34" s="516"/>
      <x:c r="J34" s="517"/>
    </x:row>
    <x:row r="35" ht="26" customHeight="1">
      <x:c r="A35" s="515"/>
      <x:c r="B35" s="516"/>
      <x:c r="C35" s="516"/>
      <x:c r="D35" s="516"/>
      <x:c r="E35" s="516"/>
      <x:c r="F35" s="516"/>
      <x:c r="G35" s="516"/>
      <x:c r="H35" s="516"/>
      <x:c r="I35" s="516"/>
      <x:c r="J35" s="517"/>
    </x:row>
    <x:row r="36" ht="26" customHeight="1">
      <x:c r="A36" s="518"/>
      <x:c r="B36" s="519"/>
      <x:c r="C36" s="519"/>
      <x:c r="D36" s="519"/>
      <x:c r="E36" s="519"/>
      <x:c r="F36" s="519"/>
      <x:c r="G36" s="519"/>
      <x:c r="H36" s="519"/>
      <x:c r="I36" s="519"/>
      <x:c r="J36" s="520"/>
    </x:row>
    <x:row r="38">
      <x:c r="A38" s="406" t="str">
        <x:v>VERSION CONTROL AND AMENDMENT STANDARD</x:v>
      </x:c>
      <x:c r="B38" s="406"/>
      <x:c r="C38" s="406"/>
      <x:c r="D38" s="406"/>
      <x:c r="E38" s="406"/>
      <x:c r="F38" s="406"/>
      <x:c r="G38" s="406"/>
      <x:c r="H38" s="406"/>
      <x:c r="I38" s="406"/>
      <x:c r="J38" s="406"/>
    </x:row>
    <x:row r="39" ht="24" customHeight="1">
      <x:c r="A39" s="549" t="str">
        <x:v>Future structural changes must be issued through formal version control as Founders Edition v1.1 or a later authorized version. No revision may silently modify the certified portfolio, rebalancing authority, scenario-isolation principle, Zacks/Merrill governance, validation gate, or prohibition on automatic trading. Operating inputs may be updated in designated input cells without constituting an architectural amendment.</x:v>
      </x:c>
      <x:c r="B39" s="550"/>
      <x:c r="C39" s="550"/>
      <x:c r="D39" s="550"/>
      <x:c r="E39" s="550"/>
      <x:c r="F39" s="550"/>
      <x:c r="G39" s="550"/>
      <x:c r="H39" s="550"/>
      <x:c r="I39" s="550"/>
      <x:c r="J39" s="551"/>
    </x:row>
    <x:row r="40" ht="24" customHeight="1">
      <x:c r="A40" s="552"/>
      <x:c r="B40" s="553"/>
      <x:c r="C40" s="553"/>
      <x:c r="D40" s="553"/>
      <x:c r="E40" s="553"/>
      <x:c r="F40" s="553"/>
      <x:c r="G40" s="553"/>
      <x:c r="H40" s="553"/>
      <x:c r="I40" s="553"/>
      <x:c r="J40" s="554"/>
    </x:row>
    <x:row r="41" ht="24" customHeight="1">
      <x:c r="A41" s="555"/>
      <x:c r="B41" s="556"/>
      <x:c r="C41" s="556"/>
      <x:c r="D41" s="556"/>
      <x:c r="E41" s="556"/>
      <x:c r="F41" s="556"/>
      <x:c r="G41" s="556"/>
      <x:c r="H41" s="556"/>
      <x:c r="I41" s="556"/>
      <x:c r="J41" s="557"/>
    </x:row>
    <x:row r="43" ht="24" customHeight="1">
      <x:c r="A43" s="560" t="str">
        <x:v>CERTIFIED BY AUTHORITY OF THE CHIEF INVESTMENT STEWARD — MANIFEST INSTITUTIONAL INVESTMENT SYSTEM</x:v>
      </x:c>
      <x:c r="B43" s="560"/>
      <x:c r="C43" s="560"/>
      <x:c r="D43" s="560"/>
      <x:c r="E43" s="560"/>
      <x:c r="F43" s="560"/>
      <x:c r="G43" s="560"/>
      <x:c r="H43" s="560"/>
      <x:c r="I43" s="560"/>
      <x:c r="J43" s="560"/>
    </x:row>
    <x:row r="44" ht="20" customHeight="1">
      <x:c r="A44" s="563" t="str">
        <x:v>MOPS-002-FR-001  |  Manifest Portfolio Engineering Workspace  |  Founders Edition v1.0  |  July 26, 2026</x:v>
      </x:c>
      <x:c r="B44" s="563"/>
      <x:c r="C44" s="563"/>
      <x:c r="D44" s="563"/>
      <x:c r="E44" s="563"/>
      <x:c r="F44" s="563"/>
      <x:c r="G44" s="563"/>
      <x:c r="H44" s="563"/>
      <x:c r="I44" s="563"/>
      <x:c r="J44" s="563"/>
    </x:row>
  </x:sheetData>
  <x:mergeCells>
    <x:mergeCell ref="A1:J1"/>
    <x:mergeCell ref="A2:J2"/>
    <x:mergeCell ref="A3:J3"/>
    <x:mergeCell ref="A5:J5"/>
    <x:mergeCell ref="A6:J10"/>
    <x:mergeCell ref="A12:J12"/>
    <x:mergeCell ref="A13:C13"/>
    <x:mergeCell ref="D13:G13"/>
    <x:mergeCell ref="H13:J13"/>
    <x:mergeCell ref="A14:C14"/>
    <x:mergeCell ref="D14:G14"/>
    <x:mergeCell ref="H14:J14"/>
    <x:mergeCell ref="A15:C15"/>
    <x:mergeCell ref="D15:G15"/>
    <x:mergeCell ref="H15:J15"/>
    <x:mergeCell ref="A16:C16"/>
    <x:mergeCell ref="D16:G16"/>
    <x:mergeCell ref="H16:J16"/>
    <x:mergeCell ref="A17:C17"/>
    <x:mergeCell ref="D17:G17"/>
    <x:mergeCell ref="H17:J17"/>
    <x:mergeCell ref="A18:C18"/>
    <x:mergeCell ref="D18:G18"/>
    <x:mergeCell ref="H18:J18"/>
    <x:mergeCell ref="A19:C19"/>
    <x:mergeCell ref="D19:G19"/>
    <x:mergeCell ref="H19:J19"/>
    <x:mergeCell ref="A20:C20"/>
    <x:mergeCell ref="D20:G20"/>
    <x:mergeCell ref="H20:J20"/>
    <x:mergeCell ref="A21:C21"/>
    <x:mergeCell ref="D21:G21"/>
    <x:mergeCell ref="H21:J21"/>
    <x:mergeCell ref="A23:J23"/>
    <x:mergeCell ref="A24:J24"/>
    <x:mergeCell ref="A25:J25"/>
    <x:mergeCell ref="A26:J26"/>
    <x:mergeCell ref="A27:J27"/>
    <x:mergeCell ref="A28:J28"/>
    <x:mergeCell ref="A29:J29"/>
    <x:mergeCell ref="A30:J30"/>
    <x:mergeCell ref="A32:J32"/>
    <x:mergeCell ref="A33:J36"/>
    <x:mergeCell ref="A38:J38"/>
    <x:mergeCell ref="A39:J41"/>
    <x:mergeCell ref="A43:J43"/>
    <x:mergeCell ref="A44:J44"/>
  </x:mergeCells>
  <x:pageMargins left="0.7" right="0.7" top="0.75" bottom="0.75" header="0.3" footer="0.3"/>
</x:worksheet>
</file>

<file path=xl/worksheets/sheet24.xml><?xml version="1.0" encoding="utf-8"?>
<x:worksheet xmlns:x="http://schemas.openxmlformats.org/spreadsheetml/2006/main">
  <x:sheetFormatPr defaultRowHeight="15"/>
  <x:cols>
    <x:col min="1" max="1" width="9" hidden="0" customWidth="1"/>
    <x:col min="2" max="2" width="26" hidden="0" customWidth="1"/>
    <x:col min="3" max="3" width="10" hidden="0" customWidth="1"/>
    <x:col min="4" max="4" width="18" hidden="0" customWidth="1"/>
    <x:col min="5" max="5" width="33" hidden="0" customWidth="1"/>
    <x:col min="6" max="6" width="22" hidden="0" customWidth="1"/>
    <x:col min="7" max="7" width="22" hidden="0" customWidth="1"/>
    <x:col min="8" max="8" width="31" hidden="0" customWidth="1"/>
    <x:col min="9" max="9" width="2" hidden="0" customWidth="1"/>
    <x:col min="10" max="10" width="24" hidden="0" customWidth="1"/>
    <x:col min="11" max="11" width="12" hidden="0" customWidth="1"/>
    <x:col min="12" max="12" width="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30" customHeight="1">
      <x:c r="A1" s="643" t="str">
        <x:v>MOPS-003 — RESEARCH COMMAND CENTER (RCC)</x:v>
      </x:c>
      <x:c r="B1" s="643"/>
      <x:c r="C1" s="643"/>
      <x:c r="D1" s="643"/>
      <x:c r="E1" s="643"/>
      <x:c r="F1" s="643"/>
      <x:c r="G1" s="643"/>
      <x:c r="H1" s="643"/>
      <x:c r="I1" s="643"/>
      <x:c r="J1" s="643"/>
      <x:c r="K1" s="643"/>
      <x:c r="L1" s="643"/>
      <x:c r="M1" s="643"/>
      <x:c r="N1" s="643"/>
      <x:c r="O1" s="643"/>
      <x:c r="P1" s="643"/>
      <x:c r="Q1" s="643"/>
      <x:c r="R1" s="643"/>
      <x:c r="S1" s="643"/>
      <x:c r="T1" s="643"/>
      <x:c r="U1" s="643"/>
      <x:c r="V1" s="643"/>
      <x:c r="W1" s="643"/>
      <x:c r="X1" s="643"/>
    </x:row>
    <x:row r="2" ht="21" customHeight="1">
      <x:c r="A2" s="645" t="str">
        <x:v>RCC-001 EXECUTIVE RESEARCH CONTROL CENTER | FOUNDERS EDITION v1.0 — RCC-001 THROUGH RCC-004 INSTALLED</x:v>
      </x:c>
      <x:c r="B2" s="645"/>
      <x:c r="C2" s="645"/>
      <x:c r="D2" s="645"/>
      <x:c r="E2" s="645"/>
      <x:c r="F2" s="645"/>
      <x:c r="G2" s="645"/>
      <x:c r="H2" s="645"/>
      <x:c r="I2" s="645"/>
      <x:c r="J2" s="645"/>
      <x:c r="K2" s="645"/>
      <x:c r="L2" s="645"/>
      <x:c r="M2" s="645"/>
      <x:c r="N2" s="645"/>
      <x:c r="O2" s="645"/>
      <x:c r="P2" s="645"/>
      <x:c r="Q2" s="645"/>
      <x:c r="R2" s="645"/>
      <x:c r="S2" s="645"/>
      <x:c r="T2" s="645"/>
      <x:c r="U2" s="645"/>
      <x:c r="V2" s="645"/>
      <x:c r="W2" s="645"/>
      <x:c r="X2" s="645"/>
    </x:row>
    <x:row r="3" ht="19" customHeight="1">
      <x:c r="A3" s="648" t="str">
        <x:v>MOPS-003 remains in construction: RCC-001 through RCC-004 are installed; RCC-005 — Zacks / Merrill Research Crosswalk is the next module. MOPS-004 has not commenced.</x:v>
      </x:c>
      <x:c r="B3" s="648"/>
      <x:c r="C3" s="648"/>
      <x:c r="D3" s="648"/>
      <x:c r="E3" s="648"/>
      <x:c r="F3" s="648"/>
      <x:c r="G3" s="648"/>
      <x:c r="H3" s="648"/>
      <x:c r="I3" s="648"/>
      <x:c r="J3" s="648"/>
      <x:c r="K3" s="648"/>
      <x:c r="L3" s="648"/>
      <x:c r="M3" s="648"/>
      <x:c r="N3" s="648"/>
      <x:c r="O3" s="648"/>
      <x:c r="P3" s="648"/>
      <x:c r="Q3" s="648"/>
      <x:c r="R3" s="648"/>
      <x:c r="S3" s="648"/>
      <x:c r="T3" s="648"/>
      <x:c r="U3" s="648"/>
      <x:c r="V3" s="648"/>
      <x:c r="W3" s="648"/>
      <x:c r="X3" s="648"/>
    </x:row>
    <x:row r="4">
      <x:c r="A4" s="640"/>
      <x:c r="B4" s="640"/>
      <x:c r="C4" s="640"/>
      <x:c r="D4" s="640"/>
      <x:c r="E4" s="640"/>
      <x:c r="F4" s="640"/>
      <x:c r="G4" s="640"/>
      <x:c r="H4" s="640"/>
      <x:c r="I4" s="640"/>
      <x:c r="J4" s="640"/>
      <x:c r="K4" s="640"/>
      <x:c r="L4" s="640"/>
      <x:c r="M4" s="640"/>
      <x:c r="N4" s="640"/>
      <x:c r="O4" s="640"/>
      <x:c r="P4" s="640"/>
      <x:c r="Q4" s="640"/>
      <x:c r="R4" s="640"/>
      <x:c r="S4" s="640"/>
      <x:c r="T4" s="640"/>
      <x:c r="U4" s="640"/>
      <x:c r="V4" s="640"/>
      <x:c r="W4" s="640"/>
      <x:c r="X4" s="640"/>
    </x:row>
    <x:row r="5" ht="22" customHeight="1">
      <x:c r="A5" s="651" t="str">
        <x:v>EXECUTIVE RESEARCH STATE — RCC-001 INITIALIZED</x:v>
      </x:c>
      <x:c r="B5" s="651"/>
      <x:c r="C5" s="651"/>
      <x:c r="D5" s="651"/>
      <x:c r="E5" s="651"/>
      <x:c r="F5" s="651"/>
      <x:c r="G5" s="651"/>
      <x:c r="H5" s="651"/>
      <x:c r="I5" s="651"/>
      <x:c r="J5" s="651"/>
      <x:c r="K5" s="651"/>
      <x:c r="L5" s="651"/>
      <x:c r="M5" s="651"/>
      <x:c r="N5" s="651"/>
      <x:c r="O5" s="651"/>
      <x:c r="P5" s="651"/>
      <x:c r="Q5" s="651"/>
      <x:c r="R5" s="651"/>
      <x:c r="S5" s="651"/>
      <x:c r="T5" s="651"/>
      <x:c r="U5" s="651"/>
      <x:c r="V5" s="651"/>
      <x:c r="W5" s="651"/>
      <x:c r="X5" s="651"/>
    </x:row>
    <x:row r="6" ht="20" customHeight="1">
      <x:c r="A6" s="653" t="str">
        <x:v>RESEARCH READINESS</x:v>
      </x:c>
      <x:c r="B6" s="653"/>
      <x:c r="C6" s="653"/>
      <x:c r="D6" s="653"/>
      <x:c r="E6" s="653"/>
      <x:c r="F6" s="653"/>
      <x:c r="G6" s="653" t="str">
        <x:v>CERTIFIED HOLDINGS</x:v>
      </x:c>
      <x:c r="H6" s="653"/>
      <x:c r="I6" s="653"/>
      <x:c r="J6" s="653"/>
      <x:c r="K6" s="653" t="str">
        <x:v>RCC ACTIVITY RECORDS</x:v>
      </x:c>
      <x:c r="L6" s="653"/>
      <x:c r="M6" s="653"/>
      <x:c r="N6" s="653"/>
      <x:c r="O6" s="653" t="str">
        <x:v>CONVICTION ASSIGNED</x:v>
      </x:c>
      <x:c r="P6" s="653"/>
      <x:c r="Q6" s="653"/>
      <x:c r="R6" s="653"/>
      <x:c r="S6" s="653" t="str">
        <x:v>THESIS STATUS ASSIGNED</x:v>
      </x:c>
      <x:c r="T6" s="653"/>
      <x:c r="U6" s="653"/>
      <x:c r="V6" s="653"/>
      <x:c r="W6" s="653"/>
      <x:c r="X6" s="653"/>
    </x:row>
    <x:row r="7" ht="23" customHeight="1">
      <x:c r="A7" s="657" t="str">
        <x:f>IF(OR(COUNTIF('11 Conviction'!$H$5:$H$51,"Unassigned")&gt;0,COUNTBLANK('11 Conviction'!$J$5:$J$51)&gt;0,COUNTIFS('20 RCC-003 MIAR Registry'!$B$14:$B$60,"&lt;&gt;",'20 RCC-003 MIAR Registry'!$AB$14:$AB$60,"&lt;&gt;CONTROL CLEAR")&gt;0,COUNTIFS('23 RCC-004 MASR Registry'!$B$14:$B$163,"&lt;&gt;",'23 RCC-004 MASR Registry'!$AD$14:$AD$163,"&lt;&gt;CONTROL CLEAR",'23 RCC-004 MASR Registry'!$AD$14:$AD$163,"&lt;&gt;INACTIVE / CLOSED")&gt;0),"RESEARCH SETUP INCOMPLETE",IF(COUNTA('18 RCC-002 Evidence Ledger'!$A$14:$A$213)=0,"RCC READY — NO EVIDENCE LOADED",IF(COUNTIFS('18 RCC-002 Evidence Ledger'!$A$14:$A$213,"&lt;&gt;",'18 RCC-002 Evidence Ledger'!$AE$14:$AE$213,"&lt;&gt;OPEN — ON TRACK",'18 RCC-002 Evidence Ledger'!$AE$14:$AE$213,"&lt;&gt;CLOSED",'18 RCC-002 Evidence Ledger'!$AE$14:$AE$213,"&lt;&gt;")+COUNTIFS('24 RCC-004 Candidate Pipeline'!$A$14:$A$213,"&lt;&gt;",'24 RCC-004 Candidate Pipeline'!$AK$14:$AK$213,"&lt;&gt;OPEN — ON TRACK",'24 RCC-004 Candidate Pipeline'!$AK$14:$AK$213,"&lt;&gt;CLOSED")&gt;0,"RCC CONTROL EXCEPTIONS","ACTIVE")))</x:f>
        <x:v>RESEARCH SETUP INCOMPLETE</x:v>
      </x:c>
      <x:c r="B7" s="657"/>
      <x:c r="C7" s="657"/>
      <x:c r="D7" s="657"/>
      <x:c r="E7" s="657"/>
      <x:c r="F7" s="657"/>
      <x:c r="G7" s="701" t="n">
        <x:f>COUNTA('Certified Allocation'!$B$5:$B$51)</x:f>
        <x:v>47</x:v>
      </x:c>
      <x:c r="H7" s="701"/>
      <x:c r="I7" s="701"/>
      <x:c r="J7" s="701"/>
      <x:c r="K7" s="701" t="n">
        <x:f>COUNTA('18 RCC-002 Evidence Ledger'!$A$14:$A$213)</x:f>
        <x:v>0</x:v>
      </x:c>
      <x:c r="L7" s="701"/>
      <x:c r="M7" s="701"/>
      <x:c r="N7" s="701"/>
      <x:c r="O7" s="701" t="n">
        <x:f>COUNTIFS('11 Conviction'!$H$5:$H$51,"&lt;&gt;Unassigned",'11 Conviction'!$H$5:$H$51,"&lt;&gt;")</x:f>
        <x:v>0</x:v>
      </x:c>
      <x:c r="P7" s="701"/>
      <x:c r="Q7" s="701"/>
      <x:c r="R7" s="701"/>
      <x:c r="S7" s="701" t="n">
        <x:f>COUNTA('11 Conviction'!$J$5:$J$51)</x:f>
        <x:v>0</x:v>
      </x:c>
      <x:c r="T7" s="701"/>
      <x:c r="U7" s="701"/>
      <x:c r="V7" s="701"/>
      <x:c r="W7" s="701"/>
      <x:c r="X7" s="701"/>
    </x:row>
    <x:row r="8" ht="23" customHeight="1">
      <x:c r="A8" s="657"/>
      <x:c r="B8" s="657"/>
      <x:c r="C8" s="657"/>
      <x:c r="D8" s="657"/>
      <x:c r="E8" s="657"/>
      <x:c r="F8" s="657"/>
      <x:c r="G8" s="701"/>
      <x:c r="H8" s="701"/>
      <x:c r="I8" s="701"/>
      <x:c r="J8" s="701"/>
      <x:c r="K8" s="701"/>
      <x:c r="L8" s="701"/>
      <x:c r="M8" s="701"/>
      <x:c r="N8" s="701"/>
      <x:c r="O8" s="701"/>
      <x:c r="P8" s="701"/>
      <x:c r="Q8" s="701"/>
      <x:c r="R8" s="701"/>
      <x:c r="S8" s="701"/>
      <x:c r="T8" s="701"/>
      <x:c r="U8" s="701"/>
      <x:c r="V8" s="701"/>
      <x:c r="W8" s="701"/>
      <x:c r="X8" s="701"/>
    </x:row>
    <x:row r="9" ht="23" customHeight="1">
      <x:c r="A9" s="657"/>
      <x:c r="B9" s="657"/>
      <x:c r="C9" s="657"/>
      <x:c r="D9" s="657"/>
      <x:c r="E9" s="657"/>
      <x:c r="F9" s="657"/>
      <x:c r="G9" s="701"/>
      <x:c r="H9" s="701"/>
      <x:c r="I9" s="701"/>
      <x:c r="J9" s="701"/>
      <x:c r="K9" s="701"/>
      <x:c r="L9" s="701"/>
      <x:c r="M9" s="701"/>
      <x:c r="N9" s="701"/>
      <x:c r="O9" s="701"/>
      <x:c r="P9" s="701"/>
      <x:c r="Q9" s="701"/>
      <x:c r="R9" s="701"/>
      <x:c r="S9" s="701"/>
      <x:c r="T9" s="701"/>
      <x:c r="U9" s="701"/>
      <x:c r="V9" s="701"/>
      <x:c r="W9" s="701"/>
      <x:c r="X9" s="701"/>
    </x:row>
    <x:row r="10" ht="23" customHeight="1">
      <x:c r="A10" s="657"/>
      <x:c r="B10" s="657"/>
      <x:c r="C10" s="657"/>
      <x:c r="D10" s="657"/>
      <x:c r="E10" s="657"/>
      <x:c r="F10" s="657"/>
      <x:c r="G10" s="701"/>
      <x:c r="H10" s="701"/>
      <x:c r="I10" s="701"/>
      <x:c r="J10" s="701"/>
      <x:c r="K10" s="701"/>
      <x:c r="L10" s="701"/>
      <x:c r="M10" s="701"/>
      <x:c r="N10" s="701"/>
      <x:c r="O10" s="701"/>
      <x:c r="P10" s="701"/>
      <x:c r="Q10" s="701"/>
      <x:c r="R10" s="701"/>
      <x:c r="S10" s="701"/>
      <x:c r="T10" s="701"/>
      <x:c r="U10" s="701"/>
      <x:c r="V10" s="701"/>
      <x:c r="W10" s="701"/>
      <x:c r="X10" s="701"/>
    </x:row>
    <x:row r="11" ht="20" customHeight="1">
      <x:c r="A11" s="653" t="str">
        <x:v>PRIMARY REQUIRED ACTION</x:v>
      </x:c>
      <x:c r="B11" s="653"/>
      <x:c r="C11" s="653"/>
      <x:c r="D11" s="653"/>
      <x:c r="E11" s="653"/>
      <x:c r="F11" s="653"/>
      <x:c r="G11" s="653" t="str">
        <x:v>MFPDF RESEARCH STATUS</x:v>
      </x:c>
      <x:c r="H11" s="653"/>
      <x:c r="I11" s="653"/>
      <x:c r="J11" s="653"/>
      <x:c r="K11" s="653"/>
      <x:c r="L11" s="653"/>
      <x:c r="M11" s="653" t="str">
        <x:v>CONTROL EXCEPTIONS</x:v>
      </x:c>
      <x:c r="N11" s="653"/>
      <x:c r="O11" s="653"/>
      <x:c r="P11" s="653"/>
      <x:c r="Q11" s="653"/>
      <x:c r="R11" s="653"/>
      <x:c r="S11" s="653" t="str">
        <x:v>GOVERNANCE</x:v>
      </x:c>
      <x:c r="T11" s="653"/>
      <x:c r="U11" s="653"/>
      <x:c r="V11" s="653"/>
      <x:c r="W11" s="653"/>
      <x:c r="X11" s="653"/>
    </x:row>
    <x:row r="12" ht="22" customHeight="1">
      <x:c r="A12" s="664" t="str">
        <x:v>Complete conviction, thesis, MIAR and canonical MASR initialization; then enter each verified research signal and candidate review through RCC-002 and RCC-004. No research record may imply a portfolio change until it passes the controlled referral gate.</x:v>
      </x:c>
      <x:c r="B12" s="664"/>
      <x:c r="C12" s="664"/>
      <x:c r="D12" s="664"/>
      <x:c r="E12" s="664"/>
      <x:c r="F12" s="664"/>
      <x:c r="G12" s="702" t="str">
        <x:f>COUNTIF('Certified Allocation'!$N$5:$N$51,"Current")&amp;" CURRENT / "&amp;COUNTIFS('Certified Allocation'!$N$5:$N$51,"&lt;&gt;Current",'Certified Allocation'!$N$5:$N$51,"&lt;&gt;")&amp;" EXCEPTIONS"</x:f>
        <x:v>47 CURRENT / 0 EXCEPTIONS</x:v>
      </x:c>
      <x:c r="H12" s="702"/>
      <x:c r="I12" s="702"/>
      <x:c r="J12" s="702"/>
      <x:c r="K12" s="702"/>
      <x:c r="L12" s="702"/>
      <x:c r="M12" s="672" t="n">
        <x:f>COUNTIF('11 Conviction'!$H$5:$H$51,"Unassigned")+COUNTBLANK('11 Conviction'!$J$5:$J$51)+COUNTIFS('Certified Allocation'!$N$5:$N$51,"&lt;&gt;Current",'Certified Allocation'!$N$5:$N$51,"&lt;&gt;")+COUNTIFS('18 RCC-002 Evidence Ledger'!$A$14:$A$213,"&lt;&gt;",'18 RCC-002 Evidence Ledger'!$AE$14:$AE$213,"&lt;&gt;OPEN — ON TRACK",'18 RCC-002 Evidence Ledger'!$AE$14:$AE$213,"&lt;&gt;CLOSED",'18 RCC-002 Evidence Ledger'!$AE$14:$AE$213,"&lt;&gt;")+COUNTIFS('20 RCC-003 MIAR Registry'!$B$14:$B$60,"&lt;&gt;",'20 RCC-003 MIAR Registry'!$AB$14:$AB$60,"&lt;&gt;CONTROL CLEAR")+COUNTIFS('23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207</x:v>
      </x:c>
      <x:c r="N12" s="672"/>
      <x:c r="O12" s="672"/>
      <x:c r="P12" s="672"/>
      <x:c r="Q12" s="672"/>
      <x:c r="R12" s="672"/>
      <x:c r="S12" s="676" t="str">
        <x:v>Research evaluates evidence and may recommend action. It may not alter certified allocations, authorize trades, or overwrite the certified MFPDF.</x:v>
      </x:c>
      <x:c r="T12" s="676"/>
      <x:c r="U12" s="676"/>
      <x:c r="V12" s="676"/>
      <x:c r="W12" s="676"/>
      <x:c r="X12" s="676"/>
    </x:row>
    <x:row r="13" ht="22" customHeight="1">
      <x:c r="A13" s="664"/>
      <x:c r="B13" s="664"/>
      <x:c r="C13" s="664"/>
      <x:c r="D13" s="664"/>
      <x:c r="E13" s="664"/>
      <x:c r="F13" s="664"/>
      <x:c r="G13" s="702"/>
      <x:c r="H13" s="702"/>
      <x:c r="I13" s="702"/>
      <x:c r="J13" s="702"/>
      <x:c r="K13" s="702"/>
      <x:c r="L13" s="702"/>
      <x:c r="M13" s="672"/>
      <x:c r="N13" s="672"/>
      <x:c r="O13" s="672"/>
      <x:c r="P13" s="672"/>
      <x:c r="Q13" s="672"/>
      <x:c r="R13" s="672"/>
      <x:c r="S13" s="676"/>
      <x:c r="T13" s="676"/>
      <x:c r="U13" s="676"/>
      <x:c r="V13" s="676"/>
      <x:c r="W13" s="676"/>
      <x:c r="X13" s="676"/>
    </x:row>
    <x:row r="14" ht="22" customHeight="1">
      <x:c r="A14" s="664"/>
      <x:c r="B14" s="664"/>
      <x:c r="C14" s="664"/>
      <x:c r="D14" s="664"/>
      <x:c r="E14" s="664"/>
      <x:c r="F14" s="664"/>
      <x:c r="G14" s="702"/>
      <x:c r="H14" s="702"/>
      <x:c r="I14" s="702"/>
      <x:c r="J14" s="702"/>
      <x:c r="K14" s="702"/>
      <x:c r="L14" s="702"/>
      <x:c r="M14" s="672"/>
      <x:c r="N14" s="672"/>
      <x:c r="O14" s="672"/>
      <x:c r="P14" s="672"/>
      <x:c r="Q14" s="672"/>
      <x:c r="R14" s="672"/>
      <x:c r="S14" s="676"/>
      <x:c r="T14" s="676"/>
      <x:c r="U14" s="676"/>
      <x:c r="V14" s="676"/>
      <x:c r="W14" s="676"/>
      <x:c r="X14" s="676"/>
    </x:row>
    <x:row r="15">
      <x:c r="A15" s="640"/>
      <x:c r="B15" s="640"/>
      <x:c r="C15" s="640"/>
      <x:c r="D15" s="640"/>
      <x:c r="E15" s="640"/>
      <x:c r="F15" s="640"/>
      <x:c r="G15" s="640"/>
      <x:c r="H15" s="640"/>
      <x:c r="I15" s="640"/>
      <x:c r="J15" s="640"/>
      <x:c r="K15" s="640"/>
      <x:c r="L15" s="640"/>
      <x:c r="M15" s="640"/>
      <x:c r="N15" s="640"/>
      <x:c r="O15" s="640"/>
      <x:c r="P15" s="640"/>
      <x:c r="Q15" s="640"/>
      <x:c r="R15" s="640"/>
      <x:c r="S15" s="640"/>
      <x:c r="T15" s="640"/>
      <x:c r="U15" s="640"/>
      <x:c r="V15" s="640"/>
      <x:c r="W15" s="640"/>
      <x:c r="X15" s="640"/>
    </x:row>
    <x:row r="16" ht="22" customHeight="1">
      <x:c r="A16" s="678" t="str">
        <x:v>RESEARCH CONTROL EXCEPTIONS</x:v>
      </x:c>
      <x:c r="B16" s="678"/>
      <x:c r="C16" s="678"/>
      <x:c r="D16" s="678"/>
      <x:c r="E16" s="678"/>
      <x:c r="F16" s="678"/>
      <x:c r="G16" s="678"/>
      <x:c r="H16" s="678"/>
      <x:c r="I16" s="640"/>
      <x:c r="J16" s="678" t="str">
        <x:v>RESEARCH INTELLIGENCE SNAPSHOT</x:v>
      </x:c>
      <x:c r="K16" s="678"/>
      <x:c r="L16" s="678"/>
      <x:c r="M16" s="678"/>
      <x:c r="N16" s="678"/>
      <x:c r="O16" s="678"/>
      <x:c r="P16" s="678"/>
      <x:c r="Q16" s="678"/>
      <x:c r="R16" s="678"/>
      <x:c r="S16" s="678"/>
      <x:c r="T16" s="678"/>
      <x:c r="U16" s="678"/>
      <x:c r="V16" s="678"/>
      <x:c r="W16" s="678"/>
      <x:c r="X16" s="678"/>
    </x:row>
    <x:row r="17" ht="24" customHeight="1">
      <x:c r="A17" s="681" t="str">
        <x:v>Priority</x:v>
      </x:c>
      <x:c r="B17" s="681" t="str">
        <x:v>Control / Trigger</x:v>
      </x:c>
      <x:c r="C17" s="681" t="str">
        <x:v>Count</x:v>
      </x:c>
      <x:c r="D17" s="681" t="str">
        <x:v>Current State</x:v>
      </x:c>
      <x:c r="E17" s="681" t="str">
        <x:v>Required Action</x:v>
      </x:c>
      <x:c r="F17" s="681" t="str">
        <x:v>Authority</x:v>
      </x:c>
      <x:c r="G17" s="681" t="str">
        <x:v>Destination</x:v>
      </x:c>
      <x:c r="H17" s="681" t="str">
        <x:v>Governance Impact</x:v>
      </x:c>
      <x:c r="I17" s="640"/>
      <x:c r="J17" s="691" t="str">
        <x:v>Activity Type</x:v>
      </x:c>
      <x:c r="K17" s="691" t="str">
        <x:v>Count</x:v>
      </x:c>
      <x:c r="L17" s="640"/>
      <x:c r="M17" s="640"/>
      <x:c r="N17" s="640"/>
      <x:c r="O17" s="640"/>
      <x:c r="P17" s="640"/>
      <x:c r="Q17" s="640"/>
      <x:c r="R17" s="640"/>
      <x:c r="S17" s="640"/>
      <x:c r="T17" s="640"/>
      <x:c r="U17" s="640"/>
      <x:c r="V17" s="640"/>
      <x:c r="W17" s="640"/>
      <x:c r="X17" s="640"/>
    </x:row>
    <x:row r="18">
      <x:c r="A18" s="683" t="n">
        <x:v>1</x:v>
      </x:c>
      <x:c r="B18" s="682" t="str">
        <x:v>Conviction assignments missing</x:v>
      </x:c>
      <x:c r="C18" s="704" t="n">
        <x:f>COUNTIF('11 Conviction'!$H$5:$H$51,"Unassigned")</x:f>
        <x:v>47</x:v>
      </x:c>
      <x:c r="D18" s="689" t="str">
        <x:f>IF(C18=0,"PASS","ACTION REQUIRED")</x:f>
        <x:v>ACTION REQUIRED</x:v>
      </x:c>
      <x:c r="E18" s="682" t="str">
        <x:v>Complete PEW-005 effective conviction</x:v>
      </x:c>
      <x:c r="F18" s="682" t="str">
        <x:v>Stewardship Committee</x:v>
      </x:c>
      <x:c r="G18" s="682" t="str">
        <x:v>11 Conviction</x:v>
      </x:c>
      <x:c r="H18" s="682" t="str">
        <x:v>Blocks research and portfolio certification</x:v>
      </x:c>
      <x:c r="I18" s="640"/>
      <x:c r="J18" s="640" t="str">
        <x:v>Company reviews</x:v>
      </x:c>
      <x:c r="K18" s="705" t="n">
        <x:f>COUNTIF('18 RCC-002 Evidence Ledger'!$H$14:$H$213,"Company Review")</x:f>
        <x:v>0</x:v>
      </x:c>
      <x:c r="L18" s="640"/>
      <x:c r="M18" s="640"/>
      <x:c r="N18" s="640"/>
      <x:c r="O18" s="640"/>
      <x:c r="P18" s="640"/>
      <x:c r="Q18" s="640"/>
      <x:c r="R18" s="640"/>
      <x:c r="S18" s="640"/>
      <x:c r="T18" s="640"/>
      <x:c r="U18" s="640"/>
      <x:c r="V18" s="640"/>
      <x:c r="W18" s="640"/>
      <x:c r="X18" s="640"/>
    </x:row>
    <x:row r="19">
      <x:c r="A19" s="690" t="n">
        <x:v>2</x:v>
      </x:c>
      <x:c r="B19" s="684" t="str">
        <x:v>Thesis statuses missing</x:v>
      </x:c>
      <x:c r="C19" s="704" t="n">
        <x:f>COUNTBLANK('11 Conviction'!$J$5:$J$51)</x:f>
        <x:v>47</x:v>
      </x:c>
      <x:c r="D19" s="689" t="str">
        <x:f>IF(C19=0,"PASS","ACTION REQUIRED")</x:f>
        <x:v>ACTION REQUIRED</x:v>
      </x:c>
      <x:c r="E19" s="684" t="str">
        <x:v>Assign thesis state for every active holding</x:v>
      </x:c>
      <x:c r="F19" s="684" t="str">
        <x:v>Research Committee</x:v>
      </x:c>
      <x:c r="G19" s="684" t="str">
        <x:v>RCC-007 (planned)</x:v>
      </x:c>
      <x:c r="H19" s="684" t="str">
        <x:v>Blocks thesis and conviction certification</x:v>
      </x:c>
      <x:c r="I19" s="640"/>
      <x:c r="J19" s="658" t="str">
        <x:v>Earnings / events</x:v>
      </x:c>
      <x:c r="K19" s="705" t="n">
        <x:f>COUNTIF('18 RCC-002 Evidence Ledger'!$H$14:$H$213,"Earnings / Guidance")+COUNTIF('18 RCC-002 Evidence Ledger'!$H$14:$H$213,"Material Corporate Event")</x:f>
        <x:v>0</x:v>
      </x:c>
      <x:c r="L19" s="640"/>
      <x:c r="M19" s="640"/>
      <x:c r="N19" s="640"/>
      <x:c r="O19" s="640"/>
      <x:c r="P19" s="640"/>
      <x:c r="Q19" s="640"/>
      <x:c r="R19" s="640"/>
      <x:c r="S19" s="640"/>
      <x:c r="T19" s="640"/>
      <x:c r="U19" s="640"/>
      <x:c r="V19" s="640"/>
      <x:c r="W19" s="640"/>
      <x:c r="X19" s="640"/>
    </x:row>
    <x:row r="20">
      <x:c r="A20" s="683" t="n">
        <x:v>3</x:v>
      </x:c>
      <x:c r="B20" s="682" t="str">
        <x:v>Research status exceptions</x:v>
      </x:c>
      <x:c r="C20" s="704" t="n">
        <x:f>COUNTIFS('Certified Allocation'!$N$5:$N$51,"&lt;&gt;Current",'Certified Allocation'!$N$5:$N$51,"&lt;&gt;")</x:f>
        <x:v>0</x:v>
      </x:c>
      <x:c r="D20" s="689" t="str">
        <x:f>IF(C20=0,"PASS","REVIEW REQUIRED")</x:f>
        <x:v>PASS</x:v>
      </x:c>
      <x:c r="E20" s="682" t="str">
        <x:v>Review non-current MFPDF research records</x:v>
      </x:c>
      <x:c r="F20" s="682" t="str">
        <x:v>Research Operations</x:v>
      </x:c>
      <x:c r="G20" s="682" t="str">
        <x:v>Certified Allocation</x:v>
      </x:c>
      <x:c r="H20" s="682" t="str">
        <x:v>May trigger MIAR or thesis review</x:v>
      </x:c>
      <x:c r="I20" s="640"/>
      <x:c r="J20" s="640" t="str">
        <x:v>Zacks changes</x:v>
      </x:c>
      <x:c r="K20" s="705" t="n">
        <x:f>COUNTIF('18 RCC-002 Evidence Ledger'!$H$14:$H$213,"Zacks Rank Change")</x:f>
        <x:v>0</x:v>
      </x:c>
      <x:c r="L20" s="640"/>
      <x:c r="M20" s="640"/>
      <x:c r="N20" s="640"/>
      <x:c r="O20" s="640"/>
      <x:c r="P20" s="640"/>
      <x:c r="Q20" s="640"/>
      <x:c r="R20" s="640"/>
      <x:c r="S20" s="640"/>
      <x:c r="T20" s="640"/>
      <x:c r="U20" s="640"/>
      <x:c r="V20" s="640"/>
      <x:c r="W20" s="640"/>
      <x:c r="X20" s="640"/>
    </x:row>
    <x:row r="21">
      <x:c r="A21" s="690" t="n">
        <x:v>4</x:v>
      </x:c>
      <x:c r="B21" s="684" t="str">
        <x:v>Companies requiring review</x:v>
      </x:c>
      <x:c r="C21" s="704" t="n">
        <x:f>COUNTIFS('18 RCC-002 Evidence Ledger'!$A$14:$A$213,"&lt;&gt;",'18 RCC-002 Evidence Ledger'!$J$14:$J$213,"Critical",'18 RCC-002 Evidence Ledger'!$T$14:$T$213,"&lt;&gt;Closed — No Action",'18 RCC-002 Evidence Ledger'!$T$14:$T$213,"&lt;&gt;Closed — Incorporated")+COUNTIFS('18 RCC-002 Evidence Ledger'!$A$14:$A$213,"&lt;&gt;",'18 RCC-002 Evidence Ledger'!$J$14:$J$213,"High",'18 RCC-002 Evidence Ledger'!$T$14:$T$213,"&lt;&gt;Closed — No Action",'18 RCC-002 Evidence Ledger'!$T$14:$T$213,"&lt;&gt;Closed — Incorporated")</x:f>
        <x:v>0</x:v>
      </x:c>
      <x:c r="D21" s="689" t="str">
        <x:f>IF(C21=0,"NO ACTIVE RECORDS","OPEN QUEUE")</x:f>
        <x:v>NO ACTIVE RECORDS</x:v>
      </x:c>
      <x:c r="E21" s="684" t="str">
        <x:v>Resolve active review queue using verified evidence</x:v>
      </x:c>
      <x:c r="F21" s="684" t="str">
        <x:v>Research Committee</x:v>
      </x:c>
      <x:c r="G21" s="684" t="str">
        <x:v>03 Research Intelligence</x:v>
      </x:c>
      <x:c r="H21" s="684" t="str">
        <x:v>May require PEW referral</x:v>
      </x:c>
      <x:c r="I21" s="640"/>
      <x:c r="J21" s="658" t="str">
        <x:v>Merrill updates</x:v>
      </x:c>
      <x:c r="K21" s="705" t="n">
        <x:f>COUNTIF('18 RCC-002 Evidence Ledger'!$H$14:$H$213,"Merrill Research Update")</x:f>
        <x:v>0</x:v>
      </x:c>
      <x:c r="L21" s="640"/>
      <x:c r="M21" s="640"/>
      <x:c r="N21" s="640"/>
      <x:c r="O21" s="640"/>
      <x:c r="P21" s="640"/>
      <x:c r="Q21" s="640"/>
      <x:c r="R21" s="640"/>
      <x:c r="S21" s="640"/>
      <x:c r="T21" s="640"/>
      <x:c r="U21" s="640"/>
      <x:c r="V21" s="640"/>
      <x:c r="W21" s="640"/>
      <x:c r="X21" s="640"/>
    </x:row>
    <x:row r="22">
      <x:c r="A22" s="683" t="n">
        <x:v>5</x:v>
      </x:c>
      <x:c r="B22" s="682" t="str">
        <x:v>MIAR dossier control exceptions</x:v>
      </x:c>
      <x:c r="C22" s="704" t="n">
        <x:f>COUNTIFS('20 RCC-003 MIAR Registry'!$B$14:$B$60,"&lt;&gt;",'20 RCC-003 MIAR Registry'!$AB$14:$AB$60,"&lt;&gt;CONTROL CLEAR")</x:f>
        <x:v>47</x:v>
      </x:c>
      <x:c r="D22" s="689" t="str">
        <x:f>IF(C22=0,"PASS","ACTION REQUIRED")</x:f>
        <x:v>ACTION REQUIRED</x:v>
      </x:c>
      <x:c r="E22" s="682" t="str">
        <x:v>Complete required MIAR identity, ownership, cadence, scores and review dates</x:v>
      </x:c>
      <x:c r="F22" s="682" t="str">
        <x:v>Research Operations</x:v>
      </x:c>
      <x:c r="G22" s="682" t="str">
        <x:v>20 RCC-003 MIAR Registry</x:v>
      </x:c>
      <x:c r="H22" s="682" t="str">
        <x:v>Controls research freshness and dossier readiness</x:v>
      </x:c>
      <x:c r="I22" s="640"/>
      <x:c r="J22" s="640" t="str">
        <x:v>MIAR updates</x:v>
      </x:c>
      <x:c r="K22" s="705" t="n">
        <x:f>COUNTIFS('18 RCC-002 Evidence Ledger'!$A$14:$A$213,"&lt;&gt;",'18 RCC-002 Evidence Ledger'!$V$14:$V$213,"&lt;&gt;None",'18 RCC-002 Evidence Ledger'!$V$14:$V$213,"&lt;&gt;")</x:f>
        <x:v>0</x:v>
      </x:c>
      <x:c r="L22" s="640"/>
      <x:c r="M22" s="640"/>
      <x:c r="N22" s="640"/>
      <x:c r="O22" s="640"/>
      <x:c r="P22" s="640"/>
      <x:c r="Q22" s="640"/>
      <x:c r="R22" s="640"/>
      <x:c r="S22" s="640"/>
      <x:c r="T22" s="640"/>
      <x:c r="U22" s="640"/>
      <x:c r="V22" s="640"/>
      <x:c r="W22" s="640"/>
      <x:c r="X22" s="640"/>
    </x:row>
    <x:row r="23">
      <x:c r="A23" s="690" t="n">
        <x:v>6</x:v>
      </x:c>
      <x:c r="B23" s="684" t="str">
        <x:v>Earnings / event records</x:v>
      </x:c>
      <x:c r="C23" s="704" t="n">
        <x:f>COUNTIF('18 RCC-002 Evidence Ledger'!$H$14:$H$213,"Earnings / Guidance")+COUNTIF('18 RCC-002 Evidence Ledger'!$H$14:$H$213,"Material Corporate Event")</x:f>
        <x:v>0</x:v>
      </x:c>
      <x:c r="D23" s="689" t="str">
        <x:f>IF(C23=0,"NO ACTIVE RECORDS","CALENDAR ACTIVE")</x:f>
        <x:v>NO ACTIVE RECORDS</x:v>
      </x:c>
      <x:c r="E23" s="684" t="str">
        <x:v>Load verified forward calendar and post-event reviews</x:v>
      </x:c>
      <x:c r="F23" s="684" t="str">
        <x:v>Research Operations</x:v>
      </x:c>
      <x:c r="G23" s="684" t="str">
        <x:v>RCC-006 (planned)</x:v>
      </x:c>
      <x:c r="H23" s="684" t="str">
        <x:v>Controls event readiness</x:v>
      </x:c>
      <x:c r="I23" s="640"/>
      <x:c r="J23" s="658" t="str">
        <x:v>Thesis assigned</x:v>
      </x:c>
      <x:c r="K23" s="705" t="n">
        <x:f>COUNTIFS('18 RCC-002 Evidence Ledger'!$A$14:$A$213,"&lt;&gt;",'18 RCC-002 Evidence Ledger'!$W$14:$W$213,"&lt;&gt;None",'18 RCC-002 Evidence Ledger'!$W$14:$W$213,"&lt;&gt;")</x:f>
        <x:v>0</x:v>
      </x:c>
      <x:c r="L23" s="640"/>
      <x:c r="M23" s="640"/>
      <x:c r="N23" s="640"/>
      <x:c r="O23" s="640"/>
      <x:c r="P23" s="640"/>
      <x:c r="Q23" s="640"/>
      <x:c r="R23" s="640"/>
      <x:c r="S23" s="640"/>
      <x:c r="T23" s="640"/>
      <x:c r="U23" s="640"/>
      <x:c r="V23" s="640"/>
      <x:c r="W23" s="640"/>
      <x:c r="X23" s="640"/>
    </x:row>
    <x:row r="24">
      <x:c r="A24" s="683" t="n">
        <x:v>7</x:v>
      </x:c>
      <x:c r="B24" s="682" t="str">
        <x:v>Zacks / Merrill changes</x:v>
      </x:c>
      <x:c r="C24" s="704" t="n">
        <x:f>COUNTIF('18 RCC-002 Evidence Ledger'!$H$14:$H$213,"Zacks Rank Change")+COUNTIF('18 RCC-002 Evidence Ledger'!$H$14:$H$213,"Merrill Research Update")</x:f>
        <x:v>0</x:v>
      </x:c>
      <x:c r="D24" s="689" t="str">
        <x:f>IF(C24=0,"NO ACTIVE RECORDS","EVIDENCE UPDATE")</x:f>
        <x:v>NO ACTIVE RECORDS</x:v>
      </x:c>
      <x:c r="E24" s="682" t="str">
        <x:v>Record only verified external-research changes</x:v>
      </x:c>
      <x:c r="F24" s="682" t="str">
        <x:v>Research Committee</x:v>
      </x:c>
      <x:c r="G24" s="682" t="str">
        <x:v>RCC-005 (planned)</x:v>
      </x:c>
      <x:c r="H24" s="682" t="str">
        <x:v>Evidence input; never automatic authority</x:v>
      </x:c>
      <x:c r="I24" s="640"/>
      <x:c r="J24" s="640" t="str">
        <x:v>Conviction assigned</x:v>
      </x:c>
      <x:c r="K24" s="705" t="n">
        <x:f>COUNTIFS('18 RCC-002 Evidence Ledger'!$A$14:$A$213,"&lt;&gt;",'18 RCC-002 Evidence Ledger'!$X$14:$X$213,"&lt;&gt;No Change",'18 RCC-002 Evidence Ledger'!$X$14:$X$213,"&lt;&gt;Not Applicable",'18 RCC-002 Evidence Ledger'!$X$14:$X$213,"&lt;&gt;Unassigned",'18 RCC-002 Evidence Ledger'!$X$14:$X$213,"&lt;&gt;")</x:f>
        <x:v>0</x:v>
      </x:c>
      <x:c r="L24" s="640"/>
      <x:c r="M24" s="640"/>
      <x:c r="N24" s="640"/>
      <x:c r="O24" s="640"/>
      <x:c r="P24" s="640"/>
      <x:c r="Q24" s="640"/>
      <x:c r="R24" s="640"/>
      <x:c r="S24" s="640"/>
      <x:c r="T24" s="640"/>
      <x:c r="U24" s="640"/>
      <x:c r="V24" s="640"/>
      <x:c r="W24" s="640"/>
      <x:c r="X24" s="640"/>
    </x:row>
    <x:row r="25">
      <x:c r="A25" s="1265" t="n">
        <x:v>8</x:v>
      </x:c>
      <x:c r="B25" s="1265" t="str">
        <x:v>MASR / candidate pipeline exceptions</x:v>
      </x:c>
      <x:c r="C25" s="1266" t="n">
        <x:f>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66</x:v>
      </x:c>
      <x:c r="D25" s="1266" t="str">
        <x:f>IF(C25=0,"PASS","ACTION REQUIRED")</x:f>
        <x:v>ACTION REQUIRED</x:v>
      </x:c>
      <x:c r="E25" s="1266" t="str">
        <x:v>Complete canonical registry setup and resolve candidate stage-gate exceptions</x:v>
      </x:c>
      <x:c r="F25" s="1266" t="str">
        <x:v>Research Committee</x:v>
      </x:c>
      <x:c r="G25" s="1266" t="str">
        <x:v>22–24 RCC-004</x:v>
      </x:c>
      <x:c r="H25" s="1266" t="str">
        <x:v>Controls security admission and PEW referral</x:v>
      </x:c>
      <x:c r="I25" s="1264"/>
      <x:c r="J25" s="1266" t="str">
        <x:v>Active candidate records</x:v>
      </x:c>
      <x:c r="K25" s="1266" t="n">
        <x:f>COUNTIFS('24 RCC-004 Candidate Pipeline'!$A$14:$A$213,"&lt;&gt;",'24 RCC-004 Candidate Pipeline'!$Y$14:$Y$213,"&lt;&gt;Rejected",'24 RCC-004 Candidate Pipeline'!$Y$14:$Y$213,"&lt;&gt;Closed",'24 RCC-004 Candidate Pipeline'!$Y$14:$Y$213,"&lt;&gt;Removed")</x:f>
        <x:v>10</x:v>
      </x:c>
      <x:c r="L25" s="640"/>
      <x:c r="M25" s="640"/>
      <x:c r="N25" s="640"/>
      <x:c r="O25" s="640"/>
      <x:c r="P25" s="640"/>
      <x:c r="Q25" s="640"/>
      <x:c r="R25" s="640"/>
      <x:c r="S25" s="640"/>
      <x:c r="T25" s="640"/>
      <x:c r="U25" s="640"/>
      <x:c r="V25" s="640"/>
      <x:c r="W25" s="640"/>
      <x:c r="X25" s="640"/>
    </x:row>
    <x:row r="26">
      <x:c r="A26" s="640"/>
      <x:c r="B26" s="640"/>
      <x:c r="C26" s="640"/>
      <x:c r="D26" s="640"/>
      <x:c r="E26" s="640"/>
      <x:c r="F26" s="640"/>
      <x:c r="G26" s="640"/>
      <x:c r="H26" s="640"/>
      <x:c r="I26" s="640"/>
      <x:c r="J26" s="640"/>
      <x:c r="K26" s="640"/>
      <x:c r="L26" s="640"/>
      <x:c r="M26" s="640"/>
      <x:c r="N26" s="640"/>
      <x:c r="O26" s="640"/>
      <x:c r="P26" s="640"/>
      <x:c r="Q26" s="640"/>
      <x:c r="R26" s="640"/>
      <x:c r="S26" s="640"/>
      <x:c r="T26" s="640"/>
      <x:c r="U26" s="640"/>
      <x:c r="V26" s="640"/>
      <x:c r="W26" s="640"/>
      <x:c r="X26" s="640"/>
    </x:row>
    <x:row r="27" ht="22" customHeight="1">
      <x:c r="A27" s="678" t="str">
        <x:v>MOPS-003 MODULE ROADMAP</x:v>
      </x:c>
      <x:c r="B27" s="678"/>
      <x:c r="C27" s="678"/>
      <x:c r="D27" s="678"/>
      <x:c r="E27" s="678"/>
      <x:c r="F27" s="678"/>
      <x:c r="G27" s="678"/>
      <x:c r="H27" s="678"/>
      <x:c r="I27" s="678"/>
      <x:c r="J27" s="678"/>
      <x:c r="K27" s="678"/>
      <x:c r="L27" s="678"/>
      <x:c r="M27" s="678"/>
      <x:c r="N27" s="678"/>
      <x:c r="O27" s="678"/>
      <x:c r="P27" s="678"/>
      <x:c r="Q27" s="678"/>
      <x:c r="R27" s="678"/>
      <x:c r="S27" s="678"/>
      <x:c r="T27" s="678"/>
      <x:c r="U27" s="678"/>
      <x:c r="V27" s="678"/>
      <x:c r="W27" s="678"/>
      <x:c r="X27" s="678"/>
    </x:row>
    <x:row r="28" ht="24" customHeight="1">
      <x:c r="A28" s="681" t="str">
        <x:v>Module</x:v>
      </x:c>
      <x:c r="B28" s="681" t="str">
        <x:v>Workspace</x:v>
      </x:c>
      <x:c r="C28" s="681" t="str">
        <x:v>Institutional Function</x:v>
      </x:c>
      <x:c r="D28" s="681" t="str">
        <x:v>Status</x:v>
      </x:c>
      <x:c r="E28" s="681" t="str">
        <x:v>Current Source / Dependency</x:v>
      </x:c>
      <x:c r="F28" s="681" t="str">
        <x:v>Next Required Action</x:v>
      </x:c>
      <x:c r="G28" s="681" t="str">
        <x:v>Authority</x:v>
      </x:c>
      <x:c r="H28" s="681" t="str">
        <x:v>Operating Effect</x:v>
      </x:c>
      <x:c r="I28" s="640"/>
      <x:c r="J28" s="1268" t="str">
        <x:v>RCC-004 INSTALLED — MASR REGISTRY &amp; CANDIDATE PIPELINE</x:v>
      </x:c>
      <x:c r="K28" s="1268"/>
      <x:c r="L28" s="1268"/>
      <x:c r="M28" s="1268"/>
      <x:c r="N28" s="1268"/>
      <x:c r="O28" s="1268"/>
      <x:c r="P28" s="1268"/>
      <x:c r="Q28" s="1268"/>
      <x:c r="R28" s="1268"/>
      <x:c r="S28" s="1268"/>
      <x:c r="T28" s="1268"/>
      <x:c r="U28" s="681"/>
      <x:c r="V28" s="681"/>
      <x:c r="W28" s="681"/>
      <x:c r="X28" s="681"/>
    </x:row>
    <x:row r="29">
      <x:c r="A29" s="682" t="str">
        <x:v>RCC-001</x:v>
      </x:c>
      <x:c r="B29" s="682" t="str">
        <x:v>Executive Research Control Center</x:v>
      </x:c>
      <x:c r="C29" s="682" t="str">
        <x:v>Aggregates research readiness, exceptions and referrals</x:v>
      </x:c>
      <x:c r="D29" s="689" t="str">
        <x:v>ACTIVE — INSTALLED</x:v>
      </x:c>
      <x:c r="E29" s="682" t="str">
        <x:v>Certified MFPDF, Research Intelligence, PEW-005</x:v>
      </x:c>
      <x:c r="F29" s="682" t="str">
        <x:v>Operate dashboard and preserve verified-data discipline</x:v>
      </x:c>
      <x:c r="G29" s="682" t="str">
        <x:v>Chief Investment Steward</x:v>
      </x:c>
      <x:c r="H29" s="682" t="str">
        <x:v>Research command view; no trading authority</x:v>
      </x:c>
      <x:c r="I29" s="640"/>
      <x:c r="J29" s="1179" t="str">
        <x:v>RCC-003 remains active as the MIAR dossier gate; RCC-005 is next.</x:v>
      </x:c>
      <x:c r="K29" s="1179"/>
      <x:c r="L29" s="1179"/>
      <x:c r="M29" s="1179"/>
      <x:c r="N29" s="1179"/>
      <x:c r="O29" s="1179"/>
      <x:c r="P29" s="1179"/>
      <x:c r="Q29" s="1179"/>
      <x:c r="R29" s="1179"/>
      <x:c r="S29" s="1179"/>
      <x:c r="T29" s="1179"/>
      <x:c r="U29" s="676"/>
      <x:c r="V29" s="676"/>
      <x:c r="W29" s="676"/>
      <x:c r="X29" s="676"/>
    </x:row>
    <x:row r="30">
      <x:c r="A30" s="684" t="str">
        <x:v>RCC-002</x:v>
      </x:c>
      <x:c r="B30" s="684" t="str">
        <x:v>Research Intake &amp; Evidence Ledger</x:v>
      </x:c>
      <x:c r="C30" s="684" t="str">
        <x:v>Captures every material research signal and source</x:v>
      </x:c>
      <x:c r="D30" s="862" t="str">
        <x:v>ACTIVE — INSTALLED</x:v>
      </x:c>
      <x:c r="E30" s="684" t="str">
        <x:v>Verified internal and external evidence</x:v>
      </x:c>
      <x:c r="F30" s="684" t="str">
        <x:v>Operate the controlled evidence register and verification/referral gates</x:v>
      </x:c>
      <x:c r="G30" s="684" t="str">
        <x:v>Research Committee</x:v>
      </x:c>
      <x:c r="H30" s="684" t="str">
        <x:v>Creates an auditable chain of evidence and controlled referrals</x:v>
      </x:c>
      <x:c r="I30" s="640"/>
      <x:c r="J30" s="1271" t="str">
        <x:v>Purpose: preserve canonical MASR identity, distinguish certified holdings from approved non-holdings and candidates, apply eligibility and external-research exception gates, record committee disposition, and route qualified candidates to PEW-004 without creating automatic selection authority.</x:v>
      </x:c>
      <x:c r="K30" s="1271"/>
      <x:c r="L30" s="1271"/>
      <x:c r="M30" s="1271"/>
      <x:c r="N30" s="1271"/>
      <x:c r="O30" s="1271"/>
      <x:c r="P30" s="1271"/>
      <x:c r="Q30" s="1271"/>
      <x:c r="R30" s="1271"/>
      <x:c r="S30" s="1271"/>
      <x:c r="T30" s="1271"/>
      <x:c r="U30" s="676"/>
      <x:c r="V30" s="676"/>
      <x:c r="W30" s="676"/>
      <x:c r="X30" s="676"/>
    </x:row>
    <x:row r="31">
      <x:c r="A31" s="682" t="str">
        <x:v>RCC-003</x:v>
      </x:c>
      <x:c r="B31" s="682" t="str">
        <x:v>MIAR Dossier Control</x:v>
      </x:c>
      <x:c r="C31" s="682" t="str">
        <x:v>Controls research freshness and asset-record status</x:v>
      </x:c>
      <x:c r="D31" s="864" t="str">
        <x:v>ACTIVE — INSTALLED</x:v>
      </x:c>
      <x:c r="E31" s="682" t="str">
        <x:v>MIAR registry and update cadence</x:v>
      </x:c>
      <x:c r="F31" s="682" t="str">
        <x:v>Operate MIAR registry, review log, freshness controls and dossier exception queue</x:v>
      </x:c>
      <x:c r="G31" s="682" t="str">
        <x:v>Research Operations</x:v>
      </x:c>
      <x:c r="H31" s="682" t="str">
        <x:v>Controls company-level research completeness and MIAR maintenance</x:v>
      </x:c>
      <x:c r="I31" s="640"/>
      <x:c r="J31" s="1268" t="str">
        <x:v>REQUIRED ADMISSION FIELDS</x:v>
      </x:c>
      <x:c r="K31" s="1268"/>
      <x:c r="L31" s="1268"/>
      <x:c r="M31" s="1268"/>
      <x:c r="N31" s="1268"/>
      <x:c r="O31" s="1268" t="str">
        <x:v>HARD CONTROLS</x:v>
      </x:c>
      <x:c r="P31" s="1268"/>
      <x:c r="Q31" s="1268"/>
      <x:c r="R31" s="1268"/>
      <x:c r="S31" s="1268"/>
      <x:c r="T31" s="1268" t="str">
        <x:v>CONTROLLED OUTPUT</x:v>
      </x:c>
      <x:c r="U31" s="653"/>
      <x:c r="V31" s="653"/>
      <x:c r="W31" s="653"/>
      <x:c r="X31" s="653"/>
    </x:row>
    <x:row r="32">
      <x:c r="A32" s="684" t="str">
        <x:v>RCC-004</x:v>
      </x:c>
      <x:c r="B32" s="684" t="str">
        <x:v>MASR Candidate Pipeline</x:v>
      </x:c>
      <x:c r="C32" s="684" t="str">
        <x:v>Administers approved, conditional and replacement candidates</x:v>
      </x:c>
      <x:c r="D32" s="689" t="str">
        <x:v>ACTIVE — INSTALLED</x:v>
      </x:c>
      <x:c r="E32" s="684" t="str">
        <x:v>RCC-002 evidence, RCC-003 MIAR, canonical MASR source and PEW-004</x:v>
      </x:c>
      <x:c r="F32" s="684" t="str">
        <x:v>Operate the controlled registry, eligibility gates, candidate stages and committee / PEW referrals</x:v>
      </x:c>
      <x:c r="G32" s="684" t="str">
        <x:v>Research Committee</x:v>
      </x:c>
      <x:c r="H32" s="684" t="str">
        <x:v>Controls entry into Candidate Comparison and preserves auditable admission / removal history</x:v>
      </x:c>
      <x:c r="I32" s="640"/>
      <x:c r="J32" s="1273" t="str">
        <x:v>Canonical MASR ID
Record class and status
Admission basis
Sleeve and portfolio role
MIAR / Integrity / MICS
Empirical rank
Committee disposition</x:v>
      </x:c>
      <x:c r="K32" s="1273"/>
      <x:c r="L32" s="1273"/>
      <x:c r="M32" s="1273"/>
      <x:c r="N32" s="1273"/>
      <x:c r="O32" s="1275" t="str">
        <x:v>No fabricated MASR membership
One active record per security
Exceptions documented
No PEW referral before stage gates
No direct allocation or trading authority</x:v>
      </x:c>
      <x:c r="P32" s="1275"/>
      <x:c r="Q32" s="1275"/>
      <x:c r="R32" s="1275"/>
      <x:c r="S32" s="1275"/>
      <x:c r="T32" s="1277" t="str">
        <x:v>Controlled MASR registry
Candidate stage history
Eligibility / exception state
Committee disposition
PEW-004 referral readiness</x:v>
      </x:c>
      <x:c r="U32" s="715"/>
      <x:c r="V32" s="715"/>
      <x:c r="W32" s="715"/>
      <x:c r="X32" s="715"/>
    </x:row>
    <x:row r="33">
      <x:c r="A33" s="682" t="str">
        <x:v>RCC-005</x:v>
      </x:c>
      <x:c r="B33" s="682" t="str">
        <x:v>Zacks / Merrill Crosswalk</x:v>
      </x:c>
      <x:c r="C33" s="682" t="str">
        <x:v>Applies external-research governance and exceptions</x:v>
      </x:c>
      <x:c r="D33" s="689" t="str">
        <x:v>NEXT MODULE</x:v>
      </x:c>
      <x:c r="E33" s="682" t="str">
        <x:v>Verified Zacks and Merrill research</x:v>
      </x:c>
      <x:c r="F33" s="682" t="str">
        <x:v>Install verified Zacks / Merrill current-state register, change log and exception controls</x:v>
      </x:c>
      <x:c r="G33" s="682" t="str">
        <x:v>Stewardship Committee</x:v>
      </x:c>
      <x:c r="H33" s="682" t="str">
        <x:v>External input; never automatic authority</x:v>
      </x:c>
      <x:c r="I33" s="640"/>
      <x:c r="J33" s="1273"/>
      <x:c r="K33" s="1273"/>
      <x:c r="L33" s="1273"/>
      <x:c r="M33" s="1273"/>
      <x:c r="N33" s="1273"/>
      <x:c r="O33" s="1275"/>
      <x:c r="P33" s="1275"/>
      <x:c r="Q33" s="1275"/>
      <x:c r="R33" s="1275"/>
      <x:c r="S33" s="1275"/>
      <x:c r="T33" s="1277"/>
      <x:c r="U33" s="715"/>
      <x:c r="V33" s="715"/>
      <x:c r="W33" s="715"/>
      <x:c r="X33" s="715"/>
    </x:row>
    <x:row r="34">
      <x:c r="A34" s="684" t="str">
        <x:v>RCC-006</x:v>
      </x:c>
      <x:c r="B34" s="684" t="str">
        <x:v>Earnings &amp; Material-Event Monitor</x:v>
      </x:c>
      <x:c r="C34" s="684" t="str">
        <x:v>Coordinates pre-event and post-event review</x:v>
      </x:c>
      <x:c r="D34" s="689" t="str">
        <x:v>PLANNED</x:v>
      </x:c>
      <x:c r="E34" s="684" t="str">
        <x:v>Verified event calendar</x:v>
      </x:c>
      <x:c r="F34" s="684" t="str">
        <x:v>Build event workflow and thesis-sensitivity flags</x:v>
      </x:c>
      <x:c r="G34" s="684" t="str">
        <x:v>Research Operations</x:v>
      </x:c>
      <x:c r="H34" s="684" t="str">
        <x:v>Prevents missed thesis-sensitive events</x:v>
      </x:c>
      <x:c r="I34" s="640"/>
      <x:c r="J34" s="1273"/>
      <x:c r="K34" s="1273"/>
      <x:c r="L34" s="1273"/>
      <x:c r="M34" s="1273"/>
      <x:c r="N34" s="1273"/>
      <x:c r="O34" s="1275"/>
      <x:c r="P34" s="1275"/>
      <x:c r="Q34" s="1275"/>
      <x:c r="R34" s="1275"/>
      <x:c r="S34" s="1275"/>
      <x:c r="T34" s="1277"/>
      <x:c r="U34" s="715"/>
      <x:c r="V34" s="715"/>
      <x:c r="W34" s="715"/>
      <x:c r="X34" s="715"/>
    </x:row>
    <x:row r="35">
      <x:c r="A35" s="682" t="str">
        <x:v>RCC-007</x:v>
      </x:c>
      <x:c r="B35" s="682" t="str">
        <x:v>Thesis &amp; Conviction Review Center</x:v>
      </x:c>
      <x:c r="C35" s="682" t="str">
        <x:v>Certifies thesis state and conviction recommendations</x:v>
      </x:c>
      <x:c r="D35" s="689" t="str">
        <x:v>PLANNED</x:v>
      </x:c>
      <x:c r="E35" s="682" t="str">
        <x:v>MIAR, evidence ledger and PEW-005</x:v>
      </x:c>
      <x:c r="F35" s="682" t="str">
        <x:v>Build thesis-state and conviction decision workflow</x:v>
      </x:c>
      <x:c r="G35" s="682" t="str">
        <x:v>Research Committee</x:v>
      </x:c>
      <x:c r="H35" s="682" t="str">
        <x:v>Supports retain, watch, reduce or refer decisions</x:v>
      </x:c>
      <x:c r="I35" s="640"/>
      <x:c r="J35" s="1273"/>
      <x:c r="K35" s="1273"/>
      <x:c r="L35" s="1273"/>
      <x:c r="M35" s="1273"/>
      <x:c r="N35" s="1273"/>
      <x:c r="O35" s="1275"/>
      <x:c r="P35" s="1275"/>
      <x:c r="Q35" s="1275"/>
      <x:c r="R35" s="1275"/>
      <x:c r="S35" s="1275"/>
      <x:c r="T35" s="1277"/>
      <x:c r="U35" s="715"/>
      <x:c r="V35" s="715"/>
      <x:c r="W35" s="715"/>
      <x:c r="X35" s="715"/>
    </x:row>
    <x:row r="36">
      <x:c r="A36" s="684" t="str">
        <x:v>RCC-008</x:v>
      </x:c>
      <x:c r="B36" s="684" t="str">
        <x:v>Research Certification &amp; Referral</x:v>
      </x:c>
      <x:c r="C36" s="684" t="str">
        <x:v>Certifies research conclusion and PEW referral</x:v>
      </x:c>
      <x:c r="D36" s="689" t="str">
        <x:v>PLANNED</x:v>
      </x:c>
      <x:c r="E36" s="684" t="str">
        <x:v>RCC-002 through RCC-007</x:v>
      </x:c>
      <x:c r="F36" s="684" t="str">
        <x:v>Build evidence sufficiency and referral gates</x:v>
      </x:c>
      <x:c r="G36" s="684" t="str">
        <x:v>Chief Investment Steward</x:v>
      </x:c>
      <x:c r="H36" s="684" t="str">
        <x:v>Only certified research reaches engineering or committee</x:v>
      </x:c>
      <x:c r="I36" s="640"/>
      <x:c r="J36" s="707"/>
      <x:c r="K36" s="707"/>
      <x:c r="L36" s="707"/>
      <x:c r="M36" s="707"/>
      <x:c r="N36" s="707"/>
      <x:c r="O36" s="711"/>
      <x:c r="P36" s="711"/>
      <x:c r="Q36" s="711"/>
      <x:c r="R36" s="711"/>
      <x:c r="S36" s="711"/>
      <x:c r="T36" s="715"/>
      <x:c r="U36" s="715"/>
      <x:c r="V36" s="715"/>
      <x:c r="W36" s="715"/>
      <x:c r="X36" s="715"/>
    </x:row>
    <x:row r="37">
      <x:c r="A37" s="640"/>
      <x:c r="B37" s="640"/>
      <x:c r="C37" s="640"/>
      <x:c r="D37" s="640"/>
      <x:c r="E37" s="640"/>
      <x:c r="F37" s="640"/>
      <x:c r="G37" s="640"/>
      <x:c r="H37" s="640"/>
      <x:c r="I37" s="640"/>
      <x:c r="J37" s="640"/>
      <x:c r="K37" s="640"/>
      <x:c r="L37" s="640"/>
      <x:c r="M37" s="640"/>
      <x:c r="N37" s="640"/>
      <x:c r="O37" s="640"/>
      <x:c r="P37" s="640"/>
      <x:c r="Q37" s="640"/>
      <x:c r="R37" s="640"/>
      <x:c r="S37" s="640"/>
      <x:c r="T37" s="640"/>
      <x:c r="U37" s="640"/>
      <x:c r="V37" s="640"/>
      <x:c r="W37" s="640"/>
      <x:c r="X37" s="640"/>
    </x:row>
    <x:row r="38">
      <x:c r="A38" s="640"/>
      <x:c r="B38" s="640"/>
      <x:c r="C38" s="640"/>
      <x:c r="D38" s="640"/>
      <x:c r="E38" s="640"/>
      <x:c r="F38" s="640"/>
      <x:c r="G38" s="640"/>
      <x:c r="H38" s="640"/>
      <x:c r="I38" s="640"/>
      <x:c r="J38" s="640"/>
      <x:c r="K38" s="640"/>
      <x:c r="L38" s="640"/>
      <x:c r="M38" s="640"/>
      <x:c r="N38" s="640"/>
      <x:c r="O38" s="640"/>
      <x:c r="P38" s="640"/>
      <x:c r="Q38" s="640"/>
      <x:c r="R38" s="640"/>
      <x:c r="S38" s="640"/>
      <x:c r="T38" s="640"/>
      <x:c r="U38" s="640"/>
      <x:c r="V38" s="640"/>
      <x:c r="W38" s="640"/>
      <x:c r="X38" s="640"/>
    </x:row>
    <x:row r="39" ht="22" customHeight="1">
      <x:c r="A39" s="678" t="str">
        <x:v>MOPS-003 OPERATING SEQUENCE</x:v>
      </x:c>
      <x:c r="B39" s="678"/>
      <x:c r="C39" s="678"/>
      <x:c r="D39" s="678"/>
      <x:c r="E39" s="678"/>
      <x:c r="F39" s="678"/>
      <x:c r="G39" s="678"/>
      <x:c r="H39" s="678"/>
      <x:c r="I39" s="678"/>
      <x:c r="J39" s="678"/>
      <x:c r="K39" s="678"/>
      <x:c r="L39" s="678"/>
      <x:c r="M39" s="678"/>
      <x:c r="N39" s="678"/>
      <x:c r="O39" s="678"/>
      <x:c r="P39" s="678"/>
      <x:c r="Q39" s="678"/>
      <x:c r="R39" s="678"/>
      <x:c r="S39" s="678"/>
      <x:c r="T39" s="678"/>
      <x:c r="U39" s="678"/>
      <x:c r="V39" s="678"/>
      <x:c r="W39" s="678"/>
      <x:c r="X39" s="678"/>
    </x:row>
    <x:row r="40" ht="29" customHeight="1">
      <x:c r="A40" s="697" t="str">
        <x:v>RESEARCH SIGNAL  →  EVIDENCE REVIEW  →  MIAR UPDATE  →  THESIS ASSESSMENT  →  CONVICTION DECISION  →  PORTFOLIO-ENGINEERING REFERRAL</x:v>
      </x:c>
      <x:c r="B40" s="697"/>
      <x:c r="C40" s="697"/>
      <x:c r="D40" s="697"/>
      <x:c r="E40" s="697"/>
      <x:c r="F40" s="697"/>
      <x:c r="G40" s="697"/>
      <x:c r="H40" s="697"/>
      <x:c r="I40" s="697"/>
      <x:c r="J40" s="697"/>
      <x:c r="K40" s="697"/>
      <x:c r="L40" s="697"/>
      <x:c r="M40" s="697"/>
      <x:c r="N40" s="697"/>
      <x:c r="O40" s="697"/>
      <x:c r="P40" s="697"/>
      <x:c r="Q40" s="697"/>
      <x:c r="R40" s="697"/>
      <x:c r="S40" s="697"/>
      <x:c r="T40" s="697"/>
      <x:c r="U40" s="697"/>
      <x:c r="V40" s="697"/>
      <x:c r="W40" s="697"/>
      <x:c r="X40" s="697"/>
    </x:row>
    <x:row r="41" ht="29" customHeight="1">
      <x:c r="A41" s="697"/>
      <x:c r="B41" s="697"/>
      <x:c r="C41" s="697"/>
      <x:c r="D41" s="697"/>
      <x:c r="E41" s="697"/>
      <x:c r="F41" s="697"/>
      <x:c r="G41" s="697"/>
      <x:c r="H41" s="697"/>
      <x:c r="I41" s="697"/>
      <x:c r="J41" s="697"/>
      <x:c r="K41" s="697"/>
      <x:c r="L41" s="697"/>
      <x:c r="M41" s="697"/>
      <x:c r="N41" s="697"/>
      <x:c r="O41" s="697"/>
      <x:c r="P41" s="697"/>
      <x:c r="Q41" s="697"/>
      <x:c r="R41" s="697"/>
      <x:c r="S41" s="697"/>
      <x:c r="T41" s="697"/>
      <x:c r="U41" s="697"/>
      <x:c r="V41" s="697"/>
      <x:c r="W41" s="697"/>
      <x:c r="X41" s="697"/>
    </x:row>
    <x:row r="42" ht="29" customHeight="1">
      <x:c r="A42" s="697"/>
      <x:c r="B42" s="697"/>
      <x:c r="C42" s="697"/>
      <x:c r="D42" s="697"/>
      <x:c r="E42" s="697"/>
      <x:c r="F42" s="697"/>
      <x:c r="G42" s="697"/>
      <x:c r="H42" s="697"/>
      <x:c r="I42" s="697"/>
      <x:c r="J42" s="697"/>
      <x:c r="K42" s="697"/>
      <x:c r="L42" s="697"/>
      <x:c r="M42" s="697"/>
      <x:c r="N42" s="697"/>
      <x:c r="O42" s="697"/>
      <x:c r="P42" s="697"/>
      <x:c r="Q42" s="697"/>
      <x:c r="R42" s="697"/>
      <x:c r="S42" s="697"/>
      <x:c r="T42" s="697"/>
      <x:c r="U42" s="697"/>
      <x:c r="V42" s="697"/>
      <x:c r="W42" s="697"/>
      <x:c r="X42" s="697"/>
    </x:row>
    <x:row r="43" ht="25" customHeight="1">
      <x:c r="A43" s="700" t="str">
        <x:v>MOPS-003 CONTROL PRINCIPLE — Research identifies and evaluates change. Portfolio Engineering designs the response. Committee governance authorizes the response. The certified MFPDF remains the sole portfolio system of record. RCC-001 may display, prioritize and refer research matters, but it may not change allocations or authorize implementation.</x:v>
      </x:c>
      <x:c r="B43" s="700"/>
      <x:c r="C43" s="700"/>
      <x:c r="D43" s="700"/>
      <x:c r="E43" s="700"/>
      <x:c r="F43" s="700"/>
      <x:c r="G43" s="700"/>
      <x:c r="H43" s="700"/>
      <x:c r="I43" s="700"/>
      <x:c r="J43" s="700"/>
      <x:c r="K43" s="700"/>
      <x:c r="L43" s="700"/>
      <x:c r="M43" s="700"/>
      <x:c r="N43" s="700"/>
      <x:c r="O43" s="700"/>
      <x:c r="P43" s="700"/>
      <x:c r="Q43" s="700"/>
      <x:c r="R43" s="700"/>
      <x:c r="S43" s="700"/>
      <x:c r="T43" s="700"/>
      <x:c r="U43" s="700"/>
      <x:c r="V43" s="700"/>
      <x:c r="W43" s="700"/>
      <x:c r="X43" s="700"/>
    </x:row>
    <x:row r="44" ht="25" customHeight="1">
      <x:c r="A44" s="700"/>
      <x:c r="B44" s="700"/>
      <x:c r="C44" s="700"/>
      <x:c r="D44" s="700"/>
      <x:c r="E44" s="700"/>
      <x:c r="F44" s="700"/>
      <x:c r="G44" s="700"/>
      <x:c r="H44" s="700"/>
      <x:c r="I44" s="700"/>
      <x:c r="J44" s="700"/>
      <x:c r="K44" s="700"/>
      <x:c r="L44" s="700"/>
      <x:c r="M44" s="700"/>
      <x:c r="N44" s="700"/>
      <x:c r="O44" s="700"/>
      <x:c r="P44" s="700"/>
      <x:c r="Q44" s="700"/>
      <x:c r="R44" s="700"/>
      <x:c r="S44" s="700"/>
      <x:c r="T44" s="700"/>
      <x:c r="U44" s="700"/>
      <x:c r="V44" s="700"/>
      <x:c r="W44" s="700"/>
      <x:c r="X44" s="700"/>
    </x:row>
    <x:row r="45" ht="25" customHeight="1">
      <x:c r="A45" s="700"/>
      <x:c r="B45" s="700"/>
      <x:c r="C45" s="700"/>
      <x:c r="D45" s="700"/>
      <x:c r="E45" s="700"/>
      <x:c r="F45" s="700"/>
      <x:c r="G45" s="700"/>
      <x:c r="H45" s="700"/>
      <x:c r="I45" s="700"/>
      <x:c r="J45" s="700"/>
      <x:c r="K45" s="700"/>
      <x:c r="L45" s="700"/>
      <x:c r="M45" s="700"/>
      <x:c r="N45" s="700"/>
      <x:c r="O45" s="700"/>
      <x:c r="P45" s="700"/>
      <x:c r="Q45" s="700"/>
      <x:c r="R45" s="700"/>
      <x:c r="S45" s="700"/>
      <x:c r="T45" s="700"/>
      <x:c r="U45" s="700"/>
      <x:c r="V45" s="700"/>
      <x:c r="W45" s="700"/>
      <x:c r="X45" s="700"/>
    </x:row>
  </x:sheetData>
  <x:mergeCells>
    <x:mergeCell ref="A1:X1"/>
    <x:mergeCell ref="A2:X2"/>
    <x:mergeCell ref="A3:X3"/>
    <x:mergeCell ref="A5:X5"/>
    <x:mergeCell ref="A6:F6"/>
    <x:mergeCell ref="G6:J6"/>
    <x:mergeCell ref="K6:N6"/>
    <x:mergeCell ref="O6:R6"/>
    <x:mergeCell ref="S6:X6"/>
    <x:mergeCell ref="A7:F10"/>
    <x:mergeCell ref="G7:J10"/>
    <x:mergeCell ref="K7:N10"/>
    <x:mergeCell ref="O7:R10"/>
    <x:mergeCell ref="S7:X10"/>
    <x:mergeCell ref="A11:F11"/>
    <x:mergeCell ref="G11:L11"/>
    <x:mergeCell ref="M11:R11"/>
    <x:mergeCell ref="S11:X11"/>
    <x:mergeCell ref="A12:F14"/>
    <x:mergeCell ref="G12:L14"/>
    <x:mergeCell ref="M12:R14"/>
    <x:mergeCell ref="S12:X14"/>
    <x:mergeCell ref="A16:H16"/>
    <x:mergeCell ref="J16:X16"/>
    <x:mergeCell ref="A27:X27"/>
    <x:mergeCell ref="A39:X39"/>
    <x:mergeCell ref="A40:X42"/>
    <x:mergeCell ref="A43:X45"/>
    <x:mergeCell ref="J28:X28"/>
    <x:mergeCell ref="J29:X30"/>
    <x:mergeCell ref="J31:N31"/>
    <x:mergeCell ref="O31:S31"/>
    <x:mergeCell ref="T31:X31"/>
    <x:mergeCell ref="J32:N36"/>
    <x:mergeCell ref="O32:S36"/>
    <x:mergeCell ref="T32:X36"/>
  </x:mergeCells>
  <x:conditionalFormatting sqref="A7:F10">
    <x:cfRule type="expression" dxfId="76" priority="1">
      <x:formula>A7="ACTIVE"</x:formula>
    </x:cfRule>
    <x:cfRule type="expression" dxfId="77" priority="2">
      <x:formula>A7="RESEARCH SETUP INCOMPLETE"</x:formula>
    </x:cfRule>
    <x:cfRule type="expression" dxfId="78" priority="3">
      <x:formula>A7="INITIAL DATA SETUP REQUIRED"</x:formula>
    </x:cfRule>
  </x:conditionalFormatting>
  <x:conditionalFormatting sqref="D18:D24">
    <x:cfRule type="expression" dxfId="79" priority="4">
      <x:formula>D18="PASS"</x:formula>
    </x:cfRule>
    <x:cfRule type="expression" dxfId="80" priority="5">
      <x:formula>D18="ACTION REQUIRED"</x:formula>
    </x:cfRule>
    <x:cfRule type="expression" dxfId="81" priority="6">
      <x:formula>D18="REVIEW REQUIRED"</x:formula>
    </x:cfRule>
    <x:cfRule type="expression" dxfId="82" priority="7">
      <x:formula>D18="OPEN QUEUE"</x:formula>
    </x:cfRule>
    <x:cfRule type="expression" dxfId="83" priority="8">
      <x:formula>D18="CALENDAR ACTIVE"</x:formula>
    </x:cfRule>
    <x:cfRule type="expression" dxfId="84" priority="9">
      <x:formula>D18="EVIDENCE UPDATE"</x:formula>
    </x:cfRule>
    <x:cfRule type="expression" dxfId="85" priority="10">
      <x:formula>D18="NO ACTIVE RECORDS"</x:formula>
    </x:cfRule>
  </x:conditionalFormatting>
  <x:conditionalFormatting sqref="D29:D36">
    <x:cfRule type="expression" dxfId="86" priority="11">
      <x:formula>D29="ACTIVE — INSTALLED"</x:formula>
    </x:cfRule>
    <x:cfRule type="expression" dxfId="87" priority="12">
      <x:formula>D29="NEXT MODULE"</x:formula>
    </x:cfRule>
    <x:cfRule type="expression" dxfId="88" priority="13">
      <x:formula>D29="PLANNED"</x:formula>
    </x:cfRule>
  </x:conditionalFormatting>
  <x:pageMargins left="0.7" right="0.7" top="0.75" bottom="0.75" header="0.3" footer="0.3"/>
  <x:drawing xmlns:r="http://schemas.openxmlformats.org/officeDocument/2006/relationships" r:id="R29debf19a2a340e2"/>
</x:worksheet>
</file>

<file path=xl/worksheets/sheet25.xml><?xml version="1.0" encoding="utf-8"?>
<x:worksheet xmlns:x="http://schemas.openxmlformats.org/spreadsheetml/2006/main">
  <x:sheetFormatPr defaultRowHeight="15"/>
  <x:cols>
    <x:col min="1" max="1" width="24" hidden="0" customWidth="1"/>
    <x:col min="2" max="2" width="24" hidden="0" customWidth="1"/>
    <x:col min="3" max="3" width="27"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8" hidden="0" customWidth="1"/>
    <x:col min="14" max="14" width="28" hidden="0" customWidth="1"/>
    <x:col min="15" max="15" width="28"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38"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42" hidden="0" customWidth="1"/>
    <x:col min="38" max="38" width="24" hidden="0" customWidth="1"/>
    <x:col min="39" max="39" width="42" hidden="0" customWidth="1"/>
    <x:col min="40" max="40" width="24" hidden="0" customWidth="1"/>
    <x:col min="41" max="41" width="24" hidden="0" customWidth="1"/>
  </x:cols>
  <x:sheetData>
    <x:row r="1" ht="28" customHeight="1">
      <x:c r="A1" s="755" t="str">
        <x:v>MOPS-003 — RCC CONTROLLED VALIDATION LISTS</x:v>
      </x:c>
      <x:c r="B1" s="755"/>
      <x:c r="C1" s="755"/>
      <x:c r="D1" s="755"/>
      <x:c r="E1" s="755"/>
      <x:c r="F1" s="755"/>
      <x:c r="G1" s="755"/>
      <x:c r="H1" s="755"/>
      <x:c r="I1" s="755"/>
      <x:c r="J1" s="755"/>
      <x:c r="K1" s="755"/>
      <x:c r="L1" s="755"/>
      <x:c r="M1" s="755"/>
      <x:c r="N1" s="755"/>
      <x:c r="O1" s="755"/>
      <x:c r="P1" s="755"/>
      <x:c r="Q1" s="954"/>
      <x:c r="R1" s="954"/>
      <x:c r="S1" s="954"/>
      <x:c r="T1" s="954"/>
      <x:c r="U1" s="954"/>
      <x:c r="V1" s="954"/>
      <x:c r="W1" s="954"/>
      <x:c r="X1" s="954"/>
      <x:c r="Y1" s="953"/>
    </x:row>
    <x:row r="2" ht="30" customHeight="1">
      <x:c r="A2" s="758" t="str">
        <x:v>Controlled categories for RCC-002 Evidence Ledger, RCC-003 MIAR Dossier Control and RCC-004 MASR Registry / Candidate Pipeline. Do not modify without a documented MOPS-003 amendment.</x:v>
      </x:c>
      <x:c r="B2" s="758"/>
      <x:c r="C2" s="758"/>
      <x:c r="D2" s="758"/>
      <x:c r="E2" s="758"/>
      <x:c r="F2" s="758"/>
      <x:c r="G2" s="758"/>
      <x:c r="H2" s="758"/>
      <x:c r="I2" s="758"/>
      <x:c r="J2" s="758"/>
      <x:c r="K2" s="758"/>
      <x:c r="L2" s="758"/>
      <x:c r="M2" s="758"/>
      <x:c r="N2" s="758"/>
      <x:c r="O2" s="758"/>
      <x:c r="P2" s="758"/>
      <x:c r="Q2" s="954"/>
      <x:c r="R2" s="954"/>
      <x:c r="S2" s="954"/>
      <x:c r="T2" s="954"/>
      <x:c r="U2" s="954"/>
      <x:c r="V2" s="954"/>
      <x:c r="W2" s="954"/>
      <x:c r="X2" s="954"/>
      <x:c r="Y2" s="953"/>
    </x:row>
    <x:row r="4" ht="20" customHeight="1">
      <x:c r="A4" s="763" t="str">
        <x:v>Record Type</x:v>
      </x:c>
      <x:c r="B4" s="763" t="str">
        <x:v>Activity Type</x:v>
      </x:c>
      <x:c r="C4" s="763" t="str">
        <x:v>Evidence Category</x:v>
      </x:c>
      <x:c r="D4" s="763" t="str">
        <x:v>Materiality</x:v>
      </x:c>
      <x:c r="E4" s="763" t="str">
        <x:v>Direction</x:v>
      </x:c>
      <x:c r="F4" s="763" t="str">
        <x:v>Reliability</x:v>
      </x:c>
      <x:c r="G4" s="763" t="str">
        <x:v>Source Type</x:v>
      </x:c>
      <x:c r="H4" s="763" t="str">
        <x:v>Thesis Sensitivity</x:v>
      </x:c>
      <x:c r="I4" s="763" t="str">
        <x:v>Status</x:v>
      </x:c>
      <x:c r="J4" s="763" t="str">
        <x:v>Verification</x:v>
      </x:c>
      <x:c r="K4" s="763" t="str">
        <x:v>MIAR Action</x:v>
      </x:c>
      <x:c r="L4" s="763" t="str">
        <x:v>Thesis Impact</x:v>
      </x:c>
      <x:c r="M4" s="763" t="str">
        <x:v>Conviction Recommendation</x:v>
      </x:c>
      <x:c r="N4" s="763" t="str">
        <x:v>Candidate / Replacement</x:v>
      </x:c>
      <x:c r="O4" s="763" t="str">
        <x:v>PEW Referral</x:v>
      </x:c>
      <x:c r="P4" s="763" t="str">
        <x:v>Disposition</x:v>
      </x:c>
      <x:c r="Q4" s="958" t="str">
        <x:v>MIAR Record Status</x:v>
      </x:c>
      <x:c r="R4" s="958" t="str">
        <x:v>Review Cadence</x:v>
      </x:c>
      <x:c r="S4" s="958" t="str">
        <x:v>MIAR Review Type</x:v>
      </x:c>
      <x:c r="T4" s="958" t="str">
        <x:v>Thesis Assessment</x:v>
      </x:c>
      <x:c r="U4" s="958" t="str">
        <x:v>Certification Recommendation</x:v>
      </x:c>
      <x:c r="V4" s="958" t="str">
        <x:v>RCC-007 Referral State</x:v>
      </x:c>
      <x:c r="W4" s="958" t="str">
        <x:v>MIAR Control Status</x:v>
      </x:c>
      <x:c r="X4" s="958" t="str">
        <x:v>Research Freshness</x:v>
      </x:c>
      <x:c r="Y4" s="958" t="str">
        <x:v>Required MIAR Action</x:v>
      </x:c>
      <x:c r="Z4" s="1091" t="str">
        <x:v>MASR Record Class</x:v>
      </x:c>
      <x:c r="AA4" s="1091" t="str">
        <x:v>MASR Registry Status</x:v>
      </x:c>
      <x:c r="AB4" s="1091" t="str">
        <x:v>Admission Basis</x:v>
      </x:c>
      <x:c r="AC4" s="1091" t="str">
        <x:v>Candidate Type</x:v>
      </x:c>
      <x:c r="AD4" s="1091" t="str">
        <x:v>Candidate Stage</x:v>
      </x:c>
      <x:c r="AE4" s="1091" t="str">
        <x:v>Eligibility Gate</x:v>
      </x:c>
      <x:c r="AF4" s="1091" t="str">
        <x:v>Merrill Status</x:v>
      </x:c>
      <x:c r="AG4" s="1091" t="str">
        <x:v>Candidate Source / Referral</x:v>
      </x:c>
      <x:c r="AH4" s="1091" t="str">
        <x:v>Committee Disposition</x:v>
      </x:c>
      <x:c r="AI4" s="1091" t="str">
        <x:v>PEW Referral State</x:v>
      </x:c>
      <x:c r="AJ4" s="1091" t="str">
        <x:v>MASR Control Status</x:v>
      </x:c>
      <x:c r="AK4" s="1091" t="str">
        <x:v>Required MASR Action</x:v>
      </x:c>
      <x:c r="AL4" s="1091" t="str">
        <x:v>Candidate Control Status</x:v>
      </x:c>
      <x:c r="AM4" s="1091" t="str">
        <x:v>Required Candidate Action</x:v>
      </x:c>
      <x:c r="AN4" s="1091" t="str">
        <x:v>Closure / Removal Reason</x:v>
      </x:c>
      <x:c r="AO4" s="1091" t="str">
        <x:v>Security Type</x:v>
      </x:c>
    </x:row>
    <x:row r="5" ht="20" customHeight="1">
      <x:c r="A5" s="766" t="str">
        <x:v>Certified Holding</x:v>
      </x:c>
      <x:c r="B5" s="766" t="str">
        <x:v>Company Review</x:v>
      </x:c>
      <x:c r="C5" s="766" t="str">
        <x:v>Earnings and Guidance</x:v>
      </x:c>
      <x:c r="D5" s="766" t="str">
        <x:v>Critical</x:v>
      </x:c>
      <x:c r="E5" s="766" t="str">
        <x:v>Positive</x:v>
      </x:c>
      <x:c r="F5" s="766" t="str">
        <x:v>Primary — Verified</x:v>
      </x:c>
      <x:c r="G5" s="766" t="str">
        <x:v>Company Filing</x:v>
      </x:c>
      <x:c r="H5" s="766" t="str">
        <x:v>High</x:v>
      </x:c>
      <x:c r="I5" s="766" t="str">
        <x:v>New</x:v>
      </x:c>
      <x:c r="J5" s="766" t="str">
        <x:v>Yes</x:v>
      </x:c>
      <x:c r="K5" s="766" t="str">
        <x:v>None</x:v>
      </x:c>
      <x:c r="L5" s="766" t="str">
        <x:v>None</x:v>
      </x:c>
      <x:c r="M5" s="766" t="str">
        <x:v>No Change</x:v>
      </x:c>
      <x:c r="N5" s="766" t="str">
        <x:v>None</x:v>
      </x:c>
      <x:c r="O5" s="766" t="str">
        <x:v>No</x:v>
      </x:c>
      <x:c r="P5" s="766" t="str">
        <x:v>Pending</x:v>
      </x:c>
      <x:c r="Q5" s="962" t="str">
        <x:v>Not Initiated</x:v>
      </x:c>
      <x:c r="R5" s="962" t="str">
        <x:v>Quarterly — 90 Days</x:v>
      </x:c>
      <x:c r="S5" s="962" t="str">
        <x:v>Full Review</x:v>
      </x:c>
      <x:c r="T5" s="962" t="str">
        <x:v>Strengthening</x:v>
      </x:c>
      <x:c r="U5" s="962" t="str">
        <x:v>Certify Current</x:v>
      </x:c>
      <x:c r="V5" s="962" t="str">
        <x:v>No Referral</x:v>
      </x:c>
      <x:c r="W5" s="962" t="str">
        <x:v>CONTROL CLEAR</x:v>
      </x:c>
      <x:c r="X5" s="962" t="str">
        <x:v>CURRENT</x:v>
      </x:c>
      <x:c r="Y5" s="962" t="str">
        <x:v>Maintain scheduled cadence</x:v>
      </x:c>
      <x:c r="Z5" s="1092" t="str">
        <x:v>Certified Portfolio Holding</x:v>
      </x:c>
      <x:c r="AA5" s="1092" t="str">
        <x:v>Active — Certified Holding</x:v>
      </x:c>
      <x:c r="AB5" s="1092" t="str">
        <x:v>Certified MFPDF / Founders Edition</x:v>
      </x:c>
      <x:c r="AC5" s="1092" t="str">
        <x:v>New Candidate</x:v>
      </x:c>
      <x:c r="AD5" s="1092" t="str">
        <x:v>Intake</x:v>
      </x:c>
      <x:c r="AE5" s="1092" t="str">
        <x:v>CERTIFIED HOLDING</x:v>
      </x:c>
      <x:c r="AF5" s="1092" t="str">
        <x:v>Buy</x:v>
      </x:c>
      <x:c r="AG5" s="1092" t="str">
        <x:v>RCC-002 Evidence Referral</x:v>
      </x:c>
      <x:c r="AH5" s="1092" t="str">
        <x:v>Pending</x:v>
      </x:c>
      <x:c r="AI5" s="1092" t="str">
        <x:v>No</x:v>
      </x:c>
      <x:c r="AJ5" s="1092" t="str">
        <x:v>SETUP REQUIRED</x:v>
      </x:c>
      <x:c r="AK5" s="1092" t="str">
        <x:v>Assign canonical MASR ID and complete registry setup</x:v>
      </x:c>
      <x:c r="AL5" s="1092" t="str">
        <x:v>INCOMPLETE</x:v>
      </x:c>
      <x:c r="AM5" s="1092" t="str">
        <x:v>Complete required candidate intake fields</x:v>
      </x:c>
      <x:c r="AN5" s="1092" t="str">
        <x:v>Approved / Advanced</x:v>
      </x:c>
      <x:c r="AO5" s="1092" t="str">
        <x:v>Equity</x:v>
      </x:c>
    </x:row>
    <x:row r="6" ht="20" customHeight="1">
      <x:c r="A6" s="766" t="str">
        <x:v>MASR Non-Holding</x:v>
      </x:c>
      <x:c r="B6" s="766" t="str">
        <x:v>Earnings / Guidance</x:v>
      </x:c>
      <x:c r="C6" s="766" t="str">
        <x:v>Revenue and Margin</x:v>
      </x:c>
      <x:c r="D6" s="766" t="str">
        <x:v>High</x:v>
      </x:c>
      <x:c r="E6" s="766" t="str">
        <x:v>Neutral</x:v>
      </x:c>
      <x:c r="F6" s="766" t="str">
        <x:v>Secondary — Verified</x:v>
      </x:c>
      <x:c r="G6" s="766" t="str">
        <x:v>Earnings Release</x:v>
      </x:c>
      <x:c r="H6" s="766" t="str">
        <x:v>Medium</x:v>
      </x:c>
      <x:c r="I6" s="766" t="str">
        <x:v>Under Review</x:v>
      </x:c>
      <x:c r="J6" s="766" t="str">
        <x:v>No</x:v>
      </x:c>
      <x:c r="K6" s="766" t="str">
        <x:v>Incremental Update</x:v>
      </x:c>
      <x:c r="L6" s="766" t="str">
        <x:v>Strengthening</x:v>
      </x:c>
      <x:c r="M6" s="766" t="str">
        <x:v>Increase</x:v>
      </x:c>
      <x:c r="N6" s="766" t="str">
        <x:v>Candidate Review</x:v>
      </x:c>
      <x:c r="O6" s="766" t="str">
        <x:v>Yes — PEW-003 Role</x:v>
      </x:c>
      <x:c r="P6" s="766" t="str">
        <x:v>No Action</x:v>
      </x:c>
      <x:c r="Q6" s="962" t="str">
        <x:v>Draft</x:v>
      </x:c>
      <x:c r="R6" s="962" t="str">
        <x:v>Semiannual — 180 Days</x:v>
      </x:c>
      <x:c r="S6" s="962" t="str">
        <x:v>Incremental Update</x:v>
      </x:c>
      <x:c r="T6" s="962" t="str">
        <x:v>Intact</x:v>
      </x:c>
      <x:c r="U6" s="962" t="str">
        <x:v>Certify with Exception</x:v>
      </x:c>
      <x:c r="V6" s="962" t="str">
        <x:v>Refer to RCC-007</x:v>
      </x:c>
      <x:c r="W6" s="962" t="str">
        <x:v>INCOMPLETE</x:v>
      </x:c>
      <x:c r="X6" s="962" t="str">
        <x:v>UPDATE DUE</x:v>
      </x:c>
      <x:c r="Y6" s="962" t="str">
        <x:v>Complete MIAR setup</x:v>
      </x:c>
      <x:c r="Z6" s="1092" t="str">
        <x:v>MASR Approved Non-Holding</x:v>
      </x:c>
      <x:c r="AA6" s="1092" t="str">
        <x:v>Active — Approved Non-Holding</x:v>
      </x:c>
      <x:c r="AB6" s="1092" t="str">
        <x:v>Manifest Research</x:v>
      </x:c>
      <x:c r="AC6" s="1092" t="str">
        <x:v>Replacement Candidate</x:v>
      </x:c>
      <x:c r="AD6" s="1092" t="str">
        <x:v>Evidence Gathering</x:v>
      </x:c>
      <x:c r="AE6" s="1092" t="str">
        <x:v>ELIGIBLE</x:v>
      </x:c>
      <x:c r="AF6" s="1092" t="str">
        <x:v>Neutral</x:v>
      </x:c>
      <x:c r="AG6" s="1092" t="str">
        <x:v>RCC-003 MIAR Referral</x:v>
      </x:c>
      <x:c r="AH6" s="1092" t="str">
        <x:v>Approve MASR Admission</x:v>
      </x:c>
      <x:c r="AI6" s="1092" t="str">
        <x:v>Yes — Refer to PEW-004</x:v>
      </x:c>
      <x:c r="AJ6" s="1092" t="str">
        <x:v>DUPLICATE MASR ID</x:v>
      </x:c>
      <x:c r="AK6" s="1092" t="str">
        <x:v>Resolve duplicate canonical MASR identifier</x:v>
      </x:c>
      <x:c r="AL6" s="1092" t="str">
        <x:v>DUPLICATE CANDIDATE ID</x:v>
      </x:c>
      <x:c r="AM6" s="1092" t="str">
        <x:v>Resolve duplicate candidate identifier</x:v>
      </x:c>
      <x:c r="AN6" s="1092" t="str">
        <x:v>Rejected — Evidence</x:v>
      </x:c>
      <x:c r="AO6" s="1092" t="str">
        <x:v>ETF</x:v>
      </x:c>
    </x:row>
    <x:row r="7" ht="20" customHeight="1">
      <x:c r="A7" s="766" t="str">
        <x:v>Research Candidate</x:v>
      </x:c>
      <x:c r="B7" s="766" t="str">
        <x:v>Material Corporate Event</x:v>
      </x:c>
      <x:c r="C7" s="766" t="str">
        <x:v>Balance Sheet / Credit</x:v>
      </x:c>
      <x:c r="D7" s="766" t="str">
        <x:v>Moderate</x:v>
      </x:c>
      <x:c r="E7" s="766" t="str">
        <x:v>Negative</x:v>
      </x:c>
      <x:c r="F7" s="766" t="str">
        <x:v>Internal Analysis</x:v>
      </x:c>
      <x:c r="G7" s="766" t="str">
        <x:v>Company Presentation</x:v>
      </x:c>
      <x:c r="H7" s="766" t="str">
        <x:v>Low</x:v>
      </x:c>
      <x:c r="I7" s="766" t="str">
        <x:v>Awaiting Verification</x:v>
      </x:c>
      <x:c r="J7" s="766" t="str">
        <x:v>Exception Approved</x:v>
      </x:c>
      <x:c r="K7" s="766" t="str">
        <x:v>Full Review</x:v>
      </x:c>
      <x:c r="L7" s="766" t="str">
        <x:v>Intact</x:v>
      </x:c>
      <x:c r="M7" s="766" t="str">
        <x:v>Reduce</x:v>
      </x:c>
      <x:c r="N7" s="766" t="str">
        <x:v>Replacement Review</x:v>
      </x:c>
      <x:c r="O7" s="766" t="str">
        <x:v>Yes — PEW-004 Candidate</x:v>
      </x:c>
      <x:c r="P7" s="766" t="str">
        <x:v>MIAR Updated</x:v>
      </x:c>
      <x:c r="Q7" s="962" t="str">
        <x:v>Active</x:v>
      </x:c>
      <x:c r="R7" s="962" t="str">
        <x:v>Annual — 365 Days</x:v>
      </x:c>
      <x:c r="S7" s="962" t="str">
        <x:v>Material Event Review</x:v>
      </x:c>
      <x:c r="T7" s="962" t="str">
        <x:v>Under Review</x:v>
      </x:c>
      <x:c r="U7" s="962" t="str">
        <x:v>Return for Revision</x:v>
      </x:c>
      <x:c r="V7" s="962" t="str">
        <x:v>Hold Pending MIAR Update</x:v>
      </x:c>
      <x:c r="W7" s="962" t="str">
        <x:v>DUPLICATE MIAR ID</x:v>
      </x:c>
      <x:c r="X7" s="962" t="str">
        <x:v>REVIEW DUE</x:v>
      </x:c>
      <x:c r="Y7" s="962" t="str">
        <x:v>Assign unique canonical MIAR ID</x:v>
      </x:c>
      <x:c r="Z7" s="1092" t="str">
        <x:v>Conditional Candidate</x:v>
      </x:c>
      <x:c r="AA7" s="1092" t="str">
        <x:v>Conditional</x:v>
      </x:c>
      <x:c r="AB7" s="1092" t="str">
        <x:v>Empirical Screen</x:v>
      </x:c>
      <x:c r="AC7" s="1092" t="str">
        <x:v>Retention Review</x:v>
      </x:c>
      <x:c r="AD7" s="1092" t="str">
        <x:v>MIAR Review</x:v>
      </x:c>
      <x:c r="AE7" s="1092" t="str">
        <x:v>ELIGIBLE WITH EXCEPTION</x:v>
      </x:c>
      <x:c r="AF7" s="1092" t="str">
        <x:v>Underperform</x:v>
      </x:c>
      <x:c r="AG7" s="1092" t="str">
        <x:v>RCC-007 Thesis / Conviction Referral</x:v>
      </x:c>
      <x:c r="AH7" s="1092" t="str">
        <x:v>Approve Conditional Admission</x:v>
      </x:c>
      <x:c r="AI7" s="1092" t="str">
        <x:v>Referred — Pending PEW Record</x:v>
      </x:c>
      <x:c r="AJ7" s="1092" t="str">
        <x:v>DUPLICATE TICKER</x:v>
      </x:c>
      <x:c r="AK7" s="1092" t="str">
        <x:v>Resolve duplicate active ticker record</x:v>
      </x:c>
      <x:c r="AL7" s="1092" t="str">
        <x:v>MASR RECORD REQUIRED</x:v>
      </x:c>
      <x:c r="AM7" s="1092" t="str">
        <x:v>Create or reconcile the RCC-004 MASR registry record</x:v>
      </x:c>
      <x:c r="AN7" s="1092" t="str">
        <x:v>Rejected — Eligibility</x:v>
      </x:c>
      <x:c r="AO7" s="1092" t="str">
        <x:v>Other</x:v>
      </x:c>
    </x:row>
    <x:row r="8" ht="20" customHeight="1">
      <x:c r="A8" s="766" t="str">
        <x:v>Portfolio-Level</x:v>
      </x:c>
      <x:c r="B8" s="766" t="str">
        <x:v>Zacks Rank Change</x:v>
      </x:c>
      <x:c r="C8" s="766" t="str">
        <x:v>Capital Allocation</x:v>
      </x:c>
      <x:c r="D8" s="766" t="str">
        <x:v>Low</x:v>
      </x:c>
      <x:c r="E8" s="766" t="str">
        <x:v>Mixed</x:v>
      </x:c>
      <x:c r="F8" s="766" t="str">
        <x:v>Unverified — Pending</x:v>
      </x:c>
      <x:c r="G8" s="766" t="str">
        <x:v>Earnings / Investor Call</x:v>
      </x:c>
      <x:c r="H8" s="766" t="str">
        <x:v>Not Assessed</x:v>
      </x:c>
      <x:c r="I8" s="766" t="str">
        <x:v>Escalated</x:v>
      </x:c>
      <x:c r="K8" s="766" t="str">
        <x:v>Material Event Review</x:v>
      </x:c>
      <x:c r="L8" s="766" t="str">
        <x:v>Under Review</x:v>
      </x:c>
      <x:c r="M8" s="766" t="str">
        <x:v>Watch</x:v>
      </x:c>
      <x:c r="N8" s="766" t="str">
        <x:v>MASR Addition Review</x:v>
      </x:c>
      <x:c r="O8" s="766" t="str">
        <x:v>Yes — PEW-005 Conviction</x:v>
      </x:c>
      <x:c r="P8" s="766" t="str">
        <x:v>Thesis Updated</x:v>
      </x:c>
      <x:c r="Q8" s="962" t="str">
        <x:v>Update Due</x:v>
      </x:c>
      <x:c r="R8" s="962" t="str">
        <x:v>Event-Driven</x:v>
      </x:c>
      <x:c r="S8" s="962" t="str">
        <x:v>Certification Review</x:v>
      </x:c>
      <x:c r="T8" s="962" t="str">
        <x:v>Weakening</x:v>
      </x:c>
      <x:c r="U8" s="962" t="str">
        <x:v>Escalate to RCC-007</x:v>
      </x:c>
      <x:c r="W8" s="962" t="str">
        <x:v>CERTIFICATION REQUIRED</x:v>
      </x:c>
      <x:c r="X8" s="962" t="str">
        <x:v>OVERDUE</x:v>
      </x:c>
      <x:c r="Y8" s="962" t="str">
        <x:v>Enter certifier and certification date</x:v>
      </x:c>
      <x:c r="Z8" s="1092" t="str">
        <x:v>Research Candidate</x:v>
      </x:c>
      <x:c r="AA8" s="1092" t="str">
        <x:v>Candidate — Under Research</x:v>
      </x:c>
      <x:c r="AB8" s="1092" t="str">
        <x:v>Zacks Election</x:v>
      </x:c>
      <x:c r="AC8" s="1092" t="str">
        <x:v>MASR Addition Review</x:v>
      </x:c>
      <x:c r="AD8" s="1092" t="str">
        <x:v>Eligibility Review</x:v>
      </x:c>
      <x:c r="AE8" s="1092" t="str">
        <x:v>NOT ELIGIBLE</x:v>
      </x:c>
      <x:c r="AF8" s="1092" t="str">
        <x:v>No Rating</x:v>
      </x:c>
      <x:c r="AG8" s="1092" t="str">
        <x:v>Committee Referral</x:v>
      </x:c>
      <x:c r="AH8" s="1092" t="str">
        <x:v>Advance to PEW-004</x:v>
      </x:c>
      <x:c r="AI8" s="1092" t="str">
        <x:v>Referred — PEW Record Linked</x:v>
      </x:c>
      <x:c r="AJ8" s="1092" t="str">
        <x:v>INCOMPLETE</x:v>
      </x:c>
      <x:c r="AK8" s="1092" t="str">
        <x:v>Complete required registry classification and role fields</x:v>
      </x:c>
      <x:c r="AL8" s="1092" t="str">
        <x:v>ELIGIBILITY BLOCK</x:v>
      </x:c>
      <x:c r="AM8" s="1092" t="str">
        <x:v>Resolve eligibility gate or close candidate</x:v>
      </x:c>
      <x:c r="AN8" s="1092" t="str">
        <x:v>Rejected — Role Fit</x:v>
      </x:c>
      <x:c r="AO8" s="1092"/>
    </x:row>
    <x:row r="9" ht="20" customHeight="1">
      <x:c r="A9" s="766" t="str">
        <x:v>Market / Macro</x:v>
      </x:c>
      <x:c r="B9" s="766" t="str">
        <x:v>Merrill Research Update</x:v>
      </x:c>
      <x:c r="C9" s="766" t="str">
        <x:v>Management / Governance</x:v>
      </x:c>
      <x:c r="E9" s="766" t="str">
        <x:v>Unclear</x:v>
      </x:c>
      <x:c r="F9" s="766" t="str">
        <x:v>Exception Approved</x:v>
      </x:c>
      <x:c r="G9" s="766" t="str">
        <x:v>Merrill Research</x:v>
      </x:c>
      <x:c r="I9" s="766" t="str">
        <x:v>Referred to MIAR</x:v>
      </x:c>
      <x:c r="L9" s="766" t="str">
        <x:v>Weakening</x:v>
      </x:c>
      <x:c r="M9" s="766" t="str">
        <x:v>Initiate Replacement Review</x:v>
      </x:c>
      <x:c r="N9" s="766" t="str">
        <x:v>MASR Removal Review</x:v>
      </x:c>
      <x:c r="O9" s="766" t="str">
        <x:v>Yes — PEW-006 Allocation</x:v>
      </x:c>
      <x:c r="P9" s="766" t="str">
        <x:v>Conviction Updated</x:v>
      </x:c>
      <x:c r="Q9" s="962" t="str">
        <x:v>Review Due</x:v>
      </x:c>
      <x:c r="T9" s="962" t="str">
        <x:v>Impaired</x:v>
      </x:c>
      <x:c r="U9" s="962" t="str">
        <x:v>No Certification</x:v>
      </x:c>
      <x:c r="W9" s="962" t="str">
        <x:v>DRAFT — NOT CERTIFIED</x:v>
      </x:c>
      <x:c r="X9" s="962" t="str">
        <x:v>MATERIAL EVENT REVIEW</x:v>
      </x:c>
      <x:c r="Y9" s="962" t="str">
        <x:v>Complete certification review</x:v>
      </x:c>
      <x:c r="Z9" s="1092" t="str">
        <x:v>Replacement Candidate</x:v>
      </x:c>
      <x:c r="AA9" s="1092" t="str">
        <x:v>Candidate — Committee Review</x:v>
      </x:c>
      <x:c r="AB9" s="1092" t="str">
        <x:v>Merrill Commonality</x:v>
      </x:c>
      <x:c r="AC9" s="1092" t="str">
        <x:v>MASR Removal Review</x:v>
      </x:c>
      <x:c r="AD9" s="1092" t="str">
        <x:v>Candidate Comparison</x:v>
      </x:c>
      <x:c r="AE9" s="1092" t="str">
        <x:v>NOT ASSESSED</x:v>
      </x:c>
      <x:c r="AF9" s="1092" t="str">
        <x:v>Restricted / Unavailable</x:v>
      </x:c>
      <x:c r="AG9" s="1092" t="str">
        <x:v>PEW Replacement Need</x:v>
      </x:c>
      <x:c r="AH9" s="1092" t="str">
        <x:v>Retain on Watch</x:v>
      </x:c>
      <x:c r="AI9" s="1092"/>
      <x:c r="AJ9" s="1092" t="str">
        <x:v>MIAR SETUP REQUIRED</x:v>
      </x:c>
      <x:c r="AK9" s="1092" t="str">
        <x:v>Complete RCC-003 MIAR identity and dossier controls</x:v>
      </x:c>
      <x:c r="AL9" s="1092" t="str">
        <x:v>EVIDENCE REQUIRED</x:v>
      </x:c>
      <x:c r="AM9" s="1092" t="str">
        <x:v>Add verified RCC-002 evidence before advancement</x:v>
      </x:c>
      <x:c r="AN9" s="1092" t="str">
        <x:v>Rejected — Valuation</x:v>
      </x:c>
      <x:c r="AO9" s="1092"/>
    </x:row>
    <x:row r="10" ht="20" customHeight="1">
      <x:c r="A10" s="766" t="str">
        <x:v>Other</x:v>
      </x:c>
      <x:c r="B10" s="766" t="str">
        <x:v>MIAR Update</x:v>
      </x:c>
      <x:c r="C10" s="766" t="str">
        <x:v>Competitive Position</x:v>
      </x:c>
      <x:c r="G10" s="766" t="str">
        <x:v>Zacks Rank</x:v>
      </x:c>
      <x:c r="I10" s="766" t="str">
        <x:v>Referred to Thesis / Conviction</x:v>
      </x:c>
      <x:c r="L10" s="766" t="str">
        <x:v>Impaired</x:v>
      </x:c>
      <x:c r="M10" s="766" t="str">
        <x:v>Unassigned</x:v>
      </x:c>
      <x:c r="O10" s="766" t="str">
        <x:v>Yes — PEW-007 Certification</x:v>
      </x:c>
      <x:c r="P10" s="766" t="str">
        <x:v>Candidate Advanced</x:v>
      </x:c>
      <x:c r="Q10" s="962" t="str">
        <x:v>Material Event Review</x:v>
      </x:c>
      <x:c r="T10" s="962" t="str">
        <x:v>Broken</x:v>
      </x:c>
      <x:c r="W10" s="962" t="str">
        <x:v>THESIS / CONVICTION SETUP</x:v>
      </x:c>
      <x:c r="X10" s="962" t="str">
        <x:v>NOT INITIALIZED</x:v>
      </x:c>
      <x:c r="Y10" s="962" t="str">
        <x:v>Complete thesis and conviction prerequisites</x:v>
      </x:c>
      <x:c r="Z10" s="1092" t="str">
        <x:v>Rejected Candidate</x:v>
      </x:c>
      <x:c r="AA10" s="1092" t="str">
        <x:v>Suspended</x:v>
      </x:c>
      <x:c r="AB10" s="1092" t="str">
        <x:v>Replacement Review</x:v>
      </x:c>
      <x:c r="AC10" s="1092" t="str">
        <x:v>Conditional Candidate</x:v>
      </x:c>
      <x:c r="AD10" s="1092" t="str">
        <x:v>Committee Review</x:v>
      </x:c>
      <x:c r="AE10" s="1092"/>
      <x:c r="AF10" s="1092" t="str">
        <x:v>Not Reviewed</x:v>
      </x:c>
      <x:c r="AG10" s="1092" t="str">
        <x:v>Empirical Screen</x:v>
      </x:c>
      <x:c r="AH10" s="1092" t="str">
        <x:v>Reject Candidate</x:v>
      </x:c>
      <x:c r="AI10" s="1092"/>
      <x:c r="AJ10" s="1092" t="str">
        <x:v>NOT ELIGIBLE</x:v>
      </x:c>
      <x:c r="AK10" s="1092" t="str">
        <x:v>Resolve eligibility failure or reject / archive record</x:v>
      </x:c>
      <x:c r="AL10" s="1092" t="str">
        <x:v>MIAR GATE BLOCK</x:v>
      </x:c>
      <x:c r="AM10" s="1092" t="str">
        <x:v>Complete RCC-003 dossier and research-freshness controls</x:v>
      </x:c>
      <x:c r="AN10" s="1092" t="str">
        <x:v>Removed — Thesis Impaired</x:v>
      </x:c>
      <x:c r="AO10" s="1092"/>
    </x:row>
    <x:row r="11" ht="20" customHeight="1">
      <x:c r="B11" s="766" t="str">
        <x:v>Thesis / Conviction Review</x:v>
      </x:c>
      <x:c r="C11" s="766" t="str">
        <x:v>Product / Technology</x:v>
      </x:c>
      <x:c r="G11" s="766" t="str">
        <x:v>Rating Agency</x:v>
      </x:c>
      <x:c r="I11" s="766" t="str">
        <x:v>Referred to Candidate Review</x:v>
      </x:c>
      <x:c r="L11" s="766" t="str">
        <x:v>Broken</x:v>
      </x:c>
      <x:c r="M11" s="766" t="str">
        <x:v>Not Applicable</x:v>
      </x:c>
      <x:c r="P11" s="766" t="str">
        <x:v>Candidate Rejected</x:v>
      </x:c>
      <x:c r="Q11" s="962" t="str">
        <x:v>Suspended</x:v>
      </x:c>
      <x:c r="T11" s="962" t="str">
        <x:v>Not Assessed</x:v>
      </x:c>
      <x:c r="W11" s="962" t="str">
        <x:v>MIAR ACTION PENDING</x:v>
      </x:c>
      <x:c r="X11" s="962" t="str">
        <x:v>INACTIVE</x:v>
      </x:c>
      <x:c r="Y11" s="962" t="str">
        <x:v>Resolve RCC-002 MIAR referrals</x:v>
      </x:c>
      <x:c r="Z11" s="1092" t="str">
        <x:v>Removed Security</x:v>
      </x:c>
      <x:c r="AA11" s="1092" t="str">
        <x:v>Rejected</x:v>
      </x:c>
      <x:c r="AB11" s="1092" t="str">
        <x:v>Committee Referral</x:v>
      </x:c>
      <x:c r="AC11" s="1092" t="str">
        <x:v>Reinstatement Review</x:v>
      </x:c>
      <x:c r="AD11" s="1092" t="str">
        <x:v>Approved for MASR</x:v>
      </x:c>
      <x:c r="AE11" s="1092"/>
      <x:c r="AF11" s="1092"/>
      <x:c r="AG11" s="1092" t="str">
        <x:v>Zacks Screen</x:v>
      </x:c>
      <x:c r="AH11" s="1092" t="str">
        <x:v>Remove from MASR</x:v>
      </x:c>
      <x:c r="AI11" s="1092"/>
      <x:c r="AJ11" s="1092" t="str">
        <x:v>EXCEPTION REVIEW</x:v>
      </x:c>
      <x:c r="AK11" s="1092" t="str">
        <x:v>Document and approve all eligibility exceptions</x:v>
      </x:c>
      <x:c r="AL11" s="1092" t="str">
        <x:v>COMMITTEE DECISION REQUIRED</x:v>
      </x:c>
      <x:c r="AM11" s="1092" t="str">
        <x:v>Record formal committee disposition</x:v>
      </x:c>
      <x:c r="AN11" s="1092" t="str">
        <x:v>Removed — Better Replacement</x:v>
      </x:c>
      <x:c r="AO11" s="1092"/>
    </x:row>
    <x:row r="12" ht="20" customHeight="1">
      <x:c r="B12" s="766" t="str">
        <x:v>MASR Candidate</x:v>
      </x:c>
      <x:c r="C12" s="766" t="str">
        <x:v>Regulatory / Legal</x:v>
      </x:c>
      <x:c r="G12" s="766" t="str">
        <x:v>Government / Regulator</x:v>
      </x:c>
      <x:c r="I12" s="766" t="str">
        <x:v>Referred to Portfolio Engineering</x:v>
      </x:c>
      <x:c r="P12" s="766" t="str">
        <x:v>Referred to PEW</x:v>
      </x:c>
      <x:c r="Q12" s="962" t="str">
        <x:v>Archived</x:v>
      </x:c>
      <x:c r="W12" s="962" t="str">
        <x:v>MATERIAL EVENT REVIEW</x:v>
      </x:c>
      <x:c r="Y12" s="962" t="str">
        <x:v>Complete material-event dossier review</x:v>
      </x:c>
      <x:c r="Z12" s="1092" t="str">
        <x:v>Archived Record</x:v>
      </x:c>
      <x:c r="AA12" s="1092" t="str">
        <x:v>Removed</x:v>
      </x:c>
      <x:c r="AB12" s="1092" t="str">
        <x:v>Advisor Observation</x:v>
      </x:c>
      <x:c r="AC12" s="1092" t="str">
        <x:v>Research Candidate</x:v>
      </x:c>
      <x:c r="AD12" s="1092" t="str">
        <x:v>Referred to PEW-004</x:v>
      </x:c>
      <x:c r="AE12" s="1092"/>
      <x:c r="AF12" s="1092"/>
      <x:c r="AG12" s="1092" t="str">
        <x:v>Merrill Research</x:v>
      </x:c>
      <x:c r="AH12" s="1092" t="str">
        <x:v>Defer</x:v>
      </x:c>
      <x:c r="AI12" s="1092"/>
      <x:c r="AJ12" s="1092" t="str">
        <x:v>COMMITTEE DISPOSITION REQUIRED</x:v>
      </x:c>
      <x:c r="AK12" s="1092" t="str">
        <x:v>Record committee disposition and review date</x:v>
      </x:c>
      <x:c r="AL12" s="1092" t="str">
        <x:v>PEW REFERRAL INCOMPLETE</x:v>
      </x:c>
      <x:c r="AM12" s="1092" t="str">
        <x:v>Complete PEW-004 referral and candidate linkage</x:v>
      </x:c>
      <x:c r="AN12" s="1092" t="str">
        <x:v>Closed — No Action</x:v>
      </x:c>
      <x:c r="AO12" s="1092"/>
    </x:row>
    <x:row r="13" ht="20" customHeight="1">
      <x:c r="B13" s="766" t="str">
        <x:v>Replacement Candidate</x:v>
      </x:c>
      <x:c r="C13" s="766" t="str">
        <x:v>Valuation</x:v>
      </x:c>
      <x:c r="G13" s="766" t="str">
        <x:v>Industry Data</x:v>
      </x:c>
      <x:c r="I13" s="766" t="str">
        <x:v>Closed — No Action</x:v>
      </x:c>
      <x:c r="P13" s="766" t="str">
        <x:v>Committee Review Required</x:v>
      </x:c>
      <x:c r="W13" s="962" t="str">
        <x:v>REVIEW DUE</x:v>
      </x:c>
      <x:c r="Y13" s="962" t="str">
        <x:v>Schedule and complete dossier review</x:v>
      </x:c>
      <x:c r="Z13" s="1092"/>
      <x:c r="AA13" s="1092" t="str">
        <x:v>Archived</x:v>
      </x:c>
      <x:c r="AB13" s="1092" t="str">
        <x:v>Other</x:v>
      </x:c>
      <x:c r="AC13" s="1092"/>
      <x:c r="AD13" s="1092" t="str">
        <x:v>On Watch</x:v>
      </x:c>
      <x:c r="AE13" s="1092"/>
      <x:c r="AF13" s="1092"/>
      <x:c r="AG13" s="1092" t="str">
        <x:v>Advisor Observation</x:v>
      </x:c>
      <x:c r="AH13" s="1092" t="str">
        <x:v>No Action</x:v>
      </x:c>
      <x:c r="AI13" s="1092"/>
      <x:c r="AJ13" s="1092" t="str">
        <x:v>CERTIFICATION REQUIRED</x:v>
      </x:c>
      <x:c r="AK13" s="1092" t="str">
        <x:v>Record approval authority and review date</x:v>
      </x:c>
      <x:c r="AL13" s="1092" t="str">
        <x:v>CLOSURE REQUIRED</x:v>
      </x:c>
      <x:c r="AM13" s="1092" t="str">
        <x:v>Record closure authority, date and rationale</x:v>
      </x:c>
      <x:c r="AN13" s="1092" t="str">
        <x:v>Deferred / Watch</x:v>
      </x:c>
      <x:c r="AO13" s="1092"/>
    </x:row>
    <x:row r="14" ht="20" customHeight="1">
      <x:c r="B14" s="766" t="str">
        <x:v>Regulatory / Legal</x:v>
      </x:c>
      <x:c r="C14" s="766" t="str">
        <x:v>Dividend / Income</x:v>
      </x:c>
      <x:c r="G14" s="766" t="str">
        <x:v>News / Media</x:v>
      </x:c>
      <x:c r="I14" s="766" t="str">
        <x:v>Closed — Incorporated</x:v>
      </x:c>
      <x:c r="P14" s="766" t="str">
        <x:v>Closed</x:v>
      </x:c>
      <x:c r="W14" s="962" t="str">
        <x:v>OVERDUE</x:v>
      </x:c>
      <x:c r="Y14" s="962" t="str">
        <x:v>Complete overdue full review</x:v>
      </x:c>
      <x:c r="Z14" s="1092"/>
      <x:c r="AA14" s="1092"/>
      <x:c r="AB14" s="1092"/>
      <x:c r="AC14" s="1092"/>
      <x:c r="AD14" s="1092" t="str">
        <x:v>Rejected</x:v>
      </x:c>
      <x:c r="AE14" s="1092"/>
      <x:c r="AF14" s="1092"/>
      <x:c r="AG14" s="1092" t="str">
        <x:v>Other</x:v>
      </x:c>
      <x:c r="AH14" s="1092" t="str">
        <x:v>Grandfathered — Certified Holding</x:v>
      </x:c>
      <x:c r="AI14" s="1092"/>
      <x:c r="AJ14" s="1092" t="str">
        <x:v>CONTROL CLEAR</x:v>
      </x:c>
      <x:c r="AK14" s="1092" t="str">
        <x:v>Maintain current registry record</x:v>
      </x:c>
      <x:c r="AL14" s="1092" t="str">
        <x:v>OVERDUE</x:v>
      </x:c>
      <x:c r="AM14" s="1092" t="str">
        <x:v>Complete or formally extend the overdue review</x:v>
      </x:c>
      <x:c r="AN14" s="1092"/>
      <x:c r="AO14" s="1092"/>
    </x:row>
    <x:row r="15" ht="20" customHeight="1">
      <x:c r="B15" s="766" t="str">
        <x:v>Capital Allocation / Dividend</x:v>
      </x:c>
      <x:c r="C15" s="766" t="str">
        <x:v>M&amp;A / Divestiture</x:v>
      </x:c>
      <x:c r="G15" s="766" t="str">
        <x:v>Internal Analysis</x:v>
      </x:c>
      <x:c r="Z15" s="1092"/>
      <x:c r="AA15" s="1092"/>
      <x:c r="AB15" s="1092"/>
      <x:c r="AC15" s="1092"/>
      <x:c r="AD15" s="1092" t="str">
        <x:v>Closed</x:v>
      </x:c>
      <x:c r="AE15" s="1092"/>
      <x:c r="AF15" s="1092"/>
      <x:c r="AG15" s="1092"/>
      <x:c r="AH15" s="1092" t="str">
        <x:v>Exception Approved</x:v>
      </x:c>
      <x:c r="AI15" s="1092"/>
      <x:c r="AJ15" s="1092" t="str">
        <x:v>INACTIVE / CLOSED</x:v>
      </x:c>
      <x:c r="AK15" s="1092" t="str">
        <x:v>Retain auditable archive; no active admission authority</x:v>
      </x:c>
      <x:c r="AL15" s="1092" t="str">
        <x:v>OPEN — ON TRACK</x:v>
      </x:c>
      <x:c r="AM15" s="1092" t="str">
        <x:v>Continue current stage and meet due date</x:v>
      </x:c>
      <x:c r="AN15" s="1092"/>
      <x:c r="AO15" s="1092"/>
    </x:row>
    <x:row r="16" ht="20" customHeight="1">
      <x:c r="B16" s="766" t="str">
        <x:v>Other Research Signal</x:v>
      </x:c>
      <x:c r="C16" s="766" t="str">
        <x:v>Market / Industry</x:v>
      </x:c>
      <x:c r="G16" s="766" t="str">
        <x:v>Other</x:v>
      </x:c>
      <x:c r="Z16" s="1092"/>
      <x:c r="AA16" s="1092"/>
      <x:c r="AB16" s="1092"/>
      <x:c r="AC16" s="1092"/>
      <x:c r="AD16" s="1092" t="str">
        <x:v>Removed</x:v>
      </x:c>
      <x:c r="AE16" s="1092"/>
      <x:c r="AF16" s="1092"/>
      <x:c r="AG16" s="1092"/>
      <x:c r="AH16" s="1092"/>
      <x:c r="AI16" s="1092"/>
      <x:c r="AJ16" s="1092"/>
      <x:c r="AK16" s="1092"/>
      <x:c r="AL16" s="1092" t="str">
        <x:v>CLOSED</x:v>
      </x:c>
      <x:c r="AM16" s="1092" t="str">
        <x:v>Retain final evidence and disposition record</x:v>
      </x:c>
      <x:c r="AN16" s="1092"/>
      <x:c r="AO16" s="1092"/>
    </x:row>
    <x:row r="17" ht="20" customHeight="1">
      <x:c r="C17" s="766" t="str">
        <x:v>Portfolio Concentration</x:v>
      </x:c>
      <x:c r="Z17" s="1092"/>
      <x:c r="AA17" s="1092"/>
      <x:c r="AB17" s="1092"/>
      <x:c r="AC17" s="1092"/>
      <x:c r="AD17" s="1092"/>
      <x:c r="AE17" s="1092"/>
      <x:c r="AF17" s="1092"/>
      <x:c r="AG17" s="1092"/>
      <x:c r="AH17" s="1092"/>
      <x:c r="AI17" s="1092"/>
      <x:c r="AJ17" s="1092"/>
      <x:c r="AK17" s="1092"/>
      <x:c r="AL17" s="1092"/>
      <x:c r="AM17" s="1092"/>
      <x:c r="AN17" s="1092"/>
      <x:c r="AO17" s="1092"/>
    </x:row>
    <x:row r="18" ht="20" customHeight="1">
      <x:c r="C18" s="766" t="str">
        <x:v>Correlation / Diversification</x:v>
      </x:c>
      <x:c r="Z18" s="1092"/>
      <x:c r="AA18" s="1092"/>
      <x:c r="AB18" s="1092"/>
      <x:c r="AC18" s="1092"/>
      <x:c r="AD18" s="1092"/>
      <x:c r="AE18" s="1092"/>
      <x:c r="AF18" s="1092"/>
      <x:c r="AG18" s="1092"/>
      <x:c r="AH18" s="1092"/>
      <x:c r="AI18" s="1092"/>
      <x:c r="AJ18" s="1092"/>
      <x:c r="AK18" s="1092"/>
      <x:c r="AL18" s="1092"/>
      <x:c r="AM18" s="1092"/>
      <x:c r="AN18" s="1092"/>
      <x:c r="AO18" s="1092"/>
    </x:row>
    <x:row r="19" ht="20" customHeight="1">
      <x:c r="C19" s="766" t="str">
        <x:v>External Rating / Ranking</x:v>
      </x:c>
      <x:c r="Z19" s="1092"/>
      <x:c r="AA19" s="1092"/>
      <x:c r="AB19" s="1092"/>
      <x:c r="AC19" s="1092"/>
      <x:c r="AD19" s="1092"/>
      <x:c r="AE19" s="1092"/>
      <x:c r="AF19" s="1092"/>
      <x:c r="AG19" s="1092"/>
      <x:c r="AH19" s="1092"/>
      <x:c r="AI19" s="1092"/>
      <x:c r="AJ19" s="1092"/>
      <x:c r="AK19" s="1092"/>
      <x:c r="AL19" s="1092"/>
      <x:c r="AM19" s="1092"/>
      <x:c r="AN19" s="1092"/>
      <x:c r="AO19" s="1092"/>
    </x:row>
    <x:row r="20" ht="20" customHeight="1">
      <x:c r="C20" s="766" t="str">
        <x:v>Other</x:v>
      </x:c>
      <x:c r="Z20" s="1092"/>
      <x:c r="AA20" s="1092"/>
      <x:c r="AB20" s="1092"/>
      <x:c r="AC20" s="1092"/>
      <x:c r="AD20" s="1092"/>
      <x:c r="AE20" s="1092"/>
      <x:c r="AF20" s="1092"/>
      <x:c r="AG20" s="1092"/>
      <x:c r="AH20" s="1092"/>
      <x:c r="AI20" s="1092"/>
      <x:c r="AJ20" s="1092"/>
      <x:c r="AK20" s="1092"/>
      <x:c r="AL20" s="1092"/>
      <x:c r="AM20" s="1092"/>
      <x:c r="AN20" s="1092"/>
      <x:c r="AO20" s="1092"/>
    </x:row>
    <x:row r="21" ht="20" customHeight="1">
      <x:c r="Z21" s="1092"/>
      <x:c r="AA21" s="1092"/>
      <x:c r="AB21" s="1092"/>
      <x:c r="AC21" s="1092"/>
      <x:c r="AD21" s="1092"/>
      <x:c r="AE21" s="1092"/>
      <x:c r="AF21" s="1092"/>
      <x:c r="AG21" s="1092"/>
      <x:c r="AH21" s="1092"/>
      <x:c r="AI21" s="1092"/>
      <x:c r="AJ21" s="1092"/>
      <x:c r="AK21" s="1092"/>
      <x:c r="AL21" s="1092"/>
      <x:c r="AM21" s="1092"/>
      <x:c r="AN21" s="1092"/>
      <x:c r="AO21" s="1092"/>
    </x:row>
    <x:row r="22" ht="20" customHeight="1">
      <x:c r="Z22" s="1092"/>
      <x:c r="AA22" s="1092"/>
      <x:c r="AB22" s="1092"/>
      <x:c r="AC22" s="1092"/>
      <x:c r="AD22" s="1092"/>
      <x:c r="AE22" s="1092"/>
      <x:c r="AF22" s="1092"/>
      <x:c r="AG22" s="1092"/>
      <x:c r="AH22" s="1092"/>
      <x:c r="AI22" s="1092"/>
      <x:c r="AJ22" s="1092"/>
      <x:c r="AK22" s="1092"/>
      <x:c r="AL22" s="1092"/>
      <x:c r="AM22" s="1092"/>
      <x:c r="AN22" s="1092"/>
      <x:c r="AO22" s="1092"/>
    </x:row>
    <x:row r="23" ht="20" customHeight="1">
      <x:c r="Z23" s="1092"/>
      <x:c r="AA23" s="1092"/>
      <x:c r="AB23" s="1092"/>
      <x:c r="AC23" s="1092"/>
      <x:c r="AD23" s="1092"/>
      <x:c r="AE23" s="1092"/>
      <x:c r="AF23" s="1092"/>
      <x:c r="AG23" s="1092"/>
      <x:c r="AH23" s="1092"/>
      <x:c r="AI23" s="1092"/>
      <x:c r="AJ23" s="1092"/>
      <x:c r="AK23" s="1092"/>
      <x:c r="AL23" s="1092"/>
      <x:c r="AM23" s="1092"/>
      <x:c r="AN23" s="1092"/>
      <x:c r="AO23" s="1092"/>
    </x:row>
    <x:row r="24" ht="20" customHeight="1">
      <x:c r="Z24" s="1092"/>
      <x:c r="AA24" s="1092"/>
      <x:c r="AB24" s="1092"/>
      <x:c r="AC24" s="1092"/>
      <x:c r="AD24" s="1092"/>
      <x:c r="AE24" s="1092"/>
      <x:c r="AF24" s="1092"/>
      <x:c r="AG24" s="1092"/>
      <x:c r="AH24" s="1092"/>
      <x:c r="AI24" s="1092"/>
      <x:c r="AJ24" s="1092"/>
      <x:c r="AK24" s="1092"/>
      <x:c r="AL24" s="1092"/>
      <x:c r="AM24" s="1092"/>
      <x:c r="AN24" s="1092"/>
      <x:c r="AO24" s="1092"/>
    </x:row>
    <x:row r="25" ht="20" customHeight="1">
      <x:c r="Z25" s="1092"/>
      <x:c r="AA25" s="1092"/>
      <x:c r="AB25" s="1092"/>
      <x:c r="AC25" s="1092"/>
      <x:c r="AD25" s="1092"/>
      <x:c r="AE25" s="1092"/>
      <x:c r="AF25" s="1092"/>
      <x:c r="AG25" s="1092"/>
      <x:c r="AH25" s="1092"/>
      <x:c r="AI25" s="1092"/>
      <x:c r="AJ25" s="1092"/>
      <x:c r="AK25" s="1092"/>
      <x:c r="AL25" s="1092"/>
      <x:c r="AM25" s="1092"/>
      <x:c r="AN25" s="1092"/>
      <x:c r="AO25" s="1092"/>
    </x:row>
  </x:sheetData>
  <x:mergeCells>
    <x:mergeCell ref="A1:P1"/>
    <x:mergeCell ref="A2:P2"/>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8" hidden="0" customWidth="1"/>
    <x:col min="5" max="5" width="10" hidden="0" customWidth="1"/>
    <x:col min="6" max="6" width="28" hidden="0" customWidth="1"/>
    <x:col min="7" max="7" width="24" hidden="0" customWidth="1"/>
    <x:col min="8" max="8" width="24" hidden="0" customWidth="1"/>
    <x:col min="9" max="9" width="25" hidden="0" customWidth="1"/>
    <x:col min="10" max="10" width="13" hidden="0" customWidth="1"/>
    <x:col min="11" max="11" width="13" hidden="0" customWidth="1"/>
    <x:col min="12" max="12" width="20" hidden="0" customWidth="1"/>
    <x:col min="13" max="13" width="22" hidden="0" customWidth="1"/>
    <x:col min="14" max="14" width="24" hidden="0" customWidth="1"/>
    <x:col min="15" max="15" width="30" hidden="0" customWidth="1"/>
    <x:col min="16" max="16" width="42" hidden="0" customWidth="1"/>
    <x:col min="17" max="17" width="16" hidden="0" customWidth="1"/>
    <x:col min="18" max="18" width="20" hidden="0" customWidth="1"/>
    <x:col min="19" max="19" width="12" hidden="0" customWidth="1"/>
    <x:col min="20" max="20" width="26" hidden="0" customWidth="1"/>
    <x:col min="21" max="21" width="15" hidden="0" customWidth="1"/>
    <x:col min="22" max="22" width="22" hidden="0" customWidth="1"/>
    <x:col min="23" max="23" width="21" hidden="0" customWidth="1"/>
    <x:col min="24" max="24" width="27" hidden="0" customWidth="1"/>
    <x:col min="25" max="25" width="24" hidden="0" customWidth="1"/>
    <x:col min="26" max="26" width="24" hidden="0" customWidth="1"/>
    <x:col min="27" max="27" width="24" hidden="0" customWidth="1"/>
    <x:col min="28" max="28" width="12" hidden="0" customWidth="1"/>
    <x:col min="29" max="29" width="11" hidden="0" customWidth="1"/>
    <x:col min="30" max="30" width="20" hidden="0" customWidth="1"/>
    <x:col min="31" max="31" width="24" hidden="0" customWidth="1"/>
    <x:col min="32" max="32" width="27" hidden="0" customWidth="1"/>
    <x:col min="33" max="33" width="38" hidden="0" customWidth="1"/>
  </x:cols>
  <x:sheetData>
    <x:row r="1" ht="30" customHeight="1">
      <x:c r="A1" s="769" t="str">
        <x:v>MOPS-003 — RCC-002 RESEARCH INTAKE &amp; EVIDENCE LEDGER</x:v>
      </x:c>
      <x:c r="B1" s="769"/>
      <x:c r="C1" s="769"/>
      <x:c r="D1" s="769"/>
      <x:c r="E1" s="769"/>
      <x:c r="F1" s="769"/>
      <x:c r="G1" s="769"/>
      <x:c r="H1" s="769"/>
      <x:c r="I1" s="769"/>
      <x:c r="J1" s="769"/>
      <x:c r="K1" s="769"/>
      <x:c r="L1" s="769"/>
      <x:c r="M1" s="769"/>
      <x:c r="N1" s="769"/>
      <x:c r="O1" s="769"/>
      <x:c r="P1" s="769"/>
      <x:c r="Q1" s="769"/>
      <x:c r="R1" s="769"/>
      <x:c r="S1" s="769"/>
      <x:c r="T1" s="769"/>
      <x:c r="U1" s="769"/>
      <x:c r="V1" s="769"/>
      <x:c r="W1" s="769"/>
      <x:c r="X1" s="769"/>
      <x:c r="Y1" s="769"/>
      <x:c r="Z1" s="769"/>
      <x:c r="AA1" s="769"/>
      <x:c r="AB1" s="769"/>
      <x:c r="AC1" s="769"/>
      <x:c r="AD1" s="769"/>
      <x:c r="AE1" s="769"/>
      <x:c r="AF1" s="769"/>
      <x:c r="AG1" s="769"/>
    </x:row>
    <x:row r="2" ht="22" customHeight="1">
      <x:c r="A2" s="772" t="str">
        <x:v>FOUNDERS EDITION v1.0 — CONSTRUCTION CANDIDATE | One auditable intake record for every material research signal</x:v>
      </x:c>
      <x:c r="B2" s="772"/>
      <x:c r="C2" s="772"/>
      <x:c r="D2" s="772"/>
      <x:c r="E2" s="772"/>
      <x:c r="F2" s="772"/>
      <x:c r="G2" s="772"/>
      <x:c r="H2" s="772"/>
      <x:c r="I2" s="772"/>
      <x:c r="J2" s="772"/>
      <x:c r="K2" s="772"/>
      <x:c r="L2" s="772"/>
      <x:c r="M2" s="772"/>
      <x:c r="N2" s="772"/>
      <x:c r="O2" s="772"/>
      <x:c r="P2" s="772"/>
      <x:c r="Q2" s="772"/>
      <x:c r="R2" s="772"/>
      <x:c r="S2" s="772"/>
      <x:c r="T2" s="772"/>
      <x:c r="U2" s="772"/>
      <x:c r="V2" s="772"/>
      <x:c r="W2" s="772"/>
      <x:c r="X2" s="772"/>
      <x:c r="Y2" s="772"/>
      <x:c r="Z2" s="772"/>
      <x:c r="AA2" s="772"/>
      <x:c r="AB2" s="772"/>
      <x:c r="AC2" s="772"/>
      <x:c r="AD2" s="772"/>
      <x:c r="AE2" s="772"/>
      <x:c r="AF2" s="772"/>
      <x:c r="AG2" s="772"/>
    </x:row>
    <x:row r="3" ht="32" customHeight="1">
      <x:c r="A3" s="773" t="str">
        <x:v>Research evidence may update an MIAR, thesis assessment or conviction recommendation, and may be referred to Portfolio Engineering. It may not change certified allocations, authorize trades or overwrite the MFPDF.</x:v>
      </x:c>
      <x:c r="B3" s="773"/>
      <x:c r="C3" s="773"/>
      <x:c r="D3" s="773"/>
      <x:c r="E3" s="773"/>
      <x:c r="F3" s="773"/>
      <x:c r="G3" s="773"/>
      <x:c r="H3" s="773"/>
      <x:c r="I3" s="773"/>
      <x:c r="J3" s="773"/>
      <x:c r="K3" s="773"/>
      <x:c r="L3" s="773"/>
      <x:c r="M3" s="773"/>
      <x:c r="N3" s="773"/>
      <x:c r="O3" s="773"/>
      <x:c r="P3" s="773"/>
      <x:c r="Q3" s="773"/>
      <x:c r="R3" s="773"/>
      <x:c r="S3" s="773"/>
      <x:c r="T3" s="773"/>
      <x:c r="U3" s="773"/>
      <x:c r="V3" s="773"/>
      <x:c r="W3" s="773"/>
      <x:c r="X3" s="773"/>
      <x:c r="Y3" s="773"/>
      <x:c r="Z3" s="773"/>
      <x:c r="AA3" s="773"/>
      <x:c r="AB3" s="773"/>
      <x:c r="AC3" s="773"/>
      <x:c r="AD3" s="773"/>
      <x:c r="AE3" s="773"/>
      <x:c r="AF3" s="773"/>
      <x:c r="AG3" s="773"/>
    </x:row>
    <x:row r="5">
      <x:c r="A5" s="774" t="str">
        <x:v>DATA ENTRY STANDARD</x:v>
      </x:c>
      <x:c r="B5" s="774"/>
      <x:c r="C5" s="774"/>
      <x:c r="D5" s="774"/>
      <x:c r="E5" s="774"/>
      <x:c r="F5" s="774"/>
      <x:c r="G5" s="774"/>
      <x:c r="H5" s="774"/>
      <x:c r="J5" s="774" t="str">
        <x:v>REQUIRED EVIDENCE FIELDS</x:v>
      </x:c>
      <x:c r="K5" s="774"/>
      <x:c r="L5" s="774"/>
      <x:c r="M5" s="774"/>
      <x:c r="N5" s="774"/>
      <x:c r="O5" s="774"/>
      <x:c r="P5" s="774"/>
      <x:c r="Q5" s="774"/>
      <x:c r="S5" s="774" t="str">
        <x:v>ROUTING LOGIC</x:v>
      </x:c>
      <x:c r="T5" s="774"/>
      <x:c r="U5" s="774"/>
      <x:c r="V5" s="774"/>
      <x:c r="W5" s="774"/>
      <x:c r="X5" s="774"/>
      <x:c r="Y5" s="774"/>
      <x:c r="Z5" s="774"/>
      <x:c r="AB5" s="774" t="str">
        <x:v>CURRENT LEDGER STATE</x:v>
      </x:c>
      <x:c r="AC5" s="774"/>
      <x:c r="AD5" s="774"/>
      <x:c r="AE5" s="774"/>
      <x:c r="AF5" s="774"/>
      <x:c r="AG5" s="774"/>
    </x:row>
    <x:row r="6">
      <x:c r="A6" s="775" t="str">
        <x:v>• Enter only verified or explicitly pending evidence.
• Assign a unique Evidence ID using EVD-YYYYMMDD-###.
• Record the source or internal memorandum reference.
• Use one row for one distinct research signal.
• Do not combine unrelated events in a single record.</x:v>
      </x:c>
      <x:c r="B6" s="775"/>
      <x:c r="C6" s="775"/>
      <x:c r="D6" s="775"/>
      <x:c r="E6" s="775"/>
      <x:c r="F6" s="775"/>
      <x:c r="G6" s="775"/>
      <x:c r="H6" s="775"/>
      <x:c r="J6" s="779" t="str">
        <x:v>Evidence ID • dates • record type • security/subject • activity type • category • materiality • direction • reliability • source type • source reference • summary • thesis sensitivity • reviewer • due date • status • verification • impact routing • disposition</x:v>
      </x:c>
      <x:c r="K6" s="779"/>
      <x:c r="L6" s="779"/>
      <x:c r="M6" s="779"/>
      <x:c r="N6" s="779"/>
      <x:c r="O6" s="779"/>
      <x:c r="P6" s="779"/>
      <x:c r="Q6" s="779"/>
      <x:c r="S6" s="783" t="str">
        <x:v>Verified evidence can be routed to MIAR maintenance, thesis review, conviction review, candidate/replacement analysis or PEW. High or critical unverified evidence is escalated. No row creates a trade instruction.</x:v>
      </x:c>
      <x:c r="T6" s="783"/>
      <x:c r="U6" s="783"/>
      <x:c r="V6" s="783"/>
      <x:c r="W6" s="783"/>
      <x:c r="X6" s="783"/>
      <x:c r="Y6" s="783"/>
      <x:c r="Z6" s="783"/>
      <x:c r="AB6" s="785" t="str">
        <x:v>Records</x:v>
      </x:c>
      <x:c r="AC6" s="790" t="n">
        <x:f>COUNTA($A$14:$A$213)</x:f>
        <x:v>0</x:v>
      </x:c>
      <x:c r="AD6" s="790"/>
      <x:c r="AE6" s="790"/>
      <x:c r="AF6" s="790"/>
      <x:c r="AG6" s="790"/>
    </x:row>
    <x:row r="7">
      <x:c r="A7" s="775"/>
      <x:c r="B7" s="775"/>
      <x:c r="C7" s="775"/>
      <x:c r="D7" s="775"/>
      <x:c r="E7" s="775"/>
      <x:c r="F7" s="775"/>
      <x:c r="G7" s="775"/>
      <x:c r="H7" s="775"/>
      <x:c r="J7" s="779"/>
      <x:c r="K7" s="779"/>
      <x:c r="L7" s="779"/>
      <x:c r="M7" s="779"/>
      <x:c r="N7" s="779"/>
      <x:c r="O7" s="779"/>
      <x:c r="P7" s="779"/>
      <x:c r="Q7" s="779"/>
      <x:c r="S7" s="783"/>
      <x:c r="T7" s="783"/>
      <x:c r="U7" s="783"/>
      <x:c r="V7" s="783"/>
      <x:c r="W7" s="783"/>
      <x:c r="X7" s="783"/>
      <x:c r="Y7" s="783"/>
      <x:c r="Z7" s="783"/>
      <x:c r="AB7" s="785" t="str">
        <x:v>Open</x:v>
      </x:c>
      <x:c r="AC7" s="790" t="n">
        <x:f>COUNTIFS($A$14:$A$213,"&lt;&gt;",$T$14:$T$213,"&lt;&gt;Closed — No Action",$T$14:$T$213,"&lt;&gt;Closed — Incorporated")</x:f>
        <x:v>0</x:v>
      </x:c>
      <x:c r="AD7" s="790"/>
      <x:c r="AE7" s="790"/>
      <x:c r="AF7" s="790"/>
      <x:c r="AG7" s="790"/>
    </x:row>
    <x:row r="8">
      <x:c r="A8" s="775"/>
      <x:c r="B8" s="775"/>
      <x:c r="C8" s="775"/>
      <x:c r="D8" s="775"/>
      <x:c r="E8" s="775"/>
      <x:c r="F8" s="775"/>
      <x:c r="G8" s="775"/>
      <x:c r="H8" s="775"/>
      <x:c r="J8" s="779"/>
      <x:c r="K8" s="779"/>
      <x:c r="L8" s="779"/>
      <x:c r="M8" s="779"/>
      <x:c r="N8" s="779"/>
      <x:c r="O8" s="779"/>
      <x:c r="P8" s="779"/>
      <x:c r="Q8" s="779"/>
      <x:c r="S8" s="783"/>
      <x:c r="T8" s="783"/>
      <x:c r="U8" s="783"/>
      <x:c r="V8" s="783"/>
      <x:c r="W8" s="783"/>
      <x:c r="X8" s="783"/>
      <x:c r="Y8" s="783"/>
      <x:c r="Z8" s="783"/>
      <x:c r="AB8" s="785" t="str">
        <x:v>Control Exceptions</x:v>
      </x:c>
      <x:c r="AC8" s="790" t="n">
        <x:f>COUNTIFS($A$14:$A$213,"&lt;&gt;",$AE$14:$AE$213,"&lt;&gt;OPEN — ON TRACK",$AE$14:$AE$213,"&lt;&gt;CLOSED",$AE$14:$AE$213,"&lt;&gt;")</x:f>
        <x:v>0</x:v>
      </x:c>
      <x:c r="AD8" s="790"/>
      <x:c r="AE8" s="790"/>
      <x:c r="AF8" s="790"/>
      <x:c r="AG8" s="790"/>
    </x:row>
    <x:row r="9">
      <x:c r="A9" s="775"/>
      <x:c r="B9" s="775"/>
      <x:c r="C9" s="775"/>
      <x:c r="D9" s="775"/>
      <x:c r="E9" s="775"/>
      <x:c r="F9" s="775"/>
      <x:c r="G9" s="775"/>
      <x:c r="H9" s="775"/>
      <x:c r="J9" s="779"/>
      <x:c r="K9" s="779"/>
      <x:c r="L9" s="779"/>
      <x:c r="M9" s="779"/>
      <x:c r="N9" s="779"/>
      <x:c r="O9" s="779"/>
      <x:c r="P9" s="779"/>
      <x:c r="Q9" s="779"/>
      <x:c r="S9" s="783"/>
      <x:c r="T9" s="783"/>
      <x:c r="U9" s="783"/>
      <x:c r="V9" s="783"/>
      <x:c r="W9" s="783"/>
      <x:c r="X9" s="783"/>
      <x:c r="Y9" s="783"/>
      <x:c r="Z9" s="783"/>
      <x:c r="AB9" s="785" t="str">
        <x:v>Routing Ready</x:v>
      </x:c>
      <x:c r="AC9" s="790" t="n">
        <x:f>COUNTIF($AF$14:$AF$213,"ELIGIBLE FOR ROUTING")</x:f>
        <x:v>0</x:v>
      </x:c>
      <x:c r="AD9" s="790"/>
      <x:c r="AE9" s="790"/>
      <x:c r="AF9" s="790"/>
      <x:c r="AG9" s="790"/>
    </x:row>
    <x:row r="10">
      <x:c r="A10" s="775"/>
      <x:c r="B10" s="775"/>
      <x:c r="C10" s="775"/>
      <x:c r="D10" s="775"/>
      <x:c r="E10" s="775"/>
      <x:c r="F10" s="775"/>
      <x:c r="G10" s="775"/>
      <x:c r="H10" s="775"/>
      <x:c r="J10" s="779"/>
      <x:c r="K10" s="779"/>
      <x:c r="L10" s="779"/>
      <x:c r="M10" s="779"/>
      <x:c r="N10" s="779"/>
      <x:c r="O10" s="779"/>
      <x:c r="P10" s="779"/>
      <x:c r="Q10" s="779"/>
      <x:c r="S10" s="783"/>
      <x:c r="T10" s="783"/>
      <x:c r="U10" s="783"/>
      <x:c r="V10" s="783"/>
      <x:c r="W10" s="783"/>
      <x:c r="X10" s="783"/>
      <x:c r="Y10" s="783"/>
      <x:c r="Z10" s="783"/>
      <x:c r="AB10" s="785" t="str">
        <x:v>Overdue</x:v>
      </x:c>
      <x:c r="AC10" s="790" t="n">
        <x:f>COUNTIF($AE$14:$AE$213,"OVERDUE")</x:f>
        <x:v>0</x:v>
      </x:c>
      <x:c r="AD10" s="790"/>
      <x:c r="AE10" s="790"/>
      <x:c r="AF10" s="790"/>
      <x:c r="AG10" s="790"/>
    </x:row>
    <x:row r="12" ht="22" customHeight="1">
      <x:c r="A12" s="792" t="str">
        <x:v>RCC-002 CONTROLLED EVIDENCE REGISTER — EDIT YELLOW CELLS ONLY</x:v>
      </x:c>
      <x:c r="B12" s="792"/>
      <x:c r="C12" s="792"/>
      <x:c r="D12" s="792"/>
      <x:c r="E12" s="792"/>
      <x:c r="F12" s="792"/>
      <x:c r="G12" s="792"/>
      <x:c r="H12" s="792"/>
      <x:c r="I12" s="792"/>
      <x:c r="J12" s="792"/>
      <x:c r="K12" s="792"/>
      <x:c r="L12" s="792"/>
      <x:c r="M12" s="792"/>
      <x:c r="N12" s="792"/>
      <x:c r="O12" s="792"/>
      <x:c r="P12" s="792"/>
      <x:c r="Q12" s="792"/>
      <x:c r="R12" s="792"/>
      <x:c r="S12" s="792"/>
      <x:c r="T12" s="792"/>
      <x:c r="U12" s="792"/>
      <x:c r="V12" s="792"/>
      <x:c r="W12" s="792"/>
      <x:c r="X12" s="792"/>
      <x:c r="Y12" s="792"/>
      <x:c r="Z12" s="792"/>
      <x:c r="AA12" s="792"/>
      <x:c r="AB12" s="792"/>
      <x:c r="AC12" s="792"/>
      <x:c r="AD12" s="792"/>
      <x:c r="AE12" s="792"/>
      <x:c r="AF12" s="792"/>
      <x:c r="AG12" s="792"/>
    </x:row>
    <x:row r="13" ht="48" customHeight="1">
      <x:c r="A13" s="796" t="str">
        <x:v>Evidence ID</x:v>
      </x:c>
      <x:c r="B13" s="796" t="str">
        <x:v>Date Received</x:v>
      </x:c>
      <x:c r="C13" s="796" t="str">
        <x:v>Evidence Date</x:v>
      </x:c>
      <x:c r="D13" s="796" t="str">
        <x:v>Record Type</x:v>
      </x:c>
      <x:c r="E13" s="796" t="str">
        <x:v>Ticker</x:v>
      </x:c>
      <x:c r="F13" s="796" t="str">
        <x:v>Security / Subject</x:v>
      </x:c>
      <x:c r="G13" s="796" t="str">
        <x:v>Certified Sleeve (Auto)</x:v>
      </x:c>
      <x:c r="H13" s="796" t="str">
        <x:v>Activity Type</x:v>
      </x:c>
      <x:c r="I13" s="796" t="str">
        <x:v>Evidence Category</x:v>
      </x:c>
      <x:c r="J13" s="796" t="str">
        <x:v>Materiality</x:v>
      </x:c>
      <x:c r="K13" s="796" t="str">
        <x:v>Direction</x:v>
      </x:c>
      <x:c r="L13" s="796" t="str">
        <x:v>Reliability</x:v>
      </x:c>
      <x:c r="M13" s="796" t="str">
        <x:v>Source Type</x:v>
      </x:c>
      <x:c r="N13" s="796" t="str">
        <x:v>Source / Publisher</x:v>
      </x:c>
      <x:c r="O13" s="796" t="str">
        <x:v>Source Reference / URL</x:v>
      </x:c>
      <x:c r="P13" s="796" t="str">
        <x:v>Evidence Summary</x:v>
      </x:c>
      <x:c r="Q13" s="796" t="str">
        <x:v>Thesis Sensitivity</x:v>
      </x:c>
      <x:c r="R13" s="796" t="str">
        <x:v>Assigned Reviewer</x:v>
      </x:c>
      <x:c r="S13" s="796" t="str">
        <x:v>Due Date</x:v>
      </x:c>
      <x:c r="T13" s="796" t="str">
        <x:v>Status</x:v>
      </x:c>
      <x:c r="U13" s="796" t="str">
        <x:v>Verified?</x:v>
      </x:c>
      <x:c r="V13" s="796" t="str">
        <x:v>MIAR Action</x:v>
      </x:c>
      <x:c r="W13" s="796" t="str">
        <x:v>Thesis Impact</x:v>
      </x:c>
      <x:c r="X13" s="796" t="str">
        <x:v>Conviction Recommendation</x:v>
      </x:c>
      <x:c r="Y13" s="796" t="str">
        <x:v>Candidate / Replacement</x:v>
      </x:c>
      <x:c r="Z13" s="796" t="str">
        <x:v>PEW Referral</x:v>
      </x:c>
      <x:c r="AA13" s="796" t="str">
        <x:v>Disposition</x:v>
      </x:c>
      <x:c r="AB13" s="796" t="str">
        <x:v>Closed Date</x:v>
      </x:c>
      <x:c r="AC13" s="796" t="str">
        <x:v>Days Open</x:v>
      </x:c>
      <x:c r="AD13" s="796" t="str">
        <x:v>Record Completeness</x:v>
      </x:c>
      <x:c r="AE13" s="796" t="str">
        <x:v>Control Status</x:v>
      </x:c>
      <x:c r="AF13" s="796" t="str">
        <x:v>Referral Eligibility</x:v>
      </x:c>
      <x:c r="AG13" s="796" t="str">
        <x:v>Notes / Exception Rationale</x:v>
      </x:c>
    </x:row>
    <x:row r="14" ht="36" customHeight="1">
      <x:c r="A14" s="800"/>
      <x:c r="B14" s="804"/>
      <x:c r="C14" s="804"/>
      <x:c r="D14" s="800"/>
      <x:c r="E14" s="800"/>
      <x:c r="F14" s="800"/>
      <x:c r="G14" s="802" t="str">
        <x:f>IF($E14="","",IFERROR(INDEX('Certified Allocation'!$A$5:$A$51,MATCH($E14,'Certified Allocation'!$B$5:$B$51,0)),"Candidate / Non-Holding"))</x:f>
      </x:c>
      <x:c r="H14" s="800"/>
      <x:c r="I14" s="800"/>
      <x:c r="J14" s="800"/>
      <x:c r="K14" s="800"/>
      <x:c r="L14" s="800"/>
      <x:c r="M14" s="800"/>
      <x:c r="N14" s="800"/>
      <x:c r="O14" s="800"/>
      <x:c r="P14" s="800"/>
      <x:c r="Q14" s="800"/>
      <x:c r="R14" s="800"/>
      <x:c r="S14" s="804"/>
      <x:c r="T14" s="800"/>
      <x:c r="U14" s="800"/>
      <x:c r="V14" s="800"/>
      <x:c r="W14" s="800"/>
      <x:c r="X14" s="800"/>
      <x:c r="Y14" s="800"/>
      <x:c r="Z14" s="800"/>
      <x:c r="AA14" s="800"/>
      <x:c r="AB14" s="804"/>
      <x:c r="AC14" s="805" t="str">
        <x:f>IF($A14="","",IF(AND(OR($T14="Closed — No Action",$T14="Closed — Incorporated"),$AB14&lt;&gt;""),MAX(0,$AB14-$B14),MAX(0,TODAY()-$B14)))</x:f>
      </x:c>
      <x:c r="AD14" s="775" t="str">
        <x:f>IF(COUNTA($A14:$F14,$H14:$AB14,$AG14)=0,"",IF(OR($A14="",$B14="",$C14="",$D14="",$F14="",$H14="",$I14="",$J14="",$K14="",$L14="",$M14="",$N14="",$O14="",$P14="",$Q14="",$R14="",$S14="",$T14="",$U14="",$V14="",$W14="",$X14="",$Y14="",$Z14="",$AA14="",AND(NOT(OR($D14="Portfolio-Level",$D14="Market / Macro",$D14="Other")),$E14="")),"INCOMPLETE",IF(COUNTIF($A$14:$A$213,$A14)&gt;1,"DUPLICATE ID","COMPLETE")))</x:f>
      </x:c>
      <x:c r="AE14" s="775" t="str">
        <x:f>IF($A14="","",IF($AD14&lt;&gt;"COMPLETE",$AD14,IF(AND($D14="Certified Holding",OR($E14="",$G14="Candidate / Non-Holding")),"HOLDING IDENTIFIER MISMATCH",IF(AND(OR($J14="Critical",$J14="High"),OR($U14="No",AND($L14="Unverified — Pending",$U14&lt;&gt;"Exception Approved"))),"VERIFY / ESCALATE",IF($X14="Unassigned","CONVICTION DECISION REQUIRED",IF(AND($S14&lt;TODAY(),$T14&lt;&gt;"Closed — No Action",$T14&lt;&gt;"Closed — Incorporated"),"OVERDUE",IF(AND(OR($T14="Closed — No Action",$T14="Closed — Incorporated"),$AB14=""),"CLOSE DATE REQUIRED",IF(AND(NOT(OR($T14="Closed — No Action",$T14="Closed — Incorporated")),$AB14&lt;&gt;""),"STATUS / CLOSE DATE MISMATCH",IF(AND($Z14&lt;&gt;"No",NOT(OR($U14="Yes",$U14="Exception Approved"))),"PEW REFERRAL BLOCKED",IF(AND($T14="Awaiting Verification",$U14="Yes"),"STATUS MISMATCH",IF(OR($T14="Closed — No Action",$T14="Closed — Incorporated"),"CLOSED","OPEN — ON TRACK")))))))))))</x:f>
      </x:c>
      <x:c r="AF14" s="775" t="str">
        <x:f>IF($A14="","",IF($AD14&lt;&gt;"COMPLETE","NOT ELIGIBLE",IF($X14="Unassigned","NOT ELIGIBLE — CONVICTION UNASSIGNED",IF(NOT(OR($U14="Yes",$U14="Exception Approved")),"NOT ELIGIBLE — UNVERIFIED",IF(OR($V14&lt;&gt;"None",AND($W14&lt;&gt;"None",$W14&lt;&gt;"Intact"),AND($X14&lt;&gt;"No Change",$X14&lt;&gt;"Not Applicable"),$Y14&lt;&gt;"None",$Z14&lt;&gt;"No"),"ELIGIBLE FOR ROUTING","NO REFERRAL REQUIRED")))))</x:f>
      </x:c>
      <x:c r="AG14" s="800"/>
    </x:row>
    <x:row r="15" ht="36" customHeight="1">
      <x:c r="A15" s="800"/>
      <x:c r="B15" s="804"/>
      <x:c r="C15" s="804"/>
      <x:c r="D15" s="800"/>
      <x:c r="E15" s="800"/>
      <x:c r="F15" s="800"/>
      <x:c r="G15" s="802" t="str">
        <x:f>IF($E15="","",IFERROR(INDEX('Certified Allocation'!$A$5:$A$51,MATCH($E15,'Certified Allocation'!$B$5:$B$51,0)),"Candidate / Non-Holding"))</x:f>
      </x:c>
      <x:c r="H15" s="800"/>
      <x:c r="I15" s="800"/>
      <x:c r="J15" s="800"/>
      <x:c r="K15" s="800"/>
      <x:c r="L15" s="800"/>
      <x:c r="M15" s="800"/>
      <x:c r="N15" s="800"/>
      <x:c r="O15" s="800"/>
      <x:c r="P15" s="800"/>
      <x:c r="Q15" s="800"/>
      <x:c r="R15" s="800"/>
      <x:c r="S15" s="804"/>
      <x:c r="T15" s="800"/>
      <x:c r="U15" s="800"/>
      <x:c r="V15" s="800"/>
      <x:c r="W15" s="800"/>
      <x:c r="X15" s="800"/>
      <x:c r="Y15" s="800"/>
      <x:c r="Z15" s="800"/>
      <x:c r="AA15" s="800"/>
      <x:c r="AB15" s="804"/>
      <x:c r="AC15" s="805" t="str">
        <x:f>IF($A15="","",IF(AND(OR($T15="Closed — No Action",$T15="Closed — Incorporated"),$AB15&lt;&gt;""),MAX(0,$AB15-$B15),MAX(0,TODAY()-$B15)))</x:f>
      </x:c>
      <x:c r="AD15" s="775" t="str">
        <x:f>IF(COUNTA($A15:$F15,$H15:$AB15,$AG15)=0,"",IF(OR($A15="",$B15="",$C15="",$D15="",$F15="",$H15="",$I15="",$J15="",$K15="",$L15="",$M15="",$N15="",$O15="",$P15="",$Q15="",$R15="",$S15="",$T15="",$U15="",$V15="",$W15="",$X15="",$Y15="",$Z15="",$AA15="",AND(NOT(OR($D15="Portfolio-Level",$D15="Market / Macro",$D15="Other")),$E15="")),"INCOMPLETE",IF(COUNTIF($A$14:$A$213,$A15)&gt;1,"DUPLICATE ID","COMPLETE")))</x:f>
      </x:c>
      <x:c r="AE15" s="775" t="str">
        <x:f>IF($A15="","",IF($AD15&lt;&gt;"COMPLETE",$AD15,IF(AND($D15="Certified Holding",OR($E15="",$G15="Candidate / Non-Holding")),"HOLDING IDENTIFIER MISMATCH",IF(AND(OR($J15="Critical",$J15="High"),OR($U15="No",AND($L15="Unverified — Pending",$U15&lt;&gt;"Exception Approved"))),"VERIFY / ESCALATE",IF($X15="Unassigned","CONVICTION DECISION REQUIRED",IF(AND($S15&lt;TODAY(),$T15&lt;&gt;"Closed — No Action",$T15&lt;&gt;"Closed — Incorporated"),"OVERDUE",IF(AND(OR($T15="Closed — No Action",$T15="Closed — Incorporated"),$AB15=""),"CLOSE DATE REQUIRED",IF(AND(NOT(OR($T15="Closed — No Action",$T15="Closed — Incorporated")),$AB15&lt;&gt;""),"STATUS / CLOSE DATE MISMATCH",IF(AND($Z15&lt;&gt;"No",NOT(OR($U15="Yes",$U15="Exception Approved"))),"PEW REFERRAL BLOCKED",IF(AND($T15="Awaiting Verification",$U15="Yes"),"STATUS MISMATCH",IF(OR($T15="Closed — No Action",$T15="Closed — Incorporated"),"CLOSED","OPEN — ON TRACK")))))))))))</x:f>
      </x:c>
      <x:c r="AF15" s="775" t="str">
        <x:f>IF($A15="","",IF($AD15&lt;&gt;"COMPLETE","NOT ELIGIBLE",IF($X15="Unassigned","NOT ELIGIBLE — CONVICTION UNASSIGNED",IF(NOT(OR($U15="Yes",$U15="Exception Approved")),"NOT ELIGIBLE — UNVERIFIED",IF(OR($V15&lt;&gt;"None",AND($W15&lt;&gt;"None",$W15&lt;&gt;"Intact"),AND($X15&lt;&gt;"No Change",$X15&lt;&gt;"Not Applicable"),$Y15&lt;&gt;"None",$Z15&lt;&gt;"No"),"ELIGIBLE FOR ROUTING","NO REFERRAL REQUIRED")))))</x:f>
      </x:c>
      <x:c r="AG15" s="800"/>
    </x:row>
    <x:row r="16" ht="36" customHeight="1">
      <x:c r="A16" s="800"/>
      <x:c r="B16" s="804"/>
      <x:c r="C16" s="804"/>
      <x:c r="D16" s="800"/>
      <x:c r="E16" s="800"/>
      <x:c r="F16" s="800"/>
      <x:c r="G16" s="802" t="str">
        <x:f>IF($E16="","",IFERROR(INDEX('Certified Allocation'!$A$5:$A$51,MATCH($E16,'Certified Allocation'!$B$5:$B$51,0)),"Candidate / Non-Holding"))</x:f>
      </x:c>
      <x:c r="H16" s="800"/>
      <x:c r="I16" s="800"/>
      <x:c r="J16" s="800"/>
      <x:c r="K16" s="800"/>
      <x:c r="L16" s="800"/>
      <x:c r="M16" s="800"/>
      <x:c r="N16" s="800"/>
      <x:c r="O16" s="800"/>
      <x:c r="P16" s="800"/>
      <x:c r="Q16" s="800"/>
      <x:c r="R16" s="800"/>
      <x:c r="S16" s="804"/>
      <x:c r="T16" s="800"/>
      <x:c r="U16" s="800"/>
      <x:c r="V16" s="800"/>
      <x:c r="W16" s="800"/>
      <x:c r="X16" s="800"/>
      <x:c r="Y16" s="800"/>
      <x:c r="Z16" s="800"/>
      <x:c r="AA16" s="800"/>
      <x:c r="AB16" s="804"/>
      <x:c r="AC16" s="805" t="str">
        <x:f>IF($A16="","",IF(AND(OR($T16="Closed — No Action",$T16="Closed — Incorporated"),$AB16&lt;&gt;""),MAX(0,$AB16-$B16),MAX(0,TODAY()-$B16)))</x:f>
      </x:c>
      <x:c r="AD16" s="775" t="str">
        <x:f>IF(COUNTA($A16:$F16,$H16:$AB16,$AG16)=0,"",IF(OR($A16="",$B16="",$C16="",$D16="",$F16="",$H16="",$I16="",$J16="",$K16="",$L16="",$M16="",$N16="",$O16="",$P16="",$Q16="",$R16="",$S16="",$T16="",$U16="",$V16="",$W16="",$X16="",$Y16="",$Z16="",$AA16="",AND(NOT(OR($D16="Portfolio-Level",$D16="Market / Macro",$D16="Other")),$E16="")),"INCOMPLETE",IF(COUNTIF($A$14:$A$213,$A16)&gt;1,"DUPLICATE ID","COMPLETE")))</x:f>
      </x:c>
      <x:c r="AE16" s="775" t="str">
        <x:f>IF($A16="","",IF($AD16&lt;&gt;"COMPLETE",$AD16,IF(AND($D16="Certified Holding",OR($E16="",$G16="Candidate / Non-Holding")),"HOLDING IDENTIFIER MISMATCH",IF(AND(OR($J16="Critical",$J16="High"),OR($U16="No",AND($L16="Unverified — Pending",$U16&lt;&gt;"Exception Approved"))),"VERIFY / ESCALATE",IF($X16="Unassigned","CONVICTION DECISION REQUIRED",IF(AND($S16&lt;TODAY(),$T16&lt;&gt;"Closed — No Action",$T16&lt;&gt;"Closed — Incorporated"),"OVERDUE",IF(AND(OR($T16="Closed — No Action",$T16="Closed — Incorporated"),$AB16=""),"CLOSE DATE REQUIRED",IF(AND(NOT(OR($T16="Closed — No Action",$T16="Closed — Incorporated")),$AB16&lt;&gt;""),"STATUS / CLOSE DATE MISMATCH",IF(AND($Z16&lt;&gt;"No",NOT(OR($U16="Yes",$U16="Exception Approved"))),"PEW REFERRAL BLOCKED",IF(AND($T16="Awaiting Verification",$U16="Yes"),"STATUS MISMATCH",IF(OR($T16="Closed — No Action",$T16="Closed — Incorporated"),"CLOSED","OPEN — ON TRACK")))))))))))</x:f>
      </x:c>
      <x:c r="AF16" s="775" t="str">
        <x:f>IF($A16="","",IF($AD16&lt;&gt;"COMPLETE","NOT ELIGIBLE",IF($X16="Unassigned","NOT ELIGIBLE — CONVICTION UNASSIGNED",IF(NOT(OR($U16="Yes",$U16="Exception Approved")),"NOT ELIGIBLE — UNVERIFIED",IF(OR($V16&lt;&gt;"None",AND($W16&lt;&gt;"None",$W16&lt;&gt;"Intact"),AND($X16&lt;&gt;"No Change",$X16&lt;&gt;"Not Applicable"),$Y16&lt;&gt;"None",$Z16&lt;&gt;"No"),"ELIGIBLE FOR ROUTING","NO REFERRAL REQUIRED")))))</x:f>
      </x:c>
      <x:c r="AG16" s="800"/>
    </x:row>
    <x:row r="17" ht="36" customHeight="1">
      <x:c r="A17" s="800"/>
      <x:c r="B17" s="804"/>
      <x:c r="C17" s="804"/>
      <x:c r="D17" s="800"/>
      <x:c r="E17" s="800"/>
      <x:c r="F17" s="800"/>
      <x:c r="G17" s="802" t="str">
        <x:f>IF($E17="","",IFERROR(INDEX('Certified Allocation'!$A$5:$A$51,MATCH($E17,'Certified Allocation'!$B$5:$B$51,0)),"Candidate / Non-Holding"))</x:f>
      </x:c>
      <x:c r="H17" s="800"/>
      <x:c r="I17" s="800"/>
      <x:c r="J17" s="800"/>
      <x:c r="K17" s="800"/>
      <x:c r="L17" s="800"/>
      <x:c r="M17" s="800"/>
      <x:c r="N17" s="800"/>
      <x:c r="O17" s="800"/>
      <x:c r="P17" s="800"/>
      <x:c r="Q17" s="800"/>
      <x:c r="R17" s="800"/>
      <x:c r="S17" s="804"/>
      <x:c r="T17" s="800"/>
      <x:c r="U17" s="800"/>
      <x:c r="V17" s="800"/>
      <x:c r="W17" s="800"/>
      <x:c r="X17" s="800"/>
      <x:c r="Y17" s="800"/>
      <x:c r="Z17" s="800"/>
      <x:c r="AA17" s="800"/>
      <x:c r="AB17" s="804"/>
      <x:c r="AC17" s="805" t="str">
        <x:f>IF($A17="","",IF(AND(OR($T17="Closed — No Action",$T17="Closed — Incorporated"),$AB17&lt;&gt;""),MAX(0,$AB17-$B17),MAX(0,TODAY()-$B17)))</x:f>
      </x:c>
      <x:c r="AD17" s="775" t="str">
        <x:f>IF(COUNTA($A17:$F17,$H17:$AB17,$AG17)=0,"",IF(OR($A17="",$B17="",$C17="",$D17="",$F17="",$H17="",$I17="",$J17="",$K17="",$L17="",$M17="",$N17="",$O17="",$P17="",$Q17="",$R17="",$S17="",$T17="",$U17="",$V17="",$W17="",$X17="",$Y17="",$Z17="",$AA17="",AND(NOT(OR($D17="Portfolio-Level",$D17="Market / Macro",$D17="Other")),$E17="")),"INCOMPLETE",IF(COUNTIF($A$14:$A$213,$A17)&gt;1,"DUPLICATE ID","COMPLETE")))</x:f>
      </x:c>
      <x:c r="AE17" s="775" t="str">
        <x:f>IF($A17="","",IF($AD17&lt;&gt;"COMPLETE",$AD17,IF(AND($D17="Certified Holding",OR($E17="",$G17="Candidate / Non-Holding")),"HOLDING IDENTIFIER MISMATCH",IF(AND(OR($J17="Critical",$J17="High"),OR($U17="No",AND($L17="Unverified — Pending",$U17&lt;&gt;"Exception Approved"))),"VERIFY / ESCALATE",IF($X17="Unassigned","CONVICTION DECISION REQUIRED",IF(AND($S17&lt;TODAY(),$T17&lt;&gt;"Closed — No Action",$T17&lt;&gt;"Closed — Incorporated"),"OVERDUE",IF(AND(OR($T17="Closed — No Action",$T17="Closed — Incorporated"),$AB17=""),"CLOSE DATE REQUIRED",IF(AND(NOT(OR($T17="Closed — No Action",$T17="Closed — Incorporated")),$AB17&lt;&gt;""),"STATUS / CLOSE DATE MISMATCH",IF(AND($Z17&lt;&gt;"No",NOT(OR($U17="Yes",$U17="Exception Approved"))),"PEW REFERRAL BLOCKED",IF(AND($T17="Awaiting Verification",$U17="Yes"),"STATUS MISMATCH",IF(OR($T17="Closed — No Action",$T17="Closed — Incorporated"),"CLOSED","OPEN — ON TRACK")))))))))))</x:f>
      </x:c>
      <x:c r="AF17" s="775" t="str">
        <x:f>IF($A17="","",IF($AD17&lt;&gt;"COMPLETE","NOT ELIGIBLE",IF($X17="Unassigned","NOT ELIGIBLE — CONVICTION UNASSIGNED",IF(NOT(OR($U17="Yes",$U17="Exception Approved")),"NOT ELIGIBLE — UNVERIFIED",IF(OR($V17&lt;&gt;"None",AND($W17&lt;&gt;"None",$W17&lt;&gt;"Intact"),AND($X17&lt;&gt;"No Change",$X17&lt;&gt;"Not Applicable"),$Y17&lt;&gt;"None",$Z17&lt;&gt;"No"),"ELIGIBLE FOR ROUTING","NO REFERRAL REQUIRED")))))</x:f>
      </x:c>
      <x:c r="AG17" s="800"/>
    </x:row>
    <x:row r="18" ht="36" customHeight="1">
      <x:c r="A18" s="800"/>
      <x:c r="B18" s="804"/>
      <x:c r="C18" s="804"/>
      <x:c r="D18" s="800"/>
      <x:c r="E18" s="800"/>
      <x:c r="F18" s="800"/>
      <x:c r="G18" s="802" t="str">
        <x:f>IF($E18="","",IFERROR(INDEX('Certified Allocation'!$A$5:$A$51,MATCH($E18,'Certified Allocation'!$B$5:$B$51,0)),"Candidate / Non-Holding"))</x:f>
      </x:c>
      <x:c r="H18" s="800"/>
      <x:c r="I18" s="800"/>
      <x:c r="J18" s="800"/>
      <x:c r="K18" s="800"/>
      <x:c r="L18" s="800"/>
      <x:c r="M18" s="800"/>
      <x:c r="N18" s="800"/>
      <x:c r="O18" s="800"/>
      <x:c r="P18" s="800"/>
      <x:c r="Q18" s="800"/>
      <x:c r="R18" s="800"/>
      <x:c r="S18" s="804"/>
      <x:c r="T18" s="800"/>
      <x:c r="U18" s="800"/>
      <x:c r="V18" s="800"/>
      <x:c r="W18" s="800"/>
      <x:c r="X18" s="800"/>
      <x:c r="Y18" s="800"/>
      <x:c r="Z18" s="800"/>
      <x:c r="AA18" s="800"/>
      <x:c r="AB18" s="804"/>
      <x:c r="AC18" s="805" t="str">
        <x:f>IF($A18="","",IF(AND(OR($T18="Closed — No Action",$T18="Closed — Incorporated"),$AB18&lt;&gt;""),MAX(0,$AB18-$B18),MAX(0,TODAY()-$B18)))</x:f>
      </x:c>
      <x:c r="AD18" s="775" t="str">
        <x:f>IF(COUNTA($A18:$F18,$H18:$AB18,$AG18)=0,"",IF(OR($A18="",$B18="",$C18="",$D18="",$F18="",$H18="",$I18="",$J18="",$K18="",$L18="",$M18="",$N18="",$O18="",$P18="",$Q18="",$R18="",$S18="",$T18="",$U18="",$V18="",$W18="",$X18="",$Y18="",$Z18="",$AA18="",AND(NOT(OR($D18="Portfolio-Level",$D18="Market / Macro",$D18="Other")),$E18="")),"INCOMPLETE",IF(COUNTIF($A$14:$A$213,$A18)&gt;1,"DUPLICATE ID","COMPLETE")))</x:f>
      </x:c>
      <x:c r="AE18" s="775" t="str">
        <x:f>IF($A18="","",IF($AD18&lt;&gt;"COMPLETE",$AD18,IF(AND($D18="Certified Holding",OR($E18="",$G18="Candidate / Non-Holding")),"HOLDING IDENTIFIER MISMATCH",IF(AND(OR($J18="Critical",$J18="High"),OR($U18="No",AND($L18="Unverified — Pending",$U18&lt;&gt;"Exception Approved"))),"VERIFY / ESCALATE",IF($X18="Unassigned","CONVICTION DECISION REQUIRED",IF(AND($S18&lt;TODAY(),$T18&lt;&gt;"Closed — No Action",$T18&lt;&gt;"Closed — Incorporated"),"OVERDUE",IF(AND(OR($T18="Closed — No Action",$T18="Closed — Incorporated"),$AB18=""),"CLOSE DATE REQUIRED",IF(AND(NOT(OR($T18="Closed — No Action",$T18="Closed — Incorporated")),$AB18&lt;&gt;""),"STATUS / CLOSE DATE MISMATCH",IF(AND($Z18&lt;&gt;"No",NOT(OR($U18="Yes",$U18="Exception Approved"))),"PEW REFERRAL BLOCKED",IF(AND($T18="Awaiting Verification",$U18="Yes"),"STATUS MISMATCH",IF(OR($T18="Closed — No Action",$T18="Closed — Incorporated"),"CLOSED","OPEN — ON TRACK")))))))))))</x:f>
      </x:c>
      <x:c r="AF18" s="775" t="str">
        <x:f>IF($A18="","",IF($AD18&lt;&gt;"COMPLETE","NOT ELIGIBLE",IF($X18="Unassigned","NOT ELIGIBLE — CONVICTION UNASSIGNED",IF(NOT(OR($U18="Yes",$U18="Exception Approved")),"NOT ELIGIBLE — UNVERIFIED",IF(OR($V18&lt;&gt;"None",AND($W18&lt;&gt;"None",$W18&lt;&gt;"Intact"),AND($X18&lt;&gt;"No Change",$X18&lt;&gt;"Not Applicable"),$Y18&lt;&gt;"None",$Z18&lt;&gt;"No"),"ELIGIBLE FOR ROUTING","NO REFERRAL REQUIRED")))))</x:f>
      </x:c>
      <x:c r="AG18" s="800"/>
    </x:row>
    <x:row r="19" ht="36" customHeight="1">
      <x:c r="A19" s="800"/>
      <x:c r="B19" s="804"/>
      <x:c r="C19" s="804"/>
      <x:c r="D19" s="800"/>
      <x:c r="E19" s="800"/>
      <x:c r="F19" s="800"/>
      <x:c r="G19" s="802" t="str">
        <x:f>IF($E19="","",IFERROR(INDEX('Certified Allocation'!$A$5:$A$51,MATCH($E19,'Certified Allocation'!$B$5:$B$51,0)),"Candidate / Non-Holding"))</x:f>
      </x:c>
      <x:c r="H19" s="800"/>
      <x:c r="I19" s="800"/>
      <x:c r="J19" s="800"/>
      <x:c r="K19" s="800"/>
      <x:c r="L19" s="800"/>
      <x:c r="M19" s="800"/>
      <x:c r="N19" s="800"/>
      <x:c r="O19" s="800"/>
      <x:c r="P19" s="800"/>
      <x:c r="Q19" s="800"/>
      <x:c r="R19" s="800"/>
      <x:c r="S19" s="804"/>
      <x:c r="T19" s="800"/>
      <x:c r="U19" s="800"/>
      <x:c r="V19" s="800"/>
      <x:c r="W19" s="800"/>
      <x:c r="X19" s="800"/>
      <x:c r="Y19" s="800"/>
      <x:c r="Z19" s="800"/>
      <x:c r="AA19" s="800"/>
      <x:c r="AB19" s="804"/>
      <x:c r="AC19" s="805" t="str">
        <x:f>IF($A19="","",IF(AND(OR($T19="Closed — No Action",$T19="Closed — Incorporated"),$AB19&lt;&gt;""),MAX(0,$AB19-$B19),MAX(0,TODAY()-$B19)))</x:f>
      </x:c>
      <x:c r="AD19" s="775" t="str">
        <x:f>IF(COUNTA($A19:$F19,$H19:$AB19,$AG19)=0,"",IF(OR($A19="",$B19="",$C19="",$D19="",$F19="",$H19="",$I19="",$J19="",$K19="",$L19="",$M19="",$N19="",$O19="",$P19="",$Q19="",$R19="",$S19="",$T19="",$U19="",$V19="",$W19="",$X19="",$Y19="",$Z19="",$AA19="",AND(NOT(OR($D19="Portfolio-Level",$D19="Market / Macro",$D19="Other")),$E19="")),"INCOMPLETE",IF(COUNTIF($A$14:$A$213,$A19)&gt;1,"DUPLICATE ID","COMPLETE")))</x:f>
      </x:c>
      <x:c r="AE19" s="775" t="str">
        <x:f>IF($A19="","",IF($AD19&lt;&gt;"COMPLETE",$AD19,IF(AND($D19="Certified Holding",OR($E19="",$G19="Candidate / Non-Holding")),"HOLDING IDENTIFIER MISMATCH",IF(AND(OR($J19="Critical",$J19="High"),OR($U19="No",AND($L19="Unverified — Pending",$U19&lt;&gt;"Exception Approved"))),"VERIFY / ESCALATE",IF($X19="Unassigned","CONVICTION DECISION REQUIRED",IF(AND($S19&lt;TODAY(),$T19&lt;&gt;"Closed — No Action",$T19&lt;&gt;"Closed — Incorporated"),"OVERDUE",IF(AND(OR($T19="Closed — No Action",$T19="Closed — Incorporated"),$AB19=""),"CLOSE DATE REQUIRED",IF(AND(NOT(OR($T19="Closed — No Action",$T19="Closed — Incorporated")),$AB19&lt;&gt;""),"STATUS / CLOSE DATE MISMATCH",IF(AND($Z19&lt;&gt;"No",NOT(OR($U19="Yes",$U19="Exception Approved"))),"PEW REFERRAL BLOCKED",IF(AND($T19="Awaiting Verification",$U19="Yes"),"STATUS MISMATCH",IF(OR($T19="Closed — No Action",$T19="Closed — Incorporated"),"CLOSED","OPEN — ON TRACK")))))))))))</x:f>
      </x:c>
      <x:c r="AF19" s="775" t="str">
        <x:f>IF($A19="","",IF($AD19&lt;&gt;"COMPLETE","NOT ELIGIBLE",IF($X19="Unassigned","NOT ELIGIBLE — CONVICTION UNASSIGNED",IF(NOT(OR($U19="Yes",$U19="Exception Approved")),"NOT ELIGIBLE — UNVERIFIED",IF(OR($V19&lt;&gt;"None",AND($W19&lt;&gt;"None",$W19&lt;&gt;"Intact"),AND($X19&lt;&gt;"No Change",$X19&lt;&gt;"Not Applicable"),$Y19&lt;&gt;"None",$Z19&lt;&gt;"No"),"ELIGIBLE FOR ROUTING","NO REFERRAL REQUIRED")))))</x:f>
      </x:c>
      <x:c r="AG19" s="800"/>
    </x:row>
    <x:row r="20" ht="36" customHeight="1">
      <x:c r="A20" s="800"/>
      <x:c r="B20" s="804"/>
      <x:c r="C20" s="804"/>
      <x:c r="D20" s="800"/>
      <x:c r="E20" s="800"/>
      <x:c r="F20" s="800"/>
      <x:c r="G20" s="802" t="str">
        <x:f>IF($E20="","",IFERROR(INDEX('Certified Allocation'!$A$5:$A$51,MATCH($E20,'Certified Allocation'!$B$5:$B$51,0)),"Candidate / Non-Holding"))</x:f>
      </x:c>
      <x:c r="H20" s="800"/>
      <x:c r="I20" s="800"/>
      <x:c r="J20" s="800"/>
      <x:c r="K20" s="800"/>
      <x:c r="L20" s="800"/>
      <x:c r="M20" s="800"/>
      <x:c r="N20" s="800"/>
      <x:c r="O20" s="800"/>
      <x:c r="P20" s="800"/>
      <x:c r="Q20" s="800"/>
      <x:c r="R20" s="800"/>
      <x:c r="S20" s="804"/>
      <x:c r="T20" s="800"/>
      <x:c r="U20" s="800"/>
      <x:c r="V20" s="800"/>
      <x:c r="W20" s="800"/>
      <x:c r="X20" s="800"/>
      <x:c r="Y20" s="800"/>
      <x:c r="Z20" s="800"/>
      <x:c r="AA20" s="800"/>
      <x:c r="AB20" s="804"/>
      <x:c r="AC20" s="805" t="str">
        <x:f>IF($A20="","",IF(AND(OR($T20="Closed — No Action",$T20="Closed — Incorporated"),$AB20&lt;&gt;""),MAX(0,$AB20-$B20),MAX(0,TODAY()-$B20)))</x:f>
      </x:c>
      <x:c r="AD20" s="775" t="str">
        <x:f>IF(COUNTA($A20:$F20,$H20:$AB20,$AG20)=0,"",IF(OR($A20="",$B20="",$C20="",$D20="",$F20="",$H20="",$I20="",$J20="",$K20="",$L20="",$M20="",$N20="",$O20="",$P20="",$Q20="",$R20="",$S20="",$T20="",$U20="",$V20="",$W20="",$X20="",$Y20="",$Z20="",$AA20="",AND(NOT(OR($D20="Portfolio-Level",$D20="Market / Macro",$D20="Other")),$E20="")),"INCOMPLETE",IF(COUNTIF($A$14:$A$213,$A20)&gt;1,"DUPLICATE ID","COMPLETE")))</x:f>
      </x:c>
      <x:c r="AE20" s="775" t="str">
        <x:f>IF($A20="","",IF($AD20&lt;&gt;"COMPLETE",$AD20,IF(AND($D20="Certified Holding",OR($E20="",$G20="Candidate / Non-Holding")),"HOLDING IDENTIFIER MISMATCH",IF(AND(OR($J20="Critical",$J20="High"),OR($U20="No",AND($L20="Unverified — Pending",$U20&lt;&gt;"Exception Approved"))),"VERIFY / ESCALATE",IF($X20="Unassigned","CONVICTION DECISION REQUIRED",IF(AND($S20&lt;TODAY(),$T20&lt;&gt;"Closed — No Action",$T20&lt;&gt;"Closed — Incorporated"),"OVERDUE",IF(AND(OR($T20="Closed — No Action",$T20="Closed — Incorporated"),$AB20=""),"CLOSE DATE REQUIRED",IF(AND(NOT(OR($T20="Closed — No Action",$T20="Closed — Incorporated")),$AB20&lt;&gt;""),"STATUS / CLOSE DATE MISMATCH",IF(AND($Z20&lt;&gt;"No",NOT(OR($U20="Yes",$U20="Exception Approved"))),"PEW REFERRAL BLOCKED",IF(AND($T20="Awaiting Verification",$U20="Yes"),"STATUS MISMATCH",IF(OR($T20="Closed — No Action",$T20="Closed — Incorporated"),"CLOSED","OPEN — ON TRACK")))))))))))</x:f>
      </x:c>
      <x:c r="AF20" s="775" t="str">
        <x:f>IF($A20="","",IF($AD20&lt;&gt;"COMPLETE","NOT ELIGIBLE",IF($X20="Unassigned","NOT ELIGIBLE — CONVICTION UNASSIGNED",IF(NOT(OR($U20="Yes",$U20="Exception Approved")),"NOT ELIGIBLE — UNVERIFIED",IF(OR($V20&lt;&gt;"None",AND($W20&lt;&gt;"None",$W20&lt;&gt;"Intact"),AND($X20&lt;&gt;"No Change",$X20&lt;&gt;"Not Applicable"),$Y20&lt;&gt;"None",$Z20&lt;&gt;"No"),"ELIGIBLE FOR ROUTING","NO REFERRAL REQUIRED")))))</x:f>
      </x:c>
      <x:c r="AG20" s="800"/>
    </x:row>
    <x:row r="21" ht="36" customHeight="1">
      <x:c r="A21" s="800"/>
      <x:c r="B21" s="804"/>
      <x:c r="C21" s="804"/>
      <x:c r="D21" s="800"/>
      <x:c r="E21" s="800"/>
      <x:c r="F21" s="800"/>
      <x:c r="G21" s="802" t="str">
        <x:f>IF($E21="","",IFERROR(INDEX('Certified Allocation'!$A$5:$A$51,MATCH($E21,'Certified Allocation'!$B$5:$B$51,0)),"Candidate / Non-Holding"))</x:f>
      </x:c>
      <x:c r="H21" s="800"/>
      <x:c r="I21" s="800"/>
      <x:c r="J21" s="800"/>
      <x:c r="K21" s="800"/>
      <x:c r="L21" s="800"/>
      <x:c r="M21" s="800"/>
      <x:c r="N21" s="800"/>
      <x:c r="O21" s="800"/>
      <x:c r="P21" s="800"/>
      <x:c r="Q21" s="800"/>
      <x:c r="R21" s="800"/>
      <x:c r="S21" s="804"/>
      <x:c r="T21" s="800"/>
      <x:c r="U21" s="800"/>
      <x:c r="V21" s="800"/>
      <x:c r="W21" s="800"/>
      <x:c r="X21" s="800"/>
      <x:c r="Y21" s="800"/>
      <x:c r="Z21" s="800"/>
      <x:c r="AA21" s="800"/>
      <x:c r="AB21" s="804"/>
      <x:c r="AC21" s="805" t="str">
        <x:f>IF($A21="","",IF(AND(OR($T21="Closed — No Action",$T21="Closed — Incorporated"),$AB21&lt;&gt;""),MAX(0,$AB21-$B21),MAX(0,TODAY()-$B21)))</x:f>
      </x:c>
      <x:c r="AD21" s="775" t="str">
        <x:f>IF(COUNTA($A21:$F21,$H21:$AB21,$AG21)=0,"",IF(OR($A21="",$B21="",$C21="",$D21="",$F21="",$H21="",$I21="",$J21="",$K21="",$L21="",$M21="",$N21="",$O21="",$P21="",$Q21="",$R21="",$S21="",$T21="",$U21="",$V21="",$W21="",$X21="",$Y21="",$Z21="",$AA21="",AND(NOT(OR($D21="Portfolio-Level",$D21="Market / Macro",$D21="Other")),$E21="")),"INCOMPLETE",IF(COUNTIF($A$14:$A$213,$A21)&gt;1,"DUPLICATE ID","COMPLETE")))</x:f>
      </x:c>
      <x:c r="AE21" s="775" t="str">
        <x:f>IF($A21="","",IF($AD21&lt;&gt;"COMPLETE",$AD21,IF(AND($D21="Certified Holding",OR($E21="",$G21="Candidate / Non-Holding")),"HOLDING IDENTIFIER MISMATCH",IF(AND(OR($J21="Critical",$J21="High"),OR($U21="No",AND($L21="Unverified — Pending",$U21&lt;&gt;"Exception Approved"))),"VERIFY / ESCALATE",IF($X21="Unassigned","CONVICTION DECISION REQUIRED",IF(AND($S21&lt;TODAY(),$T21&lt;&gt;"Closed — No Action",$T21&lt;&gt;"Closed — Incorporated"),"OVERDUE",IF(AND(OR($T21="Closed — No Action",$T21="Closed — Incorporated"),$AB21=""),"CLOSE DATE REQUIRED",IF(AND(NOT(OR($T21="Closed — No Action",$T21="Closed — Incorporated")),$AB21&lt;&gt;""),"STATUS / CLOSE DATE MISMATCH",IF(AND($Z21&lt;&gt;"No",NOT(OR($U21="Yes",$U21="Exception Approved"))),"PEW REFERRAL BLOCKED",IF(AND($T21="Awaiting Verification",$U21="Yes"),"STATUS MISMATCH",IF(OR($T21="Closed — No Action",$T21="Closed — Incorporated"),"CLOSED","OPEN — ON TRACK")))))))))))</x:f>
      </x:c>
      <x:c r="AF21" s="775" t="str">
        <x:f>IF($A21="","",IF($AD21&lt;&gt;"COMPLETE","NOT ELIGIBLE",IF($X21="Unassigned","NOT ELIGIBLE — CONVICTION UNASSIGNED",IF(NOT(OR($U21="Yes",$U21="Exception Approved")),"NOT ELIGIBLE — UNVERIFIED",IF(OR($V21&lt;&gt;"None",AND($W21&lt;&gt;"None",$W21&lt;&gt;"Intact"),AND($X21&lt;&gt;"No Change",$X21&lt;&gt;"Not Applicable"),$Y21&lt;&gt;"None",$Z21&lt;&gt;"No"),"ELIGIBLE FOR ROUTING","NO REFERRAL REQUIRED")))))</x:f>
      </x:c>
      <x:c r="AG21" s="800"/>
    </x:row>
    <x:row r="22" ht="36" customHeight="1">
      <x:c r="A22" s="800"/>
      <x:c r="B22" s="804"/>
      <x:c r="C22" s="804"/>
      <x:c r="D22" s="800"/>
      <x:c r="E22" s="800"/>
      <x:c r="F22" s="800"/>
      <x:c r="G22" s="802" t="str">
        <x:f>IF($E22="","",IFERROR(INDEX('Certified Allocation'!$A$5:$A$51,MATCH($E22,'Certified Allocation'!$B$5:$B$51,0)),"Candidate / Non-Holding"))</x:f>
      </x:c>
      <x:c r="H22" s="800"/>
      <x:c r="I22" s="800"/>
      <x:c r="J22" s="800"/>
      <x:c r="K22" s="800"/>
      <x:c r="L22" s="800"/>
      <x:c r="M22" s="800"/>
      <x:c r="N22" s="800"/>
      <x:c r="O22" s="800"/>
      <x:c r="P22" s="800"/>
      <x:c r="Q22" s="800"/>
      <x:c r="R22" s="800"/>
      <x:c r="S22" s="804"/>
      <x:c r="T22" s="800"/>
      <x:c r="U22" s="800"/>
      <x:c r="V22" s="800"/>
      <x:c r="W22" s="800"/>
      <x:c r="X22" s="800"/>
      <x:c r="Y22" s="800"/>
      <x:c r="Z22" s="800"/>
      <x:c r="AA22" s="800"/>
      <x:c r="AB22" s="804"/>
      <x:c r="AC22" s="805" t="str">
        <x:f>IF($A22="","",IF(AND(OR($T22="Closed — No Action",$T22="Closed — Incorporated"),$AB22&lt;&gt;""),MAX(0,$AB22-$B22),MAX(0,TODAY()-$B22)))</x:f>
      </x:c>
      <x:c r="AD22" s="775" t="str">
        <x:f>IF(COUNTA($A22:$F22,$H22:$AB22,$AG22)=0,"",IF(OR($A22="",$B22="",$C22="",$D22="",$F22="",$H22="",$I22="",$J22="",$K22="",$L22="",$M22="",$N22="",$O22="",$P22="",$Q22="",$R22="",$S22="",$T22="",$U22="",$V22="",$W22="",$X22="",$Y22="",$Z22="",$AA22="",AND(NOT(OR($D22="Portfolio-Level",$D22="Market / Macro",$D22="Other")),$E22="")),"INCOMPLETE",IF(COUNTIF($A$14:$A$213,$A22)&gt;1,"DUPLICATE ID","COMPLETE")))</x:f>
      </x:c>
      <x:c r="AE22" s="775" t="str">
        <x:f>IF($A22="","",IF($AD22&lt;&gt;"COMPLETE",$AD22,IF(AND($D22="Certified Holding",OR($E22="",$G22="Candidate / Non-Holding")),"HOLDING IDENTIFIER MISMATCH",IF(AND(OR($J22="Critical",$J22="High"),OR($U22="No",AND($L22="Unverified — Pending",$U22&lt;&gt;"Exception Approved"))),"VERIFY / ESCALATE",IF($X22="Unassigned","CONVICTION DECISION REQUIRED",IF(AND($S22&lt;TODAY(),$T22&lt;&gt;"Closed — No Action",$T22&lt;&gt;"Closed — Incorporated"),"OVERDUE",IF(AND(OR($T22="Closed — No Action",$T22="Closed — Incorporated"),$AB22=""),"CLOSE DATE REQUIRED",IF(AND(NOT(OR($T22="Closed — No Action",$T22="Closed — Incorporated")),$AB22&lt;&gt;""),"STATUS / CLOSE DATE MISMATCH",IF(AND($Z22&lt;&gt;"No",NOT(OR($U22="Yes",$U22="Exception Approved"))),"PEW REFERRAL BLOCKED",IF(AND($T22="Awaiting Verification",$U22="Yes"),"STATUS MISMATCH",IF(OR($T22="Closed — No Action",$T22="Closed — Incorporated"),"CLOSED","OPEN — ON TRACK")))))))))))</x:f>
      </x:c>
      <x:c r="AF22" s="775" t="str">
        <x:f>IF($A22="","",IF($AD22&lt;&gt;"COMPLETE","NOT ELIGIBLE",IF($X22="Unassigned","NOT ELIGIBLE — CONVICTION UNASSIGNED",IF(NOT(OR($U22="Yes",$U22="Exception Approved")),"NOT ELIGIBLE — UNVERIFIED",IF(OR($V22&lt;&gt;"None",AND($W22&lt;&gt;"None",$W22&lt;&gt;"Intact"),AND($X22&lt;&gt;"No Change",$X22&lt;&gt;"Not Applicable"),$Y22&lt;&gt;"None",$Z22&lt;&gt;"No"),"ELIGIBLE FOR ROUTING","NO REFERRAL REQUIRED")))))</x:f>
      </x:c>
      <x:c r="AG22" s="800"/>
    </x:row>
    <x:row r="23" ht="36" customHeight="1">
      <x:c r="A23" s="800"/>
      <x:c r="B23" s="804"/>
      <x:c r="C23" s="804"/>
      <x:c r="D23" s="800"/>
      <x:c r="E23" s="800"/>
      <x:c r="F23" s="800"/>
      <x:c r="G23" s="802" t="str">
        <x:f>IF($E23="","",IFERROR(INDEX('Certified Allocation'!$A$5:$A$51,MATCH($E23,'Certified Allocation'!$B$5:$B$51,0)),"Candidate / Non-Holding"))</x:f>
      </x:c>
      <x:c r="H23" s="800"/>
      <x:c r="I23" s="800"/>
      <x:c r="J23" s="800"/>
      <x:c r="K23" s="800"/>
      <x:c r="L23" s="800"/>
      <x:c r="M23" s="800"/>
      <x:c r="N23" s="800"/>
      <x:c r="O23" s="800"/>
      <x:c r="P23" s="800"/>
      <x:c r="Q23" s="800"/>
      <x:c r="R23" s="800"/>
      <x:c r="S23" s="804"/>
      <x:c r="T23" s="800"/>
      <x:c r="U23" s="800"/>
      <x:c r="V23" s="800"/>
      <x:c r="W23" s="800"/>
      <x:c r="X23" s="800"/>
      <x:c r="Y23" s="800"/>
      <x:c r="Z23" s="800"/>
      <x:c r="AA23" s="800"/>
      <x:c r="AB23" s="804"/>
      <x:c r="AC23" s="805" t="str">
        <x:f>IF($A23="","",IF(AND(OR($T23="Closed — No Action",$T23="Closed — Incorporated"),$AB23&lt;&gt;""),MAX(0,$AB23-$B23),MAX(0,TODAY()-$B23)))</x:f>
      </x:c>
      <x:c r="AD23" s="775" t="str">
        <x:f>IF(COUNTA($A23:$F23,$H23:$AB23,$AG23)=0,"",IF(OR($A23="",$B23="",$C23="",$D23="",$F23="",$H23="",$I23="",$J23="",$K23="",$L23="",$M23="",$N23="",$O23="",$P23="",$Q23="",$R23="",$S23="",$T23="",$U23="",$V23="",$W23="",$X23="",$Y23="",$Z23="",$AA23="",AND(NOT(OR($D23="Portfolio-Level",$D23="Market / Macro",$D23="Other")),$E23="")),"INCOMPLETE",IF(COUNTIF($A$14:$A$213,$A23)&gt;1,"DUPLICATE ID","COMPLETE")))</x:f>
      </x:c>
      <x:c r="AE23" s="775" t="str">
        <x:f>IF($A23="","",IF($AD23&lt;&gt;"COMPLETE",$AD23,IF(AND($D23="Certified Holding",OR($E23="",$G23="Candidate / Non-Holding")),"HOLDING IDENTIFIER MISMATCH",IF(AND(OR($J23="Critical",$J23="High"),OR($U23="No",AND($L23="Unverified — Pending",$U23&lt;&gt;"Exception Approved"))),"VERIFY / ESCALATE",IF($X23="Unassigned","CONVICTION DECISION REQUIRED",IF(AND($S23&lt;TODAY(),$T23&lt;&gt;"Closed — No Action",$T23&lt;&gt;"Closed — Incorporated"),"OVERDUE",IF(AND(OR($T23="Closed — No Action",$T23="Closed — Incorporated"),$AB23=""),"CLOSE DATE REQUIRED",IF(AND(NOT(OR($T23="Closed — No Action",$T23="Closed — Incorporated")),$AB23&lt;&gt;""),"STATUS / CLOSE DATE MISMATCH",IF(AND($Z23&lt;&gt;"No",NOT(OR($U23="Yes",$U23="Exception Approved"))),"PEW REFERRAL BLOCKED",IF(AND($T23="Awaiting Verification",$U23="Yes"),"STATUS MISMATCH",IF(OR($T23="Closed — No Action",$T23="Closed — Incorporated"),"CLOSED","OPEN — ON TRACK")))))))))))</x:f>
      </x:c>
      <x:c r="AF23" s="775" t="str">
        <x:f>IF($A23="","",IF($AD23&lt;&gt;"COMPLETE","NOT ELIGIBLE",IF($X23="Unassigned","NOT ELIGIBLE — CONVICTION UNASSIGNED",IF(NOT(OR($U23="Yes",$U23="Exception Approved")),"NOT ELIGIBLE — UNVERIFIED",IF(OR($V23&lt;&gt;"None",AND($W23&lt;&gt;"None",$W23&lt;&gt;"Intact"),AND($X23&lt;&gt;"No Change",$X23&lt;&gt;"Not Applicable"),$Y23&lt;&gt;"None",$Z23&lt;&gt;"No"),"ELIGIBLE FOR ROUTING","NO REFERRAL REQUIRED")))))</x:f>
      </x:c>
      <x:c r="AG23" s="800"/>
    </x:row>
    <x:row r="24" ht="36" customHeight="1">
      <x:c r="A24" s="800"/>
      <x:c r="B24" s="804"/>
      <x:c r="C24" s="804"/>
      <x:c r="D24" s="800"/>
      <x:c r="E24" s="800"/>
      <x:c r="F24" s="800"/>
      <x:c r="G24" s="802" t="str">
        <x:f>IF($E24="","",IFERROR(INDEX('Certified Allocation'!$A$5:$A$51,MATCH($E24,'Certified Allocation'!$B$5:$B$51,0)),"Candidate / Non-Holding"))</x:f>
      </x:c>
      <x:c r="H24" s="800"/>
      <x:c r="I24" s="800"/>
      <x:c r="J24" s="800"/>
      <x:c r="K24" s="800"/>
      <x:c r="L24" s="800"/>
      <x:c r="M24" s="800"/>
      <x:c r="N24" s="800"/>
      <x:c r="O24" s="800"/>
      <x:c r="P24" s="800"/>
      <x:c r="Q24" s="800"/>
      <x:c r="R24" s="800"/>
      <x:c r="S24" s="804"/>
      <x:c r="T24" s="800"/>
      <x:c r="U24" s="800"/>
      <x:c r="V24" s="800"/>
      <x:c r="W24" s="800"/>
      <x:c r="X24" s="800"/>
      <x:c r="Y24" s="800"/>
      <x:c r="Z24" s="800"/>
      <x:c r="AA24" s="800"/>
      <x:c r="AB24" s="804"/>
      <x:c r="AC24" s="805" t="str">
        <x:f>IF($A24="","",IF(AND(OR($T24="Closed — No Action",$T24="Closed — Incorporated"),$AB24&lt;&gt;""),MAX(0,$AB24-$B24),MAX(0,TODAY()-$B24)))</x:f>
      </x:c>
      <x:c r="AD24" s="775" t="str">
        <x:f>IF(COUNTA($A24:$F24,$H24:$AB24,$AG24)=0,"",IF(OR($A24="",$B24="",$C24="",$D24="",$F24="",$H24="",$I24="",$J24="",$K24="",$L24="",$M24="",$N24="",$O24="",$P24="",$Q24="",$R24="",$S24="",$T24="",$U24="",$V24="",$W24="",$X24="",$Y24="",$Z24="",$AA24="",AND(NOT(OR($D24="Portfolio-Level",$D24="Market / Macro",$D24="Other")),$E24="")),"INCOMPLETE",IF(COUNTIF($A$14:$A$213,$A24)&gt;1,"DUPLICATE ID","COMPLETE")))</x:f>
      </x:c>
      <x:c r="AE24" s="775" t="str">
        <x:f>IF($A24="","",IF($AD24&lt;&gt;"COMPLETE",$AD24,IF(AND($D24="Certified Holding",OR($E24="",$G24="Candidate / Non-Holding")),"HOLDING IDENTIFIER MISMATCH",IF(AND(OR($J24="Critical",$J24="High"),OR($U24="No",AND($L24="Unverified — Pending",$U24&lt;&gt;"Exception Approved"))),"VERIFY / ESCALATE",IF($X24="Unassigned","CONVICTION DECISION REQUIRED",IF(AND($S24&lt;TODAY(),$T24&lt;&gt;"Closed — No Action",$T24&lt;&gt;"Closed — Incorporated"),"OVERDUE",IF(AND(OR($T24="Closed — No Action",$T24="Closed — Incorporated"),$AB24=""),"CLOSE DATE REQUIRED",IF(AND(NOT(OR($T24="Closed — No Action",$T24="Closed — Incorporated")),$AB24&lt;&gt;""),"STATUS / CLOSE DATE MISMATCH",IF(AND($Z24&lt;&gt;"No",NOT(OR($U24="Yes",$U24="Exception Approved"))),"PEW REFERRAL BLOCKED",IF(AND($T24="Awaiting Verification",$U24="Yes"),"STATUS MISMATCH",IF(OR($T24="Closed — No Action",$T24="Closed — Incorporated"),"CLOSED","OPEN — ON TRACK")))))))))))</x:f>
      </x:c>
      <x:c r="AF24" s="775" t="str">
        <x:f>IF($A24="","",IF($AD24&lt;&gt;"COMPLETE","NOT ELIGIBLE",IF($X24="Unassigned","NOT ELIGIBLE — CONVICTION UNASSIGNED",IF(NOT(OR($U24="Yes",$U24="Exception Approved")),"NOT ELIGIBLE — UNVERIFIED",IF(OR($V24&lt;&gt;"None",AND($W24&lt;&gt;"None",$W24&lt;&gt;"Intact"),AND($X24&lt;&gt;"No Change",$X24&lt;&gt;"Not Applicable"),$Y24&lt;&gt;"None",$Z24&lt;&gt;"No"),"ELIGIBLE FOR ROUTING","NO REFERRAL REQUIRED")))))</x:f>
      </x:c>
      <x:c r="AG24" s="800"/>
    </x:row>
    <x:row r="25" ht="36" customHeight="1">
      <x:c r="A25" s="800"/>
      <x:c r="B25" s="804"/>
      <x:c r="C25" s="804"/>
      <x:c r="D25" s="800"/>
      <x:c r="E25" s="800"/>
      <x:c r="F25" s="800"/>
      <x:c r="G25" s="802" t="str">
        <x:f>IF($E25="","",IFERROR(INDEX('Certified Allocation'!$A$5:$A$51,MATCH($E25,'Certified Allocation'!$B$5:$B$51,0)),"Candidate / Non-Holding"))</x:f>
      </x:c>
      <x:c r="H25" s="800"/>
      <x:c r="I25" s="800"/>
      <x:c r="J25" s="800"/>
      <x:c r="K25" s="800"/>
      <x:c r="L25" s="800"/>
      <x:c r="M25" s="800"/>
      <x:c r="N25" s="800"/>
      <x:c r="O25" s="800"/>
      <x:c r="P25" s="800"/>
      <x:c r="Q25" s="800"/>
      <x:c r="R25" s="800"/>
      <x:c r="S25" s="804"/>
      <x:c r="T25" s="800"/>
      <x:c r="U25" s="800"/>
      <x:c r="V25" s="800"/>
      <x:c r="W25" s="800"/>
      <x:c r="X25" s="800"/>
      <x:c r="Y25" s="800"/>
      <x:c r="Z25" s="800"/>
      <x:c r="AA25" s="800"/>
      <x:c r="AB25" s="804"/>
      <x:c r="AC25" s="805" t="str">
        <x:f>IF($A25="","",IF(AND(OR($T25="Closed — No Action",$T25="Closed — Incorporated"),$AB25&lt;&gt;""),MAX(0,$AB25-$B25),MAX(0,TODAY()-$B25)))</x:f>
      </x:c>
      <x:c r="AD25" s="775" t="str">
        <x:f>IF(COUNTA($A25:$F25,$H25:$AB25,$AG25)=0,"",IF(OR($A25="",$B25="",$C25="",$D25="",$F25="",$H25="",$I25="",$J25="",$K25="",$L25="",$M25="",$N25="",$O25="",$P25="",$Q25="",$R25="",$S25="",$T25="",$U25="",$V25="",$W25="",$X25="",$Y25="",$Z25="",$AA25="",AND(NOT(OR($D25="Portfolio-Level",$D25="Market / Macro",$D25="Other")),$E25="")),"INCOMPLETE",IF(COUNTIF($A$14:$A$213,$A25)&gt;1,"DUPLICATE ID","COMPLETE")))</x:f>
      </x:c>
      <x:c r="AE25" s="775" t="str">
        <x:f>IF($A25="","",IF($AD25&lt;&gt;"COMPLETE",$AD25,IF(AND($D25="Certified Holding",OR($E25="",$G25="Candidate / Non-Holding")),"HOLDING IDENTIFIER MISMATCH",IF(AND(OR($J25="Critical",$J25="High"),OR($U25="No",AND($L25="Unverified — Pending",$U25&lt;&gt;"Exception Approved"))),"VERIFY / ESCALATE",IF($X25="Unassigned","CONVICTION DECISION REQUIRED",IF(AND($S25&lt;TODAY(),$T25&lt;&gt;"Closed — No Action",$T25&lt;&gt;"Closed — Incorporated"),"OVERDUE",IF(AND(OR($T25="Closed — No Action",$T25="Closed — Incorporated"),$AB25=""),"CLOSE DATE REQUIRED",IF(AND(NOT(OR($T25="Closed — No Action",$T25="Closed — Incorporated")),$AB25&lt;&gt;""),"STATUS / CLOSE DATE MISMATCH",IF(AND($Z25&lt;&gt;"No",NOT(OR($U25="Yes",$U25="Exception Approved"))),"PEW REFERRAL BLOCKED",IF(AND($T25="Awaiting Verification",$U25="Yes"),"STATUS MISMATCH",IF(OR($T25="Closed — No Action",$T25="Closed — Incorporated"),"CLOSED","OPEN — ON TRACK")))))))))))</x:f>
      </x:c>
      <x:c r="AF25" s="775" t="str">
        <x:f>IF($A25="","",IF($AD25&lt;&gt;"COMPLETE","NOT ELIGIBLE",IF($X25="Unassigned","NOT ELIGIBLE — CONVICTION UNASSIGNED",IF(NOT(OR($U25="Yes",$U25="Exception Approved")),"NOT ELIGIBLE — UNVERIFIED",IF(OR($V25&lt;&gt;"None",AND($W25&lt;&gt;"None",$W25&lt;&gt;"Intact"),AND($X25&lt;&gt;"No Change",$X25&lt;&gt;"Not Applicable"),$Y25&lt;&gt;"None",$Z25&lt;&gt;"No"),"ELIGIBLE FOR ROUTING","NO REFERRAL REQUIRED")))))</x:f>
      </x:c>
      <x:c r="AG25" s="800"/>
    </x:row>
    <x:row r="26" ht="36" customHeight="1">
      <x:c r="A26" s="800"/>
      <x:c r="B26" s="804"/>
      <x:c r="C26" s="804"/>
      <x:c r="D26" s="800"/>
      <x:c r="E26" s="800"/>
      <x:c r="F26" s="800"/>
      <x:c r="G26" s="802" t="str">
        <x:f>IF($E26="","",IFERROR(INDEX('Certified Allocation'!$A$5:$A$51,MATCH($E26,'Certified Allocation'!$B$5:$B$51,0)),"Candidate / Non-Holding"))</x:f>
      </x:c>
      <x:c r="H26" s="800"/>
      <x:c r="I26" s="800"/>
      <x:c r="J26" s="800"/>
      <x:c r="K26" s="800"/>
      <x:c r="L26" s="800"/>
      <x:c r="M26" s="800"/>
      <x:c r="N26" s="800"/>
      <x:c r="O26" s="800"/>
      <x:c r="P26" s="800"/>
      <x:c r="Q26" s="800"/>
      <x:c r="R26" s="800"/>
      <x:c r="S26" s="804"/>
      <x:c r="T26" s="800"/>
      <x:c r="U26" s="800"/>
      <x:c r="V26" s="800"/>
      <x:c r="W26" s="800"/>
      <x:c r="X26" s="800"/>
      <x:c r="Y26" s="800"/>
      <x:c r="Z26" s="800"/>
      <x:c r="AA26" s="800"/>
      <x:c r="AB26" s="804"/>
      <x:c r="AC26" s="805" t="str">
        <x:f>IF($A26="","",IF(AND(OR($T26="Closed — No Action",$T26="Closed — Incorporated"),$AB26&lt;&gt;""),MAX(0,$AB26-$B26),MAX(0,TODAY()-$B26)))</x:f>
      </x:c>
      <x:c r="AD26" s="775" t="str">
        <x:f>IF(COUNTA($A26:$F26,$H26:$AB26,$AG26)=0,"",IF(OR($A26="",$B26="",$C26="",$D26="",$F26="",$H26="",$I26="",$J26="",$K26="",$L26="",$M26="",$N26="",$O26="",$P26="",$Q26="",$R26="",$S26="",$T26="",$U26="",$V26="",$W26="",$X26="",$Y26="",$Z26="",$AA26="",AND(NOT(OR($D26="Portfolio-Level",$D26="Market / Macro",$D26="Other")),$E26="")),"INCOMPLETE",IF(COUNTIF($A$14:$A$213,$A26)&gt;1,"DUPLICATE ID","COMPLETE")))</x:f>
      </x:c>
      <x:c r="AE26" s="775" t="str">
        <x:f>IF($A26="","",IF($AD26&lt;&gt;"COMPLETE",$AD26,IF(AND($D26="Certified Holding",OR($E26="",$G26="Candidate / Non-Holding")),"HOLDING IDENTIFIER MISMATCH",IF(AND(OR($J26="Critical",$J26="High"),OR($U26="No",AND($L26="Unverified — Pending",$U26&lt;&gt;"Exception Approved"))),"VERIFY / ESCALATE",IF($X26="Unassigned","CONVICTION DECISION REQUIRED",IF(AND($S26&lt;TODAY(),$T26&lt;&gt;"Closed — No Action",$T26&lt;&gt;"Closed — Incorporated"),"OVERDUE",IF(AND(OR($T26="Closed — No Action",$T26="Closed — Incorporated"),$AB26=""),"CLOSE DATE REQUIRED",IF(AND(NOT(OR($T26="Closed — No Action",$T26="Closed — Incorporated")),$AB26&lt;&gt;""),"STATUS / CLOSE DATE MISMATCH",IF(AND($Z26&lt;&gt;"No",NOT(OR($U26="Yes",$U26="Exception Approved"))),"PEW REFERRAL BLOCKED",IF(AND($T26="Awaiting Verification",$U26="Yes"),"STATUS MISMATCH",IF(OR($T26="Closed — No Action",$T26="Closed — Incorporated"),"CLOSED","OPEN — ON TRACK")))))))))))</x:f>
      </x:c>
      <x:c r="AF26" s="775" t="str">
        <x:f>IF($A26="","",IF($AD26&lt;&gt;"COMPLETE","NOT ELIGIBLE",IF($X26="Unassigned","NOT ELIGIBLE — CONVICTION UNASSIGNED",IF(NOT(OR($U26="Yes",$U26="Exception Approved")),"NOT ELIGIBLE — UNVERIFIED",IF(OR($V26&lt;&gt;"None",AND($W26&lt;&gt;"None",$W26&lt;&gt;"Intact"),AND($X26&lt;&gt;"No Change",$X26&lt;&gt;"Not Applicable"),$Y26&lt;&gt;"None",$Z26&lt;&gt;"No"),"ELIGIBLE FOR ROUTING","NO REFERRAL REQUIRED")))))</x:f>
      </x:c>
      <x:c r="AG26" s="800"/>
    </x:row>
    <x:row r="27" ht="36" customHeight="1">
      <x:c r="A27" s="800"/>
      <x:c r="B27" s="804"/>
      <x:c r="C27" s="804"/>
      <x:c r="D27" s="800"/>
      <x:c r="E27" s="800"/>
      <x:c r="F27" s="800"/>
      <x:c r="G27" s="802" t="str">
        <x:f>IF($E27="","",IFERROR(INDEX('Certified Allocation'!$A$5:$A$51,MATCH($E27,'Certified Allocation'!$B$5:$B$51,0)),"Candidate / Non-Holding"))</x:f>
      </x:c>
      <x:c r="H27" s="800"/>
      <x:c r="I27" s="800"/>
      <x:c r="J27" s="800"/>
      <x:c r="K27" s="800"/>
      <x:c r="L27" s="800"/>
      <x:c r="M27" s="800"/>
      <x:c r="N27" s="800"/>
      <x:c r="O27" s="800"/>
      <x:c r="P27" s="800"/>
      <x:c r="Q27" s="800"/>
      <x:c r="R27" s="800"/>
      <x:c r="S27" s="804"/>
      <x:c r="T27" s="800"/>
      <x:c r="U27" s="800"/>
      <x:c r="V27" s="800"/>
      <x:c r="W27" s="800"/>
      <x:c r="X27" s="800"/>
      <x:c r="Y27" s="800"/>
      <x:c r="Z27" s="800"/>
      <x:c r="AA27" s="800"/>
      <x:c r="AB27" s="804"/>
      <x:c r="AC27" s="805" t="str">
        <x:f>IF($A27="","",IF(AND(OR($T27="Closed — No Action",$T27="Closed — Incorporated"),$AB27&lt;&gt;""),MAX(0,$AB27-$B27),MAX(0,TODAY()-$B27)))</x:f>
      </x:c>
      <x:c r="AD27" s="775" t="str">
        <x:f>IF(COUNTA($A27:$F27,$H27:$AB27,$AG27)=0,"",IF(OR($A27="",$B27="",$C27="",$D27="",$F27="",$H27="",$I27="",$J27="",$K27="",$L27="",$M27="",$N27="",$O27="",$P27="",$Q27="",$R27="",$S27="",$T27="",$U27="",$V27="",$W27="",$X27="",$Y27="",$Z27="",$AA27="",AND(NOT(OR($D27="Portfolio-Level",$D27="Market / Macro",$D27="Other")),$E27="")),"INCOMPLETE",IF(COUNTIF($A$14:$A$213,$A27)&gt;1,"DUPLICATE ID","COMPLETE")))</x:f>
      </x:c>
      <x:c r="AE27" s="775" t="str">
        <x:f>IF($A27="","",IF($AD27&lt;&gt;"COMPLETE",$AD27,IF(AND($D27="Certified Holding",OR($E27="",$G27="Candidate / Non-Holding")),"HOLDING IDENTIFIER MISMATCH",IF(AND(OR($J27="Critical",$J27="High"),OR($U27="No",AND($L27="Unverified — Pending",$U27&lt;&gt;"Exception Approved"))),"VERIFY / ESCALATE",IF($X27="Unassigned","CONVICTION DECISION REQUIRED",IF(AND($S27&lt;TODAY(),$T27&lt;&gt;"Closed — No Action",$T27&lt;&gt;"Closed — Incorporated"),"OVERDUE",IF(AND(OR($T27="Closed — No Action",$T27="Closed — Incorporated"),$AB27=""),"CLOSE DATE REQUIRED",IF(AND(NOT(OR($T27="Closed — No Action",$T27="Closed — Incorporated")),$AB27&lt;&gt;""),"STATUS / CLOSE DATE MISMATCH",IF(AND($Z27&lt;&gt;"No",NOT(OR($U27="Yes",$U27="Exception Approved"))),"PEW REFERRAL BLOCKED",IF(AND($T27="Awaiting Verification",$U27="Yes"),"STATUS MISMATCH",IF(OR($T27="Closed — No Action",$T27="Closed — Incorporated"),"CLOSED","OPEN — ON TRACK")))))))))))</x:f>
      </x:c>
      <x:c r="AF27" s="775" t="str">
        <x:f>IF($A27="","",IF($AD27&lt;&gt;"COMPLETE","NOT ELIGIBLE",IF($X27="Unassigned","NOT ELIGIBLE — CONVICTION UNASSIGNED",IF(NOT(OR($U27="Yes",$U27="Exception Approved")),"NOT ELIGIBLE — UNVERIFIED",IF(OR($V27&lt;&gt;"None",AND($W27&lt;&gt;"None",$W27&lt;&gt;"Intact"),AND($X27&lt;&gt;"No Change",$X27&lt;&gt;"Not Applicable"),$Y27&lt;&gt;"None",$Z27&lt;&gt;"No"),"ELIGIBLE FOR ROUTING","NO REFERRAL REQUIRED")))))</x:f>
      </x:c>
      <x:c r="AG27" s="800"/>
    </x:row>
    <x:row r="28" ht="36" customHeight="1">
      <x:c r="A28" s="800"/>
      <x:c r="B28" s="804"/>
      <x:c r="C28" s="804"/>
      <x:c r="D28" s="800"/>
      <x:c r="E28" s="800"/>
      <x:c r="F28" s="800"/>
      <x:c r="G28" s="802" t="str">
        <x:f>IF($E28="","",IFERROR(INDEX('Certified Allocation'!$A$5:$A$51,MATCH($E28,'Certified Allocation'!$B$5:$B$51,0)),"Candidate / Non-Holding"))</x:f>
      </x:c>
      <x:c r="H28" s="800"/>
      <x:c r="I28" s="800"/>
      <x:c r="J28" s="800"/>
      <x:c r="K28" s="800"/>
      <x:c r="L28" s="800"/>
      <x:c r="M28" s="800"/>
      <x:c r="N28" s="800"/>
      <x:c r="O28" s="800"/>
      <x:c r="P28" s="800"/>
      <x:c r="Q28" s="800"/>
      <x:c r="R28" s="800"/>
      <x:c r="S28" s="804"/>
      <x:c r="T28" s="800"/>
      <x:c r="U28" s="800"/>
      <x:c r="V28" s="800"/>
      <x:c r="W28" s="800"/>
      <x:c r="X28" s="800"/>
      <x:c r="Y28" s="800"/>
      <x:c r="Z28" s="800"/>
      <x:c r="AA28" s="800"/>
      <x:c r="AB28" s="804"/>
      <x:c r="AC28" s="805" t="str">
        <x:f>IF($A28="","",IF(AND(OR($T28="Closed — No Action",$T28="Closed — Incorporated"),$AB28&lt;&gt;""),MAX(0,$AB28-$B28),MAX(0,TODAY()-$B28)))</x:f>
      </x:c>
      <x:c r="AD28" s="775" t="str">
        <x:f>IF(COUNTA($A28:$F28,$H28:$AB28,$AG28)=0,"",IF(OR($A28="",$B28="",$C28="",$D28="",$F28="",$H28="",$I28="",$J28="",$K28="",$L28="",$M28="",$N28="",$O28="",$P28="",$Q28="",$R28="",$S28="",$T28="",$U28="",$V28="",$W28="",$X28="",$Y28="",$Z28="",$AA28="",AND(NOT(OR($D28="Portfolio-Level",$D28="Market / Macro",$D28="Other")),$E28="")),"INCOMPLETE",IF(COUNTIF($A$14:$A$213,$A28)&gt;1,"DUPLICATE ID","COMPLETE")))</x:f>
      </x:c>
      <x:c r="AE28" s="775" t="str">
        <x:f>IF($A28="","",IF($AD28&lt;&gt;"COMPLETE",$AD28,IF(AND($D28="Certified Holding",OR($E28="",$G28="Candidate / Non-Holding")),"HOLDING IDENTIFIER MISMATCH",IF(AND(OR($J28="Critical",$J28="High"),OR($U28="No",AND($L28="Unverified — Pending",$U28&lt;&gt;"Exception Approved"))),"VERIFY / ESCALATE",IF($X28="Unassigned","CONVICTION DECISION REQUIRED",IF(AND($S28&lt;TODAY(),$T28&lt;&gt;"Closed — No Action",$T28&lt;&gt;"Closed — Incorporated"),"OVERDUE",IF(AND(OR($T28="Closed — No Action",$T28="Closed — Incorporated"),$AB28=""),"CLOSE DATE REQUIRED",IF(AND(NOT(OR($T28="Closed — No Action",$T28="Closed — Incorporated")),$AB28&lt;&gt;""),"STATUS / CLOSE DATE MISMATCH",IF(AND($Z28&lt;&gt;"No",NOT(OR($U28="Yes",$U28="Exception Approved"))),"PEW REFERRAL BLOCKED",IF(AND($T28="Awaiting Verification",$U28="Yes"),"STATUS MISMATCH",IF(OR($T28="Closed — No Action",$T28="Closed — Incorporated"),"CLOSED","OPEN — ON TRACK")))))))))))</x:f>
      </x:c>
      <x:c r="AF28" s="775" t="str">
        <x:f>IF($A28="","",IF($AD28&lt;&gt;"COMPLETE","NOT ELIGIBLE",IF($X28="Unassigned","NOT ELIGIBLE — CONVICTION UNASSIGNED",IF(NOT(OR($U28="Yes",$U28="Exception Approved")),"NOT ELIGIBLE — UNVERIFIED",IF(OR($V28&lt;&gt;"None",AND($W28&lt;&gt;"None",$W28&lt;&gt;"Intact"),AND($X28&lt;&gt;"No Change",$X28&lt;&gt;"Not Applicable"),$Y28&lt;&gt;"None",$Z28&lt;&gt;"No"),"ELIGIBLE FOR ROUTING","NO REFERRAL REQUIRED")))))</x:f>
      </x:c>
      <x:c r="AG28" s="800"/>
    </x:row>
    <x:row r="29" ht="36" customHeight="1">
      <x:c r="A29" s="800"/>
      <x:c r="B29" s="804"/>
      <x:c r="C29" s="804"/>
      <x:c r="D29" s="800"/>
      <x:c r="E29" s="800"/>
      <x:c r="F29" s="800"/>
      <x:c r="G29" s="802" t="str">
        <x:f>IF($E29="","",IFERROR(INDEX('Certified Allocation'!$A$5:$A$51,MATCH($E29,'Certified Allocation'!$B$5:$B$51,0)),"Candidate / Non-Holding"))</x:f>
      </x:c>
      <x:c r="H29" s="800"/>
      <x:c r="I29" s="800"/>
      <x:c r="J29" s="800"/>
      <x:c r="K29" s="800"/>
      <x:c r="L29" s="800"/>
      <x:c r="M29" s="800"/>
      <x:c r="N29" s="800"/>
      <x:c r="O29" s="800"/>
      <x:c r="P29" s="800"/>
      <x:c r="Q29" s="800"/>
      <x:c r="R29" s="800"/>
      <x:c r="S29" s="804"/>
      <x:c r="T29" s="800"/>
      <x:c r="U29" s="800"/>
      <x:c r="V29" s="800"/>
      <x:c r="W29" s="800"/>
      <x:c r="X29" s="800"/>
      <x:c r="Y29" s="800"/>
      <x:c r="Z29" s="800"/>
      <x:c r="AA29" s="800"/>
      <x:c r="AB29" s="804"/>
      <x:c r="AC29" s="805" t="str">
        <x:f>IF($A29="","",IF(AND(OR($T29="Closed — No Action",$T29="Closed — Incorporated"),$AB29&lt;&gt;""),MAX(0,$AB29-$B29),MAX(0,TODAY()-$B29)))</x:f>
      </x:c>
      <x:c r="AD29" s="775" t="str">
        <x:f>IF(COUNTA($A29:$F29,$H29:$AB29,$AG29)=0,"",IF(OR($A29="",$B29="",$C29="",$D29="",$F29="",$H29="",$I29="",$J29="",$K29="",$L29="",$M29="",$N29="",$O29="",$P29="",$Q29="",$R29="",$S29="",$T29="",$U29="",$V29="",$W29="",$X29="",$Y29="",$Z29="",$AA29="",AND(NOT(OR($D29="Portfolio-Level",$D29="Market / Macro",$D29="Other")),$E29="")),"INCOMPLETE",IF(COUNTIF($A$14:$A$213,$A29)&gt;1,"DUPLICATE ID","COMPLETE")))</x:f>
      </x:c>
      <x:c r="AE29" s="775" t="str">
        <x:f>IF($A29="","",IF($AD29&lt;&gt;"COMPLETE",$AD29,IF(AND($D29="Certified Holding",OR($E29="",$G29="Candidate / Non-Holding")),"HOLDING IDENTIFIER MISMATCH",IF(AND(OR($J29="Critical",$J29="High"),OR($U29="No",AND($L29="Unverified — Pending",$U29&lt;&gt;"Exception Approved"))),"VERIFY / ESCALATE",IF($X29="Unassigned","CONVICTION DECISION REQUIRED",IF(AND($S29&lt;TODAY(),$T29&lt;&gt;"Closed — No Action",$T29&lt;&gt;"Closed — Incorporated"),"OVERDUE",IF(AND(OR($T29="Closed — No Action",$T29="Closed — Incorporated"),$AB29=""),"CLOSE DATE REQUIRED",IF(AND(NOT(OR($T29="Closed — No Action",$T29="Closed — Incorporated")),$AB29&lt;&gt;""),"STATUS / CLOSE DATE MISMATCH",IF(AND($Z29&lt;&gt;"No",NOT(OR($U29="Yes",$U29="Exception Approved"))),"PEW REFERRAL BLOCKED",IF(AND($T29="Awaiting Verification",$U29="Yes"),"STATUS MISMATCH",IF(OR($T29="Closed — No Action",$T29="Closed — Incorporated"),"CLOSED","OPEN — ON TRACK")))))))))))</x:f>
      </x:c>
      <x:c r="AF29" s="775" t="str">
        <x:f>IF($A29="","",IF($AD29&lt;&gt;"COMPLETE","NOT ELIGIBLE",IF($X29="Unassigned","NOT ELIGIBLE — CONVICTION UNASSIGNED",IF(NOT(OR($U29="Yes",$U29="Exception Approved")),"NOT ELIGIBLE — UNVERIFIED",IF(OR($V29&lt;&gt;"None",AND($W29&lt;&gt;"None",$W29&lt;&gt;"Intact"),AND($X29&lt;&gt;"No Change",$X29&lt;&gt;"Not Applicable"),$Y29&lt;&gt;"None",$Z29&lt;&gt;"No"),"ELIGIBLE FOR ROUTING","NO REFERRAL REQUIRED")))))</x:f>
      </x:c>
      <x:c r="AG29" s="800"/>
    </x:row>
    <x:row r="30" ht="36" customHeight="1">
      <x:c r="A30" s="800"/>
      <x:c r="B30" s="804"/>
      <x:c r="C30" s="804"/>
      <x:c r="D30" s="800"/>
      <x:c r="E30" s="800"/>
      <x:c r="F30" s="800"/>
      <x:c r="G30" s="802" t="str">
        <x:f>IF($E30="","",IFERROR(INDEX('Certified Allocation'!$A$5:$A$51,MATCH($E30,'Certified Allocation'!$B$5:$B$51,0)),"Candidate / Non-Holding"))</x:f>
      </x:c>
      <x:c r="H30" s="800"/>
      <x:c r="I30" s="800"/>
      <x:c r="J30" s="800"/>
      <x:c r="K30" s="800"/>
      <x:c r="L30" s="800"/>
      <x:c r="M30" s="800"/>
      <x:c r="N30" s="800"/>
      <x:c r="O30" s="800"/>
      <x:c r="P30" s="800"/>
      <x:c r="Q30" s="800"/>
      <x:c r="R30" s="800"/>
      <x:c r="S30" s="804"/>
      <x:c r="T30" s="800"/>
      <x:c r="U30" s="800"/>
      <x:c r="V30" s="800"/>
      <x:c r="W30" s="800"/>
      <x:c r="X30" s="800"/>
      <x:c r="Y30" s="800"/>
      <x:c r="Z30" s="800"/>
      <x:c r="AA30" s="800"/>
      <x:c r="AB30" s="804"/>
      <x:c r="AC30" s="805" t="str">
        <x:f>IF($A30="","",IF(AND(OR($T30="Closed — No Action",$T30="Closed — Incorporated"),$AB30&lt;&gt;""),MAX(0,$AB30-$B30),MAX(0,TODAY()-$B30)))</x:f>
      </x:c>
      <x:c r="AD30" s="775" t="str">
        <x:f>IF(COUNTA($A30:$F30,$H30:$AB30,$AG30)=0,"",IF(OR($A30="",$B30="",$C30="",$D30="",$F30="",$H30="",$I30="",$J30="",$K30="",$L30="",$M30="",$N30="",$O30="",$P30="",$Q30="",$R30="",$S30="",$T30="",$U30="",$V30="",$W30="",$X30="",$Y30="",$Z30="",$AA30="",AND(NOT(OR($D30="Portfolio-Level",$D30="Market / Macro",$D30="Other")),$E30="")),"INCOMPLETE",IF(COUNTIF($A$14:$A$213,$A30)&gt;1,"DUPLICATE ID","COMPLETE")))</x:f>
      </x:c>
      <x:c r="AE30" s="775" t="str">
        <x:f>IF($A30="","",IF($AD30&lt;&gt;"COMPLETE",$AD30,IF(AND($D30="Certified Holding",OR($E30="",$G30="Candidate / Non-Holding")),"HOLDING IDENTIFIER MISMATCH",IF(AND(OR($J30="Critical",$J30="High"),OR($U30="No",AND($L30="Unverified — Pending",$U30&lt;&gt;"Exception Approved"))),"VERIFY / ESCALATE",IF($X30="Unassigned","CONVICTION DECISION REQUIRED",IF(AND($S30&lt;TODAY(),$T30&lt;&gt;"Closed — No Action",$T30&lt;&gt;"Closed — Incorporated"),"OVERDUE",IF(AND(OR($T30="Closed — No Action",$T30="Closed — Incorporated"),$AB30=""),"CLOSE DATE REQUIRED",IF(AND(NOT(OR($T30="Closed — No Action",$T30="Closed — Incorporated")),$AB30&lt;&gt;""),"STATUS / CLOSE DATE MISMATCH",IF(AND($Z30&lt;&gt;"No",NOT(OR($U30="Yes",$U30="Exception Approved"))),"PEW REFERRAL BLOCKED",IF(AND($T30="Awaiting Verification",$U30="Yes"),"STATUS MISMATCH",IF(OR($T30="Closed — No Action",$T30="Closed — Incorporated"),"CLOSED","OPEN — ON TRACK")))))))))))</x:f>
      </x:c>
      <x:c r="AF30" s="775" t="str">
        <x:f>IF($A30="","",IF($AD30&lt;&gt;"COMPLETE","NOT ELIGIBLE",IF($X30="Unassigned","NOT ELIGIBLE — CONVICTION UNASSIGNED",IF(NOT(OR($U30="Yes",$U30="Exception Approved")),"NOT ELIGIBLE — UNVERIFIED",IF(OR($V30&lt;&gt;"None",AND($W30&lt;&gt;"None",$W30&lt;&gt;"Intact"),AND($X30&lt;&gt;"No Change",$X30&lt;&gt;"Not Applicable"),$Y30&lt;&gt;"None",$Z30&lt;&gt;"No"),"ELIGIBLE FOR ROUTING","NO REFERRAL REQUIRED")))))</x:f>
      </x:c>
      <x:c r="AG30" s="800"/>
    </x:row>
    <x:row r="31" ht="36" customHeight="1">
      <x:c r="A31" s="800"/>
      <x:c r="B31" s="804"/>
      <x:c r="C31" s="804"/>
      <x:c r="D31" s="800"/>
      <x:c r="E31" s="800"/>
      <x:c r="F31" s="800"/>
      <x:c r="G31" s="802" t="str">
        <x:f>IF($E31="","",IFERROR(INDEX('Certified Allocation'!$A$5:$A$51,MATCH($E31,'Certified Allocation'!$B$5:$B$51,0)),"Candidate / Non-Holding"))</x:f>
      </x:c>
      <x:c r="H31" s="800"/>
      <x:c r="I31" s="800"/>
      <x:c r="J31" s="800"/>
      <x:c r="K31" s="800"/>
      <x:c r="L31" s="800"/>
      <x:c r="M31" s="800"/>
      <x:c r="N31" s="800"/>
      <x:c r="O31" s="800"/>
      <x:c r="P31" s="800"/>
      <x:c r="Q31" s="800"/>
      <x:c r="R31" s="800"/>
      <x:c r="S31" s="804"/>
      <x:c r="T31" s="800"/>
      <x:c r="U31" s="800"/>
      <x:c r="V31" s="800"/>
      <x:c r="W31" s="800"/>
      <x:c r="X31" s="800"/>
      <x:c r="Y31" s="800"/>
      <x:c r="Z31" s="800"/>
      <x:c r="AA31" s="800"/>
      <x:c r="AB31" s="804"/>
      <x:c r="AC31" s="805" t="str">
        <x:f>IF($A31="","",IF(AND(OR($T31="Closed — No Action",$T31="Closed — Incorporated"),$AB31&lt;&gt;""),MAX(0,$AB31-$B31),MAX(0,TODAY()-$B31)))</x:f>
      </x:c>
      <x:c r="AD31" s="775" t="str">
        <x:f>IF(COUNTA($A31:$F31,$H31:$AB31,$AG31)=0,"",IF(OR($A31="",$B31="",$C31="",$D31="",$F31="",$H31="",$I31="",$J31="",$K31="",$L31="",$M31="",$N31="",$O31="",$P31="",$Q31="",$R31="",$S31="",$T31="",$U31="",$V31="",$W31="",$X31="",$Y31="",$Z31="",$AA31="",AND(NOT(OR($D31="Portfolio-Level",$D31="Market / Macro",$D31="Other")),$E31="")),"INCOMPLETE",IF(COUNTIF($A$14:$A$213,$A31)&gt;1,"DUPLICATE ID","COMPLETE")))</x:f>
      </x:c>
      <x:c r="AE31" s="775" t="str">
        <x:f>IF($A31="","",IF($AD31&lt;&gt;"COMPLETE",$AD31,IF(AND($D31="Certified Holding",OR($E31="",$G31="Candidate / Non-Holding")),"HOLDING IDENTIFIER MISMATCH",IF(AND(OR($J31="Critical",$J31="High"),OR($U31="No",AND($L31="Unverified — Pending",$U31&lt;&gt;"Exception Approved"))),"VERIFY / ESCALATE",IF($X31="Unassigned","CONVICTION DECISION REQUIRED",IF(AND($S31&lt;TODAY(),$T31&lt;&gt;"Closed — No Action",$T31&lt;&gt;"Closed — Incorporated"),"OVERDUE",IF(AND(OR($T31="Closed — No Action",$T31="Closed — Incorporated"),$AB31=""),"CLOSE DATE REQUIRED",IF(AND(NOT(OR($T31="Closed — No Action",$T31="Closed — Incorporated")),$AB31&lt;&gt;""),"STATUS / CLOSE DATE MISMATCH",IF(AND($Z31&lt;&gt;"No",NOT(OR($U31="Yes",$U31="Exception Approved"))),"PEW REFERRAL BLOCKED",IF(AND($T31="Awaiting Verification",$U31="Yes"),"STATUS MISMATCH",IF(OR($T31="Closed — No Action",$T31="Closed — Incorporated"),"CLOSED","OPEN — ON TRACK")))))))))))</x:f>
      </x:c>
      <x:c r="AF31" s="775" t="str">
        <x:f>IF($A31="","",IF($AD31&lt;&gt;"COMPLETE","NOT ELIGIBLE",IF($X31="Unassigned","NOT ELIGIBLE — CONVICTION UNASSIGNED",IF(NOT(OR($U31="Yes",$U31="Exception Approved")),"NOT ELIGIBLE — UNVERIFIED",IF(OR($V31&lt;&gt;"None",AND($W31&lt;&gt;"None",$W31&lt;&gt;"Intact"),AND($X31&lt;&gt;"No Change",$X31&lt;&gt;"Not Applicable"),$Y31&lt;&gt;"None",$Z31&lt;&gt;"No"),"ELIGIBLE FOR ROUTING","NO REFERRAL REQUIRED")))))</x:f>
      </x:c>
      <x:c r="AG31" s="800"/>
    </x:row>
    <x:row r="32" ht="36" customHeight="1">
      <x:c r="A32" s="800"/>
      <x:c r="B32" s="804"/>
      <x:c r="C32" s="804"/>
      <x:c r="D32" s="800"/>
      <x:c r="E32" s="800"/>
      <x:c r="F32" s="800"/>
      <x:c r="G32" s="802" t="str">
        <x:f>IF($E32="","",IFERROR(INDEX('Certified Allocation'!$A$5:$A$51,MATCH($E32,'Certified Allocation'!$B$5:$B$51,0)),"Candidate / Non-Holding"))</x:f>
      </x:c>
      <x:c r="H32" s="800"/>
      <x:c r="I32" s="800"/>
      <x:c r="J32" s="800"/>
      <x:c r="K32" s="800"/>
      <x:c r="L32" s="800"/>
      <x:c r="M32" s="800"/>
      <x:c r="N32" s="800"/>
      <x:c r="O32" s="800"/>
      <x:c r="P32" s="800"/>
      <x:c r="Q32" s="800"/>
      <x:c r="R32" s="800"/>
      <x:c r="S32" s="804"/>
      <x:c r="T32" s="800"/>
      <x:c r="U32" s="800"/>
      <x:c r="V32" s="800"/>
      <x:c r="W32" s="800"/>
      <x:c r="X32" s="800"/>
      <x:c r="Y32" s="800"/>
      <x:c r="Z32" s="800"/>
      <x:c r="AA32" s="800"/>
      <x:c r="AB32" s="804"/>
      <x:c r="AC32" s="805" t="str">
        <x:f>IF($A32="","",IF(AND(OR($T32="Closed — No Action",$T32="Closed — Incorporated"),$AB32&lt;&gt;""),MAX(0,$AB32-$B32),MAX(0,TODAY()-$B32)))</x:f>
      </x:c>
      <x:c r="AD32" s="775" t="str">
        <x:f>IF(COUNTA($A32:$F32,$H32:$AB32,$AG32)=0,"",IF(OR($A32="",$B32="",$C32="",$D32="",$F32="",$H32="",$I32="",$J32="",$K32="",$L32="",$M32="",$N32="",$O32="",$P32="",$Q32="",$R32="",$S32="",$T32="",$U32="",$V32="",$W32="",$X32="",$Y32="",$Z32="",$AA32="",AND(NOT(OR($D32="Portfolio-Level",$D32="Market / Macro",$D32="Other")),$E32="")),"INCOMPLETE",IF(COUNTIF($A$14:$A$213,$A32)&gt;1,"DUPLICATE ID","COMPLETE")))</x:f>
      </x:c>
      <x:c r="AE32" s="775" t="str">
        <x:f>IF($A32="","",IF($AD32&lt;&gt;"COMPLETE",$AD32,IF(AND($D32="Certified Holding",OR($E32="",$G32="Candidate / Non-Holding")),"HOLDING IDENTIFIER MISMATCH",IF(AND(OR($J32="Critical",$J32="High"),OR($U32="No",AND($L32="Unverified — Pending",$U32&lt;&gt;"Exception Approved"))),"VERIFY / ESCALATE",IF($X32="Unassigned","CONVICTION DECISION REQUIRED",IF(AND($S32&lt;TODAY(),$T32&lt;&gt;"Closed — No Action",$T32&lt;&gt;"Closed — Incorporated"),"OVERDUE",IF(AND(OR($T32="Closed — No Action",$T32="Closed — Incorporated"),$AB32=""),"CLOSE DATE REQUIRED",IF(AND(NOT(OR($T32="Closed — No Action",$T32="Closed — Incorporated")),$AB32&lt;&gt;""),"STATUS / CLOSE DATE MISMATCH",IF(AND($Z32&lt;&gt;"No",NOT(OR($U32="Yes",$U32="Exception Approved"))),"PEW REFERRAL BLOCKED",IF(AND($T32="Awaiting Verification",$U32="Yes"),"STATUS MISMATCH",IF(OR($T32="Closed — No Action",$T32="Closed — Incorporated"),"CLOSED","OPEN — ON TRACK")))))))))))</x:f>
      </x:c>
      <x:c r="AF32" s="775" t="str">
        <x:f>IF($A32="","",IF($AD32&lt;&gt;"COMPLETE","NOT ELIGIBLE",IF($X32="Unassigned","NOT ELIGIBLE — CONVICTION UNASSIGNED",IF(NOT(OR($U32="Yes",$U32="Exception Approved")),"NOT ELIGIBLE — UNVERIFIED",IF(OR($V32&lt;&gt;"None",AND($W32&lt;&gt;"None",$W32&lt;&gt;"Intact"),AND($X32&lt;&gt;"No Change",$X32&lt;&gt;"Not Applicable"),$Y32&lt;&gt;"None",$Z32&lt;&gt;"No"),"ELIGIBLE FOR ROUTING","NO REFERRAL REQUIRED")))))</x:f>
      </x:c>
      <x:c r="AG32" s="800"/>
    </x:row>
    <x:row r="33" ht="36" customHeight="1">
      <x:c r="A33" s="800"/>
      <x:c r="B33" s="804"/>
      <x:c r="C33" s="804"/>
      <x:c r="D33" s="800"/>
      <x:c r="E33" s="800"/>
      <x:c r="F33" s="800"/>
      <x:c r="G33" s="802" t="str">
        <x:f>IF($E33="","",IFERROR(INDEX('Certified Allocation'!$A$5:$A$51,MATCH($E33,'Certified Allocation'!$B$5:$B$51,0)),"Candidate / Non-Holding"))</x:f>
      </x:c>
      <x:c r="H33" s="800"/>
      <x:c r="I33" s="800"/>
      <x:c r="J33" s="800"/>
      <x:c r="K33" s="800"/>
      <x:c r="L33" s="800"/>
      <x:c r="M33" s="800"/>
      <x:c r="N33" s="800"/>
      <x:c r="O33" s="800"/>
      <x:c r="P33" s="800"/>
      <x:c r="Q33" s="800"/>
      <x:c r="R33" s="800"/>
      <x:c r="S33" s="804"/>
      <x:c r="T33" s="800"/>
      <x:c r="U33" s="800"/>
      <x:c r="V33" s="800"/>
      <x:c r="W33" s="800"/>
      <x:c r="X33" s="800"/>
      <x:c r="Y33" s="800"/>
      <x:c r="Z33" s="800"/>
      <x:c r="AA33" s="800"/>
      <x:c r="AB33" s="804"/>
      <x:c r="AC33" s="805" t="str">
        <x:f>IF($A33="","",IF(AND(OR($T33="Closed — No Action",$T33="Closed — Incorporated"),$AB33&lt;&gt;""),MAX(0,$AB33-$B33),MAX(0,TODAY()-$B33)))</x:f>
      </x:c>
      <x:c r="AD33" s="775" t="str">
        <x:f>IF(COUNTA($A33:$F33,$H33:$AB33,$AG33)=0,"",IF(OR($A33="",$B33="",$C33="",$D33="",$F33="",$H33="",$I33="",$J33="",$K33="",$L33="",$M33="",$N33="",$O33="",$P33="",$Q33="",$R33="",$S33="",$T33="",$U33="",$V33="",$W33="",$X33="",$Y33="",$Z33="",$AA33="",AND(NOT(OR($D33="Portfolio-Level",$D33="Market / Macro",$D33="Other")),$E33="")),"INCOMPLETE",IF(COUNTIF($A$14:$A$213,$A33)&gt;1,"DUPLICATE ID","COMPLETE")))</x:f>
      </x:c>
      <x:c r="AE33" s="775" t="str">
        <x:f>IF($A33="","",IF($AD33&lt;&gt;"COMPLETE",$AD33,IF(AND($D33="Certified Holding",OR($E33="",$G33="Candidate / Non-Holding")),"HOLDING IDENTIFIER MISMATCH",IF(AND(OR($J33="Critical",$J33="High"),OR($U33="No",AND($L33="Unverified — Pending",$U33&lt;&gt;"Exception Approved"))),"VERIFY / ESCALATE",IF($X33="Unassigned","CONVICTION DECISION REQUIRED",IF(AND($S33&lt;TODAY(),$T33&lt;&gt;"Closed — No Action",$T33&lt;&gt;"Closed — Incorporated"),"OVERDUE",IF(AND(OR($T33="Closed — No Action",$T33="Closed — Incorporated"),$AB33=""),"CLOSE DATE REQUIRED",IF(AND(NOT(OR($T33="Closed — No Action",$T33="Closed — Incorporated")),$AB33&lt;&gt;""),"STATUS / CLOSE DATE MISMATCH",IF(AND($Z33&lt;&gt;"No",NOT(OR($U33="Yes",$U33="Exception Approved"))),"PEW REFERRAL BLOCKED",IF(AND($T33="Awaiting Verification",$U33="Yes"),"STATUS MISMATCH",IF(OR($T33="Closed — No Action",$T33="Closed — Incorporated"),"CLOSED","OPEN — ON TRACK")))))))))))</x:f>
      </x:c>
      <x:c r="AF33" s="775" t="str">
        <x:f>IF($A33="","",IF($AD33&lt;&gt;"COMPLETE","NOT ELIGIBLE",IF($X33="Unassigned","NOT ELIGIBLE — CONVICTION UNASSIGNED",IF(NOT(OR($U33="Yes",$U33="Exception Approved")),"NOT ELIGIBLE — UNVERIFIED",IF(OR($V33&lt;&gt;"None",AND($W33&lt;&gt;"None",$W33&lt;&gt;"Intact"),AND($X33&lt;&gt;"No Change",$X33&lt;&gt;"Not Applicable"),$Y33&lt;&gt;"None",$Z33&lt;&gt;"No"),"ELIGIBLE FOR ROUTING","NO REFERRAL REQUIRED")))))</x:f>
      </x:c>
      <x:c r="AG33" s="800"/>
    </x:row>
    <x:row r="34" ht="36" customHeight="1">
      <x:c r="A34" s="800"/>
      <x:c r="B34" s="804"/>
      <x:c r="C34" s="804"/>
      <x:c r="D34" s="800"/>
      <x:c r="E34" s="800"/>
      <x:c r="F34" s="800"/>
      <x:c r="G34" s="802" t="str">
        <x:f>IF($E34="","",IFERROR(INDEX('Certified Allocation'!$A$5:$A$51,MATCH($E34,'Certified Allocation'!$B$5:$B$51,0)),"Candidate / Non-Holding"))</x:f>
      </x:c>
      <x:c r="H34" s="800"/>
      <x:c r="I34" s="800"/>
      <x:c r="J34" s="800"/>
      <x:c r="K34" s="800"/>
      <x:c r="L34" s="800"/>
      <x:c r="M34" s="800"/>
      <x:c r="N34" s="800"/>
      <x:c r="O34" s="800"/>
      <x:c r="P34" s="800"/>
      <x:c r="Q34" s="800"/>
      <x:c r="R34" s="800"/>
      <x:c r="S34" s="804"/>
      <x:c r="T34" s="800"/>
      <x:c r="U34" s="800"/>
      <x:c r="V34" s="800"/>
      <x:c r="W34" s="800"/>
      <x:c r="X34" s="800"/>
      <x:c r="Y34" s="800"/>
      <x:c r="Z34" s="800"/>
      <x:c r="AA34" s="800"/>
      <x:c r="AB34" s="804"/>
      <x:c r="AC34" s="805" t="str">
        <x:f>IF($A34="","",IF(AND(OR($T34="Closed — No Action",$T34="Closed — Incorporated"),$AB34&lt;&gt;""),MAX(0,$AB34-$B34),MAX(0,TODAY()-$B34)))</x:f>
      </x:c>
      <x:c r="AD34" s="775" t="str">
        <x:f>IF(COUNTA($A34:$F34,$H34:$AB34,$AG34)=0,"",IF(OR($A34="",$B34="",$C34="",$D34="",$F34="",$H34="",$I34="",$J34="",$K34="",$L34="",$M34="",$N34="",$O34="",$P34="",$Q34="",$R34="",$S34="",$T34="",$U34="",$V34="",$W34="",$X34="",$Y34="",$Z34="",$AA34="",AND(NOT(OR($D34="Portfolio-Level",$D34="Market / Macro",$D34="Other")),$E34="")),"INCOMPLETE",IF(COUNTIF($A$14:$A$213,$A34)&gt;1,"DUPLICATE ID","COMPLETE")))</x:f>
      </x:c>
      <x:c r="AE34" s="775" t="str">
        <x:f>IF($A34="","",IF($AD34&lt;&gt;"COMPLETE",$AD34,IF(AND($D34="Certified Holding",OR($E34="",$G34="Candidate / Non-Holding")),"HOLDING IDENTIFIER MISMATCH",IF(AND(OR($J34="Critical",$J34="High"),OR($U34="No",AND($L34="Unverified — Pending",$U34&lt;&gt;"Exception Approved"))),"VERIFY / ESCALATE",IF($X34="Unassigned","CONVICTION DECISION REQUIRED",IF(AND($S34&lt;TODAY(),$T34&lt;&gt;"Closed — No Action",$T34&lt;&gt;"Closed — Incorporated"),"OVERDUE",IF(AND(OR($T34="Closed — No Action",$T34="Closed — Incorporated"),$AB34=""),"CLOSE DATE REQUIRED",IF(AND(NOT(OR($T34="Closed — No Action",$T34="Closed — Incorporated")),$AB34&lt;&gt;""),"STATUS / CLOSE DATE MISMATCH",IF(AND($Z34&lt;&gt;"No",NOT(OR($U34="Yes",$U34="Exception Approved"))),"PEW REFERRAL BLOCKED",IF(AND($T34="Awaiting Verification",$U34="Yes"),"STATUS MISMATCH",IF(OR($T34="Closed — No Action",$T34="Closed — Incorporated"),"CLOSED","OPEN — ON TRACK")))))))))))</x:f>
      </x:c>
      <x:c r="AF34" s="775" t="str">
        <x:f>IF($A34="","",IF($AD34&lt;&gt;"COMPLETE","NOT ELIGIBLE",IF($X34="Unassigned","NOT ELIGIBLE — CONVICTION UNASSIGNED",IF(NOT(OR($U34="Yes",$U34="Exception Approved")),"NOT ELIGIBLE — UNVERIFIED",IF(OR($V34&lt;&gt;"None",AND($W34&lt;&gt;"None",$W34&lt;&gt;"Intact"),AND($X34&lt;&gt;"No Change",$X34&lt;&gt;"Not Applicable"),$Y34&lt;&gt;"None",$Z34&lt;&gt;"No"),"ELIGIBLE FOR ROUTING","NO REFERRAL REQUIRED")))))</x:f>
      </x:c>
      <x:c r="AG34" s="800"/>
    </x:row>
    <x:row r="35" ht="36" customHeight="1">
      <x:c r="A35" s="800"/>
      <x:c r="B35" s="804"/>
      <x:c r="C35" s="804"/>
      <x:c r="D35" s="800"/>
      <x:c r="E35" s="800"/>
      <x:c r="F35" s="800"/>
      <x:c r="G35" s="802" t="str">
        <x:f>IF($E35="","",IFERROR(INDEX('Certified Allocation'!$A$5:$A$51,MATCH($E35,'Certified Allocation'!$B$5:$B$51,0)),"Candidate / Non-Holding"))</x:f>
      </x:c>
      <x:c r="H35" s="800"/>
      <x:c r="I35" s="800"/>
      <x:c r="J35" s="800"/>
      <x:c r="K35" s="800"/>
      <x:c r="L35" s="800"/>
      <x:c r="M35" s="800"/>
      <x:c r="N35" s="800"/>
      <x:c r="O35" s="800"/>
      <x:c r="P35" s="800"/>
      <x:c r="Q35" s="800"/>
      <x:c r="R35" s="800"/>
      <x:c r="S35" s="804"/>
      <x:c r="T35" s="800"/>
      <x:c r="U35" s="800"/>
      <x:c r="V35" s="800"/>
      <x:c r="W35" s="800"/>
      <x:c r="X35" s="800"/>
      <x:c r="Y35" s="800"/>
      <x:c r="Z35" s="800"/>
      <x:c r="AA35" s="800"/>
      <x:c r="AB35" s="804"/>
      <x:c r="AC35" s="805" t="str">
        <x:f>IF($A35="","",IF(AND(OR($T35="Closed — No Action",$T35="Closed — Incorporated"),$AB35&lt;&gt;""),MAX(0,$AB35-$B35),MAX(0,TODAY()-$B35)))</x:f>
      </x:c>
      <x:c r="AD35" s="775" t="str">
        <x:f>IF(COUNTA($A35:$F35,$H35:$AB35,$AG35)=0,"",IF(OR($A35="",$B35="",$C35="",$D35="",$F35="",$H35="",$I35="",$J35="",$K35="",$L35="",$M35="",$N35="",$O35="",$P35="",$Q35="",$R35="",$S35="",$T35="",$U35="",$V35="",$W35="",$X35="",$Y35="",$Z35="",$AA35="",AND(NOT(OR($D35="Portfolio-Level",$D35="Market / Macro",$D35="Other")),$E35="")),"INCOMPLETE",IF(COUNTIF($A$14:$A$213,$A35)&gt;1,"DUPLICATE ID","COMPLETE")))</x:f>
      </x:c>
      <x:c r="AE35" s="775" t="str">
        <x:f>IF($A35="","",IF($AD35&lt;&gt;"COMPLETE",$AD35,IF(AND($D35="Certified Holding",OR($E35="",$G35="Candidate / Non-Holding")),"HOLDING IDENTIFIER MISMATCH",IF(AND(OR($J35="Critical",$J35="High"),OR($U35="No",AND($L35="Unverified — Pending",$U35&lt;&gt;"Exception Approved"))),"VERIFY / ESCALATE",IF($X35="Unassigned","CONVICTION DECISION REQUIRED",IF(AND($S35&lt;TODAY(),$T35&lt;&gt;"Closed — No Action",$T35&lt;&gt;"Closed — Incorporated"),"OVERDUE",IF(AND(OR($T35="Closed — No Action",$T35="Closed — Incorporated"),$AB35=""),"CLOSE DATE REQUIRED",IF(AND(NOT(OR($T35="Closed — No Action",$T35="Closed — Incorporated")),$AB35&lt;&gt;""),"STATUS / CLOSE DATE MISMATCH",IF(AND($Z35&lt;&gt;"No",NOT(OR($U35="Yes",$U35="Exception Approved"))),"PEW REFERRAL BLOCKED",IF(AND($T35="Awaiting Verification",$U35="Yes"),"STATUS MISMATCH",IF(OR($T35="Closed — No Action",$T35="Closed — Incorporated"),"CLOSED","OPEN — ON TRACK")))))))))))</x:f>
      </x:c>
      <x:c r="AF35" s="775" t="str">
        <x:f>IF($A35="","",IF($AD35&lt;&gt;"COMPLETE","NOT ELIGIBLE",IF($X35="Unassigned","NOT ELIGIBLE — CONVICTION UNASSIGNED",IF(NOT(OR($U35="Yes",$U35="Exception Approved")),"NOT ELIGIBLE — UNVERIFIED",IF(OR($V35&lt;&gt;"None",AND($W35&lt;&gt;"None",$W35&lt;&gt;"Intact"),AND($X35&lt;&gt;"No Change",$X35&lt;&gt;"Not Applicable"),$Y35&lt;&gt;"None",$Z35&lt;&gt;"No"),"ELIGIBLE FOR ROUTING","NO REFERRAL REQUIRED")))))</x:f>
      </x:c>
      <x:c r="AG35" s="800"/>
    </x:row>
    <x:row r="36" ht="36" customHeight="1">
      <x:c r="A36" s="800"/>
      <x:c r="B36" s="804"/>
      <x:c r="C36" s="804"/>
      <x:c r="D36" s="800"/>
      <x:c r="E36" s="800"/>
      <x:c r="F36" s="800"/>
      <x:c r="G36" s="802" t="str">
        <x:f>IF($E36="","",IFERROR(INDEX('Certified Allocation'!$A$5:$A$51,MATCH($E36,'Certified Allocation'!$B$5:$B$51,0)),"Candidate / Non-Holding"))</x:f>
      </x:c>
      <x:c r="H36" s="800"/>
      <x:c r="I36" s="800"/>
      <x:c r="J36" s="800"/>
      <x:c r="K36" s="800"/>
      <x:c r="L36" s="800"/>
      <x:c r="M36" s="800"/>
      <x:c r="N36" s="800"/>
      <x:c r="O36" s="800"/>
      <x:c r="P36" s="800"/>
      <x:c r="Q36" s="800"/>
      <x:c r="R36" s="800"/>
      <x:c r="S36" s="804"/>
      <x:c r="T36" s="800"/>
      <x:c r="U36" s="800"/>
      <x:c r="V36" s="800"/>
      <x:c r="W36" s="800"/>
      <x:c r="X36" s="800"/>
      <x:c r="Y36" s="800"/>
      <x:c r="Z36" s="800"/>
      <x:c r="AA36" s="800"/>
      <x:c r="AB36" s="804"/>
      <x:c r="AC36" s="805" t="str">
        <x:f>IF($A36="","",IF(AND(OR($T36="Closed — No Action",$T36="Closed — Incorporated"),$AB36&lt;&gt;""),MAX(0,$AB36-$B36),MAX(0,TODAY()-$B36)))</x:f>
      </x:c>
      <x:c r="AD36" s="775" t="str">
        <x:f>IF(COUNTA($A36:$F36,$H36:$AB36,$AG36)=0,"",IF(OR($A36="",$B36="",$C36="",$D36="",$F36="",$H36="",$I36="",$J36="",$K36="",$L36="",$M36="",$N36="",$O36="",$P36="",$Q36="",$R36="",$S36="",$T36="",$U36="",$V36="",$W36="",$X36="",$Y36="",$Z36="",$AA36="",AND(NOT(OR($D36="Portfolio-Level",$D36="Market / Macro",$D36="Other")),$E36="")),"INCOMPLETE",IF(COUNTIF($A$14:$A$213,$A36)&gt;1,"DUPLICATE ID","COMPLETE")))</x:f>
      </x:c>
      <x:c r="AE36" s="775" t="str">
        <x:f>IF($A36="","",IF($AD36&lt;&gt;"COMPLETE",$AD36,IF(AND($D36="Certified Holding",OR($E36="",$G36="Candidate / Non-Holding")),"HOLDING IDENTIFIER MISMATCH",IF(AND(OR($J36="Critical",$J36="High"),OR($U36="No",AND($L36="Unverified — Pending",$U36&lt;&gt;"Exception Approved"))),"VERIFY / ESCALATE",IF($X36="Unassigned","CONVICTION DECISION REQUIRED",IF(AND($S36&lt;TODAY(),$T36&lt;&gt;"Closed — No Action",$T36&lt;&gt;"Closed — Incorporated"),"OVERDUE",IF(AND(OR($T36="Closed — No Action",$T36="Closed — Incorporated"),$AB36=""),"CLOSE DATE REQUIRED",IF(AND(NOT(OR($T36="Closed — No Action",$T36="Closed — Incorporated")),$AB36&lt;&gt;""),"STATUS / CLOSE DATE MISMATCH",IF(AND($Z36&lt;&gt;"No",NOT(OR($U36="Yes",$U36="Exception Approved"))),"PEW REFERRAL BLOCKED",IF(AND($T36="Awaiting Verification",$U36="Yes"),"STATUS MISMATCH",IF(OR($T36="Closed — No Action",$T36="Closed — Incorporated"),"CLOSED","OPEN — ON TRACK")))))))))))</x:f>
      </x:c>
      <x:c r="AF36" s="775" t="str">
        <x:f>IF($A36="","",IF($AD36&lt;&gt;"COMPLETE","NOT ELIGIBLE",IF($X36="Unassigned","NOT ELIGIBLE — CONVICTION UNASSIGNED",IF(NOT(OR($U36="Yes",$U36="Exception Approved")),"NOT ELIGIBLE — UNVERIFIED",IF(OR($V36&lt;&gt;"None",AND($W36&lt;&gt;"None",$W36&lt;&gt;"Intact"),AND($X36&lt;&gt;"No Change",$X36&lt;&gt;"Not Applicable"),$Y36&lt;&gt;"None",$Z36&lt;&gt;"No"),"ELIGIBLE FOR ROUTING","NO REFERRAL REQUIRED")))))</x:f>
      </x:c>
      <x:c r="AG36" s="800"/>
    </x:row>
    <x:row r="37" ht="36" customHeight="1">
      <x:c r="A37" s="800"/>
      <x:c r="B37" s="804"/>
      <x:c r="C37" s="804"/>
      <x:c r="D37" s="800"/>
      <x:c r="E37" s="800"/>
      <x:c r="F37" s="800"/>
      <x:c r="G37" s="802" t="str">
        <x:f>IF($E37="","",IFERROR(INDEX('Certified Allocation'!$A$5:$A$51,MATCH($E37,'Certified Allocation'!$B$5:$B$51,0)),"Candidate / Non-Holding"))</x:f>
      </x:c>
      <x:c r="H37" s="800"/>
      <x:c r="I37" s="800"/>
      <x:c r="J37" s="800"/>
      <x:c r="K37" s="800"/>
      <x:c r="L37" s="800"/>
      <x:c r="M37" s="800"/>
      <x:c r="N37" s="800"/>
      <x:c r="O37" s="800"/>
      <x:c r="P37" s="800"/>
      <x:c r="Q37" s="800"/>
      <x:c r="R37" s="800"/>
      <x:c r="S37" s="804"/>
      <x:c r="T37" s="800"/>
      <x:c r="U37" s="800"/>
      <x:c r="V37" s="800"/>
      <x:c r="W37" s="800"/>
      <x:c r="X37" s="800"/>
      <x:c r="Y37" s="800"/>
      <x:c r="Z37" s="800"/>
      <x:c r="AA37" s="800"/>
      <x:c r="AB37" s="804"/>
      <x:c r="AC37" s="805" t="str">
        <x:f>IF($A37="","",IF(AND(OR($T37="Closed — No Action",$T37="Closed — Incorporated"),$AB37&lt;&gt;""),MAX(0,$AB37-$B37),MAX(0,TODAY()-$B37)))</x:f>
      </x:c>
      <x:c r="AD37" s="775" t="str">
        <x:f>IF(COUNTA($A37:$F37,$H37:$AB37,$AG37)=0,"",IF(OR($A37="",$B37="",$C37="",$D37="",$F37="",$H37="",$I37="",$J37="",$K37="",$L37="",$M37="",$N37="",$O37="",$P37="",$Q37="",$R37="",$S37="",$T37="",$U37="",$V37="",$W37="",$X37="",$Y37="",$Z37="",$AA37="",AND(NOT(OR($D37="Portfolio-Level",$D37="Market / Macro",$D37="Other")),$E37="")),"INCOMPLETE",IF(COUNTIF($A$14:$A$213,$A37)&gt;1,"DUPLICATE ID","COMPLETE")))</x:f>
      </x:c>
      <x:c r="AE37" s="775" t="str">
        <x:f>IF($A37="","",IF($AD37&lt;&gt;"COMPLETE",$AD37,IF(AND($D37="Certified Holding",OR($E37="",$G37="Candidate / Non-Holding")),"HOLDING IDENTIFIER MISMATCH",IF(AND(OR($J37="Critical",$J37="High"),OR($U37="No",AND($L37="Unverified — Pending",$U37&lt;&gt;"Exception Approved"))),"VERIFY / ESCALATE",IF($X37="Unassigned","CONVICTION DECISION REQUIRED",IF(AND($S37&lt;TODAY(),$T37&lt;&gt;"Closed — No Action",$T37&lt;&gt;"Closed — Incorporated"),"OVERDUE",IF(AND(OR($T37="Closed — No Action",$T37="Closed — Incorporated"),$AB37=""),"CLOSE DATE REQUIRED",IF(AND(NOT(OR($T37="Closed — No Action",$T37="Closed — Incorporated")),$AB37&lt;&gt;""),"STATUS / CLOSE DATE MISMATCH",IF(AND($Z37&lt;&gt;"No",NOT(OR($U37="Yes",$U37="Exception Approved"))),"PEW REFERRAL BLOCKED",IF(AND($T37="Awaiting Verification",$U37="Yes"),"STATUS MISMATCH",IF(OR($T37="Closed — No Action",$T37="Closed — Incorporated"),"CLOSED","OPEN — ON TRACK")))))))))))</x:f>
      </x:c>
      <x:c r="AF37" s="775" t="str">
        <x:f>IF($A37="","",IF($AD37&lt;&gt;"COMPLETE","NOT ELIGIBLE",IF($X37="Unassigned","NOT ELIGIBLE — CONVICTION UNASSIGNED",IF(NOT(OR($U37="Yes",$U37="Exception Approved")),"NOT ELIGIBLE — UNVERIFIED",IF(OR($V37&lt;&gt;"None",AND($W37&lt;&gt;"None",$W37&lt;&gt;"Intact"),AND($X37&lt;&gt;"No Change",$X37&lt;&gt;"Not Applicable"),$Y37&lt;&gt;"None",$Z37&lt;&gt;"No"),"ELIGIBLE FOR ROUTING","NO REFERRAL REQUIRED")))))</x:f>
      </x:c>
      <x:c r="AG37" s="800"/>
    </x:row>
    <x:row r="38" ht="36" customHeight="1">
      <x:c r="A38" s="800"/>
      <x:c r="B38" s="804"/>
      <x:c r="C38" s="804"/>
      <x:c r="D38" s="800"/>
      <x:c r="E38" s="800"/>
      <x:c r="F38" s="800"/>
      <x:c r="G38" s="802" t="str">
        <x:f>IF($E38="","",IFERROR(INDEX('Certified Allocation'!$A$5:$A$51,MATCH($E38,'Certified Allocation'!$B$5:$B$51,0)),"Candidate / Non-Holding"))</x:f>
      </x:c>
      <x:c r="H38" s="800"/>
      <x:c r="I38" s="800"/>
      <x:c r="J38" s="800"/>
      <x:c r="K38" s="800"/>
      <x:c r="L38" s="800"/>
      <x:c r="M38" s="800"/>
      <x:c r="N38" s="800"/>
      <x:c r="O38" s="800"/>
      <x:c r="P38" s="800"/>
      <x:c r="Q38" s="800"/>
      <x:c r="R38" s="800"/>
      <x:c r="S38" s="804"/>
      <x:c r="T38" s="800"/>
      <x:c r="U38" s="800"/>
      <x:c r="V38" s="800"/>
      <x:c r="W38" s="800"/>
      <x:c r="X38" s="800"/>
      <x:c r="Y38" s="800"/>
      <x:c r="Z38" s="800"/>
      <x:c r="AA38" s="800"/>
      <x:c r="AB38" s="804"/>
      <x:c r="AC38" s="805" t="str">
        <x:f>IF($A38="","",IF(AND(OR($T38="Closed — No Action",$T38="Closed — Incorporated"),$AB38&lt;&gt;""),MAX(0,$AB38-$B38),MAX(0,TODAY()-$B38)))</x:f>
      </x:c>
      <x:c r="AD38" s="775" t="str">
        <x:f>IF(COUNTA($A38:$F38,$H38:$AB38,$AG38)=0,"",IF(OR($A38="",$B38="",$C38="",$D38="",$F38="",$H38="",$I38="",$J38="",$K38="",$L38="",$M38="",$N38="",$O38="",$P38="",$Q38="",$R38="",$S38="",$T38="",$U38="",$V38="",$W38="",$X38="",$Y38="",$Z38="",$AA38="",AND(NOT(OR($D38="Portfolio-Level",$D38="Market / Macro",$D38="Other")),$E38="")),"INCOMPLETE",IF(COUNTIF($A$14:$A$213,$A38)&gt;1,"DUPLICATE ID","COMPLETE")))</x:f>
      </x:c>
      <x:c r="AE38" s="775" t="str">
        <x:f>IF($A38="","",IF($AD38&lt;&gt;"COMPLETE",$AD38,IF(AND($D38="Certified Holding",OR($E38="",$G38="Candidate / Non-Holding")),"HOLDING IDENTIFIER MISMATCH",IF(AND(OR($J38="Critical",$J38="High"),OR($U38="No",AND($L38="Unverified — Pending",$U38&lt;&gt;"Exception Approved"))),"VERIFY / ESCALATE",IF($X38="Unassigned","CONVICTION DECISION REQUIRED",IF(AND($S38&lt;TODAY(),$T38&lt;&gt;"Closed — No Action",$T38&lt;&gt;"Closed — Incorporated"),"OVERDUE",IF(AND(OR($T38="Closed — No Action",$T38="Closed — Incorporated"),$AB38=""),"CLOSE DATE REQUIRED",IF(AND(NOT(OR($T38="Closed — No Action",$T38="Closed — Incorporated")),$AB38&lt;&gt;""),"STATUS / CLOSE DATE MISMATCH",IF(AND($Z38&lt;&gt;"No",NOT(OR($U38="Yes",$U38="Exception Approved"))),"PEW REFERRAL BLOCKED",IF(AND($T38="Awaiting Verification",$U38="Yes"),"STATUS MISMATCH",IF(OR($T38="Closed — No Action",$T38="Closed — Incorporated"),"CLOSED","OPEN — ON TRACK")))))))))))</x:f>
      </x:c>
      <x:c r="AF38" s="775" t="str">
        <x:f>IF($A38="","",IF($AD38&lt;&gt;"COMPLETE","NOT ELIGIBLE",IF($X38="Unassigned","NOT ELIGIBLE — CONVICTION UNASSIGNED",IF(NOT(OR($U38="Yes",$U38="Exception Approved")),"NOT ELIGIBLE — UNVERIFIED",IF(OR($V38&lt;&gt;"None",AND($W38&lt;&gt;"None",$W38&lt;&gt;"Intact"),AND($X38&lt;&gt;"No Change",$X38&lt;&gt;"Not Applicable"),$Y38&lt;&gt;"None",$Z38&lt;&gt;"No"),"ELIGIBLE FOR ROUTING","NO REFERRAL REQUIRED")))))</x:f>
      </x:c>
      <x:c r="AG38" s="800"/>
    </x:row>
    <x:row r="39" ht="36" customHeight="1">
      <x:c r="A39" s="800"/>
      <x:c r="B39" s="804"/>
      <x:c r="C39" s="804"/>
      <x:c r="D39" s="800"/>
      <x:c r="E39" s="800"/>
      <x:c r="F39" s="800"/>
      <x:c r="G39" s="802" t="str">
        <x:f>IF($E39="","",IFERROR(INDEX('Certified Allocation'!$A$5:$A$51,MATCH($E39,'Certified Allocation'!$B$5:$B$51,0)),"Candidate / Non-Holding"))</x:f>
      </x:c>
      <x:c r="H39" s="800"/>
      <x:c r="I39" s="800"/>
      <x:c r="J39" s="800"/>
      <x:c r="K39" s="800"/>
      <x:c r="L39" s="800"/>
      <x:c r="M39" s="800"/>
      <x:c r="N39" s="800"/>
      <x:c r="O39" s="800"/>
      <x:c r="P39" s="800"/>
      <x:c r="Q39" s="800"/>
      <x:c r="R39" s="800"/>
      <x:c r="S39" s="804"/>
      <x:c r="T39" s="800"/>
      <x:c r="U39" s="800"/>
      <x:c r="V39" s="800"/>
      <x:c r="W39" s="800"/>
      <x:c r="X39" s="800"/>
      <x:c r="Y39" s="800"/>
      <x:c r="Z39" s="800"/>
      <x:c r="AA39" s="800"/>
      <x:c r="AB39" s="804"/>
      <x:c r="AC39" s="805" t="str">
        <x:f>IF($A39="","",IF(AND(OR($T39="Closed — No Action",$T39="Closed — Incorporated"),$AB39&lt;&gt;""),MAX(0,$AB39-$B39),MAX(0,TODAY()-$B39)))</x:f>
      </x:c>
      <x:c r="AD39" s="775" t="str">
        <x:f>IF(COUNTA($A39:$F39,$H39:$AB39,$AG39)=0,"",IF(OR($A39="",$B39="",$C39="",$D39="",$F39="",$H39="",$I39="",$J39="",$K39="",$L39="",$M39="",$N39="",$O39="",$P39="",$Q39="",$R39="",$S39="",$T39="",$U39="",$V39="",$W39="",$X39="",$Y39="",$Z39="",$AA39="",AND(NOT(OR($D39="Portfolio-Level",$D39="Market / Macro",$D39="Other")),$E39="")),"INCOMPLETE",IF(COUNTIF($A$14:$A$213,$A39)&gt;1,"DUPLICATE ID","COMPLETE")))</x:f>
      </x:c>
      <x:c r="AE39" s="775" t="str">
        <x:f>IF($A39="","",IF($AD39&lt;&gt;"COMPLETE",$AD39,IF(AND($D39="Certified Holding",OR($E39="",$G39="Candidate / Non-Holding")),"HOLDING IDENTIFIER MISMATCH",IF(AND(OR($J39="Critical",$J39="High"),OR($U39="No",AND($L39="Unverified — Pending",$U39&lt;&gt;"Exception Approved"))),"VERIFY / ESCALATE",IF($X39="Unassigned","CONVICTION DECISION REQUIRED",IF(AND($S39&lt;TODAY(),$T39&lt;&gt;"Closed — No Action",$T39&lt;&gt;"Closed — Incorporated"),"OVERDUE",IF(AND(OR($T39="Closed — No Action",$T39="Closed — Incorporated"),$AB39=""),"CLOSE DATE REQUIRED",IF(AND(NOT(OR($T39="Closed — No Action",$T39="Closed — Incorporated")),$AB39&lt;&gt;""),"STATUS / CLOSE DATE MISMATCH",IF(AND($Z39&lt;&gt;"No",NOT(OR($U39="Yes",$U39="Exception Approved"))),"PEW REFERRAL BLOCKED",IF(AND($T39="Awaiting Verification",$U39="Yes"),"STATUS MISMATCH",IF(OR($T39="Closed — No Action",$T39="Closed — Incorporated"),"CLOSED","OPEN — ON TRACK")))))))))))</x:f>
      </x:c>
      <x:c r="AF39" s="775" t="str">
        <x:f>IF($A39="","",IF($AD39&lt;&gt;"COMPLETE","NOT ELIGIBLE",IF($X39="Unassigned","NOT ELIGIBLE — CONVICTION UNASSIGNED",IF(NOT(OR($U39="Yes",$U39="Exception Approved")),"NOT ELIGIBLE — UNVERIFIED",IF(OR($V39&lt;&gt;"None",AND($W39&lt;&gt;"None",$W39&lt;&gt;"Intact"),AND($X39&lt;&gt;"No Change",$X39&lt;&gt;"Not Applicable"),$Y39&lt;&gt;"None",$Z39&lt;&gt;"No"),"ELIGIBLE FOR ROUTING","NO REFERRAL REQUIRED")))))</x:f>
      </x:c>
      <x:c r="AG39" s="800"/>
    </x:row>
    <x:row r="40" ht="36" customHeight="1">
      <x:c r="A40" s="800"/>
      <x:c r="B40" s="804"/>
      <x:c r="C40" s="804"/>
      <x:c r="D40" s="800"/>
      <x:c r="E40" s="800"/>
      <x:c r="F40" s="800"/>
      <x:c r="G40" s="802" t="str">
        <x:f>IF($E40="","",IFERROR(INDEX('Certified Allocation'!$A$5:$A$51,MATCH($E40,'Certified Allocation'!$B$5:$B$51,0)),"Candidate / Non-Holding"))</x:f>
      </x:c>
      <x:c r="H40" s="800"/>
      <x:c r="I40" s="800"/>
      <x:c r="J40" s="800"/>
      <x:c r="K40" s="800"/>
      <x:c r="L40" s="800"/>
      <x:c r="M40" s="800"/>
      <x:c r="N40" s="800"/>
      <x:c r="O40" s="800"/>
      <x:c r="P40" s="800"/>
      <x:c r="Q40" s="800"/>
      <x:c r="R40" s="800"/>
      <x:c r="S40" s="804"/>
      <x:c r="T40" s="800"/>
      <x:c r="U40" s="800"/>
      <x:c r="V40" s="800"/>
      <x:c r="W40" s="800"/>
      <x:c r="X40" s="800"/>
      <x:c r="Y40" s="800"/>
      <x:c r="Z40" s="800"/>
      <x:c r="AA40" s="800"/>
      <x:c r="AB40" s="804"/>
      <x:c r="AC40" s="805" t="str">
        <x:f>IF($A40="","",IF(AND(OR($T40="Closed — No Action",$T40="Closed — Incorporated"),$AB40&lt;&gt;""),MAX(0,$AB40-$B40),MAX(0,TODAY()-$B40)))</x:f>
      </x:c>
      <x:c r="AD40" s="775" t="str">
        <x:f>IF(COUNTA($A40:$F40,$H40:$AB40,$AG40)=0,"",IF(OR($A40="",$B40="",$C40="",$D40="",$F40="",$H40="",$I40="",$J40="",$K40="",$L40="",$M40="",$N40="",$O40="",$P40="",$Q40="",$R40="",$S40="",$T40="",$U40="",$V40="",$W40="",$X40="",$Y40="",$Z40="",$AA40="",AND(NOT(OR($D40="Portfolio-Level",$D40="Market / Macro",$D40="Other")),$E40="")),"INCOMPLETE",IF(COUNTIF($A$14:$A$213,$A40)&gt;1,"DUPLICATE ID","COMPLETE")))</x:f>
      </x:c>
      <x:c r="AE40" s="775" t="str">
        <x:f>IF($A40="","",IF($AD40&lt;&gt;"COMPLETE",$AD40,IF(AND($D40="Certified Holding",OR($E40="",$G40="Candidate / Non-Holding")),"HOLDING IDENTIFIER MISMATCH",IF(AND(OR($J40="Critical",$J40="High"),OR($U40="No",AND($L40="Unverified — Pending",$U40&lt;&gt;"Exception Approved"))),"VERIFY / ESCALATE",IF($X40="Unassigned","CONVICTION DECISION REQUIRED",IF(AND($S40&lt;TODAY(),$T40&lt;&gt;"Closed — No Action",$T40&lt;&gt;"Closed — Incorporated"),"OVERDUE",IF(AND(OR($T40="Closed — No Action",$T40="Closed — Incorporated"),$AB40=""),"CLOSE DATE REQUIRED",IF(AND(NOT(OR($T40="Closed — No Action",$T40="Closed — Incorporated")),$AB40&lt;&gt;""),"STATUS / CLOSE DATE MISMATCH",IF(AND($Z40&lt;&gt;"No",NOT(OR($U40="Yes",$U40="Exception Approved"))),"PEW REFERRAL BLOCKED",IF(AND($T40="Awaiting Verification",$U40="Yes"),"STATUS MISMATCH",IF(OR($T40="Closed — No Action",$T40="Closed — Incorporated"),"CLOSED","OPEN — ON TRACK")))))))))))</x:f>
      </x:c>
      <x:c r="AF40" s="775" t="str">
        <x:f>IF($A40="","",IF($AD40&lt;&gt;"COMPLETE","NOT ELIGIBLE",IF($X40="Unassigned","NOT ELIGIBLE — CONVICTION UNASSIGNED",IF(NOT(OR($U40="Yes",$U40="Exception Approved")),"NOT ELIGIBLE — UNVERIFIED",IF(OR($V40&lt;&gt;"None",AND($W40&lt;&gt;"None",$W40&lt;&gt;"Intact"),AND($X40&lt;&gt;"No Change",$X40&lt;&gt;"Not Applicable"),$Y40&lt;&gt;"None",$Z40&lt;&gt;"No"),"ELIGIBLE FOR ROUTING","NO REFERRAL REQUIRED")))))</x:f>
      </x:c>
      <x:c r="AG40" s="800"/>
    </x:row>
    <x:row r="41" ht="36" customHeight="1">
      <x:c r="A41" s="800"/>
      <x:c r="B41" s="804"/>
      <x:c r="C41" s="804"/>
      <x:c r="D41" s="800"/>
      <x:c r="E41" s="800"/>
      <x:c r="F41" s="800"/>
      <x:c r="G41" s="802" t="str">
        <x:f>IF($E41="","",IFERROR(INDEX('Certified Allocation'!$A$5:$A$51,MATCH($E41,'Certified Allocation'!$B$5:$B$51,0)),"Candidate / Non-Holding"))</x:f>
      </x:c>
      <x:c r="H41" s="800"/>
      <x:c r="I41" s="800"/>
      <x:c r="J41" s="800"/>
      <x:c r="K41" s="800"/>
      <x:c r="L41" s="800"/>
      <x:c r="M41" s="800"/>
      <x:c r="N41" s="800"/>
      <x:c r="O41" s="800"/>
      <x:c r="P41" s="800"/>
      <x:c r="Q41" s="800"/>
      <x:c r="R41" s="800"/>
      <x:c r="S41" s="804"/>
      <x:c r="T41" s="800"/>
      <x:c r="U41" s="800"/>
      <x:c r="V41" s="800"/>
      <x:c r="W41" s="800"/>
      <x:c r="X41" s="800"/>
      <x:c r="Y41" s="800"/>
      <x:c r="Z41" s="800"/>
      <x:c r="AA41" s="800"/>
      <x:c r="AB41" s="804"/>
      <x:c r="AC41" s="805" t="str">
        <x:f>IF($A41="","",IF(AND(OR($T41="Closed — No Action",$T41="Closed — Incorporated"),$AB41&lt;&gt;""),MAX(0,$AB41-$B41),MAX(0,TODAY()-$B41)))</x:f>
      </x:c>
      <x:c r="AD41" s="775" t="str">
        <x:f>IF(COUNTA($A41:$F41,$H41:$AB41,$AG41)=0,"",IF(OR($A41="",$B41="",$C41="",$D41="",$F41="",$H41="",$I41="",$J41="",$K41="",$L41="",$M41="",$N41="",$O41="",$P41="",$Q41="",$R41="",$S41="",$T41="",$U41="",$V41="",$W41="",$X41="",$Y41="",$Z41="",$AA41="",AND(NOT(OR($D41="Portfolio-Level",$D41="Market / Macro",$D41="Other")),$E41="")),"INCOMPLETE",IF(COUNTIF($A$14:$A$213,$A41)&gt;1,"DUPLICATE ID","COMPLETE")))</x:f>
      </x:c>
      <x:c r="AE41" s="775" t="str">
        <x:f>IF($A41="","",IF($AD41&lt;&gt;"COMPLETE",$AD41,IF(AND($D41="Certified Holding",OR($E41="",$G41="Candidate / Non-Holding")),"HOLDING IDENTIFIER MISMATCH",IF(AND(OR($J41="Critical",$J41="High"),OR($U41="No",AND($L41="Unverified — Pending",$U41&lt;&gt;"Exception Approved"))),"VERIFY / ESCALATE",IF($X41="Unassigned","CONVICTION DECISION REQUIRED",IF(AND($S41&lt;TODAY(),$T41&lt;&gt;"Closed — No Action",$T41&lt;&gt;"Closed — Incorporated"),"OVERDUE",IF(AND(OR($T41="Closed — No Action",$T41="Closed — Incorporated"),$AB41=""),"CLOSE DATE REQUIRED",IF(AND(NOT(OR($T41="Closed — No Action",$T41="Closed — Incorporated")),$AB41&lt;&gt;""),"STATUS / CLOSE DATE MISMATCH",IF(AND($Z41&lt;&gt;"No",NOT(OR($U41="Yes",$U41="Exception Approved"))),"PEW REFERRAL BLOCKED",IF(AND($T41="Awaiting Verification",$U41="Yes"),"STATUS MISMATCH",IF(OR($T41="Closed — No Action",$T41="Closed — Incorporated"),"CLOSED","OPEN — ON TRACK")))))))))))</x:f>
      </x:c>
      <x:c r="AF41" s="775" t="str">
        <x:f>IF($A41="","",IF($AD41&lt;&gt;"COMPLETE","NOT ELIGIBLE",IF($X41="Unassigned","NOT ELIGIBLE — CONVICTION UNASSIGNED",IF(NOT(OR($U41="Yes",$U41="Exception Approved")),"NOT ELIGIBLE — UNVERIFIED",IF(OR($V41&lt;&gt;"None",AND($W41&lt;&gt;"None",$W41&lt;&gt;"Intact"),AND($X41&lt;&gt;"No Change",$X41&lt;&gt;"Not Applicable"),$Y41&lt;&gt;"None",$Z41&lt;&gt;"No"),"ELIGIBLE FOR ROUTING","NO REFERRAL REQUIRED")))))</x:f>
      </x:c>
      <x:c r="AG41" s="800"/>
    </x:row>
    <x:row r="42" ht="36" customHeight="1">
      <x:c r="A42" s="800"/>
      <x:c r="B42" s="804"/>
      <x:c r="C42" s="804"/>
      <x:c r="D42" s="800"/>
      <x:c r="E42" s="800"/>
      <x:c r="F42" s="800"/>
      <x:c r="G42" s="802" t="str">
        <x:f>IF($E42="","",IFERROR(INDEX('Certified Allocation'!$A$5:$A$51,MATCH($E42,'Certified Allocation'!$B$5:$B$51,0)),"Candidate / Non-Holding"))</x:f>
      </x:c>
      <x:c r="H42" s="800"/>
      <x:c r="I42" s="800"/>
      <x:c r="J42" s="800"/>
      <x:c r="K42" s="800"/>
      <x:c r="L42" s="800"/>
      <x:c r="M42" s="800"/>
      <x:c r="N42" s="800"/>
      <x:c r="O42" s="800"/>
      <x:c r="P42" s="800"/>
      <x:c r="Q42" s="800"/>
      <x:c r="R42" s="800"/>
      <x:c r="S42" s="804"/>
      <x:c r="T42" s="800"/>
      <x:c r="U42" s="800"/>
      <x:c r="V42" s="800"/>
      <x:c r="W42" s="800"/>
      <x:c r="X42" s="800"/>
      <x:c r="Y42" s="800"/>
      <x:c r="Z42" s="800"/>
      <x:c r="AA42" s="800"/>
      <x:c r="AB42" s="804"/>
      <x:c r="AC42" s="805" t="str">
        <x:f>IF($A42="","",IF(AND(OR($T42="Closed — No Action",$T42="Closed — Incorporated"),$AB42&lt;&gt;""),MAX(0,$AB42-$B42),MAX(0,TODAY()-$B42)))</x:f>
      </x:c>
      <x:c r="AD42" s="775" t="str">
        <x:f>IF(COUNTA($A42:$F42,$H42:$AB42,$AG42)=0,"",IF(OR($A42="",$B42="",$C42="",$D42="",$F42="",$H42="",$I42="",$J42="",$K42="",$L42="",$M42="",$N42="",$O42="",$P42="",$Q42="",$R42="",$S42="",$T42="",$U42="",$V42="",$W42="",$X42="",$Y42="",$Z42="",$AA42="",AND(NOT(OR($D42="Portfolio-Level",$D42="Market / Macro",$D42="Other")),$E42="")),"INCOMPLETE",IF(COUNTIF($A$14:$A$213,$A42)&gt;1,"DUPLICATE ID","COMPLETE")))</x:f>
      </x:c>
      <x:c r="AE42" s="775" t="str">
        <x:f>IF($A42="","",IF($AD42&lt;&gt;"COMPLETE",$AD42,IF(AND($D42="Certified Holding",OR($E42="",$G42="Candidate / Non-Holding")),"HOLDING IDENTIFIER MISMATCH",IF(AND(OR($J42="Critical",$J42="High"),OR($U42="No",AND($L42="Unverified — Pending",$U42&lt;&gt;"Exception Approved"))),"VERIFY / ESCALATE",IF($X42="Unassigned","CONVICTION DECISION REQUIRED",IF(AND($S42&lt;TODAY(),$T42&lt;&gt;"Closed — No Action",$T42&lt;&gt;"Closed — Incorporated"),"OVERDUE",IF(AND(OR($T42="Closed — No Action",$T42="Closed — Incorporated"),$AB42=""),"CLOSE DATE REQUIRED",IF(AND(NOT(OR($T42="Closed — No Action",$T42="Closed — Incorporated")),$AB42&lt;&gt;""),"STATUS / CLOSE DATE MISMATCH",IF(AND($Z42&lt;&gt;"No",NOT(OR($U42="Yes",$U42="Exception Approved"))),"PEW REFERRAL BLOCKED",IF(AND($T42="Awaiting Verification",$U42="Yes"),"STATUS MISMATCH",IF(OR($T42="Closed — No Action",$T42="Closed — Incorporated"),"CLOSED","OPEN — ON TRACK")))))))))))</x:f>
      </x:c>
      <x:c r="AF42" s="775" t="str">
        <x:f>IF($A42="","",IF($AD42&lt;&gt;"COMPLETE","NOT ELIGIBLE",IF($X42="Unassigned","NOT ELIGIBLE — CONVICTION UNASSIGNED",IF(NOT(OR($U42="Yes",$U42="Exception Approved")),"NOT ELIGIBLE — UNVERIFIED",IF(OR($V42&lt;&gt;"None",AND($W42&lt;&gt;"None",$W42&lt;&gt;"Intact"),AND($X42&lt;&gt;"No Change",$X42&lt;&gt;"Not Applicable"),$Y42&lt;&gt;"None",$Z42&lt;&gt;"No"),"ELIGIBLE FOR ROUTING","NO REFERRAL REQUIRED")))))</x:f>
      </x:c>
      <x:c r="AG42" s="800"/>
    </x:row>
    <x:row r="43" ht="36" customHeight="1">
      <x:c r="A43" s="800"/>
      <x:c r="B43" s="804"/>
      <x:c r="C43" s="804"/>
      <x:c r="D43" s="800"/>
      <x:c r="E43" s="800"/>
      <x:c r="F43" s="800"/>
      <x:c r="G43" s="802" t="str">
        <x:f>IF($E43="","",IFERROR(INDEX('Certified Allocation'!$A$5:$A$51,MATCH($E43,'Certified Allocation'!$B$5:$B$51,0)),"Candidate / Non-Holding"))</x:f>
      </x:c>
      <x:c r="H43" s="800"/>
      <x:c r="I43" s="800"/>
      <x:c r="J43" s="800"/>
      <x:c r="K43" s="800"/>
      <x:c r="L43" s="800"/>
      <x:c r="M43" s="800"/>
      <x:c r="N43" s="800"/>
      <x:c r="O43" s="800"/>
      <x:c r="P43" s="800"/>
      <x:c r="Q43" s="800"/>
      <x:c r="R43" s="800"/>
      <x:c r="S43" s="804"/>
      <x:c r="T43" s="800"/>
      <x:c r="U43" s="800"/>
      <x:c r="V43" s="800"/>
      <x:c r="W43" s="800"/>
      <x:c r="X43" s="800"/>
      <x:c r="Y43" s="800"/>
      <x:c r="Z43" s="800"/>
      <x:c r="AA43" s="800"/>
      <x:c r="AB43" s="804"/>
      <x:c r="AC43" s="805" t="str">
        <x:f>IF($A43="","",IF(AND(OR($T43="Closed — No Action",$T43="Closed — Incorporated"),$AB43&lt;&gt;""),MAX(0,$AB43-$B43),MAX(0,TODAY()-$B43)))</x:f>
      </x:c>
      <x:c r="AD43" s="775" t="str">
        <x:f>IF(COUNTA($A43:$F43,$H43:$AB43,$AG43)=0,"",IF(OR($A43="",$B43="",$C43="",$D43="",$F43="",$H43="",$I43="",$J43="",$K43="",$L43="",$M43="",$N43="",$O43="",$P43="",$Q43="",$R43="",$S43="",$T43="",$U43="",$V43="",$W43="",$X43="",$Y43="",$Z43="",$AA43="",AND(NOT(OR($D43="Portfolio-Level",$D43="Market / Macro",$D43="Other")),$E43="")),"INCOMPLETE",IF(COUNTIF($A$14:$A$213,$A43)&gt;1,"DUPLICATE ID","COMPLETE")))</x:f>
      </x:c>
      <x:c r="AE43" s="775" t="str">
        <x:f>IF($A43="","",IF($AD43&lt;&gt;"COMPLETE",$AD43,IF(AND($D43="Certified Holding",OR($E43="",$G43="Candidate / Non-Holding")),"HOLDING IDENTIFIER MISMATCH",IF(AND(OR($J43="Critical",$J43="High"),OR($U43="No",AND($L43="Unverified — Pending",$U43&lt;&gt;"Exception Approved"))),"VERIFY / ESCALATE",IF($X43="Unassigned","CONVICTION DECISION REQUIRED",IF(AND($S43&lt;TODAY(),$T43&lt;&gt;"Closed — No Action",$T43&lt;&gt;"Closed — Incorporated"),"OVERDUE",IF(AND(OR($T43="Closed — No Action",$T43="Closed — Incorporated"),$AB43=""),"CLOSE DATE REQUIRED",IF(AND(NOT(OR($T43="Closed — No Action",$T43="Closed — Incorporated")),$AB43&lt;&gt;""),"STATUS / CLOSE DATE MISMATCH",IF(AND($Z43&lt;&gt;"No",NOT(OR($U43="Yes",$U43="Exception Approved"))),"PEW REFERRAL BLOCKED",IF(AND($T43="Awaiting Verification",$U43="Yes"),"STATUS MISMATCH",IF(OR($T43="Closed — No Action",$T43="Closed — Incorporated"),"CLOSED","OPEN — ON TRACK")))))))))))</x:f>
      </x:c>
      <x:c r="AF43" s="775" t="str">
        <x:f>IF($A43="","",IF($AD43&lt;&gt;"COMPLETE","NOT ELIGIBLE",IF($X43="Unassigned","NOT ELIGIBLE — CONVICTION UNASSIGNED",IF(NOT(OR($U43="Yes",$U43="Exception Approved")),"NOT ELIGIBLE — UNVERIFIED",IF(OR($V43&lt;&gt;"None",AND($W43&lt;&gt;"None",$W43&lt;&gt;"Intact"),AND($X43&lt;&gt;"No Change",$X43&lt;&gt;"Not Applicable"),$Y43&lt;&gt;"None",$Z43&lt;&gt;"No"),"ELIGIBLE FOR ROUTING","NO REFERRAL REQUIRED")))))</x:f>
      </x:c>
      <x:c r="AG43" s="800"/>
    </x:row>
    <x:row r="44" ht="36" customHeight="1">
      <x:c r="A44" s="800"/>
      <x:c r="B44" s="804"/>
      <x:c r="C44" s="804"/>
      <x:c r="D44" s="800"/>
      <x:c r="E44" s="800"/>
      <x:c r="F44" s="800"/>
      <x:c r="G44" s="802" t="str">
        <x:f>IF($E44="","",IFERROR(INDEX('Certified Allocation'!$A$5:$A$51,MATCH($E44,'Certified Allocation'!$B$5:$B$51,0)),"Candidate / Non-Holding"))</x:f>
      </x:c>
      <x:c r="H44" s="800"/>
      <x:c r="I44" s="800"/>
      <x:c r="J44" s="800"/>
      <x:c r="K44" s="800"/>
      <x:c r="L44" s="800"/>
      <x:c r="M44" s="800"/>
      <x:c r="N44" s="800"/>
      <x:c r="O44" s="800"/>
      <x:c r="P44" s="800"/>
      <x:c r="Q44" s="800"/>
      <x:c r="R44" s="800"/>
      <x:c r="S44" s="804"/>
      <x:c r="T44" s="800"/>
      <x:c r="U44" s="800"/>
      <x:c r="V44" s="800"/>
      <x:c r="W44" s="800"/>
      <x:c r="X44" s="800"/>
      <x:c r="Y44" s="800"/>
      <x:c r="Z44" s="800"/>
      <x:c r="AA44" s="800"/>
      <x:c r="AB44" s="804"/>
      <x:c r="AC44" s="805" t="str">
        <x:f>IF($A44="","",IF(AND(OR($T44="Closed — No Action",$T44="Closed — Incorporated"),$AB44&lt;&gt;""),MAX(0,$AB44-$B44),MAX(0,TODAY()-$B44)))</x:f>
      </x:c>
      <x:c r="AD44" s="775" t="str">
        <x:f>IF(COUNTA($A44:$F44,$H44:$AB44,$AG44)=0,"",IF(OR($A44="",$B44="",$C44="",$D44="",$F44="",$H44="",$I44="",$J44="",$K44="",$L44="",$M44="",$N44="",$O44="",$P44="",$Q44="",$R44="",$S44="",$T44="",$U44="",$V44="",$W44="",$X44="",$Y44="",$Z44="",$AA44="",AND(NOT(OR($D44="Portfolio-Level",$D44="Market / Macro",$D44="Other")),$E44="")),"INCOMPLETE",IF(COUNTIF($A$14:$A$213,$A44)&gt;1,"DUPLICATE ID","COMPLETE")))</x:f>
      </x:c>
      <x:c r="AE44" s="775" t="str">
        <x:f>IF($A44="","",IF($AD44&lt;&gt;"COMPLETE",$AD44,IF(AND($D44="Certified Holding",OR($E44="",$G44="Candidate / Non-Holding")),"HOLDING IDENTIFIER MISMATCH",IF(AND(OR($J44="Critical",$J44="High"),OR($U44="No",AND($L44="Unverified — Pending",$U44&lt;&gt;"Exception Approved"))),"VERIFY / ESCALATE",IF($X44="Unassigned","CONVICTION DECISION REQUIRED",IF(AND($S44&lt;TODAY(),$T44&lt;&gt;"Closed — No Action",$T44&lt;&gt;"Closed — Incorporated"),"OVERDUE",IF(AND(OR($T44="Closed — No Action",$T44="Closed — Incorporated"),$AB44=""),"CLOSE DATE REQUIRED",IF(AND(NOT(OR($T44="Closed — No Action",$T44="Closed — Incorporated")),$AB44&lt;&gt;""),"STATUS / CLOSE DATE MISMATCH",IF(AND($Z44&lt;&gt;"No",NOT(OR($U44="Yes",$U44="Exception Approved"))),"PEW REFERRAL BLOCKED",IF(AND($T44="Awaiting Verification",$U44="Yes"),"STATUS MISMATCH",IF(OR($T44="Closed — No Action",$T44="Closed — Incorporated"),"CLOSED","OPEN — ON TRACK")))))))))))</x:f>
      </x:c>
      <x:c r="AF44" s="775" t="str">
        <x:f>IF($A44="","",IF($AD44&lt;&gt;"COMPLETE","NOT ELIGIBLE",IF($X44="Unassigned","NOT ELIGIBLE — CONVICTION UNASSIGNED",IF(NOT(OR($U44="Yes",$U44="Exception Approved")),"NOT ELIGIBLE — UNVERIFIED",IF(OR($V44&lt;&gt;"None",AND($W44&lt;&gt;"None",$W44&lt;&gt;"Intact"),AND($X44&lt;&gt;"No Change",$X44&lt;&gt;"Not Applicable"),$Y44&lt;&gt;"None",$Z44&lt;&gt;"No"),"ELIGIBLE FOR ROUTING","NO REFERRAL REQUIRED")))))</x:f>
      </x:c>
      <x:c r="AG44" s="800"/>
    </x:row>
    <x:row r="45" ht="36" customHeight="1">
      <x:c r="A45" s="800"/>
      <x:c r="B45" s="804"/>
      <x:c r="C45" s="804"/>
      <x:c r="D45" s="800"/>
      <x:c r="E45" s="800"/>
      <x:c r="F45" s="800"/>
      <x:c r="G45" s="802" t="str">
        <x:f>IF($E45="","",IFERROR(INDEX('Certified Allocation'!$A$5:$A$51,MATCH($E45,'Certified Allocation'!$B$5:$B$51,0)),"Candidate / Non-Holding"))</x:f>
      </x:c>
      <x:c r="H45" s="800"/>
      <x:c r="I45" s="800"/>
      <x:c r="J45" s="800"/>
      <x:c r="K45" s="800"/>
      <x:c r="L45" s="800"/>
      <x:c r="M45" s="800"/>
      <x:c r="N45" s="800"/>
      <x:c r="O45" s="800"/>
      <x:c r="P45" s="800"/>
      <x:c r="Q45" s="800"/>
      <x:c r="R45" s="800"/>
      <x:c r="S45" s="804"/>
      <x:c r="T45" s="800"/>
      <x:c r="U45" s="800"/>
      <x:c r="V45" s="800"/>
      <x:c r="W45" s="800"/>
      <x:c r="X45" s="800"/>
      <x:c r="Y45" s="800"/>
      <x:c r="Z45" s="800"/>
      <x:c r="AA45" s="800"/>
      <x:c r="AB45" s="804"/>
      <x:c r="AC45" s="805" t="str">
        <x:f>IF($A45="","",IF(AND(OR($T45="Closed — No Action",$T45="Closed — Incorporated"),$AB45&lt;&gt;""),MAX(0,$AB45-$B45),MAX(0,TODAY()-$B45)))</x:f>
      </x:c>
      <x:c r="AD45" s="775" t="str">
        <x:f>IF(COUNTA($A45:$F45,$H45:$AB45,$AG45)=0,"",IF(OR($A45="",$B45="",$C45="",$D45="",$F45="",$H45="",$I45="",$J45="",$K45="",$L45="",$M45="",$N45="",$O45="",$P45="",$Q45="",$R45="",$S45="",$T45="",$U45="",$V45="",$W45="",$X45="",$Y45="",$Z45="",$AA45="",AND(NOT(OR($D45="Portfolio-Level",$D45="Market / Macro",$D45="Other")),$E45="")),"INCOMPLETE",IF(COUNTIF($A$14:$A$213,$A45)&gt;1,"DUPLICATE ID","COMPLETE")))</x:f>
      </x:c>
      <x:c r="AE45" s="775" t="str">
        <x:f>IF($A45="","",IF($AD45&lt;&gt;"COMPLETE",$AD45,IF(AND($D45="Certified Holding",OR($E45="",$G45="Candidate / Non-Holding")),"HOLDING IDENTIFIER MISMATCH",IF(AND(OR($J45="Critical",$J45="High"),OR($U45="No",AND($L45="Unverified — Pending",$U45&lt;&gt;"Exception Approved"))),"VERIFY / ESCALATE",IF($X45="Unassigned","CONVICTION DECISION REQUIRED",IF(AND($S45&lt;TODAY(),$T45&lt;&gt;"Closed — No Action",$T45&lt;&gt;"Closed — Incorporated"),"OVERDUE",IF(AND(OR($T45="Closed — No Action",$T45="Closed — Incorporated"),$AB45=""),"CLOSE DATE REQUIRED",IF(AND(NOT(OR($T45="Closed — No Action",$T45="Closed — Incorporated")),$AB45&lt;&gt;""),"STATUS / CLOSE DATE MISMATCH",IF(AND($Z45&lt;&gt;"No",NOT(OR($U45="Yes",$U45="Exception Approved"))),"PEW REFERRAL BLOCKED",IF(AND($T45="Awaiting Verification",$U45="Yes"),"STATUS MISMATCH",IF(OR($T45="Closed — No Action",$T45="Closed — Incorporated"),"CLOSED","OPEN — ON TRACK")))))))))))</x:f>
      </x:c>
      <x:c r="AF45" s="775" t="str">
        <x:f>IF($A45="","",IF($AD45&lt;&gt;"COMPLETE","NOT ELIGIBLE",IF($X45="Unassigned","NOT ELIGIBLE — CONVICTION UNASSIGNED",IF(NOT(OR($U45="Yes",$U45="Exception Approved")),"NOT ELIGIBLE — UNVERIFIED",IF(OR($V45&lt;&gt;"None",AND($W45&lt;&gt;"None",$W45&lt;&gt;"Intact"),AND($X45&lt;&gt;"No Change",$X45&lt;&gt;"Not Applicable"),$Y45&lt;&gt;"None",$Z45&lt;&gt;"No"),"ELIGIBLE FOR ROUTING","NO REFERRAL REQUIRED")))))</x:f>
      </x:c>
      <x:c r="AG45" s="800"/>
    </x:row>
    <x:row r="46" ht="36" customHeight="1">
      <x:c r="A46" s="800"/>
      <x:c r="B46" s="804"/>
      <x:c r="C46" s="804"/>
      <x:c r="D46" s="800"/>
      <x:c r="E46" s="800"/>
      <x:c r="F46" s="800"/>
      <x:c r="G46" s="802" t="str">
        <x:f>IF($E46="","",IFERROR(INDEX('Certified Allocation'!$A$5:$A$51,MATCH($E46,'Certified Allocation'!$B$5:$B$51,0)),"Candidate / Non-Holding"))</x:f>
      </x:c>
      <x:c r="H46" s="800"/>
      <x:c r="I46" s="800"/>
      <x:c r="J46" s="800"/>
      <x:c r="K46" s="800"/>
      <x:c r="L46" s="800"/>
      <x:c r="M46" s="800"/>
      <x:c r="N46" s="800"/>
      <x:c r="O46" s="800"/>
      <x:c r="P46" s="800"/>
      <x:c r="Q46" s="800"/>
      <x:c r="R46" s="800"/>
      <x:c r="S46" s="804"/>
      <x:c r="T46" s="800"/>
      <x:c r="U46" s="800"/>
      <x:c r="V46" s="800"/>
      <x:c r="W46" s="800"/>
      <x:c r="X46" s="800"/>
      <x:c r="Y46" s="800"/>
      <x:c r="Z46" s="800"/>
      <x:c r="AA46" s="800"/>
      <x:c r="AB46" s="804"/>
      <x:c r="AC46" s="805" t="str">
        <x:f>IF($A46="","",IF(AND(OR($T46="Closed — No Action",$T46="Closed — Incorporated"),$AB46&lt;&gt;""),MAX(0,$AB46-$B46),MAX(0,TODAY()-$B46)))</x:f>
      </x:c>
      <x:c r="AD46" s="775" t="str">
        <x:f>IF(COUNTA($A46:$F46,$H46:$AB46,$AG46)=0,"",IF(OR($A46="",$B46="",$C46="",$D46="",$F46="",$H46="",$I46="",$J46="",$K46="",$L46="",$M46="",$N46="",$O46="",$P46="",$Q46="",$R46="",$S46="",$T46="",$U46="",$V46="",$W46="",$X46="",$Y46="",$Z46="",$AA46="",AND(NOT(OR($D46="Portfolio-Level",$D46="Market / Macro",$D46="Other")),$E46="")),"INCOMPLETE",IF(COUNTIF($A$14:$A$213,$A46)&gt;1,"DUPLICATE ID","COMPLETE")))</x:f>
      </x:c>
      <x:c r="AE46" s="775" t="str">
        <x:f>IF($A46="","",IF($AD46&lt;&gt;"COMPLETE",$AD46,IF(AND($D46="Certified Holding",OR($E46="",$G46="Candidate / Non-Holding")),"HOLDING IDENTIFIER MISMATCH",IF(AND(OR($J46="Critical",$J46="High"),OR($U46="No",AND($L46="Unverified — Pending",$U46&lt;&gt;"Exception Approved"))),"VERIFY / ESCALATE",IF($X46="Unassigned","CONVICTION DECISION REQUIRED",IF(AND($S46&lt;TODAY(),$T46&lt;&gt;"Closed — No Action",$T46&lt;&gt;"Closed — Incorporated"),"OVERDUE",IF(AND(OR($T46="Closed — No Action",$T46="Closed — Incorporated"),$AB46=""),"CLOSE DATE REQUIRED",IF(AND(NOT(OR($T46="Closed — No Action",$T46="Closed — Incorporated")),$AB46&lt;&gt;""),"STATUS / CLOSE DATE MISMATCH",IF(AND($Z46&lt;&gt;"No",NOT(OR($U46="Yes",$U46="Exception Approved"))),"PEW REFERRAL BLOCKED",IF(AND($T46="Awaiting Verification",$U46="Yes"),"STATUS MISMATCH",IF(OR($T46="Closed — No Action",$T46="Closed — Incorporated"),"CLOSED","OPEN — ON TRACK")))))))))))</x:f>
      </x:c>
      <x:c r="AF46" s="775" t="str">
        <x:f>IF($A46="","",IF($AD46&lt;&gt;"COMPLETE","NOT ELIGIBLE",IF($X46="Unassigned","NOT ELIGIBLE — CONVICTION UNASSIGNED",IF(NOT(OR($U46="Yes",$U46="Exception Approved")),"NOT ELIGIBLE — UNVERIFIED",IF(OR($V46&lt;&gt;"None",AND($W46&lt;&gt;"None",$W46&lt;&gt;"Intact"),AND($X46&lt;&gt;"No Change",$X46&lt;&gt;"Not Applicable"),$Y46&lt;&gt;"None",$Z46&lt;&gt;"No"),"ELIGIBLE FOR ROUTING","NO REFERRAL REQUIRED")))))</x:f>
      </x:c>
      <x:c r="AG46" s="800"/>
    </x:row>
    <x:row r="47" ht="36" customHeight="1">
      <x:c r="A47" s="800"/>
      <x:c r="B47" s="804"/>
      <x:c r="C47" s="804"/>
      <x:c r="D47" s="800"/>
      <x:c r="E47" s="800"/>
      <x:c r="F47" s="800"/>
      <x:c r="G47" s="802" t="str">
        <x:f>IF($E47="","",IFERROR(INDEX('Certified Allocation'!$A$5:$A$51,MATCH($E47,'Certified Allocation'!$B$5:$B$51,0)),"Candidate / Non-Holding"))</x:f>
      </x:c>
      <x:c r="H47" s="800"/>
      <x:c r="I47" s="800"/>
      <x:c r="J47" s="800"/>
      <x:c r="K47" s="800"/>
      <x:c r="L47" s="800"/>
      <x:c r="M47" s="800"/>
      <x:c r="N47" s="800"/>
      <x:c r="O47" s="800"/>
      <x:c r="P47" s="800"/>
      <x:c r="Q47" s="800"/>
      <x:c r="R47" s="800"/>
      <x:c r="S47" s="804"/>
      <x:c r="T47" s="800"/>
      <x:c r="U47" s="800"/>
      <x:c r="V47" s="800"/>
      <x:c r="W47" s="800"/>
      <x:c r="X47" s="800"/>
      <x:c r="Y47" s="800"/>
      <x:c r="Z47" s="800"/>
      <x:c r="AA47" s="800"/>
      <x:c r="AB47" s="804"/>
      <x:c r="AC47" s="805" t="str">
        <x:f>IF($A47="","",IF(AND(OR($T47="Closed — No Action",$T47="Closed — Incorporated"),$AB47&lt;&gt;""),MAX(0,$AB47-$B47),MAX(0,TODAY()-$B47)))</x:f>
      </x:c>
      <x:c r="AD47" s="775" t="str">
        <x:f>IF(COUNTA($A47:$F47,$H47:$AB47,$AG47)=0,"",IF(OR($A47="",$B47="",$C47="",$D47="",$F47="",$H47="",$I47="",$J47="",$K47="",$L47="",$M47="",$N47="",$O47="",$P47="",$Q47="",$R47="",$S47="",$T47="",$U47="",$V47="",$W47="",$X47="",$Y47="",$Z47="",$AA47="",AND(NOT(OR($D47="Portfolio-Level",$D47="Market / Macro",$D47="Other")),$E47="")),"INCOMPLETE",IF(COUNTIF($A$14:$A$213,$A47)&gt;1,"DUPLICATE ID","COMPLETE")))</x:f>
      </x:c>
      <x:c r="AE47" s="775" t="str">
        <x:f>IF($A47="","",IF($AD47&lt;&gt;"COMPLETE",$AD47,IF(AND($D47="Certified Holding",OR($E47="",$G47="Candidate / Non-Holding")),"HOLDING IDENTIFIER MISMATCH",IF(AND(OR($J47="Critical",$J47="High"),OR($U47="No",AND($L47="Unverified — Pending",$U47&lt;&gt;"Exception Approved"))),"VERIFY / ESCALATE",IF($X47="Unassigned","CONVICTION DECISION REQUIRED",IF(AND($S47&lt;TODAY(),$T47&lt;&gt;"Closed — No Action",$T47&lt;&gt;"Closed — Incorporated"),"OVERDUE",IF(AND(OR($T47="Closed — No Action",$T47="Closed — Incorporated"),$AB47=""),"CLOSE DATE REQUIRED",IF(AND(NOT(OR($T47="Closed — No Action",$T47="Closed — Incorporated")),$AB47&lt;&gt;""),"STATUS / CLOSE DATE MISMATCH",IF(AND($Z47&lt;&gt;"No",NOT(OR($U47="Yes",$U47="Exception Approved"))),"PEW REFERRAL BLOCKED",IF(AND($T47="Awaiting Verification",$U47="Yes"),"STATUS MISMATCH",IF(OR($T47="Closed — No Action",$T47="Closed — Incorporated"),"CLOSED","OPEN — ON TRACK")))))))))))</x:f>
      </x:c>
      <x:c r="AF47" s="775" t="str">
        <x:f>IF($A47="","",IF($AD47&lt;&gt;"COMPLETE","NOT ELIGIBLE",IF($X47="Unassigned","NOT ELIGIBLE — CONVICTION UNASSIGNED",IF(NOT(OR($U47="Yes",$U47="Exception Approved")),"NOT ELIGIBLE — UNVERIFIED",IF(OR($V47&lt;&gt;"None",AND($W47&lt;&gt;"None",$W47&lt;&gt;"Intact"),AND($X47&lt;&gt;"No Change",$X47&lt;&gt;"Not Applicable"),$Y47&lt;&gt;"None",$Z47&lt;&gt;"No"),"ELIGIBLE FOR ROUTING","NO REFERRAL REQUIRED")))))</x:f>
      </x:c>
      <x:c r="AG47" s="800"/>
    </x:row>
    <x:row r="48" ht="36" customHeight="1">
      <x:c r="A48" s="800"/>
      <x:c r="B48" s="804"/>
      <x:c r="C48" s="804"/>
      <x:c r="D48" s="800"/>
      <x:c r="E48" s="800"/>
      <x:c r="F48" s="800"/>
      <x:c r="G48" s="802" t="str">
        <x:f>IF($E48="","",IFERROR(INDEX('Certified Allocation'!$A$5:$A$51,MATCH($E48,'Certified Allocation'!$B$5:$B$51,0)),"Candidate / Non-Holding"))</x:f>
      </x:c>
      <x:c r="H48" s="800"/>
      <x:c r="I48" s="800"/>
      <x:c r="J48" s="800"/>
      <x:c r="K48" s="800"/>
      <x:c r="L48" s="800"/>
      <x:c r="M48" s="800"/>
      <x:c r="N48" s="800"/>
      <x:c r="O48" s="800"/>
      <x:c r="P48" s="800"/>
      <x:c r="Q48" s="800"/>
      <x:c r="R48" s="800"/>
      <x:c r="S48" s="804"/>
      <x:c r="T48" s="800"/>
      <x:c r="U48" s="800"/>
      <x:c r="V48" s="800"/>
      <x:c r="W48" s="800"/>
      <x:c r="X48" s="800"/>
      <x:c r="Y48" s="800"/>
      <x:c r="Z48" s="800"/>
      <x:c r="AA48" s="800"/>
      <x:c r="AB48" s="804"/>
      <x:c r="AC48" s="805" t="str">
        <x:f>IF($A48="","",IF(AND(OR($T48="Closed — No Action",$T48="Closed — Incorporated"),$AB48&lt;&gt;""),MAX(0,$AB48-$B48),MAX(0,TODAY()-$B48)))</x:f>
      </x:c>
      <x:c r="AD48" s="775" t="str">
        <x:f>IF(COUNTA($A48:$F48,$H48:$AB48,$AG48)=0,"",IF(OR($A48="",$B48="",$C48="",$D48="",$F48="",$H48="",$I48="",$J48="",$K48="",$L48="",$M48="",$N48="",$O48="",$P48="",$Q48="",$R48="",$S48="",$T48="",$U48="",$V48="",$W48="",$X48="",$Y48="",$Z48="",$AA48="",AND(NOT(OR($D48="Portfolio-Level",$D48="Market / Macro",$D48="Other")),$E48="")),"INCOMPLETE",IF(COUNTIF($A$14:$A$213,$A48)&gt;1,"DUPLICATE ID","COMPLETE")))</x:f>
      </x:c>
      <x:c r="AE48" s="775" t="str">
        <x:f>IF($A48="","",IF($AD48&lt;&gt;"COMPLETE",$AD48,IF(AND($D48="Certified Holding",OR($E48="",$G48="Candidate / Non-Holding")),"HOLDING IDENTIFIER MISMATCH",IF(AND(OR($J48="Critical",$J48="High"),OR($U48="No",AND($L48="Unverified — Pending",$U48&lt;&gt;"Exception Approved"))),"VERIFY / ESCALATE",IF($X48="Unassigned","CONVICTION DECISION REQUIRED",IF(AND($S48&lt;TODAY(),$T48&lt;&gt;"Closed — No Action",$T48&lt;&gt;"Closed — Incorporated"),"OVERDUE",IF(AND(OR($T48="Closed — No Action",$T48="Closed — Incorporated"),$AB48=""),"CLOSE DATE REQUIRED",IF(AND(NOT(OR($T48="Closed — No Action",$T48="Closed — Incorporated")),$AB48&lt;&gt;""),"STATUS / CLOSE DATE MISMATCH",IF(AND($Z48&lt;&gt;"No",NOT(OR($U48="Yes",$U48="Exception Approved"))),"PEW REFERRAL BLOCKED",IF(AND($T48="Awaiting Verification",$U48="Yes"),"STATUS MISMATCH",IF(OR($T48="Closed — No Action",$T48="Closed — Incorporated"),"CLOSED","OPEN — ON TRACK")))))))))))</x:f>
      </x:c>
      <x:c r="AF48" s="775" t="str">
        <x:f>IF($A48="","",IF($AD48&lt;&gt;"COMPLETE","NOT ELIGIBLE",IF($X48="Unassigned","NOT ELIGIBLE — CONVICTION UNASSIGNED",IF(NOT(OR($U48="Yes",$U48="Exception Approved")),"NOT ELIGIBLE — UNVERIFIED",IF(OR($V48&lt;&gt;"None",AND($W48&lt;&gt;"None",$W48&lt;&gt;"Intact"),AND($X48&lt;&gt;"No Change",$X48&lt;&gt;"Not Applicable"),$Y48&lt;&gt;"None",$Z48&lt;&gt;"No"),"ELIGIBLE FOR ROUTING","NO REFERRAL REQUIRED")))))</x:f>
      </x:c>
      <x:c r="AG48" s="800"/>
    </x:row>
    <x:row r="49" ht="36" customHeight="1">
      <x:c r="A49" s="800"/>
      <x:c r="B49" s="804"/>
      <x:c r="C49" s="804"/>
      <x:c r="D49" s="800"/>
      <x:c r="E49" s="800"/>
      <x:c r="F49" s="800"/>
      <x:c r="G49" s="802" t="str">
        <x:f>IF($E49="","",IFERROR(INDEX('Certified Allocation'!$A$5:$A$51,MATCH($E49,'Certified Allocation'!$B$5:$B$51,0)),"Candidate / Non-Holding"))</x:f>
      </x:c>
      <x:c r="H49" s="800"/>
      <x:c r="I49" s="800"/>
      <x:c r="J49" s="800"/>
      <x:c r="K49" s="800"/>
      <x:c r="L49" s="800"/>
      <x:c r="M49" s="800"/>
      <x:c r="N49" s="800"/>
      <x:c r="O49" s="800"/>
      <x:c r="P49" s="800"/>
      <x:c r="Q49" s="800"/>
      <x:c r="R49" s="800"/>
      <x:c r="S49" s="804"/>
      <x:c r="T49" s="800"/>
      <x:c r="U49" s="800"/>
      <x:c r="V49" s="800"/>
      <x:c r="W49" s="800"/>
      <x:c r="X49" s="800"/>
      <x:c r="Y49" s="800"/>
      <x:c r="Z49" s="800"/>
      <x:c r="AA49" s="800"/>
      <x:c r="AB49" s="804"/>
      <x:c r="AC49" s="805" t="str">
        <x:f>IF($A49="","",IF(AND(OR($T49="Closed — No Action",$T49="Closed — Incorporated"),$AB49&lt;&gt;""),MAX(0,$AB49-$B49),MAX(0,TODAY()-$B49)))</x:f>
      </x:c>
      <x:c r="AD49" s="775" t="str">
        <x:f>IF(COUNTA($A49:$F49,$H49:$AB49,$AG49)=0,"",IF(OR($A49="",$B49="",$C49="",$D49="",$F49="",$H49="",$I49="",$J49="",$K49="",$L49="",$M49="",$N49="",$O49="",$P49="",$Q49="",$R49="",$S49="",$T49="",$U49="",$V49="",$W49="",$X49="",$Y49="",$Z49="",$AA49="",AND(NOT(OR($D49="Portfolio-Level",$D49="Market / Macro",$D49="Other")),$E49="")),"INCOMPLETE",IF(COUNTIF($A$14:$A$213,$A49)&gt;1,"DUPLICATE ID","COMPLETE")))</x:f>
      </x:c>
      <x:c r="AE49" s="775" t="str">
        <x:f>IF($A49="","",IF($AD49&lt;&gt;"COMPLETE",$AD49,IF(AND($D49="Certified Holding",OR($E49="",$G49="Candidate / Non-Holding")),"HOLDING IDENTIFIER MISMATCH",IF(AND(OR($J49="Critical",$J49="High"),OR($U49="No",AND($L49="Unverified — Pending",$U49&lt;&gt;"Exception Approved"))),"VERIFY / ESCALATE",IF($X49="Unassigned","CONVICTION DECISION REQUIRED",IF(AND($S49&lt;TODAY(),$T49&lt;&gt;"Closed — No Action",$T49&lt;&gt;"Closed — Incorporated"),"OVERDUE",IF(AND(OR($T49="Closed — No Action",$T49="Closed — Incorporated"),$AB49=""),"CLOSE DATE REQUIRED",IF(AND(NOT(OR($T49="Closed — No Action",$T49="Closed — Incorporated")),$AB49&lt;&gt;""),"STATUS / CLOSE DATE MISMATCH",IF(AND($Z49&lt;&gt;"No",NOT(OR($U49="Yes",$U49="Exception Approved"))),"PEW REFERRAL BLOCKED",IF(AND($T49="Awaiting Verification",$U49="Yes"),"STATUS MISMATCH",IF(OR($T49="Closed — No Action",$T49="Closed — Incorporated"),"CLOSED","OPEN — ON TRACK")))))))))))</x:f>
      </x:c>
      <x:c r="AF49" s="775" t="str">
        <x:f>IF($A49="","",IF($AD49&lt;&gt;"COMPLETE","NOT ELIGIBLE",IF($X49="Unassigned","NOT ELIGIBLE — CONVICTION UNASSIGNED",IF(NOT(OR($U49="Yes",$U49="Exception Approved")),"NOT ELIGIBLE — UNVERIFIED",IF(OR($V49&lt;&gt;"None",AND($W49&lt;&gt;"None",$W49&lt;&gt;"Intact"),AND($X49&lt;&gt;"No Change",$X49&lt;&gt;"Not Applicable"),$Y49&lt;&gt;"None",$Z49&lt;&gt;"No"),"ELIGIBLE FOR ROUTING","NO REFERRAL REQUIRED")))))</x:f>
      </x:c>
      <x:c r="AG49" s="800"/>
    </x:row>
    <x:row r="50" ht="36" customHeight="1">
      <x:c r="A50" s="800"/>
      <x:c r="B50" s="804"/>
      <x:c r="C50" s="804"/>
      <x:c r="D50" s="800"/>
      <x:c r="E50" s="800"/>
      <x:c r="F50" s="800"/>
      <x:c r="G50" s="802" t="str">
        <x:f>IF($E50="","",IFERROR(INDEX('Certified Allocation'!$A$5:$A$51,MATCH($E50,'Certified Allocation'!$B$5:$B$51,0)),"Candidate / Non-Holding"))</x:f>
      </x:c>
      <x:c r="H50" s="800"/>
      <x:c r="I50" s="800"/>
      <x:c r="J50" s="800"/>
      <x:c r="K50" s="800"/>
      <x:c r="L50" s="800"/>
      <x:c r="M50" s="800"/>
      <x:c r="N50" s="800"/>
      <x:c r="O50" s="800"/>
      <x:c r="P50" s="800"/>
      <x:c r="Q50" s="800"/>
      <x:c r="R50" s="800"/>
      <x:c r="S50" s="804"/>
      <x:c r="T50" s="800"/>
      <x:c r="U50" s="800"/>
      <x:c r="V50" s="800"/>
      <x:c r="W50" s="800"/>
      <x:c r="X50" s="800"/>
      <x:c r="Y50" s="800"/>
      <x:c r="Z50" s="800"/>
      <x:c r="AA50" s="800"/>
      <x:c r="AB50" s="804"/>
      <x:c r="AC50" s="805" t="str">
        <x:f>IF($A50="","",IF(AND(OR($T50="Closed — No Action",$T50="Closed — Incorporated"),$AB50&lt;&gt;""),MAX(0,$AB50-$B50),MAX(0,TODAY()-$B50)))</x:f>
      </x:c>
      <x:c r="AD50" s="775" t="str">
        <x:f>IF(COUNTA($A50:$F50,$H50:$AB50,$AG50)=0,"",IF(OR($A50="",$B50="",$C50="",$D50="",$F50="",$H50="",$I50="",$J50="",$K50="",$L50="",$M50="",$N50="",$O50="",$P50="",$Q50="",$R50="",$S50="",$T50="",$U50="",$V50="",$W50="",$X50="",$Y50="",$Z50="",$AA50="",AND(NOT(OR($D50="Portfolio-Level",$D50="Market / Macro",$D50="Other")),$E50="")),"INCOMPLETE",IF(COUNTIF($A$14:$A$213,$A50)&gt;1,"DUPLICATE ID","COMPLETE")))</x:f>
      </x:c>
      <x:c r="AE50" s="775" t="str">
        <x:f>IF($A50="","",IF($AD50&lt;&gt;"COMPLETE",$AD50,IF(AND($D50="Certified Holding",OR($E50="",$G50="Candidate / Non-Holding")),"HOLDING IDENTIFIER MISMATCH",IF(AND(OR($J50="Critical",$J50="High"),OR($U50="No",AND($L50="Unverified — Pending",$U50&lt;&gt;"Exception Approved"))),"VERIFY / ESCALATE",IF($X50="Unassigned","CONVICTION DECISION REQUIRED",IF(AND($S50&lt;TODAY(),$T50&lt;&gt;"Closed — No Action",$T50&lt;&gt;"Closed — Incorporated"),"OVERDUE",IF(AND(OR($T50="Closed — No Action",$T50="Closed — Incorporated"),$AB50=""),"CLOSE DATE REQUIRED",IF(AND(NOT(OR($T50="Closed — No Action",$T50="Closed — Incorporated")),$AB50&lt;&gt;""),"STATUS / CLOSE DATE MISMATCH",IF(AND($Z50&lt;&gt;"No",NOT(OR($U50="Yes",$U50="Exception Approved"))),"PEW REFERRAL BLOCKED",IF(AND($T50="Awaiting Verification",$U50="Yes"),"STATUS MISMATCH",IF(OR($T50="Closed — No Action",$T50="Closed — Incorporated"),"CLOSED","OPEN — ON TRACK")))))))))))</x:f>
      </x:c>
      <x:c r="AF50" s="775" t="str">
        <x:f>IF($A50="","",IF($AD50&lt;&gt;"COMPLETE","NOT ELIGIBLE",IF($X50="Unassigned","NOT ELIGIBLE — CONVICTION UNASSIGNED",IF(NOT(OR($U50="Yes",$U50="Exception Approved")),"NOT ELIGIBLE — UNVERIFIED",IF(OR($V50&lt;&gt;"None",AND($W50&lt;&gt;"None",$W50&lt;&gt;"Intact"),AND($X50&lt;&gt;"No Change",$X50&lt;&gt;"Not Applicable"),$Y50&lt;&gt;"None",$Z50&lt;&gt;"No"),"ELIGIBLE FOR ROUTING","NO REFERRAL REQUIRED")))))</x:f>
      </x:c>
      <x:c r="AG50" s="800"/>
    </x:row>
    <x:row r="51" ht="36" customHeight="1">
      <x:c r="A51" s="800"/>
      <x:c r="B51" s="804"/>
      <x:c r="C51" s="804"/>
      <x:c r="D51" s="800"/>
      <x:c r="E51" s="800"/>
      <x:c r="F51" s="800"/>
      <x:c r="G51" s="802" t="str">
        <x:f>IF($E51="","",IFERROR(INDEX('Certified Allocation'!$A$5:$A$51,MATCH($E51,'Certified Allocation'!$B$5:$B$51,0)),"Candidate / Non-Holding"))</x:f>
      </x:c>
      <x:c r="H51" s="800"/>
      <x:c r="I51" s="800"/>
      <x:c r="J51" s="800"/>
      <x:c r="K51" s="800"/>
      <x:c r="L51" s="800"/>
      <x:c r="M51" s="800"/>
      <x:c r="N51" s="800"/>
      <x:c r="O51" s="800"/>
      <x:c r="P51" s="800"/>
      <x:c r="Q51" s="800"/>
      <x:c r="R51" s="800"/>
      <x:c r="S51" s="804"/>
      <x:c r="T51" s="800"/>
      <x:c r="U51" s="800"/>
      <x:c r="V51" s="800"/>
      <x:c r="W51" s="800"/>
      <x:c r="X51" s="800"/>
      <x:c r="Y51" s="800"/>
      <x:c r="Z51" s="800"/>
      <x:c r="AA51" s="800"/>
      <x:c r="AB51" s="804"/>
      <x:c r="AC51" s="805" t="str">
        <x:f>IF($A51="","",IF(AND(OR($T51="Closed — No Action",$T51="Closed — Incorporated"),$AB51&lt;&gt;""),MAX(0,$AB51-$B51),MAX(0,TODAY()-$B51)))</x:f>
      </x:c>
      <x:c r="AD51" s="775" t="str">
        <x:f>IF(COUNTA($A51:$F51,$H51:$AB51,$AG51)=0,"",IF(OR($A51="",$B51="",$C51="",$D51="",$F51="",$H51="",$I51="",$J51="",$K51="",$L51="",$M51="",$N51="",$O51="",$P51="",$Q51="",$R51="",$S51="",$T51="",$U51="",$V51="",$W51="",$X51="",$Y51="",$Z51="",$AA51="",AND(NOT(OR($D51="Portfolio-Level",$D51="Market / Macro",$D51="Other")),$E51="")),"INCOMPLETE",IF(COUNTIF($A$14:$A$213,$A51)&gt;1,"DUPLICATE ID","COMPLETE")))</x:f>
      </x:c>
      <x:c r="AE51" s="775" t="str">
        <x:f>IF($A51="","",IF($AD51&lt;&gt;"COMPLETE",$AD51,IF(AND($D51="Certified Holding",OR($E51="",$G51="Candidate / Non-Holding")),"HOLDING IDENTIFIER MISMATCH",IF(AND(OR($J51="Critical",$J51="High"),OR($U51="No",AND($L51="Unverified — Pending",$U51&lt;&gt;"Exception Approved"))),"VERIFY / ESCALATE",IF($X51="Unassigned","CONVICTION DECISION REQUIRED",IF(AND($S51&lt;TODAY(),$T51&lt;&gt;"Closed — No Action",$T51&lt;&gt;"Closed — Incorporated"),"OVERDUE",IF(AND(OR($T51="Closed — No Action",$T51="Closed — Incorporated"),$AB51=""),"CLOSE DATE REQUIRED",IF(AND(NOT(OR($T51="Closed — No Action",$T51="Closed — Incorporated")),$AB51&lt;&gt;""),"STATUS / CLOSE DATE MISMATCH",IF(AND($Z51&lt;&gt;"No",NOT(OR($U51="Yes",$U51="Exception Approved"))),"PEW REFERRAL BLOCKED",IF(AND($T51="Awaiting Verification",$U51="Yes"),"STATUS MISMATCH",IF(OR($T51="Closed — No Action",$T51="Closed — Incorporated"),"CLOSED","OPEN — ON TRACK")))))))))))</x:f>
      </x:c>
      <x:c r="AF51" s="775" t="str">
        <x:f>IF($A51="","",IF($AD51&lt;&gt;"COMPLETE","NOT ELIGIBLE",IF($X51="Unassigned","NOT ELIGIBLE — CONVICTION UNASSIGNED",IF(NOT(OR($U51="Yes",$U51="Exception Approved")),"NOT ELIGIBLE — UNVERIFIED",IF(OR($V51&lt;&gt;"None",AND($W51&lt;&gt;"None",$W51&lt;&gt;"Intact"),AND($X51&lt;&gt;"No Change",$X51&lt;&gt;"Not Applicable"),$Y51&lt;&gt;"None",$Z51&lt;&gt;"No"),"ELIGIBLE FOR ROUTING","NO REFERRAL REQUIRED")))))</x:f>
      </x:c>
      <x:c r="AG51" s="800"/>
    </x:row>
    <x:row r="52" ht="36" customHeight="1">
      <x:c r="A52" s="800"/>
      <x:c r="B52" s="804"/>
      <x:c r="C52" s="804"/>
      <x:c r="D52" s="800"/>
      <x:c r="E52" s="800"/>
      <x:c r="F52" s="800"/>
      <x:c r="G52" s="802" t="str">
        <x:f>IF($E52="","",IFERROR(INDEX('Certified Allocation'!$A$5:$A$51,MATCH($E52,'Certified Allocation'!$B$5:$B$51,0)),"Candidate / Non-Holding"))</x:f>
      </x:c>
      <x:c r="H52" s="800"/>
      <x:c r="I52" s="800"/>
      <x:c r="J52" s="800"/>
      <x:c r="K52" s="800"/>
      <x:c r="L52" s="800"/>
      <x:c r="M52" s="800"/>
      <x:c r="N52" s="800"/>
      <x:c r="O52" s="800"/>
      <x:c r="P52" s="800"/>
      <x:c r="Q52" s="800"/>
      <x:c r="R52" s="800"/>
      <x:c r="S52" s="804"/>
      <x:c r="T52" s="800"/>
      <x:c r="U52" s="800"/>
      <x:c r="V52" s="800"/>
      <x:c r="W52" s="800"/>
      <x:c r="X52" s="800"/>
      <x:c r="Y52" s="800"/>
      <x:c r="Z52" s="800"/>
      <x:c r="AA52" s="800"/>
      <x:c r="AB52" s="804"/>
      <x:c r="AC52" s="805" t="str">
        <x:f>IF($A52="","",IF(AND(OR($T52="Closed — No Action",$T52="Closed — Incorporated"),$AB52&lt;&gt;""),MAX(0,$AB52-$B52),MAX(0,TODAY()-$B52)))</x:f>
      </x:c>
      <x:c r="AD52" s="775" t="str">
        <x:f>IF(COUNTA($A52:$F52,$H52:$AB52,$AG52)=0,"",IF(OR($A52="",$B52="",$C52="",$D52="",$F52="",$H52="",$I52="",$J52="",$K52="",$L52="",$M52="",$N52="",$O52="",$P52="",$Q52="",$R52="",$S52="",$T52="",$U52="",$V52="",$W52="",$X52="",$Y52="",$Z52="",$AA52="",AND(NOT(OR($D52="Portfolio-Level",$D52="Market / Macro",$D52="Other")),$E52="")),"INCOMPLETE",IF(COUNTIF($A$14:$A$213,$A52)&gt;1,"DUPLICATE ID","COMPLETE")))</x:f>
      </x:c>
      <x:c r="AE52" s="775" t="str">
        <x:f>IF($A52="","",IF($AD52&lt;&gt;"COMPLETE",$AD52,IF(AND($D52="Certified Holding",OR($E52="",$G52="Candidate / Non-Holding")),"HOLDING IDENTIFIER MISMATCH",IF(AND(OR($J52="Critical",$J52="High"),OR($U52="No",AND($L52="Unverified — Pending",$U52&lt;&gt;"Exception Approved"))),"VERIFY / ESCALATE",IF($X52="Unassigned","CONVICTION DECISION REQUIRED",IF(AND($S52&lt;TODAY(),$T52&lt;&gt;"Closed — No Action",$T52&lt;&gt;"Closed — Incorporated"),"OVERDUE",IF(AND(OR($T52="Closed — No Action",$T52="Closed — Incorporated"),$AB52=""),"CLOSE DATE REQUIRED",IF(AND(NOT(OR($T52="Closed — No Action",$T52="Closed — Incorporated")),$AB52&lt;&gt;""),"STATUS / CLOSE DATE MISMATCH",IF(AND($Z52&lt;&gt;"No",NOT(OR($U52="Yes",$U52="Exception Approved"))),"PEW REFERRAL BLOCKED",IF(AND($T52="Awaiting Verification",$U52="Yes"),"STATUS MISMATCH",IF(OR($T52="Closed — No Action",$T52="Closed — Incorporated"),"CLOSED","OPEN — ON TRACK")))))))))))</x:f>
      </x:c>
      <x:c r="AF52" s="775" t="str">
        <x:f>IF($A52="","",IF($AD52&lt;&gt;"COMPLETE","NOT ELIGIBLE",IF($X52="Unassigned","NOT ELIGIBLE — CONVICTION UNASSIGNED",IF(NOT(OR($U52="Yes",$U52="Exception Approved")),"NOT ELIGIBLE — UNVERIFIED",IF(OR($V52&lt;&gt;"None",AND($W52&lt;&gt;"None",$W52&lt;&gt;"Intact"),AND($X52&lt;&gt;"No Change",$X52&lt;&gt;"Not Applicable"),$Y52&lt;&gt;"None",$Z52&lt;&gt;"No"),"ELIGIBLE FOR ROUTING","NO REFERRAL REQUIRED")))))</x:f>
      </x:c>
      <x:c r="AG52" s="800"/>
    </x:row>
    <x:row r="53" ht="36" customHeight="1">
      <x:c r="A53" s="800"/>
      <x:c r="B53" s="804"/>
      <x:c r="C53" s="804"/>
      <x:c r="D53" s="800"/>
      <x:c r="E53" s="800"/>
      <x:c r="F53" s="800"/>
      <x:c r="G53" s="802" t="str">
        <x:f>IF($E53="","",IFERROR(INDEX('Certified Allocation'!$A$5:$A$51,MATCH($E53,'Certified Allocation'!$B$5:$B$51,0)),"Candidate / Non-Holding"))</x:f>
      </x:c>
      <x:c r="H53" s="800"/>
      <x:c r="I53" s="800"/>
      <x:c r="J53" s="800"/>
      <x:c r="K53" s="800"/>
      <x:c r="L53" s="800"/>
      <x:c r="M53" s="800"/>
      <x:c r="N53" s="800"/>
      <x:c r="O53" s="800"/>
      <x:c r="P53" s="800"/>
      <x:c r="Q53" s="800"/>
      <x:c r="R53" s="800"/>
      <x:c r="S53" s="804"/>
      <x:c r="T53" s="800"/>
      <x:c r="U53" s="800"/>
      <x:c r="V53" s="800"/>
      <x:c r="W53" s="800"/>
      <x:c r="X53" s="800"/>
      <x:c r="Y53" s="800"/>
      <x:c r="Z53" s="800"/>
      <x:c r="AA53" s="800"/>
      <x:c r="AB53" s="804"/>
      <x:c r="AC53" s="805" t="str">
        <x:f>IF($A53="","",IF(AND(OR($T53="Closed — No Action",$T53="Closed — Incorporated"),$AB53&lt;&gt;""),MAX(0,$AB53-$B53),MAX(0,TODAY()-$B53)))</x:f>
      </x:c>
      <x:c r="AD53" s="775" t="str">
        <x:f>IF(COUNTA($A53:$F53,$H53:$AB53,$AG53)=0,"",IF(OR($A53="",$B53="",$C53="",$D53="",$F53="",$H53="",$I53="",$J53="",$K53="",$L53="",$M53="",$N53="",$O53="",$P53="",$Q53="",$R53="",$S53="",$T53="",$U53="",$V53="",$W53="",$X53="",$Y53="",$Z53="",$AA53="",AND(NOT(OR($D53="Portfolio-Level",$D53="Market / Macro",$D53="Other")),$E53="")),"INCOMPLETE",IF(COUNTIF($A$14:$A$213,$A53)&gt;1,"DUPLICATE ID","COMPLETE")))</x:f>
      </x:c>
      <x:c r="AE53" s="775" t="str">
        <x:f>IF($A53="","",IF($AD53&lt;&gt;"COMPLETE",$AD53,IF(AND($D53="Certified Holding",OR($E53="",$G53="Candidate / Non-Holding")),"HOLDING IDENTIFIER MISMATCH",IF(AND(OR($J53="Critical",$J53="High"),OR($U53="No",AND($L53="Unverified — Pending",$U53&lt;&gt;"Exception Approved"))),"VERIFY / ESCALATE",IF($X53="Unassigned","CONVICTION DECISION REQUIRED",IF(AND($S53&lt;TODAY(),$T53&lt;&gt;"Closed — No Action",$T53&lt;&gt;"Closed — Incorporated"),"OVERDUE",IF(AND(OR($T53="Closed — No Action",$T53="Closed — Incorporated"),$AB53=""),"CLOSE DATE REQUIRED",IF(AND(NOT(OR($T53="Closed — No Action",$T53="Closed — Incorporated")),$AB53&lt;&gt;""),"STATUS / CLOSE DATE MISMATCH",IF(AND($Z53&lt;&gt;"No",NOT(OR($U53="Yes",$U53="Exception Approved"))),"PEW REFERRAL BLOCKED",IF(AND($T53="Awaiting Verification",$U53="Yes"),"STATUS MISMATCH",IF(OR($T53="Closed — No Action",$T53="Closed — Incorporated"),"CLOSED","OPEN — ON TRACK")))))))))))</x:f>
      </x:c>
      <x:c r="AF53" s="775" t="str">
        <x:f>IF($A53="","",IF($AD53&lt;&gt;"COMPLETE","NOT ELIGIBLE",IF($X53="Unassigned","NOT ELIGIBLE — CONVICTION UNASSIGNED",IF(NOT(OR($U53="Yes",$U53="Exception Approved")),"NOT ELIGIBLE — UNVERIFIED",IF(OR($V53&lt;&gt;"None",AND($W53&lt;&gt;"None",$W53&lt;&gt;"Intact"),AND($X53&lt;&gt;"No Change",$X53&lt;&gt;"Not Applicable"),$Y53&lt;&gt;"None",$Z53&lt;&gt;"No"),"ELIGIBLE FOR ROUTING","NO REFERRAL REQUIRED")))))</x:f>
      </x:c>
      <x:c r="AG53" s="800"/>
    </x:row>
    <x:row r="54" ht="36" customHeight="1">
      <x:c r="A54" s="800"/>
      <x:c r="B54" s="804"/>
      <x:c r="C54" s="804"/>
      <x:c r="D54" s="800"/>
      <x:c r="E54" s="800"/>
      <x:c r="F54" s="800"/>
      <x:c r="G54" s="802" t="str">
        <x:f>IF($E54="","",IFERROR(INDEX('Certified Allocation'!$A$5:$A$51,MATCH($E54,'Certified Allocation'!$B$5:$B$51,0)),"Candidate / Non-Holding"))</x:f>
      </x:c>
      <x:c r="H54" s="800"/>
      <x:c r="I54" s="800"/>
      <x:c r="J54" s="800"/>
      <x:c r="K54" s="800"/>
      <x:c r="L54" s="800"/>
      <x:c r="M54" s="800"/>
      <x:c r="N54" s="800"/>
      <x:c r="O54" s="800"/>
      <x:c r="P54" s="800"/>
      <x:c r="Q54" s="800"/>
      <x:c r="R54" s="800"/>
      <x:c r="S54" s="804"/>
      <x:c r="T54" s="800"/>
      <x:c r="U54" s="800"/>
      <x:c r="V54" s="800"/>
      <x:c r="W54" s="800"/>
      <x:c r="X54" s="800"/>
      <x:c r="Y54" s="800"/>
      <x:c r="Z54" s="800"/>
      <x:c r="AA54" s="800"/>
      <x:c r="AB54" s="804"/>
      <x:c r="AC54" s="805" t="str">
        <x:f>IF($A54="","",IF(AND(OR($T54="Closed — No Action",$T54="Closed — Incorporated"),$AB54&lt;&gt;""),MAX(0,$AB54-$B54),MAX(0,TODAY()-$B54)))</x:f>
      </x:c>
      <x:c r="AD54" s="775" t="str">
        <x:f>IF(COUNTA($A54:$F54,$H54:$AB54,$AG54)=0,"",IF(OR($A54="",$B54="",$C54="",$D54="",$F54="",$H54="",$I54="",$J54="",$K54="",$L54="",$M54="",$N54="",$O54="",$P54="",$Q54="",$R54="",$S54="",$T54="",$U54="",$V54="",$W54="",$X54="",$Y54="",$Z54="",$AA54="",AND(NOT(OR($D54="Portfolio-Level",$D54="Market / Macro",$D54="Other")),$E54="")),"INCOMPLETE",IF(COUNTIF($A$14:$A$213,$A54)&gt;1,"DUPLICATE ID","COMPLETE")))</x:f>
      </x:c>
      <x:c r="AE54" s="775" t="str">
        <x:f>IF($A54="","",IF($AD54&lt;&gt;"COMPLETE",$AD54,IF(AND($D54="Certified Holding",OR($E54="",$G54="Candidate / Non-Holding")),"HOLDING IDENTIFIER MISMATCH",IF(AND(OR($J54="Critical",$J54="High"),OR($U54="No",AND($L54="Unverified — Pending",$U54&lt;&gt;"Exception Approved"))),"VERIFY / ESCALATE",IF($X54="Unassigned","CONVICTION DECISION REQUIRED",IF(AND($S54&lt;TODAY(),$T54&lt;&gt;"Closed — No Action",$T54&lt;&gt;"Closed — Incorporated"),"OVERDUE",IF(AND(OR($T54="Closed — No Action",$T54="Closed — Incorporated"),$AB54=""),"CLOSE DATE REQUIRED",IF(AND(NOT(OR($T54="Closed — No Action",$T54="Closed — Incorporated")),$AB54&lt;&gt;""),"STATUS / CLOSE DATE MISMATCH",IF(AND($Z54&lt;&gt;"No",NOT(OR($U54="Yes",$U54="Exception Approved"))),"PEW REFERRAL BLOCKED",IF(AND($T54="Awaiting Verification",$U54="Yes"),"STATUS MISMATCH",IF(OR($T54="Closed — No Action",$T54="Closed — Incorporated"),"CLOSED","OPEN — ON TRACK")))))))))))</x:f>
      </x:c>
      <x:c r="AF54" s="775" t="str">
        <x:f>IF($A54="","",IF($AD54&lt;&gt;"COMPLETE","NOT ELIGIBLE",IF($X54="Unassigned","NOT ELIGIBLE — CONVICTION UNASSIGNED",IF(NOT(OR($U54="Yes",$U54="Exception Approved")),"NOT ELIGIBLE — UNVERIFIED",IF(OR($V54&lt;&gt;"None",AND($W54&lt;&gt;"None",$W54&lt;&gt;"Intact"),AND($X54&lt;&gt;"No Change",$X54&lt;&gt;"Not Applicable"),$Y54&lt;&gt;"None",$Z54&lt;&gt;"No"),"ELIGIBLE FOR ROUTING","NO REFERRAL REQUIRED")))))</x:f>
      </x:c>
      <x:c r="AG54" s="800"/>
    </x:row>
    <x:row r="55" ht="36" customHeight="1">
      <x:c r="A55" s="800"/>
      <x:c r="B55" s="804"/>
      <x:c r="C55" s="804"/>
      <x:c r="D55" s="800"/>
      <x:c r="E55" s="800"/>
      <x:c r="F55" s="800"/>
      <x:c r="G55" s="802" t="str">
        <x:f>IF($E55="","",IFERROR(INDEX('Certified Allocation'!$A$5:$A$51,MATCH($E55,'Certified Allocation'!$B$5:$B$51,0)),"Candidate / Non-Holding"))</x:f>
      </x:c>
      <x:c r="H55" s="800"/>
      <x:c r="I55" s="800"/>
      <x:c r="J55" s="800"/>
      <x:c r="K55" s="800"/>
      <x:c r="L55" s="800"/>
      <x:c r="M55" s="800"/>
      <x:c r="N55" s="800"/>
      <x:c r="O55" s="800"/>
      <x:c r="P55" s="800"/>
      <x:c r="Q55" s="800"/>
      <x:c r="R55" s="800"/>
      <x:c r="S55" s="804"/>
      <x:c r="T55" s="800"/>
      <x:c r="U55" s="800"/>
      <x:c r="V55" s="800"/>
      <x:c r="W55" s="800"/>
      <x:c r="X55" s="800"/>
      <x:c r="Y55" s="800"/>
      <x:c r="Z55" s="800"/>
      <x:c r="AA55" s="800"/>
      <x:c r="AB55" s="804"/>
      <x:c r="AC55" s="805" t="str">
        <x:f>IF($A55="","",IF(AND(OR($T55="Closed — No Action",$T55="Closed — Incorporated"),$AB55&lt;&gt;""),MAX(0,$AB55-$B55),MAX(0,TODAY()-$B55)))</x:f>
      </x:c>
      <x:c r="AD55" s="775" t="str">
        <x:f>IF(COUNTA($A55:$F55,$H55:$AB55,$AG55)=0,"",IF(OR($A55="",$B55="",$C55="",$D55="",$F55="",$H55="",$I55="",$J55="",$K55="",$L55="",$M55="",$N55="",$O55="",$P55="",$Q55="",$R55="",$S55="",$T55="",$U55="",$V55="",$W55="",$X55="",$Y55="",$Z55="",$AA55="",AND(NOT(OR($D55="Portfolio-Level",$D55="Market / Macro",$D55="Other")),$E55="")),"INCOMPLETE",IF(COUNTIF($A$14:$A$213,$A55)&gt;1,"DUPLICATE ID","COMPLETE")))</x:f>
      </x:c>
      <x:c r="AE55" s="775" t="str">
        <x:f>IF($A55="","",IF($AD55&lt;&gt;"COMPLETE",$AD55,IF(AND($D55="Certified Holding",OR($E55="",$G55="Candidate / Non-Holding")),"HOLDING IDENTIFIER MISMATCH",IF(AND(OR($J55="Critical",$J55="High"),OR($U55="No",AND($L55="Unverified — Pending",$U55&lt;&gt;"Exception Approved"))),"VERIFY / ESCALATE",IF($X55="Unassigned","CONVICTION DECISION REQUIRED",IF(AND($S55&lt;TODAY(),$T55&lt;&gt;"Closed — No Action",$T55&lt;&gt;"Closed — Incorporated"),"OVERDUE",IF(AND(OR($T55="Closed — No Action",$T55="Closed — Incorporated"),$AB55=""),"CLOSE DATE REQUIRED",IF(AND(NOT(OR($T55="Closed — No Action",$T55="Closed — Incorporated")),$AB55&lt;&gt;""),"STATUS / CLOSE DATE MISMATCH",IF(AND($Z55&lt;&gt;"No",NOT(OR($U55="Yes",$U55="Exception Approved"))),"PEW REFERRAL BLOCKED",IF(AND($T55="Awaiting Verification",$U55="Yes"),"STATUS MISMATCH",IF(OR($T55="Closed — No Action",$T55="Closed — Incorporated"),"CLOSED","OPEN — ON TRACK")))))))))))</x:f>
      </x:c>
      <x:c r="AF55" s="775" t="str">
        <x:f>IF($A55="","",IF($AD55&lt;&gt;"COMPLETE","NOT ELIGIBLE",IF($X55="Unassigned","NOT ELIGIBLE — CONVICTION UNASSIGNED",IF(NOT(OR($U55="Yes",$U55="Exception Approved")),"NOT ELIGIBLE — UNVERIFIED",IF(OR($V55&lt;&gt;"None",AND($W55&lt;&gt;"None",$W55&lt;&gt;"Intact"),AND($X55&lt;&gt;"No Change",$X55&lt;&gt;"Not Applicable"),$Y55&lt;&gt;"None",$Z55&lt;&gt;"No"),"ELIGIBLE FOR ROUTING","NO REFERRAL REQUIRED")))))</x:f>
      </x:c>
      <x:c r="AG55" s="800"/>
    </x:row>
    <x:row r="56" ht="36" customHeight="1">
      <x:c r="A56" s="800"/>
      <x:c r="B56" s="804"/>
      <x:c r="C56" s="804"/>
      <x:c r="D56" s="800"/>
      <x:c r="E56" s="800"/>
      <x:c r="F56" s="800"/>
      <x:c r="G56" s="802" t="str">
        <x:f>IF($E56="","",IFERROR(INDEX('Certified Allocation'!$A$5:$A$51,MATCH($E56,'Certified Allocation'!$B$5:$B$51,0)),"Candidate / Non-Holding"))</x:f>
      </x:c>
      <x:c r="H56" s="800"/>
      <x:c r="I56" s="800"/>
      <x:c r="J56" s="800"/>
      <x:c r="K56" s="800"/>
      <x:c r="L56" s="800"/>
      <x:c r="M56" s="800"/>
      <x:c r="N56" s="800"/>
      <x:c r="O56" s="800"/>
      <x:c r="P56" s="800"/>
      <x:c r="Q56" s="800"/>
      <x:c r="R56" s="800"/>
      <x:c r="S56" s="804"/>
      <x:c r="T56" s="800"/>
      <x:c r="U56" s="800"/>
      <x:c r="V56" s="800"/>
      <x:c r="W56" s="800"/>
      <x:c r="X56" s="800"/>
      <x:c r="Y56" s="800"/>
      <x:c r="Z56" s="800"/>
      <x:c r="AA56" s="800"/>
      <x:c r="AB56" s="804"/>
      <x:c r="AC56" s="805" t="str">
        <x:f>IF($A56="","",IF(AND(OR($T56="Closed — No Action",$T56="Closed — Incorporated"),$AB56&lt;&gt;""),MAX(0,$AB56-$B56),MAX(0,TODAY()-$B56)))</x:f>
      </x:c>
      <x:c r="AD56" s="775" t="str">
        <x:f>IF(COUNTA($A56:$F56,$H56:$AB56,$AG56)=0,"",IF(OR($A56="",$B56="",$C56="",$D56="",$F56="",$H56="",$I56="",$J56="",$K56="",$L56="",$M56="",$N56="",$O56="",$P56="",$Q56="",$R56="",$S56="",$T56="",$U56="",$V56="",$W56="",$X56="",$Y56="",$Z56="",$AA56="",AND(NOT(OR($D56="Portfolio-Level",$D56="Market / Macro",$D56="Other")),$E56="")),"INCOMPLETE",IF(COUNTIF($A$14:$A$213,$A56)&gt;1,"DUPLICATE ID","COMPLETE")))</x:f>
      </x:c>
      <x:c r="AE56" s="775" t="str">
        <x:f>IF($A56="","",IF($AD56&lt;&gt;"COMPLETE",$AD56,IF(AND($D56="Certified Holding",OR($E56="",$G56="Candidate / Non-Holding")),"HOLDING IDENTIFIER MISMATCH",IF(AND(OR($J56="Critical",$J56="High"),OR($U56="No",AND($L56="Unverified — Pending",$U56&lt;&gt;"Exception Approved"))),"VERIFY / ESCALATE",IF($X56="Unassigned","CONVICTION DECISION REQUIRED",IF(AND($S56&lt;TODAY(),$T56&lt;&gt;"Closed — No Action",$T56&lt;&gt;"Closed — Incorporated"),"OVERDUE",IF(AND(OR($T56="Closed — No Action",$T56="Closed — Incorporated"),$AB56=""),"CLOSE DATE REQUIRED",IF(AND(NOT(OR($T56="Closed — No Action",$T56="Closed — Incorporated")),$AB56&lt;&gt;""),"STATUS / CLOSE DATE MISMATCH",IF(AND($Z56&lt;&gt;"No",NOT(OR($U56="Yes",$U56="Exception Approved"))),"PEW REFERRAL BLOCKED",IF(AND($T56="Awaiting Verification",$U56="Yes"),"STATUS MISMATCH",IF(OR($T56="Closed — No Action",$T56="Closed — Incorporated"),"CLOSED","OPEN — ON TRACK")))))))))))</x:f>
      </x:c>
      <x:c r="AF56" s="775" t="str">
        <x:f>IF($A56="","",IF($AD56&lt;&gt;"COMPLETE","NOT ELIGIBLE",IF($X56="Unassigned","NOT ELIGIBLE — CONVICTION UNASSIGNED",IF(NOT(OR($U56="Yes",$U56="Exception Approved")),"NOT ELIGIBLE — UNVERIFIED",IF(OR($V56&lt;&gt;"None",AND($W56&lt;&gt;"None",$W56&lt;&gt;"Intact"),AND($X56&lt;&gt;"No Change",$X56&lt;&gt;"Not Applicable"),$Y56&lt;&gt;"None",$Z56&lt;&gt;"No"),"ELIGIBLE FOR ROUTING","NO REFERRAL REQUIRED")))))</x:f>
      </x:c>
      <x:c r="AG56" s="800"/>
    </x:row>
    <x:row r="57" ht="36" customHeight="1">
      <x:c r="A57" s="800"/>
      <x:c r="B57" s="804"/>
      <x:c r="C57" s="804"/>
      <x:c r="D57" s="800"/>
      <x:c r="E57" s="800"/>
      <x:c r="F57" s="800"/>
      <x:c r="G57" s="802" t="str">
        <x:f>IF($E57="","",IFERROR(INDEX('Certified Allocation'!$A$5:$A$51,MATCH($E57,'Certified Allocation'!$B$5:$B$51,0)),"Candidate / Non-Holding"))</x:f>
      </x:c>
      <x:c r="H57" s="800"/>
      <x:c r="I57" s="800"/>
      <x:c r="J57" s="800"/>
      <x:c r="K57" s="800"/>
      <x:c r="L57" s="800"/>
      <x:c r="M57" s="800"/>
      <x:c r="N57" s="800"/>
      <x:c r="O57" s="800"/>
      <x:c r="P57" s="800"/>
      <x:c r="Q57" s="800"/>
      <x:c r="R57" s="800"/>
      <x:c r="S57" s="804"/>
      <x:c r="T57" s="800"/>
      <x:c r="U57" s="800"/>
      <x:c r="V57" s="800"/>
      <x:c r="W57" s="800"/>
      <x:c r="X57" s="800"/>
      <x:c r="Y57" s="800"/>
      <x:c r="Z57" s="800"/>
      <x:c r="AA57" s="800"/>
      <x:c r="AB57" s="804"/>
      <x:c r="AC57" s="805" t="str">
        <x:f>IF($A57="","",IF(AND(OR($T57="Closed — No Action",$T57="Closed — Incorporated"),$AB57&lt;&gt;""),MAX(0,$AB57-$B57),MAX(0,TODAY()-$B57)))</x:f>
      </x:c>
      <x:c r="AD57" s="775" t="str">
        <x:f>IF(COUNTA($A57:$F57,$H57:$AB57,$AG57)=0,"",IF(OR($A57="",$B57="",$C57="",$D57="",$F57="",$H57="",$I57="",$J57="",$K57="",$L57="",$M57="",$N57="",$O57="",$P57="",$Q57="",$R57="",$S57="",$T57="",$U57="",$V57="",$W57="",$X57="",$Y57="",$Z57="",$AA57="",AND(NOT(OR($D57="Portfolio-Level",$D57="Market / Macro",$D57="Other")),$E57="")),"INCOMPLETE",IF(COUNTIF($A$14:$A$213,$A57)&gt;1,"DUPLICATE ID","COMPLETE")))</x:f>
      </x:c>
      <x:c r="AE57" s="775" t="str">
        <x:f>IF($A57="","",IF($AD57&lt;&gt;"COMPLETE",$AD57,IF(AND($D57="Certified Holding",OR($E57="",$G57="Candidate / Non-Holding")),"HOLDING IDENTIFIER MISMATCH",IF(AND(OR($J57="Critical",$J57="High"),OR($U57="No",AND($L57="Unverified — Pending",$U57&lt;&gt;"Exception Approved"))),"VERIFY / ESCALATE",IF($X57="Unassigned","CONVICTION DECISION REQUIRED",IF(AND($S57&lt;TODAY(),$T57&lt;&gt;"Closed — No Action",$T57&lt;&gt;"Closed — Incorporated"),"OVERDUE",IF(AND(OR($T57="Closed — No Action",$T57="Closed — Incorporated"),$AB57=""),"CLOSE DATE REQUIRED",IF(AND(NOT(OR($T57="Closed — No Action",$T57="Closed — Incorporated")),$AB57&lt;&gt;""),"STATUS / CLOSE DATE MISMATCH",IF(AND($Z57&lt;&gt;"No",NOT(OR($U57="Yes",$U57="Exception Approved"))),"PEW REFERRAL BLOCKED",IF(AND($T57="Awaiting Verification",$U57="Yes"),"STATUS MISMATCH",IF(OR($T57="Closed — No Action",$T57="Closed — Incorporated"),"CLOSED","OPEN — ON TRACK")))))))))))</x:f>
      </x:c>
      <x:c r="AF57" s="775" t="str">
        <x:f>IF($A57="","",IF($AD57&lt;&gt;"COMPLETE","NOT ELIGIBLE",IF($X57="Unassigned","NOT ELIGIBLE — CONVICTION UNASSIGNED",IF(NOT(OR($U57="Yes",$U57="Exception Approved")),"NOT ELIGIBLE — UNVERIFIED",IF(OR($V57&lt;&gt;"None",AND($W57&lt;&gt;"None",$W57&lt;&gt;"Intact"),AND($X57&lt;&gt;"No Change",$X57&lt;&gt;"Not Applicable"),$Y57&lt;&gt;"None",$Z57&lt;&gt;"No"),"ELIGIBLE FOR ROUTING","NO REFERRAL REQUIRED")))))</x:f>
      </x:c>
      <x:c r="AG57" s="800"/>
    </x:row>
    <x:row r="58" ht="36" customHeight="1">
      <x:c r="A58" s="800"/>
      <x:c r="B58" s="804"/>
      <x:c r="C58" s="804"/>
      <x:c r="D58" s="800"/>
      <x:c r="E58" s="800"/>
      <x:c r="F58" s="800"/>
      <x:c r="G58" s="802" t="str">
        <x:f>IF($E58="","",IFERROR(INDEX('Certified Allocation'!$A$5:$A$51,MATCH($E58,'Certified Allocation'!$B$5:$B$51,0)),"Candidate / Non-Holding"))</x:f>
      </x:c>
      <x:c r="H58" s="800"/>
      <x:c r="I58" s="800"/>
      <x:c r="J58" s="800"/>
      <x:c r="K58" s="800"/>
      <x:c r="L58" s="800"/>
      <x:c r="M58" s="800"/>
      <x:c r="N58" s="800"/>
      <x:c r="O58" s="800"/>
      <x:c r="P58" s="800"/>
      <x:c r="Q58" s="800"/>
      <x:c r="R58" s="800"/>
      <x:c r="S58" s="804"/>
      <x:c r="T58" s="800"/>
      <x:c r="U58" s="800"/>
      <x:c r="V58" s="800"/>
      <x:c r="W58" s="800"/>
      <x:c r="X58" s="800"/>
      <x:c r="Y58" s="800"/>
      <x:c r="Z58" s="800"/>
      <x:c r="AA58" s="800"/>
      <x:c r="AB58" s="804"/>
      <x:c r="AC58" s="805" t="str">
        <x:f>IF($A58="","",IF(AND(OR($T58="Closed — No Action",$T58="Closed — Incorporated"),$AB58&lt;&gt;""),MAX(0,$AB58-$B58),MAX(0,TODAY()-$B58)))</x:f>
      </x:c>
      <x:c r="AD58" s="775" t="str">
        <x:f>IF(COUNTA($A58:$F58,$H58:$AB58,$AG58)=0,"",IF(OR($A58="",$B58="",$C58="",$D58="",$F58="",$H58="",$I58="",$J58="",$K58="",$L58="",$M58="",$N58="",$O58="",$P58="",$Q58="",$R58="",$S58="",$T58="",$U58="",$V58="",$W58="",$X58="",$Y58="",$Z58="",$AA58="",AND(NOT(OR($D58="Portfolio-Level",$D58="Market / Macro",$D58="Other")),$E58="")),"INCOMPLETE",IF(COUNTIF($A$14:$A$213,$A58)&gt;1,"DUPLICATE ID","COMPLETE")))</x:f>
      </x:c>
      <x:c r="AE58" s="775" t="str">
        <x:f>IF($A58="","",IF($AD58&lt;&gt;"COMPLETE",$AD58,IF(AND($D58="Certified Holding",OR($E58="",$G58="Candidate / Non-Holding")),"HOLDING IDENTIFIER MISMATCH",IF(AND(OR($J58="Critical",$J58="High"),OR($U58="No",AND($L58="Unverified — Pending",$U58&lt;&gt;"Exception Approved"))),"VERIFY / ESCALATE",IF($X58="Unassigned","CONVICTION DECISION REQUIRED",IF(AND($S58&lt;TODAY(),$T58&lt;&gt;"Closed — No Action",$T58&lt;&gt;"Closed — Incorporated"),"OVERDUE",IF(AND(OR($T58="Closed — No Action",$T58="Closed — Incorporated"),$AB58=""),"CLOSE DATE REQUIRED",IF(AND(NOT(OR($T58="Closed — No Action",$T58="Closed — Incorporated")),$AB58&lt;&gt;""),"STATUS / CLOSE DATE MISMATCH",IF(AND($Z58&lt;&gt;"No",NOT(OR($U58="Yes",$U58="Exception Approved"))),"PEW REFERRAL BLOCKED",IF(AND($T58="Awaiting Verification",$U58="Yes"),"STATUS MISMATCH",IF(OR($T58="Closed — No Action",$T58="Closed — Incorporated"),"CLOSED","OPEN — ON TRACK")))))))))))</x:f>
      </x:c>
      <x:c r="AF58" s="775" t="str">
        <x:f>IF($A58="","",IF($AD58&lt;&gt;"COMPLETE","NOT ELIGIBLE",IF($X58="Unassigned","NOT ELIGIBLE — CONVICTION UNASSIGNED",IF(NOT(OR($U58="Yes",$U58="Exception Approved")),"NOT ELIGIBLE — UNVERIFIED",IF(OR($V58&lt;&gt;"None",AND($W58&lt;&gt;"None",$W58&lt;&gt;"Intact"),AND($X58&lt;&gt;"No Change",$X58&lt;&gt;"Not Applicable"),$Y58&lt;&gt;"None",$Z58&lt;&gt;"No"),"ELIGIBLE FOR ROUTING","NO REFERRAL REQUIRED")))))</x:f>
      </x:c>
      <x:c r="AG58" s="800"/>
    </x:row>
    <x:row r="59" ht="36" customHeight="1">
      <x:c r="A59" s="800"/>
      <x:c r="B59" s="804"/>
      <x:c r="C59" s="804"/>
      <x:c r="D59" s="800"/>
      <x:c r="E59" s="800"/>
      <x:c r="F59" s="800"/>
      <x:c r="G59" s="802" t="str">
        <x:f>IF($E59="","",IFERROR(INDEX('Certified Allocation'!$A$5:$A$51,MATCH($E59,'Certified Allocation'!$B$5:$B$51,0)),"Candidate / Non-Holding"))</x:f>
      </x:c>
      <x:c r="H59" s="800"/>
      <x:c r="I59" s="800"/>
      <x:c r="J59" s="800"/>
      <x:c r="K59" s="800"/>
      <x:c r="L59" s="800"/>
      <x:c r="M59" s="800"/>
      <x:c r="N59" s="800"/>
      <x:c r="O59" s="800"/>
      <x:c r="P59" s="800"/>
      <x:c r="Q59" s="800"/>
      <x:c r="R59" s="800"/>
      <x:c r="S59" s="804"/>
      <x:c r="T59" s="800"/>
      <x:c r="U59" s="800"/>
      <x:c r="V59" s="800"/>
      <x:c r="W59" s="800"/>
      <x:c r="X59" s="800"/>
      <x:c r="Y59" s="800"/>
      <x:c r="Z59" s="800"/>
      <x:c r="AA59" s="800"/>
      <x:c r="AB59" s="804"/>
      <x:c r="AC59" s="805" t="str">
        <x:f>IF($A59="","",IF(AND(OR($T59="Closed — No Action",$T59="Closed — Incorporated"),$AB59&lt;&gt;""),MAX(0,$AB59-$B59),MAX(0,TODAY()-$B59)))</x:f>
      </x:c>
      <x:c r="AD59" s="775" t="str">
        <x:f>IF(COUNTA($A59:$F59,$H59:$AB59,$AG59)=0,"",IF(OR($A59="",$B59="",$C59="",$D59="",$F59="",$H59="",$I59="",$J59="",$K59="",$L59="",$M59="",$N59="",$O59="",$P59="",$Q59="",$R59="",$S59="",$T59="",$U59="",$V59="",$W59="",$X59="",$Y59="",$Z59="",$AA59="",AND(NOT(OR($D59="Portfolio-Level",$D59="Market / Macro",$D59="Other")),$E59="")),"INCOMPLETE",IF(COUNTIF($A$14:$A$213,$A59)&gt;1,"DUPLICATE ID","COMPLETE")))</x:f>
      </x:c>
      <x:c r="AE59" s="775" t="str">
        <x:f>IF($A59="","",IF($AD59&lt;&gt;"COMPLETE",$AD59,IF(AND($D59="Certified Holding",OR($E59="",$G59="Candidate / Non-Holding")),"HOLDING IDENTIFIER MISMATCH",IF(AND(OR($J59="Critical",$J59="High"),OR($U59="No",AND($L59="Unverified — Pending",$U59&lt;&gt;"Exception Approved"))),"VERIFY / ESCALATE",IF($X59="Unassigned","CONVICTION DECISION REQUIRED",IF(AND($S59&lt;TODAY(),$T59&lt;&gt;"Closed — No Action",$T59&lt;&gt;"Closed — Incorporated"),"OVERDUE",IF(AND(OR($T59="Closed — No Action",$T59="Closed — Incorporated"),$AB59=""),"CLOSE DATE REQUIRED",IF(AND(NOT(OR($T59="Closed — No Action",$T59="Closed — Incorporated")),$AB59&lt;&gt;""),"STATUS / CLOSE DATE MISMATCH",IF(AND($Z59&lt;&gt;"No",NOT(OR($U59="Yes",$U59="Exception Approved"))),"PEW REFERRAL BLOCKED",IF(AND($T59="Awaiting Verification",$U59="Yes"),"STATUS MISMATCH",IF(OR($T59="Closed — No Action",$T59="Closed — Incorporated"),"CLOSED","OPEN — ON TRACK")))))))))))</x:f>
      </x:c>
      <x:c r="AF59" s="775" t="str">
        <x:f>IF($A59="","",IF($AD59&lt;&gt;"COMPLETE","NOT ELIGIBLE",IF($X59="Unassigned","NOT ELIGIBLE — CONVICTION UNASSIGNED",IF(NOT(OR($U59="Yes",$U59="Exception Approved")),"NOT ELIGIBLE — UNVERIFIED",IF(OR($V59&lt;&gt;"None",AND($W59&lt;&gt;"None",$W59&lt;&gt;"Intact"),AND($X59&lt;&gt;"No Change",$X59&lt;&gt;"Not Applicable"),$Y59&lt;&gt;"None",$Z59&lt;&gt;"No"),"ELIGIBLE FOR ROUTING","NO REFERRAL REQUIRED")))))</x:f>
      </x:c>
      <x:c r="AG59" s="800"/>
    </x:row>
    <x:row r="60" ht="36" customHeight="1">
      <x:c r="A60" s="800"/>
      <x:c r="B60" s="804"/>
      <x:c r="C60" s="804"/>
      <x:c r="D60" s="800"/>
      <x:c r="E60" s="800"/>
      <x:c r="F60" s="800"/>
      <x:c r="G60" s="802" t="str">
        <x:f>IF($E60="","",IFERROR(INDEX('Certified Allocation'!$A$5:$A$51,MATCH($E60,'Certified Allocation'!$B$5:$B$51,0)),"Candidate / Non-Holding"))</x:f>
      </x:c>
      <x:c r="H60" s="800"/>
      <x:c r="I60" s="800"/>
      <x:c r="J60" s="800"/>
      <x:c r="K60" s="800"/>
      <x:c r="L60" s="800"/>
      <x:c r="M60" s="800"/>
      <x:c r="N60" s="800"/>
      <x:c r="O60" s="800"/>
      <x:c r="P60" s="800"/>
      <x:c r="Q60" s="800"/>
      <x:c r="R60" s="800"/>
      <x:c r="S60" s="804"/>
      <x:c r="T60" s="800"/>
      <x:c r="U60" s="800"/>
      <x:c r="V60" s="800"/>
      <x:c r="W60" s="800"/>
      <x:c r="X60" s="800"/>
      <x:c r="Y60" s="800"/>
      <x:c r="Z60" s="800"/>
      <x:c r="AA60" s="800"/>
      <x:c r="AB60" s="804"/>
      <x:c r="AC60" s="805" t="str">
        <x:f>IF($A60="","",IF(AND(OR($T60="Closed — No Action",$T60="Closed — Incorporated"),$AB60&lt;&gt;""),MAX(0,$AB60-$B60),MAX(0,TODAY()-$B60)))</x:f>
      </x:c>
      <x:c r="AD60" s="775" t="str">
        <x:f>IF(COUNTA($A60:$F60,$H60:$AB60,$AG60)=0,"",IF(OR($A60="",$B60="",$C60="",$D60="",$F60="",$H60="",$I60="",$J60="",$K60="",$L60="",$M60="",$N60="",$O60="",$P60="",$Q60="",$R60="",$S60="",$T60="",$U60="",$V60="",$W60="",$X60="",$Y60="",$Z60="",$AA60="",AND(NOT(OR($D60="Portfolio-Level",$D60="Market / Macro",$D60="Other")),$E60="")),"INCOMPLETE",IF(COUNTIF($A$14:$A$213,$A60)&gt;1,"DUPLICATE ID","COMPLETE")))</x:f>
      </x:c>
      <x:c r="AE60" s="775" t="str">
        <x:f>IF($A60="","",IF($AD60&lt;&gt;"COMPLETE",$AD60,IF(AND($D60="Certified Holding",OR($E60="",$G60="Candidate / Non-Holding")),"HOLDING IDENTIFIER MISMATCH",IF(AND(OR($J60="Critical",$J60="High"),OR($U60="No",AND($L60="Unverified — Pending",$U60&lt;&gt;"Exception Approved"))),"VERIFY / ESCALATE",IF($X60="Unassigned","CONVICTION DECISION REQUIRED",IF(AND($S60&lt;TODAY(),$T60&lt;&gt;"Closed — No Action",$T60&lt;&gt;"Closed — Incorporated"),"OVERDUE",IF(AND(OR($T60="Closed — No Action",$T60="Closed — Incorporated"),$AB60=""),"CLOSE DATE REQUIRED",IF(AND(NOT(OR($T60="Closed — No Action",$T60="Closed — Incorporated")),$AB60&lt;&gt;""),"STATUS / CLOSE DATE MISMATCH",IF(AND($Z60&lt;&gt;"No",NOT(OR($U60="Yes",$U60="Exception Approved"))),"PEW REFERRAL BLOCKED",IF(AND($T60="Awaiting Verification",$U60="Yes"),"STATUS MISMATCH",IF(OR($T60="Closed — No Action",$T60="Closed — Incorporated"),"CLOSED","OPEN — ON TRACK")))))))))))</x:f>
      </x:c>
      <x:c r="AF60" s="775" t="str">
        <x:f>IF($A60="","",IF($AD60&lt;&gt;"COMPLETE","NOT ELIGIBLE",IF($X60="Unassigned","NOT ELIGIBLE — CONVICTION UNASSIGNED",IF(NOT(OR($U60="Yes",$U60="Exception Approved")),"NOT ELIGIBLE — UNVERIFIED",IF(OR($V60&lt;&gt;"None",AND($W60&lt;&gt;"None",$W60&lt;&gt;"Intact"),AND($X60&lt;&gt;"No Change",$X60&lt;&gt;"Not Applicable"),$Y60&lt;&gt;"None",$Z60&lt;&gt;"No"),"ELIGIBLE FOR ROUTING","NO REFERRAL REQUIRED")))))</x:f>
      </x:c>
      <x:c r="AG60" s="800"/>
    </x:row>
    <x:row r="61" ht="36" customHeight="1">
      <x:c r="A61" s="800"/>
      <x:c r="B61" s="804"/>
      <x:c r="C61" s="804"/>
      <x:c r="D61" s="800"/>
      <x:c r="E61" s="800"/>
      <x:c r="F61" s="800"/>
      <x:c r="G61" s="802" t="str">
        <x:f>IF($E61="","",IFERROR(INDEX('Certified Allocation'!$A$5:$A$51,MATCH($E61,'Certified Allocation'!$B$5:$B$51,0)),"Candidate / Non-Holding"))</x:f>
      </x:c>
      <x:c r="H61" s="800"/>
      <x:c r="I61" s="800"/>
      <x:c r="J61" s="800"/>
      <x:c r="K61" s="800"/>
      <x:c r="L61" s="800"/>
      <x:c r="M61" s="800"/>
      <x:c r="N61" s="800"/>
      <x:c r="O61" s="800"/>
      <x:c r="P61" s="800"/>
      <x:c r="Q61" s="800"/>
      <x:c r="R61" s="800"/>
      <x:c r="S61" s="804"/>
      <x:c r="T61" s="800"/>
      <x:c r="U61" s="800"/>
      <x:c r="V61" s="800"/>
      <x:c r="W61" s="800"/>
      <x:c r="X61" s="800"/>
      <x:c r="Y61" s="800"/>
      <x:c r="Z61" s="800"/>
      <x:c r="AA61" s="800"/>
      <x:c r="AB61" s="804"/>
      <x:c r="AC61" s="805" t="str">
        <x:f>IF($A61="","",IF(AND(OR($T61="Closed — No Action",$T61="Closed — Incorporated"),$AB61&lt;&gt;""),MAX(0,$AB61-$B61),MAX(0,TODAY()-$B61)))</x:f>
      </x:c>
      <x:c r="AD61" s="775" t="str">
        <x:f>IF(COUNTA($A61:$F61,$H61:$AB61,$AG61)=0,"",IF(OR($A61="",$B61="",$C61="",$D61="",$F61="",$H61="",$I61="",$J61="",$K61="",$L61="",$M61="",$N61="",$O61="",$P61="",$Q61="",$R61="",$S61="",$T61="",$U61="",$V61="",$W61="",$X61="",$Y61="",$Z61="",$AA61="",AND(NOT(OR($D61="Portfolio-Level",$D61="Market / Macro",$D61="Other")),$E61="")),"INCOMPLETE",IF(COUNTIF($A$14:$A$213,$A61)&gt;1,"DUPLICATE ID","COMPLETE")))</x:f>
      </x:c>
      <x:c r="AE61" s="775" t="str">
        <x:f>IF($A61="","",IF($AD61&lt;&gt;"COMPLETE",$AD61,IF(AND($D61="Certified Holding",OR($E61="",$G61="Candidate / Non-Holding")),"HOLDING IDENTIFIER MISMATCH",IF(AND(OR($J61="Critical",$J61="High"),OR($U61="No",AND($L61="Unverified — Pending",$U61&lt;&gt;"Exception Approved"))),"VERIFY / ESCALATE",IF($X61="Unassigned","CONVICTION DECISION REQUIRED",IF(AND($S61&lt;TODAY(),$T61&lt;&gt;"Closed — No Action",$T61&lt;&gt;"Closed — Incorporated"),"OVERDUE",IF(AND(OR($T61="Closed — No Action",$T61="Closed — Incorporated"),$AB61=""),"CLOSE DATE REQUIRED",IF(AND(NOT(OR($T61="Closed — No Action",$T61="Closed — Incorporated")),$AB61&lt;&gt;""),"STATUS / CLOSE DATE MISMATCH",IF(AND($Z61&lt;&gt;"No",NOT(OR($U61="Yes",$U61="Exception Approved"))),"PEW REFERRAL BLOCKED",IF(AND($T61="Awaiting Verification",$U61="Yes"),"STATUS MISMATCH",IF(OR($T61="Closed — No Action",$T61="Closed — Incorporated"),"CLOSED","OPEN — ON TRACK")))))))))))</x:f>
      </x:c>
      <x:c r="AF61" s="775" t="str">
        <x:f>IF($A61="","",IF($AD61&lt;&gt;"COMPLETE","NOT ELIGIBLE",IF($X61="Unassigned","NOT ELIGIBLE — CONVICTION UNASSIGNED",IF(NOT(OR($U61="Yes",$U61="Exception Approved")),"NOT ELIGIBLE — UNVERIFIED",IF(OR($V61&lt;&gt;"None",AND($W61&lt;&gt;"None",$W61&lt;&gt;"Intact"),AND($X61&lt;&gt;"No Change",$X61&lt;&gt;"Not Applicable"),$Y61&lt;&gt;"None",$Z61&lt;&gt;"No"),"ELIGIBLE FOR ROUTING","NO REFERRAL REQUIRED")))))</x:f>
      </x:c>
      <x:c r="AG61" s="800"/>
    </x:row>
    <x:row r="62" ht="36" customHeight="1">
      <x:c r="A62" s="800"/>
      <x:c r="B62" s="804"/>
      <x:c r="C62" s="804"/>
      <x:c r="D62" s="800"/>
      <x:c r="E62" s="800"/>
      <x:c r="F62" s="800"/>
      <x:c r="G62" s="802" t="str">
        <x:f>IF($E62="","",IFERROR(INDEX('Certified Allocation'!$A$5:$A$51,MATCH($E62,'Certified Allocation'!$B$5:$B$51,0)),"Candidate / Non-Holding"))</x:f>
      </x:c>
      <x:c r="H62" s="800"/>
      <x:c r="I62" s="800"/>
      <x:c r="J62" s="800"/>
      <x:c r="K62" s="800"/>
      <x:c r="L62" s="800"/>
      <x:c r="M62" s="800"/>
      <x:c r="N62" s="800"/>
      <x:c r="O62" s="800"/>
      <x:c r="P62" s="800"/>
      <x:c r="Q62" s="800"/>
      <x:c r="R62" s="800"/>
      <x:c r="S62" s="804"/>
      <x:c r="T62" s="800"/>
      <x:c r="U62" s="800"/>
      <x:c r="V62" s="800"/>
      <x:c r="W62" s="800"/>
      <x:c r="X62" s="800"/>
      <x:c r="Y62" s="800"/>
      <x:c r="Z62" s="800"/>
      <x:c r="AA62" s="800"/>
      <x:c r="AB62" s="804"/>
      <x:c r="AC62" s="805" t="str">
        <x:f>IF($A62="","",IF(AND(OR($T62="Closed — No Action",$T62="Closed — Incorporated"),$AB62&lt;&gt;""),MAX(0,$AB62-$B62),MAX(0,TODAY()-$B62)))</x:f>
      </x:c>
      <x:c r="AD62" s="775" t="str">
        <x:f>IF(COUNTA($A62:$F62,$H62:$AB62,$AG62)=0,"",IF(OR($A62="",$B62="",$C62="",$D62="",$F62="",$H62="",$I62="",$J62="",$K62="",$L62="",$M62="",$N62="",$O62="",$P62="",$Q62="",$R62="",$S62="",$T62="",$U62="",$V62="",$W62="",$X62="",$Y62="",$Z62="",$AA62="",AND(NOT(OR($D62="Portfolio-Level",$D62="Market / Macro",$D62="Other")),$E62="")),"INCOMPLETE",IF(COUNTIF($A$14:$A$213,$A62)&gt;1,"DUPLICATE ID","COMPLETE")))</x:f>
      </x:c>
      <x:c r="AE62" s="775" t="str">
        <x:f>IF($A62="","",IF($AD62&lt;&gt;"COMPLETE",$AD62,IF(AND($D62="Certified Holding",OR($E62="",$G62="Candidate / Non-Holding")),"HOLDING IDENTIFIER MISMATCH",IF(AND(OR($J62="Critical",$J62="High"),OR($U62="No",AND($L62="Unverified — Pending",$U62&lt;&gt;"Exception Approved"))),"VERIFY / ESCALATE",IF($X62="Unassigned","CONVICTION DECISION REQUIRED",IF(AND($S62&lt;TODAY(),$T62&lt;&gt;"Closed — No Action",$T62&lt;&gt;"Closed — Incorporated"),"OVERDUE",IF(AND(OR($T62="Closed — No Action",$T62="Closed — Incorporated"),$AB62=""),"CLOSE DATE REQUIRED",IF(AND(NOT(OR($T62="Closed — No Action",$T62="Closed — Incorporated")),$AB62&lt;&gt;""),"STATUS / CLOSE DATE MISMATCH",IF(AND($Z62&lt;&gt;"No",NOT(OR($U62="Yes",$U62="Exception Approved"))),"PEW REFERRAL BLOCKED",IF(AND($T62="Awaiting Verification",$U62="Yes"),"STATUS MISMATCH",IF(OR($T62="Closed — No Action",$T62="Closed — Incorporated"),"CLOSED","OPEN — ON TRACK")))))))))))</x:f>
      </x:c>
      <x:c r="AF62" s="775" t="str">
        <x:f>IF($A62="","",IF($AD62&lt;&gt;"COMPLETE","NOT ELIGIBLE",IF($X62="Unassigned","NOT ELIGIBLE — CONVICTION UNASSIGNED",IF(NOT(OR($U62="Yes",$U62="Exception Approved")),"NOT ELIGIBLE — UNVERIFIED",IF(OR($V62&lt;&gt;"None",AND($W62&lt;&gt;"None",$W62&lt;&gt;"Intact"),AND($X62&lt;&gt;"No Change",$X62&lt;&gt;"Not Applicable"),$Y62&lt;&gt;"None",$Z62&lt;&gt;"No"),"ELIGIBLE FOR ROUTING","NO REFERRAL REQUIRED")))))</x:f>
      </x:c>
      <x:c r="AG62" s="800"/>
    </x:row>
    <x:row r="63" ht="36" customHeight="1">
      <x:c r="A63" s="800"/>
      <x:c r="B63" s="804"/>
      <x:c r="C63" s="804"/>
      <x:c r="D63" s="800"/>
      <x:c r="E63" s="800"/>
      <x:c r="F63" s="800"/>
      <x:c r="G63" s="802" t="str">
        <x:f>IF($E63="","",IFERROR(INDEX('Certified Allocation'!$A$5:$A$51,MATCH($E63,'Certified Allocation'!$B$5:$B$51,0)),"Candidate / Non-Holding"))</x:f>
      </x:c>
      <x:c r="H63" s="800"/>
      <x:c r="I63" s="800"/>
      <x:c r="J63" s="800"/>
      <x:c r="K63" s="800"/>
      <x:c r="L63" s="800"/>
      <x:c r="M63" s="800"/>
      <x:c r="N63" s="800"/>
      <x:c r="O63" s="800"/>
      <x:c r="P63" s="800"/>
      <x:c r="Q63" s="800"/>
      <x:c r="R63" s="800"/>
      <x:c r="S63" s="804"/>
      <x:c r="T63" s="800"/>
      <x:c r="U63" s="800"/>
      <x:c r="V63" s="800"/>
      <x:c r="W63" s="800"/>
      <x:c r="X63" s="800"/>
      <x:c r="Y63" s="800"/>
      <x:c r="Z63" s="800"/>
      <x:c r="AA63" s="800"/>
      <x:c r="AB63" s="804"/>
      <x:c r="AC63" s="805" t="str">
        <x:f>IF($A63="","",IF(AND(OR($T63="Closed — No Action",$T63="Closed — Incorporated"),$AB63&lt;&gt;""),MAX(0,$AB63-$B63),MAX(0,TODAY()-$B63)))</x:f>
      </x:c>
      <x:c r="AD63" s="775" t="str">
        <x:f>IF(COUNTA($A63:$F63,$H63:$AB63,$AG63)=0,"",IF(OR($A63="",$B63="",$C63="",$D63="",$F63="",$H63="",$I63="",$J63="",$K63="",$L63="",$M63="",$N63="",$O63="",$P63="",$Q63="",$R63="",$S63="",$T63="",$U63="",$V63="",$W63="",$X63="",$Y63="",$Z63="",$AA63="",AND(NOT(OR($D63="Portfolio-Level",$D63="Market / Macro",$D63="Other")),$E63="")),"INCOMPLETE",IF(COUNTIF($A$14:$A$213,$A63)&gt;1,"DUPLICATE ID","COMPLETE")))</x:f>
      </x:c>
      <x:c r="AE63" s="775" t="str">
        <x:f>IF($A63="","",IF($AD63&lt;&gt;"COMPLETE",$AD63,IF(AND($D63="Certified Holding",OR($E63="",$G63="Candidate / Non-Holding")),"HOLDING IDENTIFIER MISMATCH",IF(AND(OR($J63="Critical",$J63="High"),OR($U63="No",AND($L63="Unverified — Pending",$U63&lt;&gt;"Exception Approved"))),"VERIFY / ESCALATE",IF($X63="Unassigned","CONVICTION DECISION REQUIRED",IF(AND($S63&lt;TODAY(),$T63&lt;&gt;"Closed — No Action",$T63&lt;&gt;"Closed — Incorporated"),"OVERDUE",IF(AND(OR($T63="Closed — No Action",$T63="Closed — Incorporated"),$AB63=""),"CLOSE DATE REQUIRED",IF(AND(NOT(OR($T63="Closed — No Action",$T63="Closed — Incorporated")),$AB63&lt;&gt;""),"STATUS / CLOSE DATE MISMATCH",IF(AND($Z63&lt;&gt;"No",NOT(OR($U63="Yes",$U63="Exception Approved"))),"PEW REFERRAL BLOCKED",IF(AND($T63="Awaiting Verification",$U63="Yes"),"STATUS MISMATCH",IF(OR($T63="Closed — No Action",$T63="Closed — Incorporated"),"CLOSED","OPEN — ON TRACK")))))))))))</x:f>
      </x:c>
      <x:c r="AF63" s="775" t="str">
        <x:f>IF($A63="","",IF($AD63&lt;&gt;"COMPLETE","NOT ELIGIBLE",IF($X63="Unassigned","NOT ELIGIBLE — CONVICTION UNASSIGNED",IF(NOT(OR($U63="Yes",$U63="Exception Approved")),"NOT ELIGIBLE — UNVERIFIED",IF(OR($V63&lt;&gt;"None",AND($W63&lt;&gt;"None",$W63&lt;&gt;"Intact"),AND($X63&lt;&gt;"No Change",$X63&lt;&gt;"Not Applicable"),$Y63&lt;&gt;"None",$Z63&lt;&gt;"No"),"ELIGIBLE FOR ROUTING","NO REFERRAL REQUIRED")))))</x:f>
      </x:c>
      <x:c r="AG63" s="800"/>
    </x:row>
    <x:row r="64" ht="36" customHeight="1">
      <x:c r="A64" s="800"/>
      <x:c r="B64" s="804"/>
      <x:c r="C64" s="804"/>
      <x:c r="D64" s="800"/>
      <x:c r="E64" s="800"/>
      <x:c r="F64" s="800"/>
      <x:c r="G64" s="802" t="str">
        <x:f>IF($E64="","",IFERROR(INDEX('Certified Allocation'!$A$5:$A$51,MATCH($E64,'Certified Allocation'!$B$5:$B$51,0)),"Candidate / Non-Holding"))</x:f>
      </x:c>
      <x:c r="H64" s="800"/>
      <x:c r="I64" s="800"/>
      <x:c r="J64" s="800"/>
      <x:c r="K64" s="800"/>
      <x:c r="L64" s="800"/>
      <x:c r="M64" s="800"/>
      <x:c r="N64" s="800"/>
      <x:c r="O64" s="800"/>
      <x:c r="P64" s="800"/>
      <x:c r="Q64" s="800"/>
      <x:c r="R64" s="800"/>
      <x:c r="S64" s="804"/>
      <x:c r="T64" s="800"/>
      <x:c r="U64" s="800"/>
      <x:c r="V64" s="800"/>
      <x:c r="W64" s="800"/>
      <x:c r="X64" s="800"/>
      <x:c r="Y64" s="800"/>
      <x:c r="Z64" s="800"/>
      <x:c r="AA64" s="800"/>
      <x:c r="AB64" s="804"/>
      <x:c r="AC64" s="805" t="str">
        <x:f>IF($A64="","",IF(AND(OR($T64="Closed — No Action",$T64="Closed — Incorporated"),$AB64&lt;&gt;""),MAX(0,$AB64-$B64),MAX(0,TODAY()-$B64)))</x:f>
      </x:c>
      <x:c r="AD64" s="775" t="str">
        <x:f>IF(COUNTA($A64:$F64,$H64:$AB64,$AG64)=0,"",IF(OR($A64="",$B64="",$C64="",$D64="",$F64="",$H64="",$I64="",$J64="",$K64="",$L64="",$M64="",$N64="",$O64="",$P64="",$Q64="",$R64="",$S64="",$T64="",$U64="",$V64="",$W64="",$X64="",$Y64="",$Z64="",$AA64="",AND(NOT(OR($D64="Portfolio-Level",$D64="Market / Macro",$D64="Other")),$E64="")),"INCOMPLETE",IF(COUNTIF($A$14:$A$213,$A64)&gt;1,"DUPLICATE ID","COMPLETE")))</x:f>
      </x:c>
      <x:c r="AE64" s="775" t="str">
        <x:f>IF($A64="","",IF($AD64&lt;&gt;"COMPLETE",$AD64,IF(AND($D64="Certified Holding",OR($E64="",$G64="Candidate / Non-Holding")),"HOLDING IDENTIFIER MISMATCH",IF(AND(OR($J64="Critical",$J64="High"),OR($U64="No",AND($L64="Unverified — Pending",$U64&lt;&gt;"Exception Approved"))),"VERIFY / ESCALATE",IF($X64="Unassigned","CONVICTION DECISION REQUIRED",IF(AND($S64&lt;TODAY(),$T64&lt;&gt;"Closed — No Action",$T64&lt;&gt;"Closed — Incorporated"),"OVERDUE",IF(AND(OR($T64="Closed — No Action",$T64="Closed — Incorporated"),$AB64=""),"CLOSE DATE REQUIRED",IF(AND(NOT(OR($T64="Closed — No Action",$T64="Closed — Incorporated")),$AB64&lt;&gt;""),"STATUS / CLOSE DATE MISMATCH",IF(AND($Z64&lt;&gt;"No",NOT(OR($U64="Yes",$U64="Exception Approved"))),"PEW REFERRAL BLOCKED",IF(AND($T64="Awaiting Verification",$U64="Yes"),"STATUS MISMATCH",IF(OR($T64="Closed — No Action",$T64="Closed — Incorporated"),"CLOSED","OPEN — ON TRACK")))))))))))</x:f>
      </x:c>
      <x:c r="AF64" s="775" t="str">
        <x:f>IF($A64="","",IF($AD64&lt;&gt;"COMPLETE","NOT ELIGIBLE",IF($X64="Unassigned","NOT ELIGIBLE — CONVICTION UNASSIGNED",IF(NOT(OR($U64="Yes",$U64="Exception Approved")),"NOT ELIGIBLE — UNVERIFIED",IF(OR($V64&lt;&gt;"None",AND($W64&lt;&gt;"None",$W64&lt;&gt;"Intact"),AND($X64&lt;&gt;"No Change",$X64&lt;&gt;"Not Applicable"),$Y64&lt;&gt;"None",$Z64&lt;&gt;"No"),"ELIGIBLE FOR ROUTING","NO REFERRAL REQUIRED")))))</x:f>
      </x:c>
      <x:c r="AG64" s="800"/>
    </x:row>
    <x:row r="65" ht="36" customHeight="1">
      <x:c r="A65" s="800"/>
      <x:c r="B65" s="804"/>
      <x:c r="C65" s="804"/>
      <x:c r="D65" s="800"/>
      <x:c r="E65" s="800"/>
      <x:c r="F65" s="800"/>
      <x:c r="G65" s="802" t="str">
        <x:f>IF($E65="","",IFERROR(INDEX('Certified Allocation'!$A$5:$A$51,MATCH($E65,'Certified Allocation'!$B$5:$B$51,0)),"Candidate / Non-Holding"))</x:f>
      </x:c>
      <x:c r="H65" s="800"/>
      <x:c r="I65" s="800"/>
      <x:c r="J65" s="800"/>
      <x:c r="K65" s="800"/>
      <x:c r="L65" s="800"/>
      <x:c r="M65" s="800"/>
      <x:c r="N65" s="800"/>
      <x:c r="O65" s="800"/>
      <x:c r="P65" s="800"/>
      <x:c r="Q65" s="800"/>
      <x:c r="R65" s="800"/>
      <x:c r="S65" s="804"/>
      <x:c r="T65" s="800"/>
      <x:c r="U65" s="800"/>
      <x:c r="V65" s="800"/>
      <x:c r="W65" s="800"/>
      <x:c r="X65" s="800"/>
      <x:c r="Y65" s="800"/>
      <x:c r="Z65" s="800"/>
      <x:c r="AA65" s="800"/>
      <x:c r="AB65" s="804"/>
      <x:c r="AC65" s="805" t="str">
        <x:f>IF($A65="","",IF(AND(OR($T65="Closed — No Action",$T65="Closed — Incorporated"),$AB65&lt;&gt;""),MAX(0,$AB65-$B65),MAX(0,TODAY()-$B65)))</x:f>
      </x:c>
      <x:c r="AD65" s="775" t="str">
        <x:f>IF(COUNTA($A65:$F65,$H65:$AB65,$AG65)=0,"",IF(OR($A65="",$B65="",$C65="",$D65="",$F65="",$H65="",$I65="",$J65="",$K65="",$L65="",$M65="",$N65="",$O65="",$P65="",$Q65="",$R65="",$S65="",$T65="",$U65="",$V65="",$W65="",$X65="",$Y65="",$Z65="",$AA65="",AND(NOT(OR($D65="Portfolio-Level",$D65="Market / Macro",$D65="Other")),$E65="")),"INCOMPLETE",IF(COUNTIF($A$14:$A$213,$A65)&gt;1,"DUPLICATE ID","COMPLETE")))</x:f>
      </x:c>
      <x:c r="AE65" s="775" t="str">
        <x:f>IF($A65="","",IF($AD65&lt;&gt;"COMPLETE",$AD65,IF(AND($D65="Certified Holding",OR($E65="",$G65="Candidate / Non-Holding")),"HOLDING IDENTIFIER MISMATCH",IF(AND(OR($J65="Critical",$J65="High"),OR($U65="No",AND($L65="Unverified — Pending",$U65&lt;&gt;"Exception Approved"))),"VERIFY / ESCALATE",IF($X65="Unassigned","CONVICTION DECISION REQUIRED",IF(AND($S65&lt;TODAY(),$T65&lt;&gt;"Closed — No Action",$T65&lt;&gt;"Closed — Incorporated"),"OVERDUE",IF(AND(OR($T65="Closed — No Action",$T65="Closed — Incorporated"),$AB65=""),"CLOSE DATE REQUIRED",IF(AND(NOT(OR($T65="Closed — No Action",$T65="Closed — Incorporated")),$AB65&lt;&gt;""),"STATUS / CLOSE DATE MISMATCH",IF(AND($Z65&lt;&gt;"No",NOT(OR($U65="Yes",$U65="Exception Approved"))),"PEW REFERRAL BLOCKED",IF(AND($T65="Awaiting Verification",$U65="Yes"),"STATUS MISMATCH",IF(OR($T65="Closed — No Action",$T65="Closed — Incorporated"),"CLOSED","OPEN — ON TRACK")))))))))))</x:f>
      </x:c>
      <x:c r="AF65" s="775" t="str">
        <x:f>IF($A65="","",IF($AD65&lt;&gt;"COMPLETE","NOT ELIGIBLE",IF($X65="Unassigned","NOT ELIGIBLE — CONVICTION UNASSIGNED",IF(NOT(OR($U65="Yes",$U65="Exception Approved")),"NOT ELIGIBLE — UNVERIFIED",IF(OR($V65&lt;&gt;"None",AND($W65&lt;&gt;"None",$W65&lt;&gt;"Intact"),AND($X65&lt;&gt;"No Change",$X65&lt;&gt;"Not Applicable"),$Y65&lt;&gt;"None",$Z65&lt;&gt;"No"),"ELIGIBLE FOR ROUTING","NO REFERRAL REQUIRED")))))</x:f>
      </x:c>
      <x:c r="AG65" s="800"/>
    </x:row>
    <x:row r="66" ht="36" customHeight="1">
      <x:c r="A66" s="800"/>
      <x:c r="B66" s="804"/>
      <x:c r="C66" s="804"/>
      <x:c r="D66" s="800"/>
      <x:c r="E66" s="800"/>
      <x:c r="F66" s="800"/>
      <x:c r="G66" s="802" t="str">
        <x:f>IF($E66="","",IFERROR(INDEX('Certified Allocation'!$A$5:$A$51,MATCH($E66,'Certified Allocation'!$B$5:$B$51,0)),"Candidate / Non-Holding"))</x:f>
      </x:c>
      <x:c r="H66" s="800"/>
      <x:c r="I66" s="800"/>
      <x:c r="J66" s="800"/>
      <x:c r="K66" s="800"/>
      <x:c r="L66" s="800"/>
      <x:c r="M66" s="800"/>
      <x:c r="N66" s="800"/>
      <x:c r="O66" s="800"/>
      <x:c r="P66" s="800"/>
      <x:c r="Q66" s="800"/>
      <x:c r="R66" s="800"/>
      <x:c r="S66" s="804"/>
      <x:c r="T66" s="800"/>
      <x:c r="U66" s="800"/>
      <x:c r="V66" s="800"/>
      <x:c r="W66" s="800"/>
      <x:c r="X66" s="800"/>
      <x:c r="Y66" s="800"/>
      <x:c r="Z66" s="800"/>
      <x:c r="AA66" s="800"/>
      <x:c r="AB66" s="804"/>
      <x:c r="AC66" s="805" t="str">
        <x:f>IF($A66="","",IF(AND(OR($T66="Closed — No Action",$T66="Closed — Incorporated"),$AB66&lt;&gt;""),MAX(0,$AB66-$B66),MAX(0,TODAY()-$B66)))</x:f>
      </x:c>
      <x:c r="AD66" s="775" t="str">
        <x:f>IF(COUNTA($A66:$F66,$H66:$AB66,$AG66)=0,"",IF(OR($A66="",$B66="",$C66="",$D66="",$F66="",$H66="",$I66="",$J66="",$K66="",$L66="",$M66="",$N66="",$O66="",$P66="",$Q66="",$R66="",$S66="",$T66="",$U66="",$V66="",$W66="",$X66="",$Y66="",$Z66="",$AA66="",AND(NOT(OR($D66="Portfolio-Level",$D66="Market / Macro",$D66="Other")),$E66="")),"INCOMPLETE",IF(COUNTIF($A$14:$A$213,$A66)&gt;1,"DUPLICATE ID","COMPLETE")))</x:f>
      </x:c>
      <x:c r="AE66" s="775" t="str">
        <x:f>IF($A66="","",IF($AD66&lt;&gt;"COMPLETE",$AD66,IF(AND($D66="Certified Holding",OR($E66="",$G66="Candidate / Non-Holding")),"HOLDING IDENTIFIER MISMATCH",IF(AND(OR($J66="Critical",$J66="High"),OR($U66="No",AND($L66="Unverified — Pending",$U66&lt;&gt;"Exception Approved"))),"VERIFY / ESCALATE",IF($X66="Unassigned","CONVICTION DECISION REQUIRED",IF(AND($S66&lt;TODAY(),$T66&lt;&gt;"Closed — No Action",$T66&lt;&gt;"Closed — Incorporated"),"OVERDUE",IF(AND(OR($T66="Closed — No Action",$T66="Closed — Incorporated"),$AB66=""),"CLOSE DATE REQUIRED",IF(AND(NOT(OR($T66="Closed — No Action",$T66="Closed — Incorporated")),$AB66&lt;&gt;""),"STATUS / CLOSE DATE MISMATCH",IF(AND($Z66&lt;&gt;"No",NOT(OR($U66="Yes",$U66="Exception Approved"))),"PEW REFERRAL BLOCKED",IF(AND($T66="Awaiting Verification",$U66="Yes"),"STATUS MISMATCH",IF(OR($T66="Closed — No Action",$T66="Closed — Incorporated"),"CLOSED","OPEN — ON TRACK")))))))))))</x:f>
      </x:c>
      <x:c r="AF66" s="775" t="str">
        <x:f>IF($A66="","",IF($AD66&lt;&gt;"COMPLETE","NOT ELIGIBLE",IF($X66="Unassigned","NOT ELIGIBLE — CONVICTION UNASSIGNED",IF(NOT(OR($U66="Yes",$U66="Exception Approved")),"NOT ELIGIBLE — UNVERIFIED",IF(OR($V66&lt;&gt;"None",AND($W66&lt;&gt;"None",$W66&lt;&gt;"Intact"),AND($X66&lt;&gt;"No Change",$X66&lt;&gt;"Not Applicable"),$Y66&lt;&gt;"None",$Z66&lt;&gt;"No"),"ELIGIBLE FOR ROUTING","NO REFERRAL REQUIRED")))))</x:f>
      </x:c>
      <x:c r="AG66" s="800"/>
    </x:row>
    <x:row r="67" ht="36" customHeight="1">
      <x:c r="A67" s="800"/>
      <x:c r="B67" s="804"/>
      <x:c r="C67" s="804"/>
      <x:c r="D67" s="800"/>
      <x:c r="E67" s="800"/>
      <x:c r="F67" s="800"/>
      <x:c r="G67" s="802" t="str">
        <x:f>IF($E67="","",IFERROR(INDEX('Certified Allocation'!$A$5:$A$51,MATCH($E67,'Certified Allocation'!$B$5:$B$51,0)),"Candidate / Non-Holding"))</x:f>
      </x:c>
      <x:c r="H67" s="800"/>
      <x:c r="I67" s="800"/>
      <x:c r="J67" s="800"/>
      <x:c r="K67" s="800"/>
      <x:c r="L67" s="800"/>
      <x:c r="M67" s="800"/>
      <x:c r="N67" s="800"/>
      <x:c r="O67" s="800"/>
      <x:c r="P67" s="800"/>
      <x:c r="Q67" s="800"/>
      <x:c r="R67" s="800"/>
      <x:c r="S67" s="804"/>
      <x:c r="T67" s="800"/>
      <x:c r="U67" s="800"/>
      <x:c r="V67" s="800"/>
      <x:c r="W67" s="800"/>
      <x:c r="X67" s="800"/>
      <x:c r="Y67" s="800"/>
      <x:c r="Z67" s="800"/>
      <x:c r="AA67" s="800"/>
      <x:c r="AB67" s="804"/>
      <x:c r="AC67" s="805" t="str">
        <x:f>IF($A67="","",IF(AND(OR($T67="Closed — No Action",$T67="Closed — Incorporated"),$AB67&lt;&gt;""),MAX(0,$AB67-$B67),MAX(0,TODAY()-$B67)))</x:f>
      </x:c>
      <x:c r="AD67" s="775" t="str">
        <x:f>IF(COUNTA($A67:$F67,$H67:$AB67,$AG67)=0,"",IF(OR($A67="",$B67="",$C67="",$D67="",$F67="",$H67="",$I67="",$J67="",$K67="",$L67="",$M67="",$N67="",$O67="",$P67="",$Q67="",$R67="",$S67="",$T67="",$U67="",$V67="",$W67="",$X67="",$Y67="",$Z67="",$AA67="",AND(NOT(OR($D67="Portfolio-Level",$D67="Market / Macro",$D67="Other")),$E67="")),"INCOMPLETE",IF(COUNTIF($A$14:$A$213,$A67)&gt;1,"DUPLICATE ID","COMPLETE")))</x:f>
      </x:c>
      <x:c r="AE67" s="775" t="str">
        <x:f>IF($A67="","",IF($AD67&lt;&gt;"COMPLETE",$AD67,IF(AND($D67="Certified Holding",OR($E67="",$G67="Candidate / Non-Holding")),"HOLDING IDENTIFIER MISMATCH",IF(AND(OR($J67="Critical",$J67="High"),OR($U67="No",AND($L67="Unverified — Pending",$U67&lt;&gt;"Exception Approved"))),"VERIFY / ESCALATE",IF($X67="Unassigned","CONVICTION DECISION REQUIRED",IF(AND($S67&lt;TODAY(),$T67&lt;&gt;"Closed — No Action",$T67&lt;&gt;"Closed — Incorporated"),"OVERDUE",IF(AND(OR($T67="Closed — No Action",$T67="Closed — Incorporated"),$AB67=""),"CLOSE DATE REQUIRED",IF(AND(NOT(OR($T67="Closed — No Action",$T67="Closed — Incorporated")),$AB67&lt;&gt;""),"STATUS / CLOSE DATE MISMATCH",IF(AND($Z67&lt;&gt;"No",NOT(OR($U67="Yes",$U67="Exception Approved"))),"PEW REFERRAL BLOCKED",IF(AND($T67="Awaiting Verification",$U67="Yes"),"STATUS MISMATCH",IF(OR($T67="Closed — No Action",$T67="Closed — Incorporated"),"CLOSED","OPEN — ON TRACK")))))))))))</x:f>
      </x:c>
      <x:c r="AF67" s="775" t="str">
        <x:f>IF($A67="","",IF($AD67&lt;&gt;"COMPLETE","NOT ELIGIBLE",IF($X67="Unassigned","NOT ELIGIBLE — CONVICTION UNASSIGNED",IF(NOT(OR($U67="Yes",$U67="Exception Approved")),"NOT ELIGIBLE — UNVERIFIED",IF(OR($V67&lt;&gt;"None",AND($W67&lt;&gt;"None",$W67&lt;&gt;"Intact"),AND($X67&lt;&gt;"No Change",$X67&lt;&gt;"Not Applicable"),$Y67&lt;&gt;"None",$Z67&lt;&gt;"No"),"ELIGIBLE FOR ROUTING","NO REFERRAL REQUIRED")))))</x:f>
      </x:c>
      <x:c r="AG67" s="800"/>
    </x:row>
    <x:row r="68" ht="36" customHeight="1">
      <x:c r="A68" s="800"/>
      <x:c r="B68" s="804"/>
      <x:c r="C68" s="804"/>
      <x:c r="D68" s="800"/>
      <x:c r="E68" s="800"/>
      <x:c r="F68" s="800"/>
      <x:c r="G68" s="802" t="str">
        <x:f>IF($E68="","",IFERROR(INDEX('Certified Allocation'!$A$5:$A$51,MATCH($E68,'Certified Allocation'!$B$5:$B$51,0)),"Candidate / Non-Holding"))</x:f>
      </x:c>
      <x:c r="H68" s="800"/>
      <x:c r="I68" s="800"/>
      <x:c r="J68" s="800"/>
      <x:c r="K68" s="800"/>
      <x:c r="L68" s="800"/>
      <x:c r="M68" s="800"/>
      <x:c r="N68" s="800"/>
      <x:c r="O68" s="800"/>
      <x:c r="P68" s="800"/>
      <x:c r="Q68" s="800"/>
      <x:c r="R68" s="800"/>
      <x:c r="S68" s="804"/>
      <x:c r="T68" s="800"/>
      <x:c r="U68" s="800"/>
      <x:c r="V68" s="800"/>
      <x:c r="W68" s="800"/>
      <x:c r="X68" s="800"/>
      <x:c r="Y68" s="800"/>
      <x:c r="Z68" s="800"/>
      <x:c r="AA68" s="800"/>
      <x:c r="AB68" s="804"/>
      <x:c r="AC68" s="805" t="str">
        <x:f>IF($A68="","",IF(AND(OR($T68="Closed — No Action",$T68="Closed — Incorporated"),$AB68&lt;&gt;""),MAX(0,$AB68-$B68),MAX(0,TODAY()-$B68)))</x:f>
      </x:c>
      <x:c r="AD68" s="775" t="str">
        <x:f>IF(COUNTA($A68:$F68,$H68:$AB68,$AG68)=0,"",IF(OR($A68="",$B68="",$C68="",$D68="",$F68="",$H68="",$I68="",$J68="",$K68="",$L68="",$M68="",$N68="",$O68="",$P68="",$Q68="",$R68="",$S68="",$T68="",$U68="",$V68="",$W68="",$X68="",$Y68="",$Z68="",$AA68="",AND(NOT(OR($D68="Portfolio-Level",$D68="Market / Macro",$D68="Other")),$E68="")),"INCOMPLETE",IF(COUNTIF($A$14:$A$213,$A68)&gt;1,"DUPLICATE ID","COMPLETE")))</x:f>
      </x:c>
      <x:c r="AE68" s="775" t="str">
        <x:f>IF($A68="","",IF($AD68&lt;&gt;"COMPLETE",$AD68,IF(AND($D68="Certified Holding",OR($E68="",$G68="Candidate / Non-Holding")),"HOLDING IDENTIFIER MISMATCH",IF(AND(OR($J68="Critical",$J68="High"),OR($U68="No",AND($L68="Unverified — Pending",$U68&lt;&gt;"Exception Approved"))),"VERIFY / ESCALATE",IF($X68="Unassigned","CONVICTION DECISION REQUIRED",IF(AND($S68&lt;TODAY(),$T68&lt;&gt;"Closed — No Action",$T68&lt;&gt;"Closed — Incorporated"),"OVERDUE",IF(AND(OR($T68="Closed — No Action",$T68="Closed — Incorporated"),$AB68=""),"CLOSE DATE REQUIRED",IF(AND(NOT(OR($T68="Closed — No Action",$T68="Closed — Incorporated")),$AB68&lt;&gt;""),"STATUS / CLOSE DATE MISMATCH",IF(AND($Z68&lt;&gt;"No",NOT(OR($U68="Yes",$U68="Exception Approved"))),"PEW REFERRAL BLOCKED",IF(AND($T68="Awaiting Verification",$U68="Yes"),"STATUS MISMATCH",IF(OR($T68="Closed — No Action",$T68="Closed — Incorporated"),"CLOSED","OPEN — ON TRACK")))))))))))</x:f>
      </x:c>
      <x:c r="AF68" s="775" t="str">
        <x:f>IF($A68="","",IF($AD68&lt;&gt;"COMPLETE","NOT ELIGIBLE",IF($X68="Unassigned","NOT ELIGIBLE — CONVICTION UNASSIGNED",IF(NOT(OR($U68="Yes",$U68="Exception Approved")),"NOT ELIGIBLE — UNVERIFIED",IF(OR($V68&lt;&gt;"None",AND($W68&lt;&gt;"None",$W68&lt;&gt;"Intact"),AND($X68&lt;&gt;"No Change",$X68&lt;&gt;"Not Applicable"),$Y68&lt;&gt;"None",$Z68&lt;&gt;"No"),"ELIGIBLE FOR ROUTING","NO REFERRAL REQUIRED")))))</x:f>
      </x:c>
      <x:c r="AG68" s="800"/>
    </x:row>
    <x:row r="69" ht="36" customHeight="1">
      <x:c r="A69" s="800"/>
      <x:c r="B69" s="804"/>
      <x:c r="C69" s="804"/>
      <x:c r="D69" s="800"/>
      <x:c r="E69" s="800"/>
      <x:c r="F69" s="800"/>
      <x:c r="G69" s="802" t="str">
        <x:f>IF($E69="","",IFERROR(INDEX('Certified Allocation'!$A$5:$A$51,MATCH($E69,'Certified Allocation'!$B$5:$B$51,0)),"Candidate / Non-Holding"))</x:f>
      </x:c>
      <x:c r="H69" s="800"/>
      <x:c r="I69" s="800"/>
      <x:c r="J69" s="800"/>
      <x:c r="K69" s="800"/>
      <x:c r="L69" s="800"/>
      <x:c r="M69" s="800"/>
      <x:c r="N69" s="800"/>
      <x:c r="O69" s="800"/>
      <x:c r="P69" s="800"/>
      <x:c r="Q69" s="800"/>
      <x:c r="R69" s="800"/>
      <x:c r="S69" s="804"/>
      <x:c r="T69" s="800"/>
      <x:c r="U69" s="800"/>
      <x:c r="V69" s="800"/>
      <x:c r="W69" s="800"/>
      <x:c r="X69" s="800"/>
      <x:c r="Y69" s="800"/>
      <x:c r="Z69" s="800"/>
      <x:c r="AA69" s="800"/>
      <x:c r="AB69" s="804"/>
      <x:c r="AC69" s="805" t="str">
        <x:f>IF($A69="","",IF(AND(OR($T69="Closed — No Action",$T69="Closed — Incorporated"),$AB69&lt;&gt;""),MAX(0,$AB69-$B69),MAX(0,TODAY()-$B69)))</x:f>
      </x:c>
      <x:c r="AD69" s="775" t="str">
        <x:f>IF(COUNTA($A69:$F69,$H69:$AB69,$AG69)=0,"",IF(OR($A69="",$B69="",$C69="",$D69="",$F69="",$H69="",$I69="",$J69="",$K69="",$L69="",$M69="",$N69="",$O69="",$P69="",$Q69="",$R69="",$S69="",$T69="",$U69="",$V69="",$W69="",$X69="",$Y69="",$Z69="",$AA69="",AND(NOT(OR($D69="Portfolio-Level",$D69="Market / Macro",$D69="Other")),$E69="")),"INCOMPLETE",IF(COUNTIF($A$14:$A$213,$A69)&gt;1,"DUPLICATE ID","COMPLETE")))</x:f>
      </x:c>
      <x:c r="AE69" s="775" t="str">
        <x:f>IF($A69="","",IF($AD69&lt;&gt;"COMPLETE",$AD69,IF(AND($D69="Certified Holding",OR($E69="",$G69="Candidate / Non-Holding")),"HOLDING IDENTIFIER MISMATCH",IF(AND(OR($J69="Critical",$J69="High"),OR($U69="No",AND($L69="Unverified — Pending",$U69&lt;&gt;"Exception Approved"))),"VERIFY / ESCALATE",IF($X69="Unassigned","CONVICTION DECISION REQUIRED",IF(AND($S69&lt;TODAY(),$T69&lt;&gt;"Closed — No Action",$T69&lt;&gt;"Closed — Incorporated"),"OVERDUE",IF(AND(OR($T69="Closed — No Action",$T69="Closed — Incorporated"),$AB69=""),"CLOSE DATE REQUIRED",IF(AND(NOT(OR($T69="Closed — No Action",$T69="Closed — Incorporated")),$AB69&lt;&gt;""),"STATUS / CLOSE DATE MISMATCH",IF(AND($Z69&lt;&gt;"No",NOT(OR($U69="Yes",$U69="Exception Approved"))),"PEW REFERRAL BLOCKED",IF(AND($T69="Awaiting Verification",$U69="Yes"),"STATUS MISMATCH",IF(OR($T69="Closed — No Action",$T69="Closed — Incorporated"),"CLOSED","OPEN — ON TRACK")))))))))))</x:f>
      </x:c>
      <x:c r="AF69" s="775" t="str">
        <x:f>IF($A69="","",IF($AD69&lt;&gt;"COMPLETE","NOT ELIGIBLE",IF($X69="Unassigned","NOT ELIGIBLE — CONVICTION UNASSIGNED",IF(NOT(OR($U69="Yes",$U69="Exception Approved")),"NOT ELIGIBLE — UNVERIFIED",IF(OR($V69&lt;&gt;"None",AND($W69&lt;&gt;"None",$W69&lt;&gt;"Intact"),AND($X69&lt;&gt;"No Change",$X69&lt;&gt;"Not Applicable"),$Y69&lt;&gt;"None",$Z69&lt;&gt;"No"),"ELIGIBLE FOR ROUTING","NO REFERRAL REQUIRED")))))</x:f>
      </x:c>
      <x:c r="AG69" s="800"/>
    </x:row>
    <x:row r="70" ht="36" customHeight="1">
      <x:c r="A70" s="800"/>
      <x:c r="B70" s="804"/>
      <x:c r="C70" s="804"/>
      <x:c r="D70" s="800"/>
      <x:c r="E70" s="800"/>
      <x:c r="F70" s="800"/>
      <x:c r="G70" s="802" t="str">
        <x:f>IF($E70="","",IFERROR(INDEX('Certified Allocation'!$A$5:$A$51,MATCH($E70,'Certified Allocation'!$B$5:$B$51,0)),"Candidate / Non-Holding"))</x:f>
      </x:c>
      <x:c r="H70" s="800"/>
      <x:c r="I70" s="800"/>
      <x:c r="J70" s="800"/>
      <x:c r="K70" s="800"/>
      <x:c r="L70" s="800"/>
      <x:c r="M70" s="800"/>
      <x:c r="N70" s="800"/>
      <x:c r="O70" s="800"/>
      <x:c r="P70" s="800"/>
      <x:c r="Q70" s="800"/>
      <x:c r="R70" s="800"/>
      <x:c r="S70" s="804"/>
      <x:c r="T70" s="800"/>
      <x:c r="U70" s="800"/>
      <x:c r="V70" s="800"/>
      <x:c r="W70" s="800"/>
      <x:c r="X70" s="800"/>
      <x:c r="Y70" s="800"/>
      <x:c r="Z70" s="800"/>
      <x:c r="AA70" s="800"/>
      <x:c r="AB70" s="804"/>
      <x:c r="AC70" s="805" t="str">
        <x:f>IF($A70="","",IF(AND(OR($T70="Closed — No Action",$T70="Closed — Incorporated"),$AB70&lt;&gt;""),MAX(0,$AB70-$B70),MAX(0,TODAY()-$B70)))</x:f>
      </x:c>
      <x:c r="AD70" s="775" t="str">
        <x:f>IF(COUNTA($A70:$F70,$H70:$AB70,$AG70)=0,"",IF(OR($A70="",$B70="",$C70="",$D70="",$F70="",$H70="",$I70="",$J70="",$K70="",$L70="",$M70="",$N70="",$O70="",$P70="",$Q70="",$R70="",$S70="",$T70="",$U70="",$V70="",$W70="",$X70="",$Y70="",$Z70="",$AA70="",AND(NOT(OR($D70="Portfolio-Level",$D70="Market / Macro",$D70="Other")),$E70="")),"INCOMPLETE",IF(COUNTIF($A$14:$A$213,$A70)&gt;1,"DUPLICATE ID","COMPLETE")))</x:f>
      </x:c>
      <x:c r="AE70" s="775" t="str">
        <x:f>IF($A70="","",IF($AD70&lt;&gt;"COMPLETE",$AD70,IF(AND($D70="Certified Holding",OR($E70="",$G70="Candidate / Non-Holding")),"HOLDING IDENTIFIER MISMATCH",IF(AND(OR($J70="Critical",$J70="High"),OR($U70="No",AND($L70="Unverified — Pending",$U70&lt;&gt;"Exception Approved"))),"VERIFY / ESCALATE",IF($X70="Unassigned","CONVICTION DECISION REQUIRED",IF(AND($S70&lt;TODAY(),$T70&lt;&gt;"Closed — No Action",$T70&lt;&gt;"Closed — Incorporated"),"OVERDUE",IF(AND(OR($T70="Closed — No Action",$T70="Closed — Incorporated"),$AB70=""),"CLOSE DATE REQUIRED",IF(AND(NOT(OR($T70="Closed — No Action",$T70="Closed — Incorporated")),$AB70&lt;&gt;""),"STATUS / CLOSE DATE MISMATCH",IF(AND($Z70&lt;&gt;"No",NOT(OR($U70="Yes",$U70="Exception Approved"))),"PEW REFERRAL BLOCKED",IF(AND($T70="Awaiting Verification",$U70="Yes"),"STATUS MISMATCH",IF(OR($T70="Closed — No Action",$T70="Closed — Incorporated"),"CLOSED","OPEN — ON TRACK")))))))))))</x:f>
      </x:c>
      <x:c r="AF70" s="775" t="str">
        <x:f>IF($A70="","",IF($AD70&lt;&gt;"COMPLETE","NOT ELIGIBLE",IF($X70="Unassigned","NOT ELIGIBLE — CONVICTION UNASSIGNED",IF(NOT(OR($U70="Yes",$U70="Exception Approved")),"NOT ELIGIBLE — UNVERIFIED",IF(OR($V70&lt;&gt;"None",AND($W70&lt;&gt;"None",$W70&lt;&gt;"Intact"),AND($X70&lt;&gt;"No Change",$X70&lt;&gt;"Not Applicable"),$Y70&lt;&gt;"None",$Z70&lt;&gt;"No"),"ELIGIBLE FOR ROUTING","NO REFERRAL REQUIRED")))))</x:f>
      </x:c>
      <x:c r="AG70" s="800"/>
    </x:row>
    <x:row r="71" ht="36" customHeight="1">
      <x:c r="A71" s="800"/>
      <x:c r="B71" s="804"/>
      <x:c r="C71" s="804"/>
      <x:c r="D71" s="800"/>
      <x:c r="E71" s="800"/>
      <x:c r="F71" s="800"/>
      <x:c r="G71" s="802" t="str">
        <x:f>IF($E71="","",IFERROR(INDEX('Certified Allocation'!$A$5:$A$51,MATCH($E71,'Certified Allocation'!$B$5:$B$51,0)),"Candidate / Non-Holding"))</x:f>
      </x:c>
      <x:c r="H71" s="800"/>
      <x:c r="I71" s="800"/>
      <x:c r="J71" s="800"/>
      <x:c r="K71" s="800"/>
      <x:c r="L71" s="800"/>
      <x:c r="M71" s="800"/>
      <x:c r="N71" s="800"/>
      <x:c r="O71" s="800"/>
      <x:c r="P71" s="800"/>
      <x:c r="Q71" s="800"/>
      <x:c r="R71" s="800"/>
      <x:c r="S71" s="804"/>
      <x:c r="T71" s="800"/>
      <x:c r="U71" s="800"/>
      <x:c r="V71" s="800"/>
      <x:c r="W71" s="800"/>
      <x:c r="X71" s="800"/>
      <x:c r="Y71" s="800"/>
      <x:c r="Z71" s="800"/>
      <x:c r="AA71" s="800"/>
      <x:c r="AB71" s="804"/>
      <x:c r="AC71" s="805" t="str">
        <x:f>IF($A71="","",IF(AND(OR($T71="Closed — No Action",$T71="Closed — Incorporated"),$AB71&lt;&gt;""),MAX(0,$AB71-$B71),MAX(0,TODAY()-$B71)))</x:f>
      </x:c>
      <x:c r="AD71" s="775" t="str">
        <x:f>IF(COUNTA($A71:$F71,$H71:$AB71,$AG71)=0,"",IF(OR($A71="",$B71="",$C71="",$D71="",$F71="",$H71="",$I71="",$J71="",$K71="",$L71="",$M71="",$N71="",$O71="",$P71="",$Q71="",$R71="",$S71="",$T71="",$U71="",$V71="",$W71="",$X71="",$Y71="",$Z71="",$AA71="",AND(NOT(OR($D71="Portfolio-Level",$D71="Market / Macro",$D71="Other")),$E71="")),"INCOMPLETE",IF(COUNTIF($A$14:$A$213,$A71)&gt;1,"DUPLICATE ID","COMPLETE")))</x:f>
      </x:c>
      <x:c r="AE71" s="775" t="str">
        <x:f>IF($A71="","",IF($AD71&lt;&gt;"COMPLETE",$AD71,IF(AND($D71="Certified Holding",OR($E71="",$G71="Candidate / Non-Holding")),"HOLDING IDENTIFIER MISMATCH",IF(AND(OR($J71="Critical",$J71="High"),OR($U71="No",AND($L71="Unverified — Pending",$U71&lt;&gt;"Exception Approved"))),"VERIFY / ESCALATE",IF($X71="Unassigned","CONVICTION DECISION REQUIRED",IF(AND($S71&lt;TODAY(),$T71&lt;&gt;"Closed — No Action",$T71&lt;&gt;"Closed — Incorporated"),"OVERDUE",IF(AND(OR($T71="Closed — No Action",$T71="Closed — Incorporated"),$AB71=""),"CLOSE DATE REQUIRED",IF(AND(NOT(OR($T71="Closed — No Action",$T71="Closed — Incorporated")),$AB71&lt;&gt;""),"STATUS / CLOSE DATE MISMATCH",IF(AND($Z71&lt;&gt;"No",NOT(OR($U71="Yes",$U71="Exception Approved"))),"PEW REFERRAL BLOCKED",IF(AND($T71="Awaiting Verification",$U71="Yes"),"STATUS MISMATCH",IF(OR($T71="Closed — No Action",$T71="Closed — Incorporated"),"CLOSED","OPEN — ON TRACK")))))))))))</x:f>
      </x:c>
      <x:c r="AF71" s="775" t="str">
        <x:f>IF($A71="","",IF($AD71&lt;&gt;"COMPLETE","NOT ELIGIBLE",IF($X71="Unassigned","NOT ELIGIBLE — CONVICTION UNASSIGNED",IF(NOT(OR($U71="Yes",$U71="Exception Approved")),"NOT ELIGIBLE — UNVERIFIED",IF(OR($V71&lt;&gt;"None",AND($W71&lt;&gt;"None",$W71&lt;&gt;"Intact"),AND($X71&lt;&gt;"No Change",$X71&lt;&gt;"Not Applicable"),$Y71&lt;&gt;"None",$Z71&lt;&gt;"No"),"ELIGIBLE FOR ROUTING","NO REFERRAL REQUIRED")))))</x:f>
      </x:c>
      <x:c r="AG71" s="800"/>
    </x:row>
    <x:row r="72" ht="36" customHeight="1">
      <x:c r="A72" s="800"/>
      <x:c r="B72" s="804"/>
      <x:c r="C72" s="804"/>
      <x:c r="D72" s="800"/>
      <x:c r="E72" s="800"/>
      <x:c r="F72" s="800"/>
      <x:c r="G72" s="802" t="str">
        <x:f>IF($E72="","",IFERROR(INDEX('Certified Allocation'!$A$5:$A$51,MATCH($E72,'Certified Allocation'!$B$5:$B$51,0)),"Candidate / Non-Holding"))</x:f>
      </x:c>
      <x:c r="H72" s="800"/>
      <x:c r="I72" s="800"/>
      <x:c r="J72" s="800"/>
      <x:c r="K72" s="800"/>
      <x:c r="L72" s="800"/>
      <x:c r="M72" s="800"/>
      <x:c r="N72" s="800"/>
      <x:c r="O72" s="800"/>
      <x:c r="P72" s="800"/>
      <x:c r="Q72" s="800"/>
      <x:c r="R72" s="800"/>
      <x:c r="S72" s="804"/>
      <x:c r="T72" s="800"/>
      <x:c r="U72" s="800"/>
      <x:c r="V72" s="800"/>
      <x:c r="W72" s="800"/>
      <x:c r="X72" s="800"/>
      <x:c r="Y72" s="800"/>
      <x:c r="Z72" s="800"/>
      <x:c r="AA72" s="800"/>
      <x:c r="AB72" s="804"/>
      <x:c r="AC72" s="805" t="str">
        <x:f>IF($A72="","",IF(AND(OR($T72="Closed — No Action",$T72="Closed — Incorporated"),$AB72&lt;&gt;""),MAX(0,$AB72-$B72),MAX(0,TODAY()-$B72)))</x:f>
      </x:c>
      <x:c r="AD72" s="775" t="str">
        <x:f>IF(COUNTA($A72:$F72,$H72:$AB72,$AG72)=0,"",IF(OR($A72="",$B72="",$C72="",$D72="",$F72="",$H72="",$I72="",$J72="",$K72="",$L72="",$M72="",$N72="",$O72="",$P72="",$Q72="",$R72="",$S72="",$T72="",$U72="",$V72="",$W72="",$X72="",$Y72="",$Z72="",$AA72="",AND(NOT(OR($D72="Portfolio-Level",$D72="Market / Macro",$D72="Other")),$E72="")),"INCOMPLETE",IF(COUNTIF($A$14:$A$213,$A72)&gt;1,"DUPLICATE ID","COMPLETE")))</x:f>
      </x:c>
      <x:c r="AE72" s="775" t="str">
        <x:f>IF($A72="","",IF($AD72&lt;&gt;"COMPLETE",$AD72,IF(AND($D72="Certified Holding",OR($E72="",$G72="Candidate / Non-Holding")),"HOLDING IDENTIFIER MISMATCH",IF(AND(OR($J72="Critical",$J72="High"),OR($U72="No",AND($L72="Unverified — Pending",$U72&lt;&gt;"Exception Approved"))),"VERIFY / ESCALATE",IF($X72="Unassigned","CONVICTION DECISION REQUIRED",IF(AND($S72&lt;TODAY(),$T72&lt;&gt;"Closed — No Action",$T72&lt;&gt;"Closed — Incorporated"),"OVERDUE",IF(AND(OR($T72="Closed — No Action",$T72="Closed — Incorporated"),$AB72=""),"CLOSE DATE REQUIRED",IF(AND(NOT(OR($T72="Closed — No Action",$T72="Closed — Incorporated")),$AB72&lt;&gt;""),"STATUS / CLOSE DATE MISMATCH",IF(AND($Z72&lt;&gt;"No",NOT(OR($U72="Yes",$U72="Exception Approved"))),"PEW REFERRAL BLOCKED",IF(AND($T72="Awaiting Verification",$U72="Yes"),"STATUS MISMATCH",IF(OR($T72="Closed — No Action",$T72="Closed — Incorporated"),"CLOSED","OPEN — ON TRACK")))))))))))</x:f>
      </x:c>
      <x:c r="AF72" s="775" t="str">
        <x:f>IF($A72="","",IF($AD72&lt;&gt;"COMPLETE","NOT ELIGIBLE",IF($X72="Unassigned","NOT ELIGIBLE — CONVICTION UNASSIGNED",IF(NOT(OR($U72="Yes",$U72="Exception Approved")),"NOT ELIGIBLE — UNVERIFIED",IF(OR($V72&lt;&gt;"None",AND($W72&lt;&gt;"None",$W72&lt;&gt;"Intact"),AND($X72&lt;&gt;"No Change",$X72&lt;&gt;"Not Applicable"),$Y72&lt;&gt;"None",$Z72&lt;&gt;"No"),"ELIGIBLE FOR ROUTING","NO REFERRAL REQUIRED")))))</x:f>
      </x:c>
      <x:c r="AG72" s="800"/>
    </x:row>
    <x:row r="73" ht="36" customHeight="1">
      <x:c r="A73" s="800"/>
      <x:c r="B73" s="804"/>
      <x:c r="C73" s="804"/>
      <x:c r="D73" s="800"/>
      <x:c r="E73" s="800"/>
      <x:c r="F73" s="800"/>
      <x:c r="G73" s="802" t="str">
        <x:f>IF($E73="","",IFERROR(INDEX('Certified Allocation'!$A$5:$A$51,MATCH($E73,'Certified Allocation'!$B$5:$B$51,0)),"Candidate / Non-Holding"))</x:f>
      </x:c>
      <x:c r="H73" s="800"/>
      <x:c r="I73" s="800"/>
      <x:c r="J73" s="800"/>
      <x:c r="K73" s="800"/>
      <x:c r="L73" s="800"/>
      <x:c r="M73" s="800"/>
      <x:c r="N73" s="800"/>
      <x:c r="O73" s="800"/>
      <x:c r="P73" s="800"/>
      <x:c r="Q73" s="800"/>
      <x:c r="R73" s="800"/>
      <x:c r="S73" s="804"/>
      <x:c r="T73" s="800"/>
      <x:c r="U73" s="800"/>
      <x:c r="V73" s="800"/>
      <x:c r="W73" s="800"/>
      <x:c r="X73" s="800"/>
      <x:c r="Y73" s="800"/>
      <x:c r="Z73" s="800"/>
      <x:c r="AA73" s="800"/>
      <x:c r="AB73" s="804"/>
      <x:c r="AC73" s="805" t="str">
        <x:f>IF($A73="","",IF(AND(OR($T73="Closed — No Action",$T73="Closed — Incorporated"),$AB73&lt;&gt;""),MAX(0,$AB73-$B73),MAX(0,TODAY()-$B73)))</x:f>
      </x:c>
      <x:c r="AD73" s="775" t="str">
        <x:f>IF(COUNTA($A73:$F73,$H73:$AB73,$AG73)=0,"",IF(OR($A73="",$B73="",$C73="",$D73="",$F73="",$H73="",$I73="",$J73="",$K73="",$L73="",$M73="",$N73="",$O73="",$P73="",$Q73="",$R73="",$S73="",$T73="",$U73="",$V73="",$W73="",$X73="",$Y73="",$Z73="",$AA73="",AND(NOT(OR($D73="Portfolio-Level",$D73="Market / Macro",$D73="Other")),$E73="")),"INCOMPLETE",IF(COUNTIF($A$14:$A$213,$A73)&gt;1,"DUPLICATE ID","COMPLETE")))</x:f>
      </x:c>
      <x:c r="AE73" s="775" t="str">
        <x:f>IF($A73="","",IF($AD73&lt;&gt;"COMPLETE",$AD73,IF(AND($D73="Certified Holding",OR($E73="",$G73="Candidate / Non-Holding")),"HOLDING IDENTIFIER MISMATCH",IF(AND(OR($J73="Critical",$J73="High"),OR($U73="No",AND($L73="Unverified — Pending",$U73&lt;&gt;"Exception Approved"))),"VERIFY / ESCALATE",IF($X73="Unassigned","CONVICTION DECISION REQUIRED",IF(AND($S73&lt;TODAY(),$T73&lt;&gt;"Closed — No Action",$T73&lt;&gt;"Closed — Incorporated"),"OVERDUE",IF(AND(OR($T73="Closed — No Action",$T73="Closed — Incorporated"),$AB73=""),"CLOSE DATE REQUIRED",IF(AND(NOT(OR($T73="Closed — No Action",$T73="Closed — Incorporated")),$AB73&lt;&gt;""),"STATUS / CLOSE DATE MISMATCH",IF(AND($Z73&lt;&gt;"No",NOT(OR($U73="Yes",$U73="Exception Approved"))),"PEW REFERRAL BLOCKED",IF(AND($T73="Awaiting Verification",$U73="Yes"),"STATUS MISMATCH",IF(OR($T73="Closed — No Action",$T73="Closed — Incorporated"),"CLOSED","OPEN — ON TRACK")))))))))))</x:f>
      </x:c>
      <x:c r="AF73" s="775" t="str">
        <x:f>IF($A73="","",IF($AD73&lt;&gt;"COMPLETE","NOT ELIGIBLE",IF($X73="Unassigned","NOT ELIGIBLE — CONVICTION UNASSIGNED",IF(NOT(OR($U73="Yes",$U73="Exception Approved")),"NOT ELIGIBLE — UNVERIFIED",IF(OR($V73&lt;&gt;"None",AND($W73&lt;&gt;"None",$W73&lt;&gt;"Intact"),AND($X73&lt;&gt;"No Change",$X73&lt;&gt;"Not Applicable"),$Y73&lt;&gt;"None",$Z73&lt;&gt;"No"),"ELIGIBLE FOR ROUTING","NO REFERRAL REQUIRED")))))</x:f>
      </x:c>
      <x:c r="AG73" s="800"/>
    </x:row>
    <x:row r="74" ht="36" customHeight="1">
      <x:c r="A74" s="800"/>
      <x:c r="B74" s="804"/>
      <x:c r="C74" s="804"/>
      <x:c r="D74" s="800"/>
      <x:c r="E74" s="800"/>
      <x:c r="F74" s="800"/>
      <x:c r="G74" s="802" t="str">
        <x:f>IF($E74="","",IFERROR(INDEX('Certified Allocation'!$A$5:$A$51,MATCH($E74,'Certified Allocation'!$B$5:$B$51,0)),"Candidate / Non-Holding"))</x:f>
      </x:c>
      <x:c r="H74" s="800"/>
      <x:c r="I74" s="800"/>
      <x:c r="J74" s="800"/>
      <x:c r="K74" s="800"/>
      <x:c r="L74" s="800"/>
      <x:c r="M74" s="800"/>
      <x:c r="N74" s="800"/>
      <x:c r="O74" s="800"/>
      <x:c r="P74" s="800"/>
      <x:c r="Q74" s="800"/>
      <x:c r="R74" s="800"/>
      <x:c r="S74" s="804"/>
      <x:c r="T74" s="800"/>
      <x:c r="U74" s="800"/>
      <x:c r="V74" s="800"/>
      <x:c r="W74" s="800"/>
      <x:c r="X74" s="800"/>
      <x:c r="Y74" s="800"/>
      <x:c r="Z74" s="800"/>
      <x:c r="AA74" s="800"/>
      <x:c r="AB74" s="804"/>
      <x:c r="AC74" s="805" t="str">
        <x:f>IF($A74="","",IF(AND(OR($T74="Closed — No Action",$T74="Closed — Incorporated"),$AB74&lt;&gt;""),MAX(0,$AB74-$B74),MAX(0,TODAY()-$B74)))</x:f>
      </x:c>
      <x:c r="AD74" s="775" t="str">
        <x:f>IF(COUNTA($A74:$F74,$H74:$AB74,$AG74)=0,"",IF(OR($A74="",$B74="",$C74="",$D74="",$F74="",$H74="",$I74="",$J74="",$K74="",$L74="",$M74="",$N74="",$O74="",$P74="",$Q74="",$R74="",$S74="",$T74="",$U74="",$V74="",$W74="",$X74="",$Y74="",$Z74="",$AA74="",AND(NOT(OR($D74="Portfolio-Level",$D74="Market / Macro",$D74="Other")),$E74="")),"INCOMPLETE",IF(COUNTIF($A$14:$A$213,$A74)&gt;1,"DUPLICATE ID","COMPLETE")))</x:f>
      </x:c>
      <x:c r="AE74" s="775" t="str">
        <x:f>IF($A74="","",IF($AD74&lt;&gt;"COMPLETE",$AD74,IF(AND($D74="Certified Holding",OR($E74="",$G74="Candidate / Non-Holding")),"HOLDING IDENTIFIER MISMATCH",IF(AND(OR($J74="Critical",$J74="High"),OR($U74="No",AND($L74="Unverified — Pending",$U74&lt;&gt;"Exception Approved"))),"VERIFY / ESCALATE",IF($X74="Unassigned","CONVICTION DECISION REQUIRED",IF(AND($S74&lt;TODAY(),$T74&lt;&gt;"Closed — No Action",$T74&lt;&gt;"Closed — Incorporated"),"OVERDUE",IF(AND(OR($T74="Closed — No Action",$T74="Closed — Incorporated"),$AB74=""),"CLOSE DATE REQUIRED",IF(AND(NOT(OR($T74="Closed — No Action",$T74="Closed — Incorporated")),$AB74&lt;&gt;""),"STATUS / CLOSE DATE MISMATCH",IF(AND($Z74&lt;&gt;"No",NOT(OR($U74="Yes",$U74="Exception Approved"))),"PEW REFERRAL BLOCKED",IF(AND($T74="Awaiting Verification",$U74="Yes"),"STATUS MISMATCH",IF(OR($T74="Closed — No Action",$T74="Closed — Incorporated"),"CLOSED","OPEN — ON TRACK")))))))))))</x:f>
      </x:c>
      <x:c r="AF74" s="775" t="str">
        <x:f>IF($A74="","",IF($AD74&lt;&gt;"COMPLETE","NOT ELIGIBLE",IF($X74="Unassigned","NOT ELIGIBLE — CONVICTION UNASSIGNED",IF(NOT(OR($U74="Yes",$U74="Exception Approved")),"NOT ELIGIBLE — UNVERIFIED",IF(OR($V74&lt;&gt;"None",AND($W74&lt;&gt;"None",$W74&lt;&gt;"Intact"),AND($X74&lt;&gt;"No Change",$X74&lt;&gt;"Not Applicable"),$Y74&lt;&gt;"None",$Z74&lt;&gt;"No"),"ELIGIBLE FOR ROUTING","NO REFERRAL REQUIRED")))))</x:f>
      </x:c>
      <x:c r="AG74" s="800"/>
    </x:row>
    <x:row r="75" ht="36" customHeight="1">
      <x:c r="A75" s="800"/>
      <x:c r="B75" s="804"/>
      <x:c r="C75" s="804"/>
      <x:c r="D75" s="800"/>
      <x:c r="E75" s="800"/>
      <x:c r="F75" s="800"/>
      <x:c r="G75" s="802" t="str">
        <x:f>IF($E75="","",IFERROR(INDEX('Certified Allocation'!$A$5:$A$51,MATCH($E75,'Certified Allocation'!$B$5:$B$51,0)),"Candidate / Non-Holding"))</x:f>
      </x:c>
      <x:c r="H75" s="800"/>
      <x:c r="I75" s="800"/>
      <x:c r="J75" s="800"/>
      <x:c r="K75" s="800"/>
      <x:c r="L75" s="800"/>
      <x:c r="M75" s="800"/>
      <x:c r="N75" s="800"/>
      <x:c r="O75" s="800"/>
      <x:c r="P75" s="800"/>
      <x:c r="Q75" s="800"/>
      <x:c r="R75" s="800"/>
      <x:c r="S75" s="804"/>
      <x:c r="T75" s="800"/>
      <x:c r="U75" s="800"/>
      <x:c r="V75" s="800"/>
      <x:c r="W75" s="800"/>
      <x:c r="X75" s="800"/>
      <x:c r="Y75" s="800"/>
      <x:c r="Z75" s="800"/>
      <x:c r="AA75" s="800"/>
      <x:c r="AB75" s="804"/>
      <x:c r="AC75" s="805" t="str">
        <x:f>IF($A75="","",IF(AND(OR($T75="Closed — No Action",$T75="Closed — Incorporated"),$AB75&lt;&gt;""),MAX(0,$AB75-$B75),MAX(0,TODAY()-$B75)))</x:f>
      </x:c>
      <x:c r="AD75" s="775" t="str">
        <x:f>IF(COUNTA($A75:$F75,$H75:$AB75,$AG75)=0,"",IF(OR($A75="",$B75="",$C75="",$D75="",$F75="",$H75="",$I75="",$J75="",$K75="",$L75="",$M75="",$N75="",$O75="",$P75="",$Q75="",$R75="",$S75="",$T75="",$U75="",$V75="",$W75="",$X75="",$Y75="",$Z75="",$AA75="",AND(NOT(OR($D75="Portfolio-Level",$D75="Market / Macro",$D75="Other")),$E75="")),"INCOMPLETE",IF(COUNTIF($A$14:$A$213,$A75)&gt;1,"DUPLICATE ID","COMPLETE")))</x:f>
      </x:c>
      <x:c r="AE75" s="775" t="str">
        <x:f>IF($A75="","",IF($AD75&lt;&gt;"COMPLETE",$AD75,IF(AND($D75="Certified Holding",OR($E75="",$G75="Candidate / Non-Holding")),"HOLDING IDENTIFIER MISMATCH",IF(AND(OR($J75="Critical",$J75="High"),OR($U75="No",AND($L75="Unverified — Pending",$U75&lt;&gt;"Exception Approved"))),"VERIFY / ESCALATE",IF($X75="Unassigned","CONVICTION DECISION REQUIRED",IF(AND($S75&lt;TODAY(),$T75&lt;&gt;"Closed — No Action",$T75&lt;&gt;"Closed — Incorporated"),"OVERDUE",IF(AND(OR($T75="Closed — No Action",$T75="Closed — Incorporated"),$AB75=""),"CLOSE DATE REQUIRED",IF(AND(NOT(OR($T75="Closed — No Action",$T75="Closed — Incorporated")),$AB75&lt;&gt;""),"STATUS / CLOSE DATE MISMATCH",IF(AND($Z75&lt;&gt;"No",NOT(OR($U75="Yes",$U75="Exception Approved"))),"PEW REFERRAL BLOCKED",IF(AND($T75="Awaiting Verification",$U75="Yes"),"STATUS MISMATCH",IF(OR($T75="Closed — No Action",$T75="Closed — Incorporated"),"CLOSED","OPEN — ON TRACK")))))))))))</x:f>
      </x:c>
      <x:c r="AF75" s="775" t="str">
        <x:f>IF($A75="","",IF($AD75&lt;&gt;"COMPLETE","NOT ELIGIBLE",IF($X75="Unassigned","NOT ELIGIBLE — CONVICTION UNASSIGNED",IF(NOT(OR($U75="Yes",$U75="Exception Approved")),"NOT ELIGIBLE — UNVERIFIED",IF(OR($V75&lt;&gt;"None",AND($W75&lt;&gt;"None",$W75&lt;&gt;"Intact"),AND($X75&lt;&gt;"No Change",$X75&lt;&gt;"Not Applicable"),$Y75&lt;&gt;"None",$Z75&lt;&gt;"No"),"ELIGIBLE FOR ROUTING","NO REFERRAL REQUIRED")))))</x:f>
      </x:c>
      <x:c r="AG75" s="800"/>
    </x:row>
    <x:row r="76" ht="36" customHeight="1">
      <x:c r="A76" s="800"/>
      <x:c r="B76" s="804"/>
      <x:c r="C76" s="804"/>
      <x:c r="D76" s="800"/>
      <x:c r="E76" s="800"/>
      <x:c r="F76" s="800"/>
      <x:c r="G76" s="802" t="str">
        <x:f>IF($E76="","",IFERROR(INDEX('Certified Allocation'!$A$5:$A$51,MATCH($E76,'Certified Allocation'!$B$5:$B$51,0)),"Candidate / Non-Holding"))</x:f>
      </x:c>
      <x:c r="H76" s="800"/>
      <x:c r="I76" s="800"/>
      <x:c r="J76" s="800"/>
      <x:c r="K76" s="800"/>
      <x:c r="L76" s="800"/>
      <x:c r="M76" s="800"/>
      <x:c r="N76" s="800"/>
      <x:c r="O76" s="800"/>
      <x:c r="P76" s="800"/>
      <x:c r="Q76" s="800"/>
      <x:c r="R76" s="800"/>
      <x:c r="S76" s="804"/>
      <x:c r="T76" s="800"/>
      <x:c r="U76" s="800"/>
      <x:c r="V76" s="800"/>
      <x:c r="W76" s="800"/>
      <x:c r="X76" s="800"/>
      <x:c r="Y76" s="800"/>
      <x:c r="Z76" s="800"/>
      <x:c r="AA76" s="800"/>
      <x:c r="AB76" s="804"/>
      <x:c r="AC76" s="805" t="str">
        <x:f>IF($A76="","",IF(AND(OR($T76="Closed — No Action",$T76="Closed — Incorporated"),$AB76&lt;&gt;""),MAX(0,$AB76-$B76),MAX(0,TODAY()-$B76)))</x:f>
      </x:c>
      <x:c r="AD76" s="775" t="str">
        <x:f>IF(COUNTA($A76:$F76,$H76:$AB76,$AG76)=0,"",IF(OR($A76="",$B76="",$C76="",$D76="",$F76="",$H76="",$I76="",$J76="",$K76="",$L76="",$M76="",$N76="",$O76="",$P76="",$Q76="",$R76="",$S76="",$T76="",$U76="",$V76="",$W76="",$X76="",$Y76="",$Z76="",$AA76="",AND(NOT(OR($D76="Portfolio-Level",$D76="Market / Macro",$D76="Other")),$E76="")),"INCOMPLETE",IF(COUNTIF($A$14:$A$213,$A76)&gt;1,"DUPLICATE ID","COMPLETE")))</x:f>
      </x:c>
      <x:c r="AE76" s="775" t="str">
        <x:f>IF($A76="","",IF($AD76&lt;&gt;"COMPLETE",$AD76,IF(AND($D76="Certified Holding",OR($E76="",$G76="Candidate / Non-Holding")),"HOLDING IDENTIFIER MISMATCH",IF(AND(OR($J76="Critical",$J76="High"),OR($U76="No",AND($L76="Unverified — Pending",$U76&lt;&gt;"Exception Approved"))),"VERIFY / ESCALATE",IF($X76="Unassigned","CONVICTION DECISION REQUIRED",IF(AND($S76&lt;TODAY(),$T76&lt;&gt;"Closed — No Action",$T76&lt;&gt;"Closed — Incorporated"),"OVERDUE",IF(AND(OR($T76="Closed — No Action",$T76="Closed — Incorporated"),$AB76=""),"CLOSE DATE REQUIRED",IF(AND(NOT(OR($T76="Closed — No Action",$T76="Closed — Incorporated")),$AB76&lt;&gt;""),"STATUS / CLOSE DATE MISMATCH",IF(AND($Z76&lt;&gt;"No",NOT(OR($U76="Yes",$U76="Exception Approved"))),"PEW REFERRAL BLOCKED",IF(AND($T76="Awaiting Verification",$U76="Yes"),"STATUS MISMATCH",IF(OR($T76="Closed — No Action",$T76="Closed — Incorporated"),"CLOSED","OPEN — ON TRACK")))))))))))</x:f>
      </x:c>
      <x:c r="AF76" s="775" t="str">
        <x:f>IF($A76="","",IF($AD76&lt;&gt;"COMPLETE","NOT ELIGIBLE",IF($X76="Unassigned","NOT ELIGIBLE — CONVICTION UNASSIGNED",IF(NOT(OR($U76="Yes",$U76="Exception Approved")),"NOT ELIGIBLE — UNVERIFIED",IF(OR($V76&lt;&gt;"None",AND($W76&lt;&gt;"None",$W76&lt;&gt;"Intact"),AND($X76&lt;&gt;"No Change",$X76&lt;&gt;"Not Applicable"),$Y76&lt;&gt;"None",$Z76&lt;&gt;"No"),"ELIGIBLE FOR ROUTING","NO REFERRAL REQUIRED")))))</x:f>
      </x:c>
      <x:c r="AG76" s="800"/>
    </x:row>
    <x:row r="77" ht="36" customHeight="1">
      <x:c r="A77" s="800"/>
      <x:c r="B77" s="804"/>
      <x:c r="C77" s="804"/>
      <x:c r="D77" s="800"/>
      <x:c r="E77" s="800"/>
      <x:c r="F77" s="800"/>
      <x:c r="G77" s="802" t="str">
        <x:f>IF($E77="","",IFERROR(INDEX('Certified Allocation'!$A$5:$A$51,MATCH($E77,'Certified Allocation'!$B$5:$B$51,0)),"Candidate / Non-Holding"))</x:f>
      </x:c>
      <x:c r="H77" s="800"/>
      <x:c r="I77" s="800"/>
      <x:c r="J77" s="800"/>
      <x:c r="K77" s="800"/>
      <x:c r="L77" s="800"/>
      <x:c r="M77" s="800"/>
      <x:c r="N77" s="800"/>
      <x:c r="O77" s="800"/>
      <x:c r="P77" s="800"/>
      <x:c r="Q77" s="800"/>
      <x:c r="R77" s="800"/>
      <x:c r="S77" s="804"/>
      <x:c r="T77" s="800"/>
      <x:c r="U77" s="800"/>
      <x:c r="V77" s="800"/>
      <x:c r="W77" s="800"/>
      <x:c r="X77" s="800"/>
      <x:c r="Y77" s="800"/>
      <x:c r="Z77" s="800"/>
      <x:c r="AA77" s="800"/>
      <x:c r="AB77" s="804"/>
      <x:c r="AC77" s="805" t="str">
        <x:f>IF($A77="","",IF(AND(OR($T77="Closed — No Action",$T77="Closed — Incorporated"),$AB77&lt;&gt;""),MAX(0,$AB77-$B77),MAX(0,TODAY()-$B77)))</x:f>
      </x:c>
      <x:c r="AD77" s="775" t="str">
        <x:f>IF(COUNTA($A77:$F77,$H77:$AB77,$AG77)=0,"",IF(OR($A77="",$B77="",$C77="",$D77="",$F77="",$H77="",$I77="",$J77="",$K77="",$L77="",$M77="",$N77="",$O77="",$P77="",$Q77="",$R77="",$S77="",$T77="",$U77="",$V77="",$W77="",$X77="",$Y77="",$Z77="",$AA77="",AND(NOT(OR($D77="Portfolio-Level",$D77="Market / Macro",$D77="Other")),$E77="")),"INCOMPLETE",IF(COUNTIF($A$14:$A$213,$A77)&gt;1,"DUPLICATE ID","COMPLETE")))</x:f>
      </x:c>
      <x:c r="AE77" s="775" t="str">
        <x:f>IF($A77="","",IF($AD77&lt;&gt;"COMPLETE",$AD77,IF(AND($D77="Certified Holding",OR($E77="",$G77="Candidate / Non-Holding")),"HOLDING IDENTIFIER MISMATCH",IF(AND(OR($J77="Critical",$J77="High"),OR($U77="No",AND($L77="Unverified — Pending",$U77&lt;&gt;"Exception Approved"))),"VERIFY / ESCALATE",IF($X77="Unassigned","CONVICTION DECISION REQUIRED",IF(AND($S77&lt;TODAY(),$T77&lt;&gt;"Closed — No Action",$T77&lt;&gt;"Closed — Incorporated"),"OVERDUE",IF(AND(OR($T77="Closed — No Action",$T77="Closed — Incorporated"),$AB77=""),"CLOSE DATE REQUIRED",IF(AND(NOT(OR($T77="Closed — No Action",$T77="Closed — Incorporated")),$AB77&lt;&gt;""),"STATUS / CLOSE DATE MISMATCH",IF(AND($Z77&lt;&gt;"No",NOT(OR($U77="Yes",$U77="Exception Approved"))),"PEW REFERRAL BLOCKED",IF(AND($T77="Awaiting Verification",$U77="Yes"),"STATUS MISMATCH",IF(OR($T77="Closed — No Action",$T77="Closed — Incorporated"),"CLOSED","OPEN — ON TRACK")))))))))))</x:f>
      </x:c>
      <x:c r="AF77" s="775" t="str">
        <x:f>IF($A77="","",IF($AD77&lt;&gt;"COMPLETE","NOT ELIGIBLE",IF($X77="Unassigned","NOT ELIGIBLE — CONVICTION UNASSIGNED",IF(NOT(OR($U77="Yes",$U77="Exception Approved")),"NOT ELIGIBLE — UNVERIFIED",IF(OR($V77&lt;&gt;"None",AND($W77&lt;&gt;"None",$W77&lt;&gt;"Intact"),AND($X77&lt;&gt;"No Change",$X77&lt;&gt;"Not Applicable"),$Y77&lt;&gt;"None",$Z77&lt;&gt;"No"),"ELIGIBLE FOR ROUTING","NO REFERRAL REQUIRED")))))</x:f>
      </x:c>
      <x:c r="AG77" s="800"/>
    </x:row>
    <x:row r="78" ht="36" customHeight="1">
      <x:c r="A78" s="800"/>
      <x:c r="B78" s="804"/>
      <x:c r="C78" s="804"/>
      <x:c r="D78" s="800"/>
      <x:c r="E78" s="800"/>
      <x:c r="F78" s="800"/>
      <x:c r="G78" s="802" t="str">
        <x:f>IF($E78="","",IFERROR(INDEX('Certified Allocation'!$A$5:$A$51,MATCH($E78,'Certified Allocation'!$B$5:$B$51,0)),"Candidate / Non-Holding"))</x:f>
      </x:c>
      <x:c r="H78" s="800"/>
      <x:c r="I78" s="800"/>
      <x:c r="J78" s="800"/>
      <x:c r="K78" s="800"/>
      <x:c r="L78" s="800"/>
      <x:c r="M78" s="800"/>
      <x:c r="N78" s="800"/>
      <x:c r="O78" s="800"/>
      <x:c r="P78" s="800"/>
      <x:c r="Q78" s="800"/>
      <x:c r="R78" s="800"/>
      <x:c r="S78" s="804"/>
      <x:c r="T78" s="800"/>
      <x:c r="U78" s="800"/>
      <x:c r="V78" s="800"/>
      <x:c r="W78" s="800"/>
      <x:c r="X78" s="800"/>
      <x:c r="Y78" s="800"/>
      <x:c r="Z78" s="800"/>
      <x:c r="AA78" s="800"/>
      <x:c r="AB78" s="804"/>
      <x:c r="AC78" s="805" t="str">
        <x:f>IF($A78="","",IF(AND(OR($T78="Closed — No Action",$T78="Closed — Incorporated"),$AB78&lt;&gt;""),MAX(0,$AB78-$B78),MAX(0,TODAY()-$B78)))</x:f>
      </x:c>
      <x:c r="AD78" s="775" t="str">
        <x:f>IF(COUNTA($A78:$F78,$H78:$AB78,$AG78)=0,"",IF(OR($A78="",$B78="",$C78="",$D78="",$F78="",$H78="",$I78="",$J78="",$K78="",$L78="",$M78="",$N78="",$O78="",$P78="",$Q78="",$R78="",$S78="",$T78="",$U78="",$V78="",$W78="",$X78="",$Y78="",$Z78="",$AA78="",AND(NOT(OR($D78="Portfolio-Level",$D78="Market / Macro",$D78="Other")),$E78="")),"INCOMPLETE",IF(COUNTIF($A$14:$A$213,$A78)&gt;1,"DUPLICATE ID","COMPLETE")))</x:f>
      </x:c>
      <x:c r="AE78" s="775" t="str">
        <x:f>IF($A78="","",IF($AD78&lt;&gt;"COMPLETE",$AD78,IF(AND($D78="Certified Holding",OR($E78="",$G78="Candidate / Non-Holding")),"HOLDING IDENTIFIER MISMATCH",IF(AND(OR($J78="Critical",$J78="High"),OR($U78="No",AND($L78="Unverified — Pending",$U78&lt;&gt;"Exception Approved"))),"VERIFY / ESCALATE",IF($X78="Unassigned","CONVICTION DECISION REQUIRED",IF(AND($S78&lt;TODAY(),$T78&lt;&gt;"Closed — No Action",$T78&lt;&gt;"Closed — Incorporated"),"OVERDUE",IF(AND(OR($T78="Closed — No Action",$T78="Closed — Incorporated"),$AB78=""),"CLOSE DATE REQUIRED",IF(AND(NOT(OR($T78="Closed — No Action",$T78="Closed — Incorporated")),$AB78&lt;&gt;""),"STATUS / CLOSE DATE MISMATCH",IF(AND($Z78&lt;&gt;"No",NOT(OR($U78="Yes",$U78="Exception Approved"))),"PEW REFERRAL BLOCKED",IF(AND($T78="Awaiting Verification",$U78="Yes"),"STATUS MISMATCH",IF(OR($T78="Closed — No Action",$T78="Closed — Incorporated"),"CLOSED","OPEN — ON TRACK")))))))))))</x:f>
      </x:c>
      <x:c r="AF78" s="775" t="str">
        <x:f>IF($A78="","",IF($AD78&lt;&gt;"COMPLETE","NOT ELIGIBLE",IF($X78="Unassigned","NOT ELIGIBLE — CONVICTION UNASSIGNED",IF(NOT(OR($U78="Yes",$U78="Exception Approved")),"NOT ELIGIBLE — UNVERIFIED",IF(OR($V78&lt;&gt;"None",AND($W78&lt;&gt;"None",$W78&lt;&gt;"Intact"),AND($X78&lt;&gt;"No Change",$X78&lt;&gt;"Not Applicable"),$Y78&lt;&gt;"None",$Z78&lt;&gt;"No"),"ELIGIBLE FOR ROUTING","NO REFERRAL REQUIRED")))))</x:f>
      </x:c>
      <x:c r="AG78" s="800"/>
    </x:row>
    <x:row r="79" ht="36" customHeight="1">
      <x:c r="A79" s="800"/>
      <x:c r="B79" s="804"/>
      <x:c r="C79" s="804"/>
      <x:c r="D79" s="800"/>
      <x:c r="E79" s="800"/>
      <x:c r="F79" s="800"/>
      <x:c r="G79" s="802" t="str">
        <x:f>IF($E79="","",IFERROR(INDEX('Certified Allocation'!$A$5:$A$51,MATCH($E79,'Certified Allocation'!$B$5:$B$51,0)),"Candidate / Non-Holding"))</x:f>
      </x:c>
      <x:c r="H79" s="800"/>
      <x:c r="I79" s="800"/>
      <x:c r="J79" s="800"/>
      <x:c r="K79" s="800"/>
      <x:c r="L79" s="800"/>
      <x:c r="M79" s="800"/>
      <x:c r="N79" s="800"/>
      <x:c r="O79" s="800"/>
      <x:c r="P79" s="800"/>
      <x:c r="Q79" s="800"/>
      <x:c r="R79" s="800"/>
      <x:c r="S79" s="804"/>
      <x:c r="T79" s="800"/>
      <x:c r="U79" s="800"/>
      <x:c r="V79" s="800"/>
      <x:c r="W79" s="800"/>
      <x:c r="X79" s="800"/>
      <x:c r="Y79" s="800"/>
      <x:c r="Z79" s="800"/>
      <x:c r="AA79" s="800"/>
      <x:c r="AB79" s="804"/>
      <x:c r="AC79" s="805" t="str">
        <x:f>IF($A79="","",IF(AND(OR($T79="Closed — No Action",$T79="Closed — Incorporated"),$AB79&lt;&gt;""),MAX(0,$AB79-$B79),MAX(0,TODAY()-$B79)))</x:f>
      </x:c>
      <x:c r="AD79" s="775" t="str">
        <x:f>IF(COUNTA($A79:$F79,$H79:$AB79,$AG79)=0,"",IF(OR($A79="",$B79="",$C79="",$D79="",$F79="",$H79="",$I79="",$J79="",$K79="",$L79="",$M79="",$N79="",$O79="",$P79="",$Q79="",$R79="",$S79="",$T79="",$U79="",$V79="",$W79="",$X79="",$Y79="",$Z79="",$AA79="",AND(NOT(OR($D79="Portfolio-Level",$D79="Market / Macro",$D79="Other")),$E79="")),"INCOMPLETE",IF(COUNTIF($A$14:$A$213,$A79)&gt;1,"DUPLICATE ID","COMPLETE")))</x:f>
      </x:c>
      <x:c r="AE79" s="775" t="str">
        <x:f>IF($A79="","",IF($AD79&lt;&gt;"COMPLETE",$AD79,IF(AND($D79="Certified Holding",OR($E79="",$G79="Candidate / Non-Holding")),"HOLDING IDENTIFIER MISMATCH",IF(AND(OR($J79="Critical",$J79="High"),OR($U79="No",AND($L79="Unverified — Pending",$U79&lt;&gt;"Exception Approved"))),"VERIFY / ESCALATE",IF($X79="Unassigned","CONVICTION DECISION REQUIRED",IF(AND($S79&lt;TODAY(),$T79&lt;&gt;"Closed — No Action",$T79&lt;&gt;"Closed — Incorporated"),"OVERDUE",IF(AND(OR($T79="Closed — No Action",$T79="Closed — Incorporated"),$AB79=""),"CLOSE DATE REQUIRED",IF(AND(NOT(OR($T79="Closed — No Action",$T79="Closed — Incorporated")),$AB79&lt;&gt;""),"STATUS / CLOSE DATE MISMATCH",IF(AND($Z79&lt;&gt;"No",NOT(OR($U79="Yes",$U79="Exception Approved"))),"PEW REFERRAL BLOCKED",IF(AND($T79="Awaiting Verification",$U79="Yes"),"STATUS MISMATCH",IF(OR($T79="Closed — No Action",$T79="Closed — Incorporated"),"CLOSED","OPEN — ON TRACK")))))))))))</x:f>
      </x:c>
      <x:c r="AF79" s="775" t="str">
        <x:f>IF($A79="","",IF($AD79&lt;&gt;"COMPLETE","NOT ELIGIBLE",IF($X79="Unassigned","NOT ELIGIBLE — CONVICTION UNASSIGNED",IF(NOT(OR($U79="Yes",$U79="Exception Approved")),"NOT ELIGIBLE — UNVERIFIED",IF(OR($V79&lt;&gt;"None",AND($W79&lt;&gt;"None",$W79&lt;&gt;"Intact"),AND($X79&lt;&gt;"No Change",$X79&lt;&gt;"Not Applicable"),$Y79&lt;&gt;"None",$Z79&lt;&gt;"No"),"ELIGIBLE FOR ROUTING","NO REFERRAL REQUIRED")))))</x:f>
      </x:c>
      <x:c r="AG79" s="800"/>
    </x:row>
    <x:row r="80" ht="36" customHeight="1">
      <x:c r="A80" s="800"/>
      <x:c r="B80" s="804"/>
      <x:c r="C80" s="804"/>
      <x:c r="D80" s="800"/>
      <x:c r="E80" s="800"/>
      <x:c r="F80" s="800"/>
      <x:c r="G80" s="802" t="str">
        <x:f>IF($E80="","",IFERROR(INDEX('Certified Allocation'!$A$5:$A$51,MATCH($E80,'Certified Allocation'!$B$5:$B$51,0)),"Candidate / Non-Holding"))</x:f>
      </x:c>
      <x:c r="H80" s="800"/>
      <x:c r="I80" s="800"/>
      <x:c r="J80" s="800"/>
      <x:c r="K80" s="800"/>
      <x:c r="L80" s="800"/>
      <x:c r="M80" s="800"/>
      <x:c r="N80" s="800"/>
      <x:c r="O80" s="800"/>
      <x:c r="P80" s="800"/>
      <x:c r="Q80" s="800"/>
      <x:c r="R80" s="800"/>
      <x:c r="S80" s="804"/>
      <x:c r="T80" s="800"/>
      <x:c r="U80" s="800"/>
      <x:c r="V80" s="800"/>
      <x:c r="W80" s="800"/>
      <x:c r="X80" s="800"/>
      <x:c r="Y80" s="800"/>
      <x:c r="Z80" s="800"/>
      <x:c r="AA80" s="800"/>
      <x:c r="AB80" s="804"/>
      <x:c r="AC80" s="805" t="str">
        <x:f>IF($A80="","",IF(AND(OR($T80="Closed — No Action",$T80="Closed — Incorporated"),$AB80&lt;&gt;""),MAX(0,$AB80-$B80),MAX(0,TODAY()-$B80)))</x:f>
      </x:c>
      <x:c r="AD80" s="775" t="str">
        <x:f>IF(COUNTA($A80:$F80,$H80:$AB80,$AG80)=0,"",IF(OR($A80="",$B80="",$C80="",$D80="",$F80="",$H80="",$I80="",$J80="",$K80="",$L80="",$M80="",$N80="",$O80="",$P80="",$Q80="",$R80="",$S80="",$T80="",$U80="",$V80="",$W80="",$X80="",$Y80="",$Z80="",$AA80="",AND(NOT(OR($D80="Portfolio-Level",$D80="Market / Macro",$D80="Other")),$E80="")),"INCOMPLETE",IF(COUNTIF($A$14:$A$213,$A80)&gt;1,"DUPLICATE ID","COMPLETE")))</x:f>
      </x:c>
      <x:c r="AE80" s="775" t="str">
        <x:f>IF($A80="","",IF($AD80&lt;&gt;"COMPLETE",$AD80,IF(AND($D80="Certified Holding",OR($E80="",$G80="Candidate / Non-Holding")),"HOLDING IDENTIFIER MISMATCH",IF(AND(OR($J80="Critical",$J80="High"),OR($U80="No",AND($L80="Unverified — Pending",$U80&lt;&gt;"Exception Approved"))),"VERIFY / ESCALATE",IF($X80="Unassigned","CONVICTION DECISION REQUIRED",IF(AND($S80&lt;TODAY(),$T80&lt;&gt;"Closed — No Action",$T80&lt;&gt;"Closed — Incorporated"),"OVERDUE",IF(AND(OR($T80="Closed — No Action",$T80="Closed — Incorporated"),$AB80=""),"CLOSE DATE REQUIRED",IF(AND(NOT(OR($T80="Closed — No Action",$T80="Closed — Incorporated")),$AB80&lt;&gt;""),"STATUS / CLOSE DATE MISMATCH",IF(AND($Z80&lt;&gt;"No",NOT(OR($U80="Yes",$U80="Exception Approved"))),"PEW REFERRAL BLOCKED",IF(AND($T80="Awaiting Verification",$U80="Yes"),"STATUS MISMATCH",IF(OR($T80="Closed — No Action",$T80="Closed — Incorporated"),"CLOSED","OPEN — ON TRACK")))))))))))</x:f>
      </x:c>
      <x:c r="AF80" s="775" t="str">
        <x:f>IF($A80="","",IF($AD80&lt;&gt;"COMPLETE","NOT ELIGIBLE",IF($X80="Unassigned","NOT ELIGIBLE — CONVICTION UNASSIGNED",IF(NOT(OR($U80="Yes",$U80="Exception Approved")),"NOT ELIGIBLE — UNVERIFIED",IF(OR($V80&lt;&gt;"None",AND($W80&lt;&gt;"None",$W80&lt;&gt;"Intact"),AND($X80&lt;&gt;"No Change",$X80&lt;&gt;"Not Applicable"),$Y80&lt;&gt;"None",$Z80&lt;&gt;"No"),"ELIGIBLE FOR ROUTING","NO REFERRAL REQUIRED")))))</x:f>
      </x:c>
      <x:c r="AG80" s="800"/>
    </x:row>
    <x:row r="81" ht="36" customHeight="1">
      <x:c r="A81" s="800"/>
      <x:c r="B81" s="804"/>
      <x:c r="C81" s="804"/>
      <x:c r="D81" s="800"/>
      <x:c r="E81" s="800"/>
      <x:c r="F81" s="800"/>
      <x:c r="G81" s="802" t="str">
        <x:f>IF($E81="","",IFERROR(INDEX('Certified Allocation'!$A$5:$A$51,MATCH($E81,'Certified Allocation'!$B$5:$B$51,0)),"Candidate / Non-Holding"))</x:f>
      </x:c>
      <x:c r="H81" s="800"/>
      <x:c r="I81" s="800"/>
      <x:c r="J81" s="800"/>
      <x:c r="K81" s="800"/>
      <x:c r="L81" s="800"/>
      <x:c r="M81" s="800"/>
      <x:c r="N81" s="800"/>
      <x:c r="O81" s="800"/>
      <x:c r="P81" s="800"/>
      <x:c r="Q81" s="800"/>
      <x:c r="R81" s="800"/>
      <x:c r="S81" s="804"/>
      <x:c r="T81" s="800"/>
      <x:c r="U81" s="800"/>
      <x:c r="V81" s="800"/>
      <x:c r="W81" s="800"/>
      <x:c r="X81" s="800"/>
      <x:c r="Y81" s="800"/>
      <x:c r="Z81" s="800"/>
      <x:c r="AA81" s="800"/>
      <x:c r="AB81" s="804"/>
      <x:c r="AC81" s="805" t="str">
        <x:f>IF($A81="","",IF(AND(OR($T81="Closed — No Action",$T81="Closed — Incorporated"),$AB81&lt;&gt;""),MAX(0,$AB81-$B81),MAX(0,TODAY()-$B81)))</x:f>
      </x:c>
      <x:c r="AD81" s="775" t="str">
        <x:f>IF(COUNTA($A81:$F81,$H81:$AB81,$AG81)=0,"",IF(OR($A81="",$B81="",$C81="",$D81="",$F81="",$H81="",$I81="",$J81="",$K81="",$L81="",$M81="",$N81="",$O81="",$P81="",$Q81="",$R81="",$S81="",$T81="",$U81="",$V81="",$W81="",$X81="",$Y81="",$Z81="",$AA81="",AND(NOT(OR($D81="Portfolio-Level",$D81="Market / Macro",$D81="Other")),$E81="")),"INCOMPLETE",IF(COUNTIF($A$14:$A$213,$A81)&gt;1,"DUPLICATE ID","COMPLETE")))</x:f>
      </x:c>
      <x:c r="AE81" s="775" t="str">
        <x:f>IF($A81="","",IF($AD81&lt;&gt;"COMPLETE",$AD81,IF(AND($D81="Certified Holding",OR($E81="",$G81="Candidate / Non-Holding")),"HOLDING IDENTIFIER MISMATCH",IF(AND(OR($J81="Critical",$J81="High"),OR($U81="No",AND($L81="Unverified — Pending",$U81&lt;&gt;"Exception Approved"))),"VERIFY / ESCALATE",IF($X81="Unassigned","CONVICTION DECISION REQUIRED",IF(AND($S81&lt;TODAY(),$T81&lt;&gt;"Closed — No Action",$T81&lt;&gt;"Closed — Incorporated"),"OVERDUE",IF(AND(OR($T81="Closed — No Action",$T81="Closed — Incorporated"),$AB81=""),"CLOSE DATE REQUIRED",IF(AND(NOT(OR($T81="Closed — No Action",$T81="Closed — Incorporated")),$AB81&lt;&gt;""),"STATUS / CLOSE DATE MISMATCH",IF(AND($Z81&lt;&gt;"No",NOT(OR($U81="Yes",$U81="Exception Approved"))),"PEW REFERRAL BLOCKED",IF(AND($T81="Awaiting Verification",$U81="Yes"),"STATUS MISMATCH",IF(OR($T81="Closed — No Action",$T81="Closed — Incorporated"),"CLOSED","OPEN — ON TRACK")))))))))))</x:f>
      </x:c>
      <x:c r="AF81" s="775" t="str">
        <x:f>IF($A81="","",IF($AD81&lt;&gt;"COMPLETE","NOT ELIGIBLE",IF($X81="Unassigned","NOT ELIGIBLE — CONVICTION UNASSIGNED",IF(NOT(OR($U81="Yes",$U81="Exception Approved")),"NOT ELIGIBLE — UNVERIFIED",IF(OR($V81&lt;&gt;"None",AND($W81&lt;&gt;"None",$W81&lt;&gt;"Intact"),AND($X81&lt;&gt;"No Change",$X81&lt;&gt;"Not Applicable"),$Y81&lt;&gt;"None",$Z81&lt;&gt;"No"),"ELIGIBLE FOR ROUTING","NO REFERRAL REQUIRED")))))</x:f>
      </x:c>
      <x:c r="AG81" s="800"/>
    </x:row>
    <x:row r="82" ht="36" customHeight="1">
      <x:c r="A82" s="800"/>
      <x:c r="B82" s="804"/>
      <x:c r="C82" s="804"/>
      <x:c r="D82" s="800"/>
      <x:c r="E82" s="800"/>
      <x:c r="F82" s="800"/>
      <x:c r="G82" s="802" t="str">
        <x:f>IF($E82="","",IFERROR(INDEX('Certified Allocation'!$A$5:$A$51,MATCH($E82,'Certified Allocation'!$B$5:$B$51,0)),"Candidate / Non-Holding"))</x:f>
      </x:c>
      <x:c r="H82" s="800"/>
      <x:c r="I82" s="800"/>
      <x:c r="J82" s="800"/>
      <x:c r="K82" s="800"/>
      <x:c r="L82" s="800"/>
      <x:c r="M82" s="800"/>
      <x:c r="N82" s="800"/>
      <x:c r="O82" s="800"/>
      <x:c r="P82" s="800"/>
      <x:c r="Q82" s="800"/>
      <x:c r="R82" s="800"/>
      <x:c r="S82" s="804"/>
      <x:c r="T82" s="800"/>
      <x:c r="U82" s="800"/>
      <x:c r="V82" s="800"/>
      <x:c r="W82" s="800"/>
      <x:c r="X82" s="800"/>
      <x:c r="Y82" s="800"/>
      <x:c r="Z82" s="800"/>
      <x:c r="AA82" s="800"/>
      <x:c r="AB82" s="804"/>
      <x:c r="AC82" s="805" t="str">
        <x:f>IF($A82="","",IF(AND(OR($T82="Closed — No Action",$T82="Closed — Incorporated"),$AB82&lt;&gt;""),MAX(0,$AB82-$B82),MAX(0,TODAY()-$B82)))</x:f>
      </x:c>
      <x:c r="AD82" s="775" t="str">
        <x:f>IF(COUNTA($A82:$F82,$H82:$AB82,$AG82)=0,"",IF(OR($A82="",$B82="",$C82="",$D82="",$F82="",$H82="",$I82="",$J82="",$K82="",$L82="",$M82="",$N82="",$O82="",$P82="",$Q82="",$R82="",$S82="",$T82="",$U82="",$V82="",$W82="",$X82="",$Y82="",$Z82="",$AA82="",AND(NOT(OR($D82="Portfolio-Level",$D82="Market / Macro",$D82="Other")),$E82="")),"INCOMPLETE",IF(COUNTIF($A$14:$A$213,$A82)&gt;1,"DUPLICATE ID","COMPLETE")))</x:f>
      </x:c>
      <x:c r="AE82" s="775" t="str">
        <x:f>IF($A82="","",IF($AD82&lt;&gt;"COMPLETE",$AD82,IF(AND($D82="Certified Holding",OR($E82="",$G82="Candidate / Non-Holding")),"HOLDING IDENTIFIER MISMATCH",IF(AND(OR($J82="Critical",$J82="High"),OR($U82="No",AND($L82="Unverified — Pending",$U82&lt;&gt;"Exception Approved"))),"VERIFY / ESCALATE",IF($X82="Unassigned","CONVICTION DECISION REQUIRED",IF(AND($S82&lt;TODAY(),$T82&lt;&gt;"Closed — No Action",$T82&lt;&gt;"Closed — Incorporated"),"OVERDUE",IF(AND(OR($T82="Closed — No Action",$T82="Closed — Incorporated"),$AB82=""),"CLOSE DATE REQUIRED",IF(AND(NOT(OR($T82="Closed — No Action",$T82="Closed — Incorporated")),$AB82&lt;&gt;""),"STATUS / CLOSE DATE MISMATCH",IF(AND($Z82&lt;&gt;"No",NOT(OR($U82="Yes",$U82="Exception Approved"))),"PEW REFERRAL BLOCKED",IF(AND($T82="Awaiting Verification",$U82="Yes"),"STATUS MISMATCH",IF(OR($T82="Closed — No Action",$T82="Closed — Incorporated"),"CLOSED","OPEN — ON TRACK")))))))))))</x:f>
      </x:c>
      <x:c r="AF82" s="775" t="str">
        <x:f>IF($A82="","",IF($AD82&lt;&gt;"COMPLETE","NOT ELIGIBLE",IF($X82="Unassigned","NOT ELIGIBLE — CONVICTION UNASSIGNED",IF(NOT(OR($U82="Yes",$U82="Exception Approved")),"NOT ELIGIBLE — UNVERIFIED",IF(OR($V82&lt;&gt;"None",AND($W82&lt;&gt;"None",$W82&lt;&gt;"Intact"),AND($X82&lt;&gt;"No Change",$X82&lt;&gt;"Not Applicable"),$Y82&lt;&gt;"None",$Z82&lt;&gt;"No"),"ELIGIBLE FOR ROUTING","NO REFERRAL REQUIRED")))))</x:f>
      </x:c>
      <x:c r="AG82" s="800"/>
    </x:row>
    <x:row r="83" ht="36" customHeight="1">
      <x:c r="A83" s="800"/>
      <x:c r="B83" s="804"/>
      <x:c r="C83" s="804"/>
      <x:c r="D83" s="800"/>
      <x:c r="E83" s="800"/>
      <x:c r="F83" s="800"/>
      <x:c r="G83" s="802" t="str">
        <x:f>IF($E83="","",IFERROR(INDEX('Certified Allocation'!$A$5:$A$51,MATCH($E83,'Certified Allocation'!$B$5:$B$51,0)),"Candidate / Non-Holding"))</x:f>
      </x:c>
      <x:c r="H83" s="800"/>
      <x:c r="I83" s="800"/>
      <x:c r="J83" s="800"/>
      <x:c r="K83" s="800"/>
      <x:c r="L83" s="800"/>
      <x:c r="M83" s="800"/>
      <x:c r="N83" s="800"/>
      <x:c r="O83" s="800"/>
      <x:c r="P83" s="800"/>
      <x:c r="Q83" s="800"/>
      <x:c r="R83" s="800"/>
      <x:c r="S83" s="804"/>
      <x:c r="T83" s="800"/>
      <x:c r="U83" s="800"/>
      <x:c r="V83" s="800"/>
      <x:c r="W83" s="800"/>
      <x:c r="X83" s="800"/>
      <x:c r="Y83" s="800"/>
      <x:c r="Z83" s="800"/>
      <x:c r="AA83" s="800"/>
      <x:c r="AB83" s="804"/>
      <x:c r="AC83" s="805" t="str">
        <x:f>IF($A83="","",IF(AND(OR($T83="Closed — No Action",$T83="Closed — Incorporated"),$AB83&lt;&gt;""),MAX(0,$AB83-$B83),MAX(0,TODAY()-$B83)))</x:f>
      </x:c>
      <x:c r="AD83" s="775" t="str">
        <x:f>IF(COUNTA($A83:$F83,$H83:$AB83,$AG83)=0,"",IF(OR($A83="",$B83="",$C83="",$D83="",$F83="",$H83="",$I83="",$J83="",$K83="",$L83="",$M83="",$N83="",$O83="",$P83="",$Q83="",$R83="",$S83="",$T83="",$U83="",$V83="",$W83="",$X83="",$Y83="",$Z83="",$AA83="",AND(NOT(OR($D83="Portfolio-Level",$D83="Market / Macro",$D83="Other")),$E83="")),"INCOMPLETE",IF(COUNTIF($A$14:$A$213,$A83)&gt;1,"DUPLICATE ID","COMPLETE")))</x:f>
      </x:c>
      <x:c r="AE83" s="775" t="str">
        <x:f>IF($A83="","",IF($AD83&lt;&gt;"COMPLETE",$AD83,IF(AND($D83="Certified Holding",OR($E83="",$G83="Candidate / Non-Holding")),"HOLDING IDENTIFIER MISMATCH",IF(AND(OR($J83="Critical",$J83="High"),OR($U83="No",AND($L83="Unverified — Pending",$U83&lt;&gt;"Exception Approved"))),"VERIFY / ESCALATE",IF($X83="Unassigned","CONVICTION DECISION REQUIRED",IF(AND($S83&lt;TODAY(),$T83&lt;&gt;"Closed — No Action",$T83&lt;&gt;"Closed — Incorporated"),"OVERDUE",IF(AND(OR($T83="Closed — No Action",$T83="Closed — Incorporated"),$AB83=""),"CLOSE DATE REQUIRED",IF(AND(NOT(OR($T83="Closed — No Action",$T83="Closed — Incorporated")),$AB83&lt;&gt;""),"STATUS / CLOSE DATE MISMATCH",IF(AND($Z83&lt;&gt;"No",NOT(OR($U83="Yes",$U83="Exception Approved"))),"PEW REFERRAL BLOCKED",IF(AND($T83="Awaiting Verification",$U83="Yes"),"STATUS MISMATCH",IF(OR($T83="Closed — No Action",$T83="Closed — Incorporated"),"CLOSED","OPEN — ON TRACK")))))))))))</x:f>
      </x:c>
      <x:c r="AF83" s="775" t="str">
        <x:f>IF($A83="","",IF($AD83&lt;&gt;"COMPLETE","NOT ELIGIBLE",IF($X83="Unassigned","NOT ELIGIBLE — CONVICTION UNASSIGNED",IF(NOT(OR($U83="Yes",$U83="Exception Approved")),"NOT ELIGIBLE — UNVERIFIED",IF(OR($V83&lt;&gt;"None",AND($W83&lt;&gt;"None",$W83&lt;&gt;"Intact"),AND($X83&lt;&gt;"No Change",$X83&lt;&gt;"Not Applicable"),$Y83&lt;&gt;"None",$Z83&lt;&gt;"No"),"ELIGIBLE FOR ROUTING","NO REFERRAL REQUIRED")))))</x:f>
      </x:c>
      <x:c r="AG83" s="800"/>
    </x:row>
    <x:row r="84" ht="36" customHeight="1">
      <x:c r="A84" s="800"/>
      <x:c r="B84" s="804"/>
      <x:c r="C84" s="804"/>
      <x:c r="D84" s="800"/>
      <x:c r="E84" s="800"/>
      <x:c r="F84" s="800"/>
      <x:c r="G84" s="802" t="str">
        <x:f>IF($E84="","",IFERROR(INDEX('Certified Allocation'!$A$5:$A$51,MATCH($E84,'Certified Allocation'!$B$5:$B$51,0)),"Candidate / Non-Holding"))</x:f>
      </x:c>
      <x:c r="H84" s="800"/>
      <x:c r="I84" s="800"/>
      <x:c r="J84" s="800"/>
      <x:c r="K84" s="800"/>
      <x:c r="L84" s="800"/>
      <x:c r="M84" s="800"/>
      <x:c r="N84" s="800"/>
      <x:c r="O84" s="800"/>
      <x:c r="P84" s="800"/>
      <x:c r="Q84" s="800"/>
      <x:c r="R84" s="800"/>
      <x:c r="S84" s="804"/>
      <x:c r="T84" s="800"/>
      <x:c r="U84" s="800"/>
      <x:c r="V84" s="800"/>
      <x:c r="W84" s="800"/>
      <x:c r="X84" s="800"/>
      <x:c r="Y84" s="800"/>
      <x:c r="Z84" s="800"/>
      <x:c r="AA84" s="800"/>
      <x:c r="AB84" s="804"/>
      <x:c r="AC84" s="805" t="str">
        <x:f>IF($A84="","",IF(AND(OR($T84="Closed — No Action",$T84="Closed — Incorporated"),$AB84&lt;&gt;""),MAX(0,$AB84-$B84),MAX(0,TODAY()-$B84)))</x:f>
      </x:c>
      <x:c r="AD84" s="775" t="str">
        <x:f>IF(COUNTA($A84:$F84,$H84:$AB84,$AG84)=0,"",IF(OR($A84="",$B84="",$C84="",$D84="",$F84="",$H84="",$I84="",$J84="",$K84="",$L84="",$M84="",$N84="",$O84="",$P84="",$Q84="",$R84="",$S84="",$T84="",$U84="",$V84="",$W84="",$X84="",$Y84="",$Z84="",$AA84="",AND(NOT(OR($D84="Portfolio-Level",$D84="Market / Macro",$D84="Other")),$E84="")),"INCOMPLETE",IF(COUNTIF($A$14:$A$213,$A84)&gt;1,"DUPLICATE ID","COMPLETE")))</x:f>
      </x:c>
      <x:c r="AE84" s="775" t="str">
        <x:f>IF($A84="","",IF($AD84&lt;&gt;"COMPLETE",$AD84,IF(AND($D84="Certified Holding",OR($E84="",$G84="Candidate / Non-Holding")),"HOLDING IDENTIFIER MISMATCH",IF(AND(OR($J84="Critical",$J84="High"),OR($U84="No",AND($L84="Unverified — Pending",$U84&lt;&gt;"Exception Approved"))),"VERIFY / ESCALATE",IF($X84="Unassigned","CONVICTION DECISION REQUIRED",IF(AND($S84&lt;TODAY(),$T84&lt;&gt;"Closed — No Action",$T84&lt;&gt;"Closed — Incorporated"),"OVERDUE",IF(AND(OR($T84="Closed — No Action",$T84="Closed — Incorporated"),$AB84=""),"CLOSE DATE REQUIRED",IF(AND(NOT(OR($T84="Closed — No Action",$T84="Closed — Incorporated")),$AB84&lt;&gt;""),"STATUS / CLOSE DATE MISMATCH",IF(AND($Z84&lt;&gt;"No",NOT(OR($U84="Yes",$U84="Exception Approved"))),"PEW REFERRAL BLOCKED",IF(AND($T84="Awaiting Verification",$U84="Yes"),"STATUS MISMATCH",IF(OR($T84="Closed — No Action",$T84="Closed — Incorporated"),"CLOSED","OPEN — ON TRACK")))))))))))</x:f>
      </x:c>
      <x:c r="AF84" s="775" t="str">
        <x:f>IF($A84="","",IF($AD84&lt;&gt;"COMPLETE","NOT ELIGIBLE",IF($X84="Unassigned","NOT ELIGIBLE — CONVICTION UNASSIGNED",IF(NOT(OR($U84="Yes",$U84="Exception Approved")),"NOT ELIGIBLE — UNVERIFIED",IF(OR($V84&lt;&gt;"None",AND($W84&lt;&gt;"None",$W84&lt;&gt;"Intact"),AND($X84&lt;&gt;"No Change",$X84&lt;&gt;"Not Applicable"),$Y84&lt;&gt;"None",$Z84&lt;&gt;"No"),"ELIGIBLE FOR ROUTING","NO REFERRAL REQUIRED")))))</x:f>
      </x:c>
      <x:c r="AG84" s="800"/>
    </x:row>
    <x:row r="85" ht="36" customHeight="1">
      <x:c r="A85" s="800"/>
      <x:c r="B85" s="804"/>
      <x:c r="C85" s="804"/>
      <x:c r="D85" s="800"/>
      <x:c r="E85" s="800"/>
      <x:c r="F85" s="800"/>
      <x:c r="G85" s="802" t="str">
        <x:f>IF($E85="","",IFERROR(INDEX('Certified Allocation'!$A$5:$A$51,MATCH($E85,'Certified Allocation'!$B$5:$B$51,0)),"Candidate / Non-Holding"))</x:f>
      </x:c>
      <x:c r="H85" s="800"/>
      <x:c r="I85" s="800"/>
      <x:c r="J85" s="800"/>
      <x:c r="K85" s="800"/>
      <x:c r="L85" s="800"/>
      <x:c r="M85" s="800"/>
      <x:c r="N85" s="800"/>
      <x:c r="O85" s="800"/>
      <x:c r="P85" s="800"/>
      <x:c r="Q85" s="800"/>
      <x:c r="R85" s="800"/>
      <x:c r="S85" s="804"/>
      <x:c r="T85" s="800"/>
      <x:c r="U85" s="800"/>
      <x:c r="V85" s="800"/>
      <x:c r="W85" s="800"/>
      <x:c r="X85" s="800"/>
      <x:c r="Y85" s="800"/>
      <x:c r="Z85" s="800"/>
      <x:c r="AA85" s="800"/>
      <x:c r="AB85" s="804"/>
      <x:c r="AC85" s="805" t="str">
        <x:f>IF($A85="","",IF(AND(OR($T85="Closed — No Action",$T85="Closed — Incorporated"),$AB85&lt;&gt;""),MAX(0,$AB85-$B85),MAX(0,TODAY()-$B85)))</x:f>
      </x:c>
      <x:c r="AD85" s="775" t="str">
        <x:f>IF(COUNTA($A85:$F85,$H85:$AB85,$AG85)=0,"",IF(OR($A85="",$B85="",$C85="",$D85="",$F85="",$H85="",$I85="",$J85="",$K85="",$L85="",$M85="",$N85="",$O85="",$P85="",$Q85="",$R85="",$S85="",$T85="",$U85="",$V85="",$W85="",$X85="",$Y85="",$Z85="",$AA85="",AND(NOT(OR($D85="Portfolio-Level",$D85="Market / Macro",$D85="Other")),$E85="")),"INCOMPLETE",IF(COUNTIF($A$14:$A$213,$A85)&gt;1,"DUPLICATE ID","COMPLETE")))</x:f>
      </x:c>
      <x:c r="AE85" s="775" t="str">
        <x:f>IF($A85="","",IF($AD85&lt;&gt;"COMPLETE",$AD85,IF(AND($D85="Certified Holding",OR($E85="",$G85="Candidate / Non-Holding")),"HOLDING IDENTIFIER MISMATCH",IF(AND(OR($J85="Critical",$J85="High"),OR($U85="No",AND($L85="Unverified — Pending",$U85&lt;&gt;"Exception Approved"))),"VERIFY / ESCALATE",IF($X85="Unassigned","CONVICTION DECISION REQUIRED",IF(AND($S85&lt;TODAY(),$T85&lt;&gt;"Closed — No Action",$T85&lt;&gt;"Closed — Incorporated"),"OVERDUE",IF(AND(OR($T85="Closed — No Action",$T85="Closed — Incorporated"),$AB85=""),"CLOSE DATE REQUIRED",IF(AND(NOT(OR($T85="Closed — No Action",$T85="Closed — Incorporated")),$AB85&lt;&gt;""),"STATUS / CLOSE DATE MISMATCH",IF(AND($Z85&lt;&gt;"No",NOT(OR($U85="Yes",$U85="Exception Approved"))),"PEW REFERRAL BLOCKED",IF(AND($T85="Awaiting Verification",$U85="Yes"),"STATUS MISMATCH",IF(OR($T85="Closed — No Action",$T85="Closed — Incorporated"),"CLOSED","OPEN — ON TRACK")))))))))))</x:f>
      </x:c>
      <x:c r="AF85" s="775" t="str">
        <x:f>IF($A85="","",IF($AD85&lt;&gt;"COMPLETE","NOT ELIGIBLE",IF($X85="Unassigned","NOT ELIGIBLE — CONVICTION UNASSIGNED",IF(NOT(OR($U85="Yes",$U85="Exception Approved")),"NOT ELIGIBLE — UNVERIFIED",IF(OR($V85&lt;&gt;"None",AND($W85&lt;&gt;"None",$W85&lt;&gt;"Intact"),AND($X85&lt;&gt;"No Change",$X85&lt;&gt;"Not Applicable"),$Y85&lt;&gt;"None",$Z85&lt;&gt;"No"),"ELIGIBLE FOR ROUTING","NO REFERRAL REQUIRED")))))</x:f>
      </x:c>
      <x:c r="AG85" s="800"/>
    </x:row>
    <x:row r="86" ht="36" customHeight="1">
      <x:c r="A86" s="800"/>
      <x:c r="B86" s="804"/>
      <x:c r="C86" s="804"/>
      <x:c r="D86" s="800"/>
      <x:c r="E86" s="800"/>
      <x:c r="F86" s="800"/>
      <x:c r="G86" s="802" t="str">
        <x:f>IF($E86="","",IFERROR(INDEX('Certified Allocation'!$A$5:$A$51,MATCH($E86,'Certified Allocation'!$B$5:$B$51,0)),"Candidate / Non-Holding"))</x:f>
      </x:c>
      <x:c r="H86" s="800"/>
      <x:c r="I86" s="800"/>
      <x:c r="J86" s="800"/>
      <x:c r="K86" s="800"/>
      <x:c r="L86" s="800"/>
      <x:c r="M86" s="800"/>
      <x:c r="N86" s="800"/>
      <x:c r="O86" s="800"/>
      <x:c r="P86" s="800"/>
      <x:c r="Q86" s="800"/>
      <x:c r="R86" s="800"/>
      <x:c r="S86" s="804"/>
      <x:c r="T86" s="800"/>
      <x:c r="U86" s="800"/>
      <x:c r="V86" s="800"/>
      <x:c r="W86" s="800"/>
      <x:c r="X86" s="800"/>
      <x:c r="Y86" s="800"/>
      <x:c r="Z86" s="800"/>
      <x:c r="AA86" s="800"/>
      <x:c r="AB86" s="804"/>
      <x:c r="AC86" s="805" t="str">
        <x:f>IF($A86="","",IF(AND(OR($T86="Closed — No Action",$T86="Closed — Incorporated"),$AB86&lt;&gt;""),MAX(0,$AB86-$B86),MAX(0,TODAY()-$B86)))</x:f>
      </x:c>
      <x:c r="AD86" s="775" t="str">
        <x:f>IF(COUNTA($A86:$F86,$H86:$AB86,$AG86)=0,"",IF(OR($A86="",$B86="",$C86="",$D86="",$F86="",$H86="",$I86="",$J86="",$K86="",$L86="",$M86="",$N86="",$O86="",$P86="",$Q86="",$R86="",$S86="",$T86="",$U86="",$V86="",$W86="",$X86="",$Y86="",$Z86="",$AA86="",AND(NOT(OR($D86="Portfolio-Level",$D86="Market / Macro",$D86="Other")),$E86="")),"INCOMPLETE",IF(COUNTIF($A$14:$A$213,$A86)&gt;1,"DUPLICATE ID","COMPLETE")))</x:f>
      </x:c>
      <x:c r="AE86" s="775" t="str">
        <x:f>IF($A86="","",IF($AD86&lt;&gt;"COMPLETE",$AD86,IF(AND($D86="Certified Holding",OR($E86="",$G86="Candidate / Non-Holding")),"HOLDING IDENTIFIER MISMATCH",IF(AND(OR($J86="Critical",$J86="High"),OR($U86="No",AND($L86="Unverified — Pending",$U86&lt;&gt;"Exception Approved"))),"VERIFY / ESCALATE",IF($X86="Unassigned","CONVICTION DECISION REQUIRED",IF(AND($S86&lt;TODAY(),$T86&lt;&gt;"Closed — No Action",$T86&lt;&gt;"Closed — Incorporated"),"OVERDUE",IF(AND(OR($T86="Closed — No Action",$T86="Closed — Incorporated"),$AB86=""),"CLOSE DATE REQUIRED",IF(AND(NOT(OR($T86="Closed — No Action",$T86="Closed — Incorporated")),$AB86&lt;&gt;""),"STATUS / CLOSE DATE MISMATCH",IF(AND($Z86&lt;&gt;"No",NOT(OR($U86="Yes",$U86="Exception Approved"))),"PEW REFERRAL BLOCKED",IF(AND($T86="Awaiting Verification",$U86="Yes"),"STATUS MISMATCH",IF(OR($T86="Closed — No Action",$T86="Closed — Incorporated"),"CLOSED","OPEN — ON TRACK")))))))))))</x:f>
      </x:c>
      <x:c r="AF86" s="775" t="str">
        <x:f>IF($A86="","",IF($AD86&lt;&gt;"COMPLETE","NOT ELIGIBLE",IF($X86="Unassigned","NOT ELIGIBLE — CONVICTION UNASSIGNED",IF(NOT(OR($U86="Yes",$U86="Exception Approved")),"NOT ELIGIBLE — UNVERIFIED",IF(OR($V86&lt;&gt;"None",AND($W86&lt;&gt;"None",$W86&lt;&gt;"Intact"),AND($X86&lt;&gt;"No Change",$X86&lt;&gt;"Not Applicable"),$Y86&lt;&gt;"None",$Z86&lt;&gt;"No"),"ELIGIBLE FOR ROUTING","NO REFERRAL REQUIRED")))))</x:f>
      </x:c>
      <x:c r="AG86" s="800"/>
    </x:row>
    <x:row r="87" ht="36" customHeight="1">
      <x:c r="A87" s="800"/>
      <x:c r="B87" s="804"/>
      <x:c r="C87" s="804"/>
      <x:c r="D87" s="800"/>
      <x:c r="E87" s="800"/>
      <x:c r="F87" s="800"/>
      <x:c r="G87" s="802" t="str">
        <x:f>IF($E87="","",IFERROR(INDEX('Certified Allocation'!$A$5:$A$51,MATCH($E87,'Certified Allocation'!$B$5:$B$51,0)),"Candidate / Non-Holding"))</x:f>
      </x:c>
      <x:c r="H87" s="800"/>
      <x:c r="I87" s="800"/>
      <x:c r="J87" s="800"/>
      <x:c r="K87" s="800"/>
      <x:c r="L87" s="800"/>
      <x:c r="M87" s="800"/>
      <x:c r="N87" s="800"/>
      <x:c r="O87" s="800"/>
      <x:c r="P87" s="800"/>
      <x:c r="Q87" s="800"/>
      <x:c r="R87" s="800"/>
      <x:c r="S87" s="804"/>
      <x:c r="T87" s="800"/>
      <x:c r="U87" s="800"/>
      <x:c r="V87" s="800"/>
      <x:c r="W87" s="800"/>
      <x:c r="X87" s="800"/>
      <x:c r="Y87" s="800"/>
      <x:c r="Z87" s="800"/>
      <x:c r="AA87" s="800"/>
      <x:c r="AB87" s="804"/>
      <x:c r="AC87" s="805" t="str">
        <x:f>IF($A87="","",IF(AND(OR($T87="Closed — No Action",$T87="Closed — Incorporated"),$AB87&lt;&gt;""),MAX(0,$AB87-$B87),MAX(0,TODAY()-$B87)))</x:f>
      </x:c>
      <x:c r="AD87" s="775" t="str">
        <x:f>IF(COUNTA($A87:$F87,$H87:$AB87,$AG87)=0,"",IF(OR($A87="",$B87="",$C87="",$D87="",$F87="",$H87="",$I87="",$J87="",$K87="",$L87="",$M87="",$N87="",$O87="",$P87="",$Q87="",$R87="",$S87="",$T87="",$U87="",$V87="",$W87="",$X87="",$Y87="",$Z87="",$AA87="",AND(NOT(OR($D87="Portfolio-Level",$D87="Market / Macro",$D87="Other")),$E87="")),"INCOMPLETE",IF(COUNTIF($A$14:$A$213,$A87)&gt;1,"DUPLICATE ID","COMPLETE")))</x:f>
      </x:c>
      <x:c r="AE87" s="775" t="str">
        <x:f>IF($A87="","",IF($AD87&lt;&gt;"COMPLETE",$AD87,IF(AND($D87="Certified Holding",OR($E87="",$G87="Candidate / Non-Holding")),"HOLDING IDENTIFIER MISMATCH",IF(AND(OR($J87="Critical",$J87="High"),OR($U87="No",AND($L87="Unverified — Pending",$U87&lt;&gt;"Exception Approved"))),"VERIFY / ESCALATE",IF($X87="Unassigned","CONVICTION DECISION REQUIRED",IF(AND($S87&lt;TODAY(),$T87&lt;&gt;"Closed — No Action",$T87&lt;&gt;"Closed — Incorporated"),"OVERDUE",IF(AND(OR($T87="Closed — No Action",$T87="Closed — Incorporated"),$AB87=""),"CLOSE DATE REQUIRED",IF(AND(NOT(OR($T87="Closed — No Action",$T87="Closed — Incorporated")),$AB87&lt;&gt;""),"STATUS / CLOSE DATE MISMATCH",IF(AND($Z87&lt;&gt;"No",NOT(OR($U87="Yes",$U87="Exception Approved"))),"PEW REFERRAL BLOCKED",IF(AND($T87="Awaiting Verification",$U87="Yes"),"STATUS MISMATCH",IF(OR($T87="Closed — No Action",$T87="Closed — Incorporated"),"CLOSED","OPEN — ON TRACK")))))))))))</x:f>
      </x:c>
      <x:c r="AF87" s="775" t="str">
        <x:f>IF($A87="","",IF($AD87&lt;&gt;"COMPLETE","NOT ELIGIBLE",IF($X87="Unassigned","NOT ELIGIBLE — CONVICTION UNASSIGNED",IF(NOT(OR($U87="Yes",$U87="Exception Approved")),"NOT ELIGIBLE — UNVERIFIED",IF(OR($V87&lt;&gt;"None",AND($W87&lt;&gt;"None",$W87&lt;&gt;"Intact"),AND($X87&lt;&gt;"No Change",$X87&lt;&gt;"Not Applicable"),$Y87&lt;&gt;"None",$Z87&lt;&gt;"No"),"ELIGIBLE FOR ROUTING","NO REFERRAL REQUIRED")))))</x:f>
      </x:c>
      <x:c r="AG87" s="800"/>
    </x:row>
    <x:row r="88" ht="36" customHeight="1">
      <x:c r="A88" s="800"/>
      <x:c r="B88" s="804"/>
      <x:c r="C88" s="804"/>
      <x:c r="D88" s="800"/>
      <x:c r="E88" s="800"/>
      <x:c r="F88" s="800"/>
      <x:c r="G88" s="802" t="str">
        <x:f>IF($E88="","",IFERROR(INDEX('Certified Allocation'!$A$5:$A$51,MATCH($E88,'Certified Allocation'!$B$5:$B$51,0)),"Candidate / Non-Holding"))</x:f>
      </x:c>
      <x:c r="H88" s="800"/>
      <x:c r="I88" s="800"/>
      <x:c r="J88" s="800"/>
      <x:c r="K88" s="800"/>
      <x:c r="L88" s="800"/>
      <x:c r="M88" s="800"/>
      <x:c r="N88" s="800"/>
      <x:c r="O88" s="800"/>
      <x:c r="P88" s="800"/>
      <x:c r="Q88" s="800"/>
      <x:c r="R88" s="800"/>
      <x:c r="S88" s="804"/>
      <x:c r="T88" s="800"/>
      <x:c r="U88" s="800"/>
      <x:c r="V88" s="800"/>
      <x:c r="W88" s="800"/>
      <x:c r="X88" s="800"/>
      <x:c r="Y88" s="800"/>
      <x:c r="Z88" s="800"/>
      <x:c r="AA88" s="800"/>
      <x:c r="AB88" s="804"/>
      <x:c r="AC88" s="805" t="str">
        <x:f>IF($A88="","",IF(AND(OR($T88="Closed — No Action",$T88="Closed — Incorporated"),$AB88&lt;&gt;""),MAX(0,$AB88-$B88),MAX(0,TODAY()-$B88)))</x:f>
      </x:c>
      <x:c r="AD88" s="775" t="str">
        <x:f>IF(COUNTA($A88:$F88,$H88:$AB88,$AG88)=0,"",IF(OR($A88="",$B88="",$C88="",$D88="",$F88="",$H88="",$I88="",$J88="",$K88="",$L88="",$M88="",$N88="",$O88="",$P88="",$Q88="",$R88="",$S88="",$T88="",$U88="",$V88="",$W88="",$X88="",$Y88="",$Z88="",$AA88="",AND(NOT(OR($D88="Portfolio-Level",$D88="Market / Macro",$D88="Other")),$E88="")),"INCOMPLETE",IF(COUNTIF($A$14:$A$213,$A88)&gt;1,"DUPLICATE ID","COMPLETE")))</x:f>
      </x:c>
      <x:c r="AE88" s="775" t="str">
        <x:f>IF($A88="","",IF($AD88&lt;&gt;"COMPLETE",$AD88,IF(AND($D88="Certified Holding",OR($E88="",$G88="Candidate / Non-Holding")),"HOLDING IDENTIFIER MISMATCH",IF(AND(OR($J88="Critical",$J88="High"),OR($U88="No",AND($L88="Unverified — Pending",$U88&lt;&gt;"Exception Approved"))),"VERIFY / ESCALATE",IF($X88="Unassigned","CONVICTION DECISION REQUIRED",IF(AND($S88&lt;TODAY(),$T88&lt;&gt;"Closed — No Action",$T88&lt;&gt;"Closed — Incorporated"),"OVERDUE",IF(AND(OR($T88="Closed — No Action",$T88="Closed — Incorporated"),$AB88=""),"CLOSE DATE REQUIRED",IF(AND(NOT(OR($T88="Closed — No Action",$T88="Closed — Incorporated")),$AB88&lt;&gt;""),"STATUS / CLOSE DATE MISMATCH",IF(AND($Z88&lt;&gt;"No",NOT(OR($U88="Yes",$U88="Exception Approved"))),"PEW REFERRAL BLOCKED",IF(AND($T88="Awaiting Verification",$U88="Yes"),"STATUS MISMATCH",IF(OR($T88="Closed — No Action",$T88="Closed — Incorporated"),"CLOSED","OPEN — ON TRACK")))))))))))</x:f>
      </x:c>
      <x:c r="AF88" s="775" t="str">
        <x:f>IF($A88="","",IF($AD88&lt;&gt;"COMPLETE","NOT ELIGIBLE",IF($X88="Unassigned","NOT ELIGIBLE — CONVICTION UNASSIGNED",IF(NOT(OR($U88="Yes",$U88="Exception Approved")),"NOT ELIGIBLE — UNVERIFIED",IF(OR($V88&lt;&gt;"None",AND($W88&lt;&gt;"None",$W88&lt;&gt;"Intact"),AND($X88&lt;&gt;"No Change",$X88&lt;&gt;"Not Applicable"),$Y88&lt;&gt;"None",$Z88&lt;&gt;"No"),"ELIGIBLE FOR ROUTING","NO REFERRAL REQUIRED")))))</x:f>
      </x:c>
      <x:c r="AG88" s="800"/>
    </x:row>
    <x:row r="89" ht="36" customHeight="1">
      <x:c r="A89" s="800"/>
      <x:c r="B89" s="804"/>
      <x:c r="C89" s="804"/>
      <x:c r="D89" s="800"/>
      <x:c r="E89" s="800"/>
      <x:c r="F89" s="800"/>
      <x:c r="G89" s="802" t="str">
        <x:f>IF($E89="","",IFERROR(INDEX('Certified Allocation'!$A$5:$A$51,MATCH($E89,'Certified Allocation'!$B$5:$B$51,0)),"Candidate / Non-Holding"))</x:f>
      </x:c>
      <x:c r="H89" s="800"/>
      <x:c r="I89" s="800"/>
      <x:c r="J89" s="800"/>
      <x:c r="K89" s="800"/>
      <x:c r="L89" s="800"/>
      <x:c r="M89" s="800"/>
      <x:c r="N89" s="800"/>
      <x:c r="O89" s="800"/>
      <x:c r="P89" s="800"/>
      <x:c r="Q89" s="800"/>
      <x:c r="R89" s="800"/>
      <x:c r="S89" s="804"/>
      <x:c r="T89" s="800"/>
      <x:c r="U89" s="800"/>
      <x:c r="V89" s="800"/>
      <x:c r="W89" s="800"/>
      <x:c r="X89" s="800"/>
      <x:c r="Y89" s="800"/>
      <x:c r="Z89" s="800"/>
      <x:c r="AA89" s="800"/>
      <x:c r="AB89" s="804"/>
      <x:c r="AC89" s="805" t="str">
        <x:f>IF($A89="","",IF(AND(OR($T89="Closed — No Action",$T89="Closed — Incorporated"),$AB89&lt;&gt;""),MAX(0,$AB89-$B89),MAX(0,TODAY()-$B89)))</x:f>
      </x:c>
      <x:c r="AD89" s="775" t="str">
        <x:f>IF(COUNTA($A89:$F89,$H89:$AB89,$AG89)=0,"",IF(OR($A89="",$B89="",$C89="",$D89="",$F89="",$H89="",$I89="",$J89="",$K89="",$L89="",$M89="",$N89="",$O89="",$P89="",$Q89="",$R89="",$S89="",$T89="",$U89="",$V89="",$W89="",$X89="",$Y89="",$Z89="",$AA89="",AND(NOT(OR($D89="Portfolio-Level",$D89="Market / Macro",$D89="Other")),$E89="")),"INCOMPLETE",IF(COUNTIF($A$14:$A$213,$A89)&gt;1,"DUPLICATE ID","COMPLETE")))</x:f>
      </x:c>
      <x:c r="AE89" s="775" t="str">
        <x:f>IF($A89="","",IF($AD89&lt;&gt;"COMPLETE",$AD89,IF(AND($D89="Certified Holding",OR($E89="",$G89="Candidate / Non-Holding")),"HOLDING IDENTIFIER MISMATCH",IF(AND(OR($J89="Critical",$J89="High"),OR($U89="No",AND($L89="Unverified — Pending",$U89&lt;&gt;"Exception Approved"))),"VERIFY / ESCALATE",IF($X89="Unassigned","CONVICTION DECISION REQUIRED",IF(AND($S89&lt;TODAY(),$T89&lt;&gt;"Closed — No Action",$T89&lt;&gt;"Closed — Incorporated"),"OVERDUE",IF(AND(OR($T89="Closed — No Action",$T89="Closed — Incorporated"),$AB89=""),"CLOSE DATE REQUIRED",IF(AND(NOT(OR($T89="Closed — No Action",$T89="Closed — Incorporated")),$AB89&lt;&gt;""),"STATUS / CLOSE DATE MISMATCH",IF(AND($Z89&lt;&gt;"No",NOT(OR($U89="Yes",$U89="Exception Approved"))),"PEW REFERRAL BLOCKED",IF(AND($T89="Awaiting Verification",$U89="Yes"),"STATUS MISMATCH",IF(OR($T89="Closed — No Action",$T89="Closed — Incorporated"),"CLOSED","OPEN — ON TRACK")))))))))))</x:f>
      </x:c>
      <x:c r="AF89" s="775" t="str">
        <x:f>IF($A89="","",IF($AD89&lt;&gt;"COMPLETE","NOT ELIGIBLE",IF($X89="Unassigned","NOT ELIGIBLE — CONVICTION UNASSIGNED",IF(NOT(OR($U89="Yes",$U89="Exception Approved")),"NOT ELIGIBLE — UNVERIFIED",IF(OR($V89&lt;&gt;"None",AND($W89&lt;&gt;"None",$W89&lt;&gt;"Intact"),AND($X89&lt;&gt;"No Change",$X89&lt;&gt;"Not Applicable"),$Y89&lt;&gt;"None",$Z89&lt;&gt;"No"),"ELIGIBLE FOR ROUTING","NO REFERRAL REQUIRED")))))</x:f>
      </x:c>
      <x:c r="AG89" s="800"/>
    </x:row>
    <x:row r="90" ht="36" customHeight="1">
      <x:c r="A90" s="800"/>
      <x:c r="B90" s="804"/>
      <x:c r="C90" s="804"/>
      <x:c r="D90" s="800"/>
      <x:c r="E90" s="800"/>
      <x:c r="F90" s="800"/>
      <x:c r="G90" s="802" t="str">
        <x:f>IF($E90="","",IFERROR(INDEX('Certified Allocation'!$A$5:$A$51,MATCH($E90,'Certified Allocation'!$B$5:$B$51,0)),"Candidate / Non-Holding"))</x:f>
      </x:c>
      <x:c r="H90" s="800"/>
      <x:c r="I90" s="800"/>
      <x:c r="J90" s="800"/>
      <x:c r="K90" s="800"/>
      <x:c r="L90" s="800"/>
      <x:c r="M90" s="800"/>
      <x:c r="N90" s="800"/>
      <x:c r="O90" s="800"/>
      <x:c r="P90" s="800"/>
      <x:c r="Q90" s="800"/>
      <x:c r="R90" s="800"/>
      <x:c r="S90" s="804"/>
      <x:c r="T90" s="800"/>
      <x:c r="U90" s="800"/>
      <x:c r="V90" s="800"/>
      <x:c r="W90" s="800"/>
      <x:c r="X90" s="800"/>
      <x:c r="Y90" s="800"/>
      <x:c r="Z90" s="800"/>
      <x:c r="AA90" s="800"/>
      <x:c r="AB90" s="804"/>
      <x:c r="AC90" s="805" t="str">
        <x:f>IF($A90="","",IF(AND(OR($T90="Closed — No Action",$T90="Closed — Incorporated"),$AB90&lt;&gt;""),MAX(0,$AB90-$B90),MAX(0,TODAY()-$B90)))</x:f>
      </x:c>
      <x:c r="AD90" s="775" t="str">
        <x:f>IF(COUNTA($A90:$F90,$H90:$AB90,$AG90)=0,"",IF(OR($A90="",$B90="",$C90="",$D90="",$F90="",$H90="",$I90="",$J90="",$K90="",$L90="",$M90="",$N90="",$O90="",$P90="",$Q90="",$R90="",$S90="",$T90="",$U90="",$V90="",$W90="",$X90="",$Y90="",$Z90="",$AA90="",AND(NOT(OR($D90="Portfolio-Level",$D90="Market / Macro",$D90="Other")),$E90="")),"INCOMPLETE",IF(COUNTIF($A$14:$A$213,$A90)&gt;1,"DUPLICATE ID","COMPLETE")))</x:f>
      </x:c>
      <x:c r="AE90" s="775" t="str">
        <x:f>IF($A90="","",IF($AD90&lt;&gt;"COMPLETE",$AD90,IF(AND($D90="Certified Holding",OR($E90="",$G90="Candidate / Non-Holding")),"HOLDING IDENTIFIER MISMATCH",IF(AND(OR($J90="Critical",$J90="High"),OR($U90="No",AND($L90="Unverified — Pending",$U90&lt;&gt;"Exception Approved"))),"VERIFY / ESCALATE",IF($X90="Unassigned","CONVICTION DECISION REQUIRED",IF(AND($S90&lt;TODAY(),$T90&lt;&gt;"Closed — No Action",$T90&lt;&gt;"Closed — Incorporated"),"OVERDUE",IF(AND(OR($T90="Closed — No Action",$T90="Closed — Incorporated"),$AB90=""),"CLOSE DATE REQUIRED",IF(AND(NOT(OR($T90="Closed — No Action",$T90="Closed — Incorporated")),$AB90&lt;&gt;""),"STATUS / CLOSE DATE MISMATCH",IF(AND($Z90&lt;&gt;"No",NOT(OR($U90="Yes",$U90="Exception Approved"))),"PEW REFERRAL BLOCKED",IF(AND($T90="Awaiting Verification",$U90="Yes"),"STATUS MISMATCH",IF(OR($T90="Closed — No Action",$T90="Closed — Incorporated"),"CLOSED","OPEN — ON TRACK")))))))))))</x:f>
      </x:c>
      <x:c r="AF90" s="775" t="str">
        <x:f>IF($A90="","",IF($AD90&lt;&gt;"COMPLETE","NOT ELIGIBLE",IF($X90="Unassigned","NOT ELIGIBLE — CONVICTION UNASSIGNED",IF(NOT(OR($U90="Yes",$U90="Exception Approved")),"NOT ELIGIBLE — UNVERIFIED",IF(OR($V90&lt;&gt;"None",AND($W90&lt;&gt;"None",$W90&lt;&gt;"Intact"),AND($X90&lt;&gt;"No Change",$X90&lt;&gt;"Not Applicable"),$Y90&lt;&gt;"None",$Z90&lt;&gt;"No"),"ELIGIBLE FOR ROUTING","NO REFERRAL REQUIRED")))))</x:f>
      </x:c>
      <x:c r="AG90" s="800"/>
    </x:row>
    <x:row r="91" ht="36" customHeight="1">
      <x:c r="A91" s="800"/>
      <x:c r="B91" s="804"/>
      <x:c r="C91" s="804"/>
      <x:c r="D91" s="800"/>
      <x:c r="E91" s="800"/>
      <x:c r="F91" s="800"/>
      <x:c r="G91" s="802" t="str">
        <x:f>IF($E91="","",IFERROR(INDEX('Certified Allocation'!$A$5:$A$51,MATCH($E91,'Certified Allocation'!$B$5:$B$51,0)),"Candidate / Non-Holding"))</x:f>
      </x:c>
      <x:c r="H91" s="800"/>
      <x:c r="I91" s="800"/>
      <x:c r="J91" s="800"/>
      <x:c r="K91" s="800"/>
      <x:c r="L91" s="800"/>
      <x:c r="M91" s="800"/>
      <x:c r="N91" s="800"/>
      <x:c r="O91" s="800"/>
      <x:c r="P91" s="800"/>
      <x:c r="Q91" s="800"/>
      <x:c r="R91" s="800"/>
      <x:c r="S91" s="804"/>
      <x:c r="T91" s="800"/>
      <x:c r="U91" s="800"/>
      <x:c r="V91" s="800"/>
      <x:c r="W91" s="800"/>
      <x:c r="X91" s="800"/>
      <x:c r="Y91" s="800"/>
      <x:c r="Z91" s="800"/>
      <x:c r="AA91" s="800"/>
      <x:c r="AB91" s="804"/>
      <x:c r="AC91" s="805" t="str">
        <x:f>IF($A91="","",IF(AND(OR($T91="Closed — No Action",$T91="Closed — Incorporated"),$AB91&lt;&gt;""),MAX(0,$AB91-$B91),MAX(0,TODAY()-$B91)))</x:f>
      </x:c>
      <x:c r="AD91" s="775" t="str">
        <x:f>IF(COUNTA($A91:$F91,$H91:$AB91,$AG91)=0,"",IF(OR($A91="",$B91="",$C91="",$D91="",$F91="",$H91="",$I91="",$J91="",$K91="",$L91="",$M91="",$N91="",$O91="",$P91="",$Q91="",$R91="",$S91="",$T91="",$U91="",$V91="",$W91="",$X91="",$Y91="",$Z91="",$AA91="",AND(NOT(OR($D91="Portfolio-Level",$D91="Market / Macro",$D91="Other")),$E91="")),"INCOMPLETE",IF(COUNTIF($A$14:$A$213,$A91)&gt;1,"DUPLICATE ID","COMPLETE")))</x:f>
      </x:c>
      <x:c r="AE91" s="775" t="str">
        <x:f>IF($A91="","",IF($AD91&lt;&gt;"COMPLETE",$AD91,IF(AND($D91="Certified Holding",OR($E91="",$G91="Candidate / Non-Holding")),"HOLDING IDENTIFIER MISMATCH",IF(AND(OR($J91="Critical",$J91="High"),OR($U91="No",AND($L91="Unverified — Pending",$U91&lt;&gt;"Exception Approved"))),"VERIFY / ESCALATE",IF($X91="Unassigned","CONVICTION DECISION REQUIRED",IF(AND($S91&lt;TODAY(),$T91&lt;&gt;"Closed — No Action",$T91&lt;&gt;"Closed — Incorporated"),"OVERDUE",IF(AND(OR($T91="Closed — No Action",$T91="Closed — Incorporated"),$AB91=""),"CLOSE DATE REQUIRED",IF(AND(NOT(OR($T91="Closed — No Action",$T91="Closed — Incorporated")),$AB91&lt;&gt;""),"STATUS / CLOSE DATE MISMATCH",IF(AND($Z91&lt;&gt;"No",NOT(OR($U91="Yes",$U91="Exception Approved"))),"PEW REFERRAL BLOCKED",IF(AND($T91="Awaiting Verification",$U91="Yes"),"STATUS MISMATCH",IF(OR($T91="Closed — No Action",$T91="Closed — Incorporated"),"CLOSED","OPEN — ON TRACK")))))))))))</x:f>
      </x:c>
      <x:c r="AF91" s="775" t="str">
        <x:f>IF($A91="","",IF($AD91&lt;&gt;"COMPLETE","NOT ELIGIBLE",IF($X91="Unassigned","NOT ELIGIBLE — CONVICTION UNASSIGNED",IF(NOT(OR($U91="Yes",$U91="Exception Approved")),"NOT ELIGIBLE — UNVERIFIED",IF(OR($V91&lt;&gt;"None",AND($W91&lt;&gt;"None",$W91&lt;&gt;"Intact"),AND($X91&lt;&gt;"No Change",$X91&lt;&gt;"Not Applicable"),$Y91&lt;&gt;"None",$Z91&lt;&gt;"No"),"ELIGIBLE FOR ROUTING","NO REFERRAL REQUIRED")))))</x:f>
      </x:c>
      <x:c r="AG91" s="800"/>
    </x:row>
    <x:row r="92" ht="36" customHeight="1">
      <x:c r="A92" s="800"/>
      <x:c r="B92" s="804"/>
      <x:c r="C92" s="804"/>
      <x:c r="D92" s="800"/>
      <x:c r="E92" s="800"/>
      <x:c r="F92" s="800"/>
      <x:c r="G92" s="802" t="str">
        <x:f>IF($E92="","",IFERROR(INDEX('Certified Allocation'!$A$5:$A$51,MATCH($E92,'Certified Allocation'!$B$5:$B$51,0)),"Candidate / Non-Holding"))</x:f>
      </x:c>
      <x:c r="H92" s="800"/>
      <x:c r="I92" s="800"/>
      <x:c r="J92" s="800"/>
      <x:c r="K92" s="800"/>
      <x:c r="L92" s="800"/>
      <x:c r="M92" s="800"/>
      <x:c r="N92" s="800"/>
      <x:c r="O92" s="800"/>
      <x:c r="P92" s="800"/>
      <x:c r="Q92" s="800"/>
      <x:c r="R92" s="800"/>
      <x:c r="S92" s="804"/>
      <x:c r="T92" s="800"/>
      <x:c r="U92" s="800"/>
      <x:c r="V92" s="800"/>
      <x:c r="W92" s="800"/>
      <x:c r="X92" s="800"/>
      <x:c r="Y92" s="800"/>
      <x:c r="Z92" s="800"/>
      <x:c r="AA92" s="800"/>
      <x:c r="AB92" s="804"/>
      <x:c r="AC92" s="805" t="str">
        <x:f>IF($A92="","",IF(AND(OR($T92="Closed — No Action",$T92="Closed — Incorporated"),$AB92&lt;&gt;""),MAX(0,$AB92-$B92),MAX(0,TODAY()-$B92)))</x:f>
      </x:c>
      <x:c r="AD92" s="775" t="str">
        <x:f>IF(COUNTA($A92:$F92,$H92:$AB92,$AG92)=0,"",IF(OR($A92="",$B92="",$C92="",$D92="",$F92="",$H92="",$I92="",$J92="",$K92="",$L92="",$M92="",$N92="",$O92="",$P92="",$Q92="",$R92="",$S92="",$T92="",$U92="",$V92="",$W92="",$X92="",$Y92="",$Z92="",$AA92="",AND(NOT(OR($D92="Portfolio-Level",$D92="Market / Macro",$D92="Other")),$E92="")),"INCOMPLETE",IF(COUNTIF($A$14:$A$213,$A92)&gt;1,"DUPLICATE ID","COMPLETE")))</x:f>
      </x:c>
      <x:c r="AE92" s="775" t="str">
        <x:f>IF($A92="","",IF($AD92&lt;&gt;"COMPLETE",$AD92,IF(AND($D92="Certified Holding",OR($E92="",$G92="Candidate / Non-Holding")),"HOLDING IDENTIFIER MISMATCH",IF(AND(OR($J92="Critical",$J92="High"),OR($U92="No",AND($L92="Unverified — Pending",$U92&lt;&gt;"Exception Approved"))),"VERIFY / ESCALATE",IF($X92="Unassigned","CONVICTION DECISION REQUIRED",IF(AND($S92&lt;TODAY(),$T92&lt;&gt;"Closed — No Action",$T92&lt;&gt;"Closed — Incorporated"),"OVERDUE",IF(AND(OR($T92="Closed — No Action",$T92="Closed — Incorporated"),$AB92=""),"CLOSE DATE REQUIRED",IF(AND(NOT(OR($T92="Closed — No Action",$T92="Closed — Incorporated")),$AB92&lt;&gt;""),"STATUS / CLOSE DATE MISMATCH",IF(AND($Z92&lt;&gt;"No",NOT(OR($U92="Yes",$U92="Exception Approved"))),"PEW REFERRAL BLOCKED",IF(AND($T92="Awaiting Verification",$U92="Yes"),"STATUS MISMATCH",IF(OR($T92="Closed — No Action",$T92="Closed — Incorporated"),"CLOSED","OPEN — ON TRACK")))))))))))</x:f>
      </x:c>
      <x:c r="AF92" s="775" t="str">
        <x:f>IF($A92="","",IF($AD92&lt;&gt;"COMPLETE","NOT ELIGIBLE",IF($X92="Unassigned","NOT ELIGIBLE — CONVICTION UNASSIGNED",IF(NOT(OR($U92="Yes",$U92="Exception Approved")),"NOT ELIGIBLE — UNVERIFIED",IF(OR($V92&lt;&gt;"None",AND($W92&lt;&gt;"None",$W92&lt;&gt;"Intact"),AND($X92&lt;&gt;"No Change",$X92&lt;&gt;"Not Applicable"),$Y92&lt;&gt;"None",$Z92&lt;&gt;"No"),"ELIGIBLE FOR ROUTING","NO REFERRAL REQUIRED")))))</x:f>
      </x:c>
      <x:c r="AG92" s="800"/>
    </x:row>
    <x:row r="93" ht="36" customHeight="1">
      <x:c r="A93" s="800"/>
      <x:c r="B93" s="804"/>
      <x:c r="C93" s="804"/>
      <x:c r="D93" s="800"/>
      <x:c r="E93" s="800"/>
      <x:c r="F93" s="800"/>
      <x:c r="G93" s="802" t="str">
        <x:f>IF($E93="","",IFERROR(INDEX('Certified Allocation'!$A$5:$A$51,MATCH($E93,'Certified Allocation'!$B$5:$B$51,0)),"Candidate / Non-Holding"))</x:f>
      </x:c>
      <x:c r="H93" s="800"/>
      <x:c r="I93" s="800"/>
      <x:c r="J93" s="800"/>
      <x:c r="K93" s="800"/>
      <x:c r="L93" s="800"/>
      <x:c r="M93" s="800"/>
      <x:c r="N93" s="800"/>
      <x:c r="O93" s="800"/>
      <x:c r="P93" s="800"/>
      <x:c r="Q93" s="800"/>
      <x:c r="R93" s="800"/>
      <x:c r="S93" s="804"/>
      <x:c r="T93" s="800"/>
      <x:c r="U93" s="800"/>
      <x:c r="V93" s="800"/>
      <x:c r="W93" s="800"/>
      <x:c r="X93" s="800"/>
      <x:c r="Y93" s="800"/>
      <x:c r="Z93" s="800"/>
      <x:c r="AA93" s="800"/>
      <x:c r="AB93" s="804"/>
      <x:c r="AC93" s="805" t="str">
        <x:f>IF($A93="","",IF(AND(OR($T93="Closed — No Action",$T93="Closed — Incorporated"),$AB93&lt;&gt;""),MAX(0,$AB93-$B93),MAX(0,TODAY()-$B93)))</x:f>
      </x:c>
      <x:c r="AD93" s="775" t="str">
        <x:f>IF(COUNTA($A93:$F93,$H93:$AB93,$AG93)=0,"",IF(OR($A93="",$B93="",$C93="",$D93="",$F93="",$H93="",$I93="",$J93="",$K93="",$L93="",$M93="",$N93="",$O93="",$P93="",$Q93="",$R93="",$S93="",$T93="",$U93="",$V93="",$W93="",$X93="",$Y93="",$Z93="",$AA93="",AND(NOT(OR($D93="Portfolio-Level",$D93="Market / Macro",$D93="Other")),$E93="")),"INCOMPLETE",IF(COUNTIF($A$14:$A$213,$A93)&gt;1,"DUPLICATE ID","COMPLETE")))</x:f>
      </x:c>
      <x:c r="AE93" s="775" t="str">
        <x:f>IF($A93="","",IF($AD93&lt;&gt;"COMPLETE",$AD93,IF(AND($D93="Certified Holding",OR($E93="",$G93="Candidate / Non-Holding")),"HOLDING IDENTIFIER MISMATCH",IF(AND(OR($J93="Critical",$J93="High"),OR($U93="No",AND($L93="Unverified — Pending",$U93&lt;&gt;"Exception Approved"))),"VERIFY / ESCALATE",IF($X93="Unassigned","CONVICTION DECISION REQUIRED",IF(AND($S93&lt;TODAY(),$T93&lt;&gt;"Closed — No Action",$T93&lt;&gt;"Closed — Incorporated"),"OVERDUE",IF(AND(OR($T93="Closed — No Action",$T93="Closed — Incorporated"),$AB93=""),"CLOSE DATE REQUIRED",IF(AND(NOT(OR($T93="Closed — No Action",$T93="Closed — Incorporated")),$AB93&lt;&gt;""),"STATUS / CLOSE DATE MISMATCH",IF(AND($Z93&lt;&gt;"No",NOT(OR($U93="Yes",$U93="Exception Approved"))),"PEW REFERRAL BLOCKED",IF(AND($T93="Awaiting Verification",$U93="Yes"),"STATUS MISMATCH",IF(OR($T93="Closed — No Action",$T93="Closed — Incorporated"),"CLOSED","OPEN — ON TRACK")))))))))))</x:f>
      </x:c>
      <x:c r="AF93" s="775" t="str">
        <x:f>IF($A93="","",IF($AD93&lt;&gt;"COMPLETE","NOT ELIGIBLE",IF($X93="Unassigned","NOT ELIGIBLE — CONVICTION UNASSIGNED",IF(NOT(OR($U93="Yes",$U93="Exception Approved")),"NOT ELIGIBLE — UNVERIFIED",IF(OR($V93&lt;&gt;"None",AND($W93&lt;&gt;"None",$W93&lt;&gt;"Intact"),AND($X93&lt;&gt;"No Change",$X93&lt;&gt;"Not Applicable"),$Y93&lt;&gt;"None",$Z93&lt;&gt;"No"),"ELIGIBLE FOR ROUTING","NO REFERRAL REQUIRED")))))</x:f>
      </x:c>
      <x:c r="AG93" s="800"/>
    </x:row>
    <x:row r="94" ht="36" customHeight="1">
      <x:c r="A94" s="800"/>
      <x:c r="B94" s="804"/>
      <x:c r="C94" s="804"/>
      <x:c r="D94" s="800"/>
      <x:c r="E94" s="800"/>
      <x:c r="F94" s="800"/>
      <x:c r="G94" s="802" t="str">
        <x:f>IF($E94="","",IFERROR(INDEX('Certified Allocation'!$A$5:$A$51,MATCH($E94,'Certified Allocation'!$B$5:$B$51,0)),"Candidate / Non-Holding"))</x:f>
      </x:c>
      <x:c r="H94" s="800"/>
      <x:c r="I94" s="800"/>
      <x:c r="J94" s="800"/>
      <x:c r="K94" s="800"/>
      <x:c r="L94" s="800"/>
      <x:c r="M94" s="800"/>
      <x:c r="N94" s="800"/>
      <x:c r="O94" s="800"/>
      <x:c r="P94" s="800"/>
      <x:c r="Q94" s="800"/>
      <x:c r="R94" s="800"/>
      <x:c r="S94" s="804"/>
      <x:c r="T94" s="800"/>
      <x:c r="U94" s="800"/>
      <x:c r="V94" s="800"/>
      <x:c r="W94" s="800"/>
      <x:c r="X94" s="800"/>
      <x:c r="Y94" s="800"/>
      <x:c r="Z94" s="800"/>
      <x:c r="AA94" s="800"/>
      <x:c r="AB94" s="804"/>
      <x:c r="AC94" s="805" t="str">
        <x:f>IF($A94="","",IF(AND(OR($T94="Closed — No Action",$T94="Closed — Incorporated"),$AB94&lt;&gt;""),MAX(0,$AB94-$B94),MAX(0,TODAY()-$B94)))</x:f>
      </x:c>
      <x:c r="AD94" s="775" t="str">
        <x:f>IF(COUNTA($A94:$F94,$H94:$AB94,$AG94)=0,"",IF(OR($A94="",$B94="",$C94="",$D94="",$F94="",$H94="",$I94="",$J94="",$K94="",$L94="",$M94="",$N94="",$O94="",$P94="",$Q94="",$R94="",$S94="",$T94="",$U94="",$V94="",$W94="",$X94="",$Y94="",$Z94="",$AA94="",AND(NOT(OR($D94="Portfolio-Level",$D94="Market / Macro",$D94="Other")),$E94="")),"INCOMPLETE",IF(COUNTIF($A$14:$A$213,$A94)&gt;1,"DUPLICATE ID","COMPLETE")))</x:f>
      </x:c>
      <x:c r="AE94" s="775" t="str">
        <x:f>IF($A94="","",IF($AD94&lt;&gt;"COMPLETE",$AD94,IF(AND($D94="Certified Holding",OR($E94="",$G94="Candidate / Non-Holding")),"HOLDING IDENTIFIER MISMATCH",IF(AND(OR($J94="Critical",$J94="High"),OR($U94="No",AND($L94="Unverified — Pending",$U94&lt;&gt;"Exception Approved"))),"VERIFY / ESCALATE",IF($X94="Unassigned","CONVICTION DECISION REQUIRED",IF(AND($S94&lt;TODAY(),$T94&lt;&gt;"Closed — No Action",$T94&lt;&gt;"Closed — Incorporated"),"OVERDUE",IF(AND(OR($T94="Closed — No Action",$T94="Closed — Incorporated"),$AB94=""),"CLOSE DATE REQUIRED",IF(AND(NOT(OR($T94="Closed — No Action",$T94="Closed — Incorporated")),$AB94&lt;&gt;""),"STATUS / CLOSE DATE MISMATCH",IF(AND($Z94&lt;&gt;"No",NOT(OR($U94="Yes",$U94="Exception Approved"))),"PEW REFERRAL BLOCKED",IF(AND($T94="Awaiting Verification",$U94="Yes"),"STATUS MISMATCH",IF(OR($T94="Closed — No Action",$T94="Closed — Incorporated"),"CLOSED","OPEN — ON TRACK")))))))))))</x:f>
      </x:c>
      <x:c r="AF94" s="775" t="str">
        <x:f>IF($A94="","",IF($AD94&lt;&gt;"COMPLETE","NOT ELIGIBLE",IF($X94="Unassigned","NOT ELIGIBLE — CONVICTION UNASSIGNED",IF(NOT(OR($U94="Yes",$U94="Exception Approved")),"NOT ELIGIBLE — UNVERIFIED",IF(OR($V94&lt;&gt;"None",AND($W94&lt;&gt;"None",$W94&lt;&gt;"Intact"),AND($X94&lt;&gt;"No Change",$X94&lt;&gt;"Not Applicable"),$Y94&lt;&gt;"None",$Z94&lt;&gt;"No"),"ELIGIBLE FOR ROUTING","NO REFERRAL REQUIRED")))))</x:f>
      </x:c>
      <x:c r="AG94" s="800"/>
    </x:row>
    <x:row r="95" ht="36" customHeight="1">
      <x:c r="A95" s="800"/>
      <x:c r="B95" s="804"/>
      <x:c r="C95" s="804"/>
      <x:c r="D95" s="800"/>
      <x:c r="E95" s="800"/>
      <x:c r="F95" s="800"/>
      <x:c r="G95" s="802" t="str">
        <x:f>IF($E95="","",IFERROR(INDEX('Certified Allocation'!$A$5:$A$51,MATCH($E95,'Certified Allocation'!$B$5:$B$51,0)),"Candidate / Non-Holding"))</x:f>
      </x:c>
      <x:c r="H95" s="800"/>
      <x:c r="I95" s="800"/>
      <x:c r="J95" s="800"/>
      <x:c r="K95" s="800"/>
      <x:c r="L95" s="800"/>
      <x:c r="M95" s="800"/>
      <x:c r="N95" s="800"/>
      <x:c r="O95" s="800"/>
      <x:c r="P95" s="800"/>
      <x:c r="Q95" s="800"/>
      <x:c r="R95" s="800"/>
      <x:c r="S95" s="804"/>
      <x:c r="T95" s="800"/>
      <x:c r="U95" s="800"/>
      <x:c r="V95" s="800"/>
      <x:c r="W95" s="800"/>
      <x:c r="X95" s="800"/>
      <x:c r="Y95" s="800"/>
      <x:c r="Z95" s="800"/>
      <x:c r="AA95" s="800"/>
      <x:c r="AB95" s="804"/>
      <x:c r="AC95" s="805" t="str">
        <x:f>IF($A95="","",IF(AND(OR($T95="Closed — No Action",$T95="Closed — Incorporated"),$AB95&lt;&gt;""),MAX(0,$AB95-$B95),MAX(0,TODAY()-$B95)))</x:f>
      </x:c>
      <x:c r="AD95" s="775" t="str">
        <x:f>IF(COUNTA($A95:$F95,$H95:$AB95,$AG95)=0,"",IF(OR($A95="",$B95="",$C95="",$D95="",$F95="",$H95="",$I95="",$J95="",$K95="",$L95="",$M95="",$N95="",$O95="",$P95="",$Q95="",$R95="",$S95="",$T95="",$U95="",$V95="",$W95="",$X95="",$Y95="",$Z95="",$AA95="",AND(NOT(OR($D95="Portfolio-Level",$D95="Market / Macro",$D95="Other")),$E95="")),"INCOMPLETE",IF(COUNTIF($A$14:$A$213,$A95)&gt;1,"DUPLICATE ID","COMPLETE")))</x:f>
      </x:c>
      <x:c r="AE95" s="775" t="str">
        <x:f>IF($A95="","",IF($AD95&lt;&gt;"COMPLETE",$AD95,IF(AND($D95="Certified Holding",OR($E95="",$G95="Candidate / Non-Holding")),"HOLDING IDENTIFIER MISMATCH",IF(AND(OR($J95="Critical",$J95="High"),OR($U95="No",AND($L95="Unverified — Pending",$U95&lt;&gt;"Exception Approved"))),"VERIFY / ESCALATE",IF($X95="Unassigned","CONVICTION DECISION REQUIRED",IF(AND($S95&lt;TODAY(),$T95&lt;&gt;"Closed — No Action",$T95&lt;&gt;"Closed — Incorporated"),"OVERDUE",IF(AND(OR($T95="Closed — No Action",$T95="Closed — Incorporated"),$AB95=""),"CLOSE DATE REQUIRED",IF(AND(NOT(OR($T95="Closed — No Action",$T95="Closed — Incorporated")),$AB95&lt;&gt;""),"STATUS / CLOSE DATE MISMATCH",IF(AND($Z95&lt;&gt;"No",NOT(OR($U95="Yes",$U95="Exception Approved"))),"PEW REFERRAL BLOCKED",IF(AND($T95="Awaiting Verification",$U95="Yes"),"STATUS MISMATCH",IF(OR($T95="Closed — No Action",$T95="Closed — Incorporated"),"CLOSED","OPEN — ON TRACK")))))))))))</x:f>
      </x:c>
      <x:c r="AF95" s="775" t="str">
        <x:f>IF($A95="","",IF($AD95&lt;&gt;"COMPLETE","NOT ELIGIBLE",IF($X95="Unassigned","NOT ELIGIBLE — CONVICTION UNASSIGNED",IF(NOT(OR($U95="Yes",$U95="Exception Approved")),"NOT ELIGIBLE — UNVERIFIED",IF(OR($V95&lt;&gt;"None",AND($W95&lt;&gt;"None",$W95&lt;&gt;"Intact"),AND($X95&lt;&gt;"No Change",$X95&lt;&gt;"Not Applicable"),$Y95&lt;&gt;"None",$Z95&lt;&gt;"No"),"ELIGIBLE FOR ROUTING","NO REFERRAL REQUIRED")))))</x:f>
      </x:c>
      <x:c r="AG95" s="800"/>
    </x:row>
    <x:row r="96" ht="36" customHeight="1">
      <x:c r="A96" s="800"/>
      <x:c r="B96" s="804"/>
      <x:c r="C96" s="804"/>
      <x:c r="D96" s="800"/>
      <x:c r="E96" s="800"/>
      <x:c r="F96" s="800"/>
      <x:c r="G96" s="802" t="str">
        <x:f>IF($E96="","",IFERROR(INDEX('Certified Allocation'!$A$5:$A$51,MATCH($E96,'Certified Allocation'!$B$5:$B$51,0)),"Candidate / Non-Holding"))</x:f>
      </x:c>
      <x:c r="H96" s="800"/>
      <x:c r="I96" s="800"/>
      <x:c r="J96" s="800"/>
      <x:c r="K96" s="800"/>
      <x:c r="L96" s="800"/>
      <x:c r="M96" s="800"/>
      <x:c r="N96" s="800"/>
      <x:c r="O96" s="800"/>
      <x:c r="P96" s="800"/>
      <x:c r="Q96" s="800"/>
      <x:c r="R96" s="800"/>
      <x:c r="S96" s="804"/>
      <x:c r="T96" s="800"/>
      <x:c r="U96" s="800"/>
      <x:c r="V96" s="800"/>
      <x:c r="W96" s="800"/>
      <x:c r="X96" s="800"/>
      <x:c r="Y96" s="800"/>
      <x:c r="Z96" s="800"/>
      <x:c r="AA96" s="800"/>
      <x:c r="AB96" s="804"/>
      <x:c r="AC96" s="805" t="str">
        <x:f>IF($A96="","",IF(AND(OR($T96="Closed — No Action",$T96="Closed — Incorporated"),$AB96&lt;&gt;""),MAX(0,$AB96-$B96),MAX(0,TODAY()-$B96)))</x:f>
      </x:c>
      <x:c r="AD96" s="775" t="str">
        <x:f>IF(COUNTA($A96:$F96,$H96:$AB96,$AG96)=0,"",IF(OR($A96="",$B96="",$C96="",$D96="",$F96="",$H96="",$I96="",$J96="",$K96="",$L96="",$M96="",$N96="",$O96="",$P96="",$Q96="",$R96="",$S96="",$T96="",$U96="",$V96="",$W96="",$X96="",$Y96="",$Z96="",$AA96="",AND(NOT(OR($D96="Portfolio-Level",$D96="Market / Macro",$D96="Other")),$E96="")),"INCOMPLETE",IF(COUNTIF($A$14:$A$213,$A96)&gt;1,"DUPLICATE ID","COMPLETE")))</x:f>
      </x:c>
      <x:c r="AE96" s="775" t="str">
        <x:f>IF($A96="","",IF($AD96&lt;&gt;"COMPLETE",$AD96,IF(AND($D96="Certified Holding",OR($E96="",$G96="Candidate / Non-Holding")),"HOLDING IDENTIFIER MISMATCH",IF(AND(OR($J96="Critical",$J96="High"),OR($U96="No",AND($L96="Unverified — Pending",$U96&lt;&gt;"Exception Approved"))),"VERIFY / ESCALATE",IF($X96="Unassigned","CONVICTION DECISION REQUIRED",IF(AND($S96&lt;TODAY(),$T96&lt;&gt;"Closed — No Action",$T96&lt;&gt;"Closed — Incorporated"),"OVERDUE",IF(AND(OR($T96="Closed — No Action",$T96="Closed — Incorporated"),$AB96=""),"CLOSE DATE REQUIRED",IF(AND(NOT(OR($T96="Closed — No Action",$T96="Closed — Incorporated")),$AB96&lt;&gt;""),"STATUS / CLOSE DATE MISMATCH",IF(AND($Z96&lt;&gt;"No",NOT(OR($U96="Yes",$U96="Exception Approved"))),"PEW REFERRAL BLOCKED",IF(AND($T96="Awaiting Verification",$U96="Yes"),"STATUS MISMATCH",IF(OR($T96="Closed — No Action",$T96="Closed — Incorporated"),"CLOSED","OPEN — ON TRACK")))))))))))</x:f>
      </x:c>
      <x:c r="AF96" s="775" t="str">
        <x:f>IF($A96="","",IF($AD96&lt;&gt;"COMPLETE","NOT ELIGIBLE",IF($X96="Unassigned","NOT ELIGIBLE — CONVICTION UNASSIGNED",IF(NOT(OR($U96="Yes",$U96="Exception Approved")),"NOT ELIGIBLE — UNVERIFIED",IF(OR($V96&lt;&gt;"None",AND($W96&lt;&gt;"None",$W96&lt;&gt;"Intact"),AND($X96&lt;&gt;"No Change",$X96&lt;&gt;"Not Applicable"),$Y96&lt;&gt;"None",$Z96&lt;&gt;"No"),"ELIGIBLE FOR ROUTING","NO REFERRAL REQUIRED")))))</x:f>
      </x:c>
      <x:c r="AG96" s="800"/>
    </x:row>
    <x:row r="97" ht="36" customHeight="1">
      <x:c r="A97" s="800"/>
      <x:c r="B97" s="804"/>
      <x:c r="C97" s="804"/>
      <x:c r="D97" s="800"/>
      <x:c r="E97" s="800"/>
      <x:c r="F97" s="800"/>
      <x:c r="G97" s="802" t="str">
        <x:f>IF($E97="","",IFERROR(INDEX('Certified Allocation'!$A$5:$A$51,MATCH($E97,'Certified Allocation'!$B$5:$B$51,0)),"Candidate / Non-Holding"))</x:f>
      </x:c>
      <x:c r="H97" s="800"/>
      <x:c r="I97" s="800"/>
      <x:c r="J97" s="800"/>
      <x:c r="K97" s="800"/>
      <x:c r="L97" s="800"/>
      <x:c r="M97" s="800"/>
      <x:c r="N97" s="800"/>
      <x:c r="O97" s="800"/>
      <x:c r="P97" s="800"/>
      <x:c r="Q97" s="800"/>
      <x:c r="R97" s="800"/>
      <x:c r="S97" s="804"/>
      <x:c r="T97" s="800"/>
      <x:c r="U97" s="800"/>
      <x:c r="V97" s="800"/>
      <x:c r="W97" s="800"/>
      <x:c r="X97" s="800"/>
      <x:c r="Y97" s="800"/>
      <x:c r="Z97" s="800"/>
      <x:c r="AA97" s="800"/>
      <x:c r="AB97" s="804"/>
      <x:c r="AC97" s="805" t="str">
        <x:f>IF($A97="","",IF(AND(OR($T97="Closed — No Action",$T97="Closed — Incorporated"),$AB97&lt;&gt;""),MAX(0,$AB97-$B97),MAX(0,TODAY()-$B97)))</x:f>
      </x:c>
      <x:c r="AD97" s="775" t="str">
        <x:f>IF(COUNTA($A97:$F97,$H97:$AB97,$AG97)=0,"",IF(OR($A97="",$B97="",$C97="",$D97="",$F97="",$H97="",$I97="",$J97="",$K97="",$L97="",$M97="",$N97="",$O97="",$P97="",$Q97="",$R97="",$S97="",$T97="",$U97="",$V97="",$W97="",$X97="",$Y97="",$Z97="",$AA97="",AND(NOT(OR($D97="Portfolio-Level",$D97="Market / Macro",$D97="Other")),$E97="")),"INCOMPLETE",IF(COUNTIF($A$14:$A$213,$A97)&gt;1,"DUPLICATE ID","COMPLETE")))</x:f>
      </x:c>
      <x:c r="AE97" s="775" t="str">
        <x:f>IF($A97="","",IF($AD97&lt;&gt;"COMPLETE",$AD97,IF(AND($D97="Certified Holding",OR($E97="",$G97="Candidate / Non-Holding")),"HOLDING IDENTIFIER MISMATCH",IF(AND(OR($J97="Critical",$J97="High"),OR($U97="No",AND($L97="Unverified — Pending",$U97&lt;&gt;"Exception Approved"))),"VERIFY / ESCALATE",IF($X97="Unassigned","CONVICTION DECISION REQUIRED",IF(AND($S97&lt;TODAY(),$T97&lt;&gt;"Closed — No Action",$T97&lt;&gt;"Closed — Incorporated"),"OVERDUE",IF(AND(OR($T97="Closed — No Action",$T97="Closed — Incorporated"),$AB97=""),"CLOSE DATE REQUIRED",IF(AND(NOT(OR($T97="Closed — No Action",$T97="Closed — Incorporated")),$AB97&lt;&gt;""),"STATUS / CLOSE DATE MISMATCH",IF(AND($Z97&lt;&gt;"No",NOT(OR($U97="Yes",$U97="Exception Approved"))),"PEW REFERRAL BLOCKED",IF(AND($T97="Awaiting Verification",$U97="Yes"),"STATUS MISMATCH",IF(OR($T97="Closed — No Action",$T97="Closed — Incorporated"),"CLOSED","OPEN — ON TRACK")))))))))))</x:f>
      </x:c>
      <x:c r="AF97" s="775" t="str">
        <x:f>IF($A97="","",IF($AD97&lt;&gt;"COMPLETE","NOT ELIGIBLE",IF($X97="Unassigned","NOT ELIGIBLE — CONVICTION UNASSIGNED",IF(NOT(OR($U97="Yes",$U97="Exception Approved")),"NOT ELIGIBLE — UNVERIFIED",IF(OR($V97&lt;&gt;"None",AND($W97&lt;&gt;"None",$W97&lt;&gt;"Intact"),AND($X97&lt;&gt;"No Change",$X97&lt;&gt;"Not Applicable"),$Y97&lt;&gt;"None",$Z97&lt;&gt;"No"),"ELIGIBLE FOR ROUTING","NO REFERRAL REQUIRED")))))</x:f>
      </x:c>
      <x:c r="AG97" s="800"/>
    </x:row>
    <x:row r="98" ht="36" customHeight="1">
      <x:c r="A98" s="800"/>
      <x:c r="B98" s="804"/>
      <x:c r="C98" s="804"/>
      <x:c r="D98" s="800"/>
      <x:c r="E98" s="800"/>
      <x:c r="F98" s="800"/>
      <x:c r="G98" s="802" t="str">
        <x:f>IF($E98="","",IFERROR(INDEX('Certified Allocation'!$A$5:$A$51,MATCH($E98,'Certified Allocation'!$B$5:$B$51,0)),"Candidate / Non-Holding"))</x:f>
      </x:c>
      <x:c r="H98" s="800"/>
      <x:c r="I98" s="800"/>
      <x:c r="J98" s="800"/>
      <x:c r="K98" s="800"/>
      <x:c r="L98" s="800"/>
      <x:c r="M98" s="800"/>
      <x:c r="N98" s="800"/>
      <x:c r="O98" s="800"/>
      <x:c r="P98" s="800"/>
      <x:c r="Q98" s="800"/>
      <x:c r="R98" s="800"/>
      <x:c r="S98" s="804"/>
      <x:c r="T98" s="800"/>
      <x:c r="U98" s="800"/>
      <x:c r="V98" s="800"/>
      <x:c r="W98" s="800"/>
      <x:c r="X98" s="800"/>
      <x:c r="Y98" s="800"/>
      <x:c r="Z98" s="800"/>
      <x:c r="AA98" s="800"/>
      <x:c r="AB98" s="804"/>
      <x:c r="AC98" s="805" t="str">
        <x:f>IF($A98="","",IF(AND(OR($T98="Closed — No Action",$T98="Closed — Incorporated"),$AB98&lt;&gt;""),MAX(0,$AB98-$B98),MAX(0,TODAY()-$B98)))</x:f>
      </x:c>
      <x:c r="AD98" s="775" t="str">
        <x:f>IF(COUNTA($A98:$F98,$H98:$AB98,$AG98)=0,"",IF(OR($A98="",$B98="",$C98="",$D98="",$F98="",$H98="",$I98="",$J98="",$K98="",$L98="",$M98="",$N98="",$O98="",$P98="",$Q98="",$R98="",$S98="",$T98="",$U98="",$V98="",$W98="",$X98="",$Y98="",$Z98="",$AA98="",AND(NOT(OR($D98="Portfolio-Level",$D98="Market / Macro",$D98="Other")),$E98="")),"INCOMPLETE",IF(COUNTIF($A$14:$A$213,$A98)&gt;1,"DUPLICATE ID","COMPLETE")))</x:f>
      </x:c>
      <x:c r="AE98" s="775" t="str">
        <x:f>IF($A98="","",IF($AD98&lt;&gt;"COMPLETE",$AD98,IF(AND($D98="Certified Holding",OR($E98="",$G98="Candidate / Non-Holding")),"HOLDING IDENTIFIER MISMATCH",IF(AND(OR($J98="Critical",$J98="High"),OR($U98="No",AND($L98="Unverified — Pending",$U98&lt;&gt;"Exception Approved"))),"VERIFY / ESCALATE",IF($X98="Unassigned","CONVICTION DECISION REQUIRED",IF(AND($S98&lt;TODAY(),$T98&lt;&gt;"Closed — No Action",$T98&lt;&gt;"Closed — Incorporated"),"OVERDUE",IF(AND(OR($T98="Closed — No Action",$T98="Closed — Incorporated"),$AB98=""),"CLOSE DATE REQUIRED",IF(AND(NOT(OR($T98="Closed — No Action",$T98="Closed — Incorporated")),$AB98&lt;&gt;""),"STATUS / CLOSE DATE MISMATCH",IF(AND($Z98&lt;&gt;"No",NOT(OR($U98="Yes",$U98="Exception Approved"))),"PEW REFERRAL BLOCKED",IF(AND($T98="Awaiting Verification",$U98="Yes"),"STATUS MISMATCH",IF(OR($T98="Closed — No Action",$T98="Closed — Incorporated"),"CLOSED","OPEN — ON TRACK")))))))))))</x:f>
      </x:c>
      <x:c r="AF98" s="775" t="str">
        <x:f>IF($A98="","",IF($AD98&lt;&gt;"COMPLETE","NOT ELIGIBLE",IF($X98="Unassigned","NOT ELIGIBLE — CONVICTION UNASSIGNED",IF(NOT(OR($U98="Yes",$U98="Exception Approved")),"NOT ELIGIBLE — UNVERIFIED",IF(OR($V98&lt;&gt;"None",AND($W98&lt;&gt;"None",$W98&lt;&gt;"Intact"),AND($X98&lt;&gt;"No Change",$X98&lt;&gt;"Not Applicable"),$Y98&lt;&gt;"None",$Z98&lt;&gt;"No"),"ELIGIBLE FOR ROUTING","NO REFERRAL REQUIRED")))))</x:f>
      </x:c>
      <x:c r="AG98" s="800"/>
    </x:row>
    <x:row r="99" ht="36" customHeight="1">
      <x:c r="A99" s="800"/>
      <x:c r="B99" s="804"/>
      <x:c r="C99" s="804"/>
      <x:c r="D99" s="800"/>
      <x:c r="E99" s="800"/>
      <x:c r="F99" s="800"/>
      <x:c r="G99" s="802" t="str">
        <x:f>IF($E99="","",IFERROR(INDEX('Certified Allocation'!$A$5:$A$51,MATCH($E99,'Certified Allocation'!$B$5:$B$51,0)),"Candidate / Non-Holding"))</x:f>
      </x:c>
      <x:c r="H99" s="800"/>
      <x:c r="I99" s="800"/>
      <x:c r="J99" s="800"/>
      <x:c r="K99" s="800"/>
      <x:c r="L99" s="800"/>
      <x:c r="M99" s="800"/>
      <x:c r="N99" s="800"/>
      <x:c r="O99" s="800"/>
      <x:c r="P99" s="800"/>
      <x:c r="Q99" s="800"/>
      <x:c r="R99" s="800"/>
      <x:c r="S99" s="804"/>
      <x:c r="T99" s="800"/>
      <x:c r="U99" s="800"/>
      <x:c r="V99" s="800"/>
      <x:c r="W99" s="800"/>
      <x:c r="X99" s="800"/>
      <x:c r="Y99" s="800"/>
      <x:c r="Z99" s="800"/>
      <x:c r="AA99" s="800"/>
      <x:c r="AB99" s="804"/>
      <x:c r="AC99" s="805" t="str">
        <x:f>IF($A99="","",IF(AND(OR($T99="Closed — No Action",$T99="Closed — Incorporated"),$AB99&lt;&gt;""),MAX(0,$AB99-$B99),MAX(0,TODAY()-$B99)))</x:f>
      </x:c>
      <x:c r="AD99" s="775" t="str">
        <x:f>IF(COUNTA($A99:$F99,$H99:$AB99,$AG99)=0,"",IF(OR($A99="",$B99="",$C99="",$D99="",$F99="",$H99="",$I99="",$J99="",$K99="",$L99="",$M99="",$N99="",$O99="",$P99="",$Q99="",$R99="",$S99="",$T99="",$U99="",$V99="",$W99="",$X99="",$Y99="",$Z99="",$AA99="",AND(NOT(OR($D99="Portfolio-Level",$D99="Market / Macro",$D99="Other")),$E99="")),"INCOMPLETE",IF(COUNTIF($A$14:$A$213,$A99)&gt;1,"DUPLICATE ID","COMPLETE")))</x:f>
      </x:c>
      <x:c r="AE99" s="775" t="str">
        <x:f>IF($A99="","",IF($AD99&lt;&gt;"COMPLETE",$AD99,IF(AND($D99="Certified Holding",OR($E99="",$G99="Candidate / Non-Holding")),"HOLDING IDENTIFIER MISMATCH",IF(AND(OR($J99="Critical",$J99="High"),OR($U99="No",AND($L99="Unverified — Pending",$U99&lt;&gt;"Exception Approved"))),"VERIFY / ESCALATE",IF($X99="Unassigned","CONVICTION DECISION REQUIRED",IF(AND($S99&lt;TODAY(),$T99&lt;&gt;"Closed — No Action",$T99&lt;&gt;"Closed — Incorporated"),"OVERDUE",IF(AND(OR($T99="Closed — No Action",$T99="Closed — Incorporated"),$AB99=""),"CLOSE DATE REQUIRED",IF(AND(NOT(OR($T99="Closed — No Action",$T99="Closed — Incorporated")),$AB99&lt;&gt;""),"STATUS / CLOSE DATE MISMATCH",IF(AND($Z99&lt;&gt;"No",NOT(OR($U99="Yes",$U99="Exception Approved"))),"PEW REFERRAL BLOCKED",IF(AND($T99="Awaiting Verification",$U99="Yes"),"STATUS MISMATCH",IF(OR($T99="Closed — No Action",$T99="Closed — Incorporated"),"CLOSED","OPEN — ON TRACK")))))))))))</x:f>
      </x:c>
      <x:c r="AF99" s="775" t="str">
        <x:f>IF($A99="","",IF($AD99&lt;&gt;"COMPLETE","NOT ELIGIBLE",IF($X99="Unassigned","NOT ELIGIBLE — CONVICTION UNASSIGNED",IF(NOT(OR($U99="Yes",$U99="Exception Approved")),"NOT ELIGIBLE — UNVERIFIED",IF(OR($V99&lt;&gt;"None",AND($W99&lt;&gt;"None",$W99&lt;&gt;"Intact"),AND($X99&lt;&gt;"No Change",$X99&lt;&gt;"Not Applicable"),$Y99&lt;&gt;"None",$Z99&lt;&gt;"No"),"ELIGIBLE FOR ROUTING","NO REFERRAL REQUIRED")))))</x:f>
      </x:c>
      <x:c r="AG99" s="800"/>
    </x:row>
    <x:row r="100" ht="36" customHeight="1">
      <x:c r="A100" s="800"/>
      <x:c r="B100" s="804"/>
      <x:c r="C100" s="804"/>
      <x:c r="D100" s="800"/>
      <x:c r="E100" s="800"/>
      <x:c r="F100" s="800"/>
      <x:c r="G100" s="802" t="str">
        <x:f>IF($E100="","",IFERROR(INDEX('Certified Allocation'!$A$5:$A$51,MATCH($E100,'Certified Allocation'!$B$5:$B$51,0)),"Candidate / Non-Holding"))</x:f>
      </x:c>
      <x:c r="H100" s="800"/>
      <x:c r="I100" s="800"/>
      <x:c r="J100" s="800"/>
      <x:c r="K100" s="800"/>
      <x:c r="L100" s="800"/>
      <x:c r="M100" s="800"/>
      <x:c r="N100" s="800"/>
      <x:c r="O100" s="800"/>
      <x:c r="P100" s="800"/>
      <x:c r="Q100" s="800"/>
      <x:c r="R100" s="800"/>
      <x:c r="S100" s="804"/>
      <x:c r="T100" s="800"/>
      <x:c r="U100" s="800"/>
      <x:c r="V100" s="800"/>
      <x:c r="W100" s="800"/>
      <x:c r="X100" s="800"/>
      <x:c r="Y100" s="800"/>
      <x:c r="Z100" s="800"/>
      <x:c r="AA100" s="800"/>
      <x:c r="AB100" s="804"/>
      <x:c r="AC100" s="805" t="str">
        <x:f>IF($A100="","",IF(AND(OR($T100="Closed — No Action",$T100="Closed — Incorporated"),$AB100&lt;&gt;""),MAX(0,$AB100-$B100),MAX(0,TODAY()-$B100)))</x:f>
      </x:c>
      <x:c r="AD100" s="775" t="str">
        <x:f>IF(COUNTA($A100:$F100,$H100:$AB100,$AG100)=0,"",IF(OR($A100="",$B100="",$C100="",$D100="",$F100="",$H100="",$I100="",$J100="",$K100="",$L100="",$M100="",$N100="",$O100="",$P100="",$Q100="",$R100="",$S100="",$T100="",$U100="",$V100="",$W100="",$X100="",$Y100="",$Z100="",$AA100="",AND(NOT(OR($D100="Portfolio-Level",$D100="Market / Macro",$D100="Other")),$E100="")),"INCOMPLETE",IF(COUNTIF($A$14:$A$213,$A100)&gt;1,"DUPLICATE ID","COMPLETE")))</x:f>
      </x:c>
      <x:c r="AE100" s="775" t="str">
        <x:f>IF($A100="","",IF($AD100&lt;&gt;"COMPLETE",$AD100,IF(AND($D100="Certified Holding",OR($E100="",$G100="Candidate / Non-Holding")),"HOLDING IDENTIFIER MISMATCH",IF(AND(OR($J100="Critical",$J100="High"),OR($U100="No",AND($L100="Unverified — Pending",$U100&lt;&gt;"Exception Approved"))),"VERIFY / ESCALATE",IF($X100="Unassigned","CONVICTION DECISION REQUIRED",IF(AND($S100&lt;TODAY(),$T100&lt;&gt;"Closed — No Action",$T100&lt;&gt;"Closed — Incorporated"),"OVERDUE",IF(AND(OR($T100="Closed — No Action",$T100="Closed — Incorporated"),$AB100=""),"CLOSE DATE REQUIRED",IF(AND(NOT(OR($T100="Closed — No Action",$T100="Closed — Incorporated")),$AB100&lt;&gt;""),"STATUS / CLOSE DATE MISMATCH",IF(AND($Z100&lt;&gt;"No",NOT(OR($U100="Yes",$U100="Exception Approved"))),"PEW REFERRAL BLOCKED",IF(AND($T100="Awaiting Verification",$U100="Yes"),"STATUS MISMATCH",IF(OR($T100="Closed — No Action",$T100="Closed — Incorporated"),"CLOSED","OPEN — ON TRACK")))))))))))</x:f>
      </x:c>
      <x:c r="AF100" s="775" t="str">
        <x:f>IF($A100="","",IF($AD100&lt;&gt;"COMPLETE","NOT ELIGIBLE",IF($X100="Unassigned","NOT ELIGIBLE — CONVICTION UNASSIGNED",IF(NOT(OR($U100="Yes",$U100="Exception Approved")),"NOT ELIGIBLE — UNVERIFIED",IF(OR($V100&lt;&gt;"None",AND($W100&lt;&gt;"None",$W100&lt;&gt;"Intact"),AND($X100&lt;&gt;"No Change",$X100&lt;&gt;"Not Applicable"),$Y100&lt;&gt;"None",$Z100&lt;&gt;"No"),"ELIGIBLE FOR ROUTING","NO REFERRAL REQUIRED")))))</x:f>
      </x:c>
      <x:c r="AG100" s="800"/>
    </x:row>
    <x:row r="101" ht="36" customHeight="1">
      <x:c r="A101" s="800"/>
      <x:c r="B101" s="804"/>
      <x:c r="C101" s="804"/>
      <x:c r="D101" s="800"/>
      <x:c r="E101" s="800"/>
      <x:c r="F101" s="800"/>
      <x:c r="G101" s="802" t="str">
        <x:f>IF($E101="","",IFERROR(INDEX('Certified Allocation'!$A$5:$A$51,MATCH($E101,'Certified Allocation'!$B$5:$B$51,0)),"Candidate / Non-Holding"))</x:f>
      </x:c>
      <x:c r="H101" s="800"/>
      <x:c r="I101" s="800"/>
      <x:c r="J101" s="800"/>
      <x:c r="K101" s="800"/>
      <x:c r="L101" s="800"/>
      <x:c r="M101" s="800"/>
      <x:c r="N101" s="800"/>
      <x:c r="O101" s="800"/>
      <x:c r="P101" s="800"/>
      <x:c r="Q101" s="800"/>
      <x:c r="R101" s="800"/>
      <x:c r="S101" s="804"/>
      <x:c r="T101" s="800"/>
      <x:c r="U101" s="800"/>
      <x:c r="V101" s="800"/>
      <x:c r="W101" s="800"/>
      <x:c r="X101" s="800"/>
      <x:c r="Y101" s="800"/>
      <x:c r="Z101" s="800"/>
      <x:c r="AA101" s="800"/>
      <x:c r="AB101" s="804"/>
      <x:c r="AC101" s="805" t="str">
        <x:f>IF($A101="","",IF(AND(OR($T101="Closed — No Action",$T101="Closed — Incorporated"),$AB101&lt;&gt;""),MAX(0,$AB101-$B101),MAX(0,TODAY()-$B101)))</x:f>
      </x:c>
      <x:c r="AD101" s="775" t="str">
        <x:f>IF(COUNTA($A101:$F101,$H101:$AB101,$AG101)=0,"",IF(OR($A101="",$B101="",$C101="",$D101="",$F101="",$H101="",$I101="",$J101="",$K101="",$L101="",$M101="",$N101="",$O101="",$P101="",$Q101="",$R101="",$S101="",$T101="",$U101="",$V101="",$W101="",$X101="",$Y101="",$Z101="",$AA101="",AND(NOT(OR($D101="Portfolio-Level",$D101="Market / Macro",$D101="Other")),$E101="")),"INCOMPLETE",IF(COUNTIF($A$14:$A$213,$A101)&gt;1,"DUPLICATE ID","COMPLETE")))</x:f>
      </x:c>
      <x:c r="AE101" s="775" t="str">
        <x:f>IF($A101="","",IF($AD101&lt;&gt;"COMPLETE",$AD101,IF(AND($D101="Certified Holding",OR($E101="",$G101="Candidate / Non-Holding")),"HOLDING IDENTIFIER MISMATCH",IF(AND(OR($J101="Critical",$J101="High"),OR($U101="No",AND($L101="Unverified — Pending",$U101&lt;&gt;"Exception Approved"))),"VERIFY / ESCALATE",IF($X101="Unassigned","CONVICTION DECISION REQUIRED",IF(AND($S101&lt;TODAY(),$T101&lt;&gt;"Closed — No Action",$T101&lt;&gt;"Closed — Incorporated"),"OVERDUE",IF(AND(OR($T101="Closed — No Action",$T101="Closed — Incorporated"),$AB101=""),"CLOSE DATE REQUIRED",IF(AND(NOT(OR($T101="Closed — No Action",$T101="Closed — Incorporated")),$AB101&lt;&gt;""),"STATUS / CLOSE DATE MISMATCH",IF(AND($Z101&lt;&gt;"No",NOT(OR($U101="Yes",$U101="Exception Approved"))),"PEW REFERRAL BLOCKED",IF(AND($T101="Awaiting Verification",$U101="Yes"),"STATUS MISMATCH",IF(OR($T101="Closed — No Action",$T101="Closed — Incorporated"),"CLOSED","OPEN — ON TRACK")))))))))))</x:f>
      </x:c>
      <x:c r="AF101" s="775" t="str">
        <x:f>IF($A101="","",IF($AD101&lt;&gt;"COMPLETE","NOT ELIGIBLE",IF($X101="Unassigned","NOT ELIGIBLE — CONVICTION UNASSIGNED",IF(NOT(OR($U101="Yes",$U101="Exception Approved")),"NOT ELIGIBLE — UNVERIFIED",IF(OR($V101&lt;&gt;"None",AND($W101&lt;&gt;"None",$W101&lt;&gt;"Intact"),AND($X101&lt;&gt;"No Change",$X101&lt;&gt;"Not Applicable"),$Y101&lt;&gt;"None",$Z101&lt;&gt;"No"),"ELIGIBLE FOR ROUTING","NO REFERRAL REQUIRED")))))</x:f>
      </x:c>
      <x:c r="AG101" s="800"/>
    </x:row>
    <x:row r="102" ht="36" customHeight="1">
      <x:c r="A102" s="800"/>
      <x:c r="B102" s="804"/>
      <x:c r="C102" s="804"/>
      <x:c r="D102" s="800"/>
      <x:c r="E102" s="800"/>
      <x:c r="F102" s="800"/>
      <x:c r="G102" s="802" t="str">
        <x:f>IF($E102="","",IFERROR(INDEX('Certified Allocation'!$A$5:$A$51,MATCH($E102,'Certified Allocation'!$B$5:$B$51,0)),"Candidate / Non-Holding"))</x:f>
      </x:c>
      <x:c r="H102" s="800"/>
      <x:c r="I102" s="800"/>
      <x:c r="J102" s="800"/>
      <x:c r="K102" s="800"/>
      <x:c r="L102" s="800"/>
      <x:c r="M102" s="800"/>
      <x:c r="N102" s="800"/>
      <x:c r="O102" s="800"/>
      <x:c r="P102" s="800"/>
      <x:c r="Q102" s="800"/>
      <x:c r="R102" s="800"/>
      <x:c r="S102" s="804"/>
      <x:c r="T102" s="800"/>
      <x:c r="U102" s="800"/>
      <x:c r="V102" s="800"/>
      <x:c r="W102" s="800"/>
      <x:c r="X102" s="800"/>
      <x:c r="Y102" s="800"/>
      <x:c r="Z102" s="800"/>
      <x:c r="AA102" s="800"/>
      <x:c r="AB102" s="804"/>
      <x:c r="AC102" s="805" t="str">
        <x:f>IF($A102="","",IF(AND(OR($T102="Closed — No Action",$T102="Closed — Incorporated"),$AB102&lt;&gt;""),MAX(0,$AB102-$B102),MAX(0,TODAY()-$B102)))</x:f>
      </x:c>
      <x:c r="AD102" s="775" t="str">
        <x:f>IF(COUNTA($A102:$F102,$H102:$AB102,$AG102)=0,"",IF(OR($A102="",$B102="",$C102="",$D102="",$F102="",$H102="",$I102="",$J102="",$K102="",$L102="",$M102="",$N102="",$O102="",$P102="",$Q102="",$R102="",$S102="",$T102="",$U102="",$V102="",$W102="",$X102="",$Y102="",$Z102="",$AA102="",AND(NOT(OR($D102="Portfolio-Level",$D102="Market / Macro",$D102="Other")),$E102="")),"INCOMPLETE",IF(COUNTIF($A$14:$A$213,$A102)&gt;1,"DUPLICATE ID","COMPLETE")))</x:f>
      </x:c>
      <x:c r="AE102" s="775" t="str">
        <x:f>IF($A102="","",IF($AD102&lt;&gt;"COMPLETE",$AD102,IF(AND($D102="Certified Holding",OR($E102="",$G102="Candidate / Non-Holding")),"HOLDING IDENTIFIER MISMATCH",IF(AND(OR($J102="Critical",$J102="High"),OR($U102="No",AND($L102="Unverified — Pending",$U102&lt;&gt;"Exception Approved"))),"VERIFY / ESCALATE",IF($X102="Unassigned","CONVICTION DECISION REQUIRED",IF(AND($S102&lt;TODAY(),$T102&lt;&gt;"Closed — No Action",$T102&lt;&gt;"Closed — Incorporated"),"OVERDUE",IF(AND(OR($T102="Closed — No Action",$T102="Closed — Incorporated"),$AB102=""),"CLOSE DATE REQUIRED",IF(AND(NOT(OR($T102="Closed — No Action",$T102="Closed — Incorporated")),$AB102&lt;&gt;""),"STATUS / CLOSE DATE MISMATCH",IF(AND($Z102&lt;&gt;"No",NOT(OR($U102="Yes",$U102="Exception Approved"))),"PEW REFERRAL BLOCKED",IF(AND($T102="Awaiting Verification",$U102="Yes"),"STATUS MISMATCH",IF(OR($T102="Closed — No Action",$T102="Closed — Incorporated"),"CLOSED","OPEN — ON TRACK")))))))))))</x:f>
      </x:c>
      <x:c r="AF102" s="775" t="str">
        <x:f>IF($A102="","",IF($AD102&lt;&gt;"COMPLETE","NOT ELIGIBLE",IF($X102="Unassigned","NOT ELIGIBLE — CONVICTION UNASSIGNED",IF(NOT(OR($U102="Yes",$U102="Exception Approved")),"NOT ELIGIBLE — UNVERIFIED",IF(OR($V102&lt;&gt;"None",AND($W102&lt;&gt;"None",$W102&lt;&gt;"Intact"),AND($X102&lt;&gt;"No Change",$X102&lt;&gt;"Not Applicable"),$Y102&lt;&gt;"None",$Z102&lt;&gt;"No"),"ELIGIBLE FOR ROUTING","NO REFERRAL REQUIRED")))))</x:f>
      </x:c>
      <x:c r="AG102" s="800"/>
    </x:row>
    <x:row r="103" ht="36" customHeight="1">
      <x:c r="A103" s="800"/>
      <x:c r="B103" s="804"/>
      <x:c r="C103" s="804"/>
      <x:c r="D103" s="800"/>
      <x:c r="E103" s="800"/>
      <x:c r="F103" s="800"/>
      <x:c r="G103" s="802" t="str">
        <x:f>IF($E103="","",IFERROR(INDEX('Certified Allocation'!$A$5:$A$51,MATCH($E103,'Certified Allocation'!$B$5:$B$51,0)),"Candidate / Non-Holding"))</x:f>
      </x:c>
      <x:c r="H103" s="800"/>
      <x:c r="I103" s="800"/>
      <x:c r="J103" s="800"/>
      <x:c r="K103" s="800"/>
      <x:c r="L103" s="800"/>
      <x:c r="M103" s="800"/>
      <x:c r="N103" s="800"/>
      <x:c r="O103" s="800"/>
      <x:c r="P103" s="800"/>
      <x:c r="Q103" s="800"/>
      <x:c r="R103" s="800"/>
      <x:c r="S103" s="804"/>
      <x:c r="T103" s="800"/>
      <x:c r="U103" s="800"/>
      <x:c r="V103" s="800"/>
      <x:c r="W103" s="800"/>
      <x:c r="X103" s="800"/>
      <x:c r="Y103" s="800"/>
      <x:c r="Z103" s="800"/>
      <x:c r="AA103" s="800"/>
      <x:c r="AB103" s="804"/>
      <x:c r="AC103" s="805" t="str">
        <x:f>IF($A103="","",IF(AND(OR($T103="Closed — No Action",$T103="Closed — Incorporated"),$AB103&lt;&gt;""),MAX(0,$AB103-$B103),MAX(0,TODAY()-$B103)))</x:f>
      </x:c>
      <x:c r="AD103" s="775" t="str">
        <x:f>IF(COUNTA($A103:$F103,$H103:$AB103,$AG103)=0,"",IF(OR($A103="",$B103="",$C103="",$D103="",$F103="",$H103="",$I103="",$J103="",$K103="",$L103="",$M103="",$N103="",$O103="",$P103="",$Q103="",$R103="",$S103="",$T103="",$U103="",$V103="",$W103="",$X103="",$Y103="",$Z103="",$AA103="",AND(NOT(OR($D103="Portfolio-Level",$D103="Market / Macro",$D103="Other")),$E103="")),"INCOMPLETE",IF(COUNTIF($A$14:$A$213,$A103)&gt;1,"DUPLICATE ID","COMPLETE")))</x:f>
      </x:c>
      <x:c r="AE103" s="775" t="str">
        <x:f>IF($A103="","",IF($AD103&lt;&gt;"COMPLETE",$AD103,IF(AND($D103="Certified Holding",OR($E103="",$G103="Candidate / Non-Holding")),"HOLDING IDENTIFIER MISMATCH",IF(AND(OR($J103="Critical",$J103="High"),OR($U103="No",AND($L103="Unverified — Pending",$U103&lt;&gt;"Exception Approved"))),"VERIFY / ESCALATE",IF($X103="Unassigned","CONVICTION DECISION REQUIRED",IF(AND($S103&lt;TODAY(),$T103&lt;&gt;"Closed — No Action",$T103&lt;&gt;"Closed — Incorporated"),"OVERDUE",IF(AND(OR($T103="Closed — No Action",$T103="Closed — Incorporated"),$AB103=""),"CLOSE DATE REQUIRED",IF(AND(NOT(OR($T103="Closed — No Action",$T103="Closed — Incorporated")),$AB103&lt;&gt;""),"STATUS / CLOSE DATE MISMATCH",IF(AND($Z103&lt;&gt;"No",NOT(OR($U103="Yes",$U103="Exception Approved"))),"PEW REFERRAL BLOCKED",IF(AND($T103="Awaiting Verification",$U103="Yes"),"STATUS MISMATCH",IF(OR($T103="Closed — No Action",$T103="Closed — Incorporated"),"CLOSED","OPEN — ON TRACK")))))))))))</x:f>
      </x:c>
      <x:c r="AF103" s="775" t="str">
        <x:f>IF($A103="","",IF($AD103&lt;&gt;"COMPLETE","NOT ELIGIBLE",IF($X103="Unassigned","NOT ELIGIBLE — CONVICTION UNASSIGNED",IF(NOT(OR($U103="Yes",$U103="Exception Approved")),"NOT ELIGIBLE — UNVERIFIED",IF(OR($V103&lt;&gt;"None",AND($W103&lt;&gt;"None",$W103&lt;&gt;"Intact"),AND($X103&lt;&gt;"No Change",$X103&lt;&gt;"Not Applicable"),$Y103&lt;&gt;"None",$Z103&lt;&gt;"No"),"ELIGIBLE FOR ROUTING","NO REFERRAL REQUIRED")))))</x:f>
      </x:c>
      <x:c r="AG103" s="800"/>
    </x:row>
    <x:row r="104" ht="36" customHeight="1">
      <x:c r="A104" s="800"/>
      <x:c r="B104" s="804"/>
      <x:c r="C104" s="804"/>
      <x:c r="D104" s="800"/>
      <x:c r="E104" s="800"/>
      <x:c r="F104" s="800"/>
      <x:c r="G104" s="802" t="str">
        <x:f>IF($E104="","",IFERROR(INDEX('Certified Allocation'!$A$5:$A$51,MATCH($E104,'Certified Allocation'!$B$5:$B$51,0)),"Candidate / Non-Holding"))</x:f>
      </x:c>
      <x:c r="H104" s="800"/>
      <x:c r="I104" s="800"/>
      <x:c r="J104" s="800"/>
      <x:c r="K104" s="800"/>
      <x:c r="L104" s="800"/>
      <x:c r="M104" s="800"/>
      <x:c r="N104" s="800"/>
      <x:c r="O104" s="800"/>
      <x:c r="P104" s="800"/>
      <x:c r="Q104" s="800"/>
      <x:c r="R104" s="800"/>
      <x:c r="S104" s="804"/>
      <x:c r="T104" s="800"/>
      <x:c r="U104" s="800"/>
      <x:c r="V104" s="800"/>
      <x:c r="W104" s="800"/>
      <x:c r="X104" s="800"/>
      <x:c r="Y104" s="800"/>
      <x:c r="Z104" s="800"/>
      <x:c r="AA104" s="800"/>
      <x:c r="AB104" s="804"/>
      <x:c r="AC104" s="805" t="str">
        <x:f>IF($A104="","",IF(AND(OR($T104="Closed — No Action",$T104="Closed — Incorporated"),$AB104&lt;&gt;""),MAX(0,$AB104-$B104),MAX(0,TODAY()-$B104)))</x:f>
      </x:c>
      <x:c r="AD104" s="775" t="str">
        <x:f>IF(COUNTA($A104:$F104,$H104:$AB104,$AG104)=0,"",IF(OR($A104="",$B104="",$C104="",$D104="",$F104="",$H104="",$I104="",$J104="",$K104="",$L104="",$M104="",$N104="",$O104="",$P104="",$Q104="",$R104="",$S104="",$T104="",$U104="",$V104="",$W104="",$X104="",$Y104="",$Z104="",$AA104="",AND(NOT(OR($D104="Portfolio-Level",$D104="Market / Macro",$D104="Other")),$E104="")),"INCOMPLETE",IF(COUNTIF($A$14:$A$213,$A104)&gt;1,"DUPLICATE ID","COMPLETE")))</x:f>
      </x:c>
      <x:c r="AE104" s="775" t="str">
        <x:f>IF($A104="","",IF($AD104&lt;&gt;"COMPLETE",$AD104,IF(AND($D104="Certified Holding",OR($E104="",$G104="Candidate / Non-Holding")),"HOLDING IDENTIFIER MISMATCH",IF(AND(OR($J104="Critical",$J104="High"),OR($U104="No",AND($L104="Unverified — Pending",$U104&lt;&gt;"Exception Approved"))),"VERIFY / ESCALATE",IF($X104="Unassigned","CONVICTION DECISION REQUIRED",IF(AND($S104&lt;TODAY(),$T104&lt;&gt;"Closed — No Action",$T104&lt;&gt;"Closed — Incorporated"),"OVERDUE",IF(AND(OR($T104="Closed — No Action",$T104="Closed — Incorporated"),$AB104=""),"CLOSE DATE REQUIRED",IF(AND(NOT(OR($T104="Closed — No Action",$T104="Closed — Incorporated")),$AB104&lt;&gt;""),"STATUS / CLOSE DATE MISMATCH",IF(AND($Z104&lt;&gt;"No",NOT(OR($U104="Yes",$U104="Exception Approved"))),"PEW REFERRAL BLOCKED",IF(AND($T104="Awaiting Verification",$U104="Yes"),"STATUS MISMATCH",IF(OR($T104="Closed — No Action",$T104="Closed — Incorporated"),"CLOSED","OPEN — ON TRACK")))))))))))</x:f>
      </x:c>
      <x:c r="AF104" s="775" t="str">
        <x:f>IF($A104="","",IF($AD104&lt;&gt;"COMPLETE","NOT ELIGIBLE",IF($X104="Unassigned","NOT ELIGIBLE — CONVICTION UNASSIGNED",IF(NOT(OR($U104="Yes",$U104="Exception Approved")),"NOT ELIGIBLE — UNVERIFIED",IF(OR($V104&lt;&gt;"None",AND($W104&lt;&gt;"None",$W104&lt;&gt;"Intact"),AND($X104&lt;&gt;"No Change",$X104&lt;&gt;"Not Applicable"),$Y104&lt;&gt;"None",$Z104&lt;&gt;"No"),"ELIGIBLE FOR ROUTING","NO REFERRAL REQUIRED")))))</x:f>
      </x:c>
      <x:c r="AG104" s="800"/>
    </x:row>
    <x:row r="105" ht="36" customHeight="1">
      <x:c r="A105" s="800"/>
      <x:c r="B105" s="804"/>
      <x:c r="C105" s="804"/>
      <x:c r="D105" s="800"/>
      <x:c r="E105" s="800"/>
      <x:c r="F105" s="800"/>
      <x:c r="G105" s="802" t="str">
        <x:f>IF($E105="","",IFERROR(INDEX('Certified Allocation'!$A$5:$A$51,MATCH($E105,'Certified Allocation'!$B$5:$B$51,0)),"Candidate / Non-Holding"))</x:f>
      </x:c>
      <x:c r="H105" s="800"/>
      <x:c r="I105" s="800"/>
      <x:c r="J105" s="800"/>
      <x:c r="K105" s="800"/>
      <x:c r="L105" s="800"/>
      <x:c r="M105" s="800"/>
      <x:c r="N105" s="800"/>
      <x:c r="O105" s="800"/>
      <x:c r="P105" s="800"/>
      <x:c r="Q105" s="800"/>
      <x:c r="R105" s="800"/>
      <x:c r="S105" s="804"/>
      <x:c r="T105" s="800"/>
      <x:c r="U105" s="800"/>
      <x:c r="V105" s="800"/>
      <x:c r="W105" s="800"/>
      <x:c r="X105" s="800"/>
      <x:c r="Y105" s="800"/>
      <x:c r="Z105" s="800"/>
      <x:c r="AA105" s="800"/>
      <x:c r="AB105" s="804"/>
      <x:c r="AC105" s="805" t="str">
        <x:f>IF($A105="","",IF(AND(OR($T105="Closed — No Action",$T105="Closed — Incorporated"),$AB105&lt;&gt;""),MAX(0,$AB105-$B105),MAX(0,TODAY()-$B105)))</x:f>
      </x:c>
      <x:c r="AD105" s="775" t="str">
        <x:f>IF(COUNTA($A105:$F105,$H105:$AB105,$AG105)=0,"",IF(OR($A105="",$B105="",$C105="",$D105="",$F105="",$H105="",$I105="",$J105="",$K105="",$L105="",$M105="",$N105="",$O105="",$P105="",$Q105="",$R105="",$S105="",$T105="",$U105="",$V105="",$W105="",$X105="",$Y105="",$Z105="",$AA105="",AND(NOT(OR($D105="Portfolio-Level",$D105="Market / Macro",$D105="Other")),$E105="")),"INCOMPLETE",IF(COUNTIF($A$14:$A$213,$A105)&gt;1,"DUPLICATE ID","COMPLETE")))</x:f>
      </x:c>
      <x:c r="AE105" s="775" t="str">
        <x:f>IF($A105="","",IF($AD105&lt;&gt;"COMPLETE",$AD105,IF(AND($D105="Certified Holding",OR($E105="",$G105="Candidate / Non-Holding")),"HOLDING IDENTIFIER MISMATCH",IF(AND(OR($J105="Critical",$J105="High"),OR($U105="No",AND($L105="Unverified — Pending",$U105&lt;&gt;"Exception Approved"))),"VERIFY / ESCALATE",IF($X105="Unassigned","CONVICTION DECISION REQUIRED",IF(AND($S105&lt;TODAY(),$T105&lt;&gt;"Closed — No Action",$T105&lt;&gt;"Closed — Incorporated"),"OVERDUE",IF(AND(OR($T105="Closed — No Action",$T105="Closed — Incorporated"),$AB105=""),"CLOSE DATE REQUIRED",IF(AND(NOT(OR($T105="Closed — No Action",$T105="Closed — Incorporated")),$AB105&lt;&gt;""),"STATUS / CLOSE DATE MISMATCH",IF(AND($Z105&lt;&gt;"No",NOT(OR($U105="Yes",$U105="Exception Approved"))),"PEW REFERRAL BLOCKED",IF(AND($T105="Awaiting Verification",$U105="Yes"),"STATUS MISMATCH",IF(OR($T105="Closed — No Action",$T105="Closed — Incorporated"),"CLOSED","OPEN — ON TRACK")))))))))))</x:f>
      </x:c>
      <x:c r="AF105" s="775" t="str">
        <x:f>IF($A105="","",IF($AD105&lt;&gt;"COMPLETE","NOT ELIGIBLE",IF($X105="Unassigned","NOT ELIGIBLE — CONVICTION UNASSIGNED",IF(NOT(OR($U105="Yes",$U105="Exception Approved")),"NOT ELIGIBLE — UNVERIFIED",IF(OR($V105&lt;&gt;"None",AND($W105&lt;&gt;"None",$W105&lt;&gt;"Intact"),AND($X105&lt;&gt;"No Change",$X105&lt;&gt;"Not Applicable"),$Y105&lt;&gt;"None",$Z105&lt;&gt;"No"),"ELIGIBLE FOR ROUTING","NO REFERRAL REQUIRED")))))</x:f>
      </x:c>
      <x:c r="AG105" s="800"/>
    </x:row>
    <x:row r="106" ht="36" customHeight="1">
      <x:c r="A106" s="800"/>
      <x:c r="B106" s="804"/>
      <x:c r="C106" s="804"/>
      <x:c r="D106" s="800"/>
      <x:c r="E106" s="800"/>
      <x:c r="F106" s="800"/>
      <x:c r="G106" s="802" t="str">
        <x:f>IF($E106="","",IFERROR(INDEX('Certified Allocation'!$A$5:$A$51,MATCH($E106,'Certified Allocation'!$B$5:$B$51,0)),"Candidate / Non-Holding"))</x:f>
      </x:c>
      <x:c r="H106" s="800"/>
      <x:c r="I106" s="800"/>
      <x:c r="J106" s="800"/>
      <x:c r="K106" s="800"/>
      <x:c r="L106" s="800"/>
      <x:c r="M106" s="800"/>
      <x:c r="N106" s="800"/>
      <x:c r="O106" s="800"/>
      <x:c r="P106" s="800"/>
      <x:c r="Q106" s="800"/>
      <x:c r="R106" s="800"/>
      <x:c r="S106" s="804"/>
      <x:c r="T106" s="800"/>
      <x:c r="U106" s="800"/>
      <x:c r="V106" s="800"/>
      <x:c r="W106" s="800"/>
      <x:c r="X106" s="800"/>
      <x:c r="Y106" s="800"/>
      <x:c r="Z106" s="800"/>
      <x:c r="AA106" s="800"/>
      <x:c r="AB106" s="804"/>
      <x:c r="AC106" s="805" t="str">
        <x:f>IF($A106="","",IF(AND(OR($T106="Closed — No Action",$T106="Closed — Incorporated"),$AB106&lt;&gt;""),MAX(0,$AB106-$B106),MAX(0,TODAY()-$B106)))</x:f>
      </x:c>
      <x:c r="AD106" s="775" t="str">
        <x:f>IF(COUNTA($A106:$F106,$H106:$AB106,$AG106)=0,"",IF(OR($A106="",$B106="",$C106="",$D106="",$F106="",$H106="",$I106="",$J106="",$K106="",$L106="",$M106="",$N106="",$O106="",$P106="",$Q106="",$R106="",$S106="",$T106="",$U106="",$V106="",$W106="",$X106="",$Y106="",$Z106="",$AA106="",AND(NOT(OR($D106="Portfolio-Level",$D106="Market / Macro",$D106="Other")),$E106="")),"INCOMPLETE",IF(COUNTIF($A$14:$A$213,$A106)&gt;1,"DUPLICATE ID","COMPLETE")))</x:f>
      </x:c>
      <x:c r="AE106" s="775" t="str">
        <x:f>IF($A106="","",IF($AD106&lt;&gt;"COMPLETE",$AD106,IF(AND($D106="Certified Holding",OR($E106="",$G106="Candidate / Non-Holding")),"HOLDING IDENTIFIER MISMATCH",IF(AND(OR($J106="Critical",$J106="High"),OR($U106="No",AND($L106="Unverified — Pending",$U106&lt;&gt;"Exception Approved"))),"VERIFY / ESCALATE",IF($X106="Unassigned","CONVICTION DECISION REQUIRED",IF(AND($S106&lt;TODAY(),$T106&lt;&gt;"Closed — No Action",$T106&lt;&gt;"Closed — Incorporated"),"OVERDUE",IF(AND(OR($T106="Closed — No Action",$T106="Closed — Incorporated"),$AB106=""),"CLOSE DATE REQUIRED",IF(AND(NOT(OR($T106="Closed — No Action",$T106="Closed — Incorporated")),$AB106&lt;&gt;""),"STATUS / CLOSE DATE MISMATCH",IF(AND($Z106&lt;&gt;"No",NOT(OR($U106="Yes",$U106="Exception Approved"))),"PEW REFERRAL BLOCKED",IF(AND($T106="Awaiting Verification",$U106="Yes"),"STATUS MISMATCH",IF(OR($T106="Closed — No Action",$T106="Closed — Incorporated"),"CLOSED","OPEN — ON TRACK")))))))))))</x:f>
      </x:c>
      <x:c r="AF106" s="775" t="str">
        <x:f>IF($A106="","",IF($AD106&lt;&gt;"COMPLETE","NOT ELIGIBLE",IF($X106="Unassigned","NOT ELIGIBLE — CONVICTION UNASSIGNED",IF(NOT(OR($U106="Yes",$U106="Exception Approved")),"NOT ELIGIBLE — UNVERIFIED",IF(OR($V106&lt;&gt;"None",AND($W106&lt;&gt;"None",$W106&lt;&gt;"Intact"),AND($X106&lt;&gt;"No Change",$X106&lt;&gt;"Not Applicable"),$Y106&lt;&gt;"None",$Z106&lt;&gt;"No"),"ELIGIBLE FOR ROUTING","NO REFERRAL REQUIRED")))))</x:f>
      </x:c>
      <x:c r="AG106" s="800"/>
    </x:row>
    <x:row r="107" ht="36" customHeight="1">
      <x:c r="A107" s="800"/>
      <x:c r="B107" s="804"/>
      <x:c r="C107" s="804"/>
      <x:c r="D107" s="800"/>
      <x:c r="E107" s="800"/>
      <x:c r="F107" s="800"/>
      <x:c r="G107" s="802" t="str">
        <x:f>IF($E107="","",IFERROR(INDEX('Certified Allocation'!$A$5:$A$51,MATCH($E107,'Certified Allocation'!$B$5:$B$51,0)),"Candidate / Non-Holding"))</x:f>
      </x:c>
      <x:c r="H107" s="800"/>
      <x:c r="I107" s="800"/>
      <x:c r="J107" s="800"/>
      <x:c r="K107" s="800"/>
      <x:c r="L107" s="800"/>
      <x:c r="M107" s="800"/>
      <x:c r="N107" s="800"/>
      <x:c r="O107" s="800"/>
      <x:c r="P107" s="800"/>
      <x:c r="Q107" s="800"/>
      <x:c r="R107" s="800"/>
      <x:c r="S107" s="804"/>
      <x:c r="T107" s="800"/>
      <x:c r="U107" s="800"/>
      <x:c r="V107" s="800"/>
      <x:c r="W107" s="800"/>
      <x:c r="X107" s="800"/>
      <x:c r="Y107" s="800"/>
      <x:c r="Z107" s="800"/>
      <x:c r="AA107" s="800"/>
      <x:c r="AB107" s="804"/>
      <x:c r="AC107" s="805" t="str">
        <x:f>IF($A107="","",IF(AND(OR($T107="Closed — No Action",$T107="Closed — Incorporated"),$AB107&lt;&gt;""),MAX(0,$AB107-$B107),MAX(0,TODAY()-$B107)))</x:f>
      </x:c>
      <x:c r="AD107" s="775" t="str">
        <x:f>IF(COUNTA($A107:$F107,$H107:$AB107,$AG107)=0,"",IF(OR($A107="",$B107="",$C107="",$D107="",$F107="",$H107="",$I107="",$J107="",$K107="",$L107="",$M107="",$N107="",$O107="",$P107="",$Q107="",$R107="",$S107="",$T107="",$U107="",$V107="",$W107="",$X107="",$Y107="",$Z107="",$AA107="",AND(NOT(OR($D107="Portfolio-Level",$D107="Market / Macro",$D107="Other")),$E107="")),"INCOMPLETE",IF(COUNTIF($A$14:$A$213,$A107)&gt;1,"DUPLICATE ID","COMPLETE")))</x:f>
      </x:c>
      <x:c r="AE107" s="775" t="str">
        <x:f>IF($A107="","",IF($AD107&lt;&gt;"COMPLETE",$AD107,IF(AND($D107="Certified Holding",OR($E107="",$G107="Candidate / Non-Holding")),"HOLDING IDENTIFIER MISMATCH",IF(AND(OR($J107="Critical",$J107="High"),OR($U107="No",AND($L107="Unverified — Pending",$U107&lt;&gt;"Exception Approved"))),"VERIFY / ESCALATE",IF($X107="Unassigned","CONVICTION DECISION REQUIRED",IF(AND($S107&lt;TODAY(),$T107&lt;&gt;"Closed — No Action",$T107&lt;&gt;"Closed — Incorporated"),"OVERDUE",IF(AND(OR($T107="Closed — No Action",$T107="Closed — Incorporated"),$AB107=""),"CLOSE DATE REQUIRED",IF(AND(NOT(OR($T107="Closed — No Action",$T107="Closed — Incorporated")),$AB107&lt;&gt;""),"STATUS / CLOSE DATE MISMATCH",IF(AND($Z107&lt;&gt;"No",NOT(OR($U107="Yes",$U107="Exception Approved"))),"PEW REFERRAL BLOCKED",IF(AND($T107="Awaiting Verification",$U107="Yes"),"STATUS MISMATCH",IF(OR($T107="Closed — No Action",$T107="Closed — Incorporated"),"CLOSED","OPEN — ON TRACK")))))))))))</x:f>
      </x:c>
      <x:c r="AF107" s="775" t="str">
        <x:f>IF($A107="","",IF($AD107&lt;&gt;"COMPLETE","NOT ELIGIBLE",IF($X107="Unassigned","NOT ELIGIBLE — CONVICTION UNASSIGNED",IF(NOT(OR($U107="Yes",$U107="Exception Approved")),"NOT ELIGIBLE — UNVERIFIED",IF(OR($V107&lt;&gt;"None",AND($W107&lt;&gt;"None",$W107&lt;&gt;"Intact"),AND($X107&lt;&gt;"No Change",$X107&lt;&gt;"Not Applicable"),$Y107&lt;&gt;"None",$Z107&lt;&gt;"No"),"ELIGIBLE FOR ROUTING","NO REFERRAL REQUIRED")))))</x:f>
      </x:c>
      <x:c r="AG107" s="800"/>
    </x:row>
    <x:row r="108" ht="36" customHeight="1">
      <x:c r="A108" s="800"/>
      <x:c r="B108" s="804"/>
      <x:c r="C108" s="804"/>
      <x:c r="D108" s="800"/>
      <x:c r="E108" s="800"/>
      <x:c r="F108" s="800"/>
      <x:c r="G108" s="802" t="str">
        <x:f>IF($E108="","",IFERROR(INDEX('Certified Allocation'!$A$5:$A$51,MATCH($E108,'Certified Allocation'!$B$5:$B$51,0)),"Candidate / Non-Holding"))</x:f>
      </x:c>
      <x:c r="H108" s="800"/>
      <x:c r="I108" s="800"/>
      <x:c r="J108" s="800"/>
      <x:c r="K108" s="800"/>
      <x:c r="L108" s="800"/>
      <x:c r="M108" s="800"/>
      <x:c r="N108" s="800"/>
      <x:c r="O108" s="800"/>
      <x:c r="P108" s="800"/>
      <x:c r="Q108" s="800"/>
      <x:c r="R108" s="800"/>
      <x:c r="S108" s="804"/>
      <x:c r="T108" s="800"/>
      <x:c r="U108" s="800"/>
      <x:c r="V108" s="800"/>
      <x:c r="W108" s="800"/>
      <x:c r="X108" s="800"/>
      <x:c r="Y108" s="800"/>
      <x:c r="Z108" s="800"/>
      <x:c r="AA108" s="800"/>
      <x:c r="AB108" s="804"/>
      <x:c r="AC108" s="805" t="str">
        <x:f>IF($A108="","",IF(AND(OR($T108="Closed — No Action",$T108="Closed — Incorporated"),$AB108&lt;&gt;""),MAX(0,$AB108-$B108),MAX(0,TODAY()-$B108)))</x:f>
      </x:c>
      <x:c r="AD108" s="775" t="str">
        <x:f>IF(COUNTA($A108:$F108,$H108:$AB108,$AG108)=0,"",IF(OR($A108="",$B108="",$C108="",$D108="",$F108="",$H108="",$I108="",$J108="",$K108="",$L108="",$M108="",$N108="",$O108="",$P108="",$Q108="",$R108="",$S108="",$T108="",$U108="",$V108="",$W108="",$X108="",$Y108="",$Z108="",$AA108="",AND(NOT(OR($D108="Portfolio-Level",$D108="Market / Macro",$D108="Other")),$E108="")),"INCOMPLETE",IF(COUNTIF($A$14:$A$213,$A108)&gt;1,"DUPLICATE ID","COMPLETE")))</x:f>
      </x:c>
      <x:c r="AE108" s="775" t="str">
        <x:f>IF($A108="","",IF($AD108&lt;&gt;"COMPLETE",$AD108,IF(AND($D108="Certified Holding",OR($E108="",$G108="Candidate / Non-Holding")),"HOLDING IDENTIFIER MISMATCH",IF(AND(OR($J108="Critical",$J108="High"),OR($U108="No",AND($L108="Unverified — Pending",$U108&lt;&gt;"Exception Approved"))),"VERIFY / ESCALATE",IF($X108="Unassigned","CONVICTION DECISION REQUIRED",IF(AND($S108&lt;TODAY(),$T108&lt;&gt;"Closed — No Action",$T108&lt;&gt;"Closed — Incorporated"),"OVERDUE",IF(AND(OR($T108="Closed — No Action",$T108="Closed — Incorporated"),$AB108=""),"CLOSE DATE REQUIRED",IF(AND(NOT(OR($T108="Closed — No Action",$T108="Closed — Incorporated")),$AB108&lt;&gt;""),"STATUS / CLOSE DATE MISMATCH",IF(AND($Z108&lt;&gt;"No",NOT(OR($U108="Yes",$U108="Exception Approved"))),"PEW REFERRAL BLOCKED",IF(AND($T108="Awaiting Verification",$U108="Yes"),"STATUS MISMATCH",IF(OR($T108="Closed — No Action",$T108="Closed — Incorporated"),"CLOSED","OPEN — ON TRACK")))))))))))</x:f>
      </x:c>
      <x:c r="AF108" s="775" t="str">
        <x:f>IF($A108="","",IF($AD108&lt;&gt;"COMPLETE","NOT ELIGIBLE",IF($X108="Unassigned","NOT ELIGIBLE — CONVICTION UNASSIGNED",IF(NOT(OR($U108="Yes",$U108="Exception Approved")),"NOT ELIGIBLE — UNVERIFIED",IF(OR($V108&lt;&gt;"None",AND($W108&lt;&gt;"None",$W108&lt;&gt;"Intact"),AND($X108&lt;&gt;"No Change",$X108&lt;&gt;"Not Applicable"),$Y108&lt;&gt;"None",$Z108&lt;&gt;"No"),"ELIGIBLE FOR ROUTING","NO REFERRAL REQUIRED")))))</x:f>
      </x:c>
      <x:c r="AG108" s="800"/>
    </x:row>
    <x:row r="109" ht="36" customHeight="1">
      <x:c r="A109" s="800"/>
      <x:c r="B109" s="804"/>
      <x:c r="C109" s="804"/>
      <x:c r="D109" s="800"/>
      <x:c r="E109" s="800"/>
      <x:c r="F109" s="800"/>
      <x:c r="G109" s="802" t="str">
        <x:f>IF($E109="","",IFERROR(INDEX('Certified Allocation'!$A$5:$A$51,MATCH($E109,'Certified Allocation'!$B$5:$B$51,0)),"Candidate / Non-Holding"))</x:f>
      </x:c>
      <x:c r="H109" s="800"/>
      <x:c r="I109" s="800"/>
      <x:c r="J109" s="800"/>
      <x:c r="K109" s="800"/>
      <x:c r="L109" s="800"/>
      <x:c r="M109" s="800"/>
      <x:c r="N109" s="800"/>
      <x:c r="O109" s="800"/>
      <x:c r="P109" s="800"/>
      <x:c r="Q109" s="800"/>
      <x:c r="R109" s="800"/>
      <x:c r="S109" s="804"/>
      <x:c r="T109" s="800"/>
      <x:c r="U109" s="800"/>
      <x:c r="V109" s="800"/>
      <x:c r="W109" s="800"/>
      <x:c r="X109" s="800"/>
      <x:c r="Y109" s="800"/>
      <x:c r="Z109" s="800"/>
      <x:c r="AA109" s="800"/>
      <x:c r="AB109" s="804"/>
      <x:c r="AC109" s="805" t="str">
        <x:f>IF($A109="","",IF(AND(OR($T109="Closed — No Action",$T109="Closed — Incorporated"),$AB109&lt;&gt;""),MAX(0,$AB109-$B109),MAX(0,TODAY()-$B109)))</x:f>
      </x:c>
      <x:c r="AD109" s="775" t="str">
        <x:f>IF(COUNTA($A109:$F109,$H109:$AB109,$AG109)=0,"",IF(OR($A109="",$B109="",$C109="",$D109="",$F109="",$H109="",$I109="",$J109="",$K109="",$L109="",$M109="",$N109="",$O109="",$P109="",$Q109="",$R109="",$S109="",$T109="",$U109="",$V109="",$W109="",$X109="",$Y109="",$Z109="",$AA109="",AND(NOT(OR($D109="Portfolio-Level",$D109="Market / Macro",$D109="Other")),$E109="")),"INCOMPLETE",IF(COUNTIF($A$14:$A$213,$A109)&gt;1,"DUPLICATE ID","COMPLETE")))</x:f>
      </x:c>
      <x:c r="AE109" s="775" t="str">
        <x:f>IF($A109="","",IF($AD109&lt;&gt;"COMPLETE",$AD109,IF(AND($D109="Certified Holding",OR($E109="",$G109="Candidate / Non-Holding")),"HOLDING IDENTIFIER MISMATCH",IF(AND(OR($J109="Critical",$J109="High"),OR($U109="No",AND($L109="Unverified — Pending",$U109&lt;&gt;"Exception Approved"))),"VERIFY / ESCALATE",IF($X109="Unassigned","CONVICTION DECISION REQUIRED",IF(AND($S109&lt;TODAY(),$T109&lt;&gt;"Closed — No Action",$T109&lt;&gt;"Closed — Incorporated"),"OVERDUE",IF(AND(OR($T109="Closed — No Action",$T109="Closed — Incorporated"),$AB109=""),"CLOSE DATE REQUIRED",IF(AND(NOT(OR($T109="Closed — No Action",$T109="Closed — Incorporated")),$AB109&lt;&gt;""),"STATUS / CLOSE DATE MISMATCH",IF(AND($Z109&lt;&gt;"No",NOT(OR($U109="Yes",$U109="Exception Approved"))),"PEW REFERRAL BLOCKED",IF(AND($T109="Awaiting Verification",$U109="Yes"),"STATUS MISMATCH",IF(OR($T109="Closed — No Action",$T109="Closed — Incorporated"),"CLOSED","OPEN — ON TRACK")))))))))))</x:f>
      </x:c>
      <x:c r="AF109" s="775" t="str">
        <x:f>IF($A109="","",IF($AD109&lt;&gt;"COMPLETE","NOT ELIGIBLE",IF($X109="Unassigned","NOT ELIGIBLE — CONVICTION UNASSIGNED",IF(NOT(OR($U109="Yes",$U109="Exception Approved")),"NOT ELIGIBLE — UNVERIFIED",IF(OR($V109&lt;&gt;"None",AND($W109&lt;&gt;"None",$W109&lt;&gt;"Intact"),AND($X109&lt;&gt;"No Change",$X109&lt;&gt;"Not Applicable"),$Y109&lt;&gt;"None",$Z109&lt;&gt;"No"),"ELIGIBLE FOR ROUTING","NO REFERRAL REQUIRED")))))</x:f>
      </x:c>
      <x:c r="AG109" s="800"/>
    </x:row>
    <x:row r="110" ht="36" customHeight="1">
      <x:c r="A110" s="800"/>
      <x:c r="B110" s="804"/>
      <x:c r="C110" s="804"/>
      <x:c r="D110" s="800"/>
      <x:c r="E110" s="800"/>
      <x:c r="F110" s="800"/>
      <x:c r="G110" s="802" t="str">
        <x:f>IF($E110="","",IFERROR(INDEX('Certified Allocation'!$A$5:$A$51,MATCH($E110,'Certified Allocation'!$B$5:$B$51,0)),"Candidate / Non-Holding"))</x:f>
      </x:c>
      <x:c r="H110" s="800"/>
      <x:c r="I110" s="800"/>
      <x:c r="J110" s="800"/>
      <x:c r="K110" s="800"/>
      <x:c r="L110" s="800"/>
      <x:c r="M110" s="800"/>
      <x:c r="N110" s="800"/>
      <x:c r="O110" s="800"/>
      <x:c r="P110" s="800"/>
      <x:c r="Q110" s="800"/>
      <x:c r="R110" s="800"/>
      <x:c r="S110" s="804"/>
      <x:c r="T110" s="800"/>
      <x:c r="U110" s="800"/>
      <x:c r="V110" s="800"/>
      <x:c r="W110" s="800"/>
      <x:c r="X110" s="800"/>
      <x:c r="Y110" s="800"/>
      <x:c r="Z110" s="800"/>
      <x:c r="AA110" s="800"/>
      <x:c r="AB110" s="804"/>
      <x:c r="AC110" s="805" t="str">
        <x:f>IF($A110="","",IF(AND(OR($T110="Closed — No Action",$T110="Closed — Incorporated"),$AB110&lt;&gt;""),MAX(0,$AB110-$B110),MAX(0,TODAY()-$B110)))</x:f>
      </x:c>
      <x:c r="AD110" s="775" t="str">
        <x:f>IF(COUNTA($A110:$F110,$H110:$AB110,$AG110)=0,"",IF(OR($A110="",$B110="",$C110="",$D110="",$F110="",$H110="",$I110="",$J110="",$K110="",$L110="",$M110="",$N110="",$O110="",$P110="",$Q110="",$R110="",$S110="",$T110="",$U110="",$V110="",$W110="",$X110="",$Y110="",$Z110="",$AA110="",AND(NOT(OR($D110="Portfolio-Level",$D110="Market / Macro",$D110="Other")),$E110="")),"INCOMPLETE",IF(COUNTIF($A$14:$A$213,$A110)&gt;1,"DUPLICATE ID","COMPLETE")))</x:f>
      </x:c>
      <x:c r="AE110" s="775" t="str">
        <x:f>IF($A110="","",IF($AD110&lt;&gt;"COMPLETE",$AD110,IF(AND($D110="Certified Holding",OR($E110="",$G110="Candidate / Non-Holding")),"HOLDING IDENTIFIER MISMATCH",IF(AND(OR($J110="Critical",$J110="High"),OR($U110="No",AND($L110="Unverified — Pending",$U110&lt;&gt;"Exception Approved"))),"VERIFY / ESCALATE",IF($X110="Unassigned","CONVICTION DECISION REQUIRED",IF(AND($S110&lt;TODAY(),$T110&lt;&gt;"Closed — No Action",$T110&lt;&gt;"Closed — Incorporated"),"OVERDUE",IF(AND(OR($T110="Closed — No Action",$T110="Closed — Incorporated"),$AB110=""),"CLOSE DATE REQUIRED",IF(AND(NOT(OR($T110="Closed — No Action",$T110="Closed — Incorporated")),$AB110&lt;&gt;""),"STATUS / CLOSE DATE MISMATCH",IF(AND($Z110&lt;&gt;"No",NOT(OR($U110="Yes",$U110="Exception Approved"))),"PEW REFERRAL BLOCKED",IF(AND($T110="Awaiting Verification",$U110="Yes"),"STATUS MISMATCH",IF(OR($T110="Closed — No Action",$T110="Closed — Incorporated"),"CLOSED","OPEN — ON TRACK")))))))))))</x:f>
      </x:c>
      <x:c r="AF110" s="775" t="str">
        <x:f>IF($A110="","",IF($AD110&lt;&gt;"COMPLETE","NOT ELIGIBLE",IF($X110="Unassigned","NOT ELIGIBLE — CONVICTION UNASSIGNED",IF(NOT(OR($U110="Yes",$U110="Exception Approved")),"NOT ELIGIBLE — UNVERIFIED",IF(OR($V110&lt;&gt;"None",AND($W110&lt;&gt;"None",$W110&lt;&gt;"Intact"),AND($X110&lt;&gt;"No Change",$X110&lt;&gt;"Not Applicable"),$Y110&lt;&gt;"None",$Z110&lt;&gt;"No"),"ELIGIBLE FOR ROUTING","NO REFERRAL REQUIRED")))))</x:f>
      </x:c>
      <x:c r="AG110" s="800"/>
    </x:row>
    <x:row r="111" ht="36" customHeight="1">
      <x:c r="A111" s="800"/>
      <x:c r="B111" s="804"/>
      <x:c r="C111" s="804"/>
      <x:c r="D111" s="800"/>
      <x:c r="E111" s="800"/>
      <x:c r="F111" s="800"/>
      <x:c r="G111" s="802" t="str">
        <x:f>IF($E111="","",IFERROR(INDEX('Certified Allocation'!$A$5:$A$51,MATCH($E111,'Certified Allocation'!$B$5:$B$51,0)),"Candidate / Non-Holding"))</x:f>
      </x:c>
      <x:c r="H111" s="800"/>
      <x:c r="I111" s="800"/>
      <x:c r="J111" s="800"/>
      <x:c r="K111" s="800"/>
      <x:c r="L111" s="800"/>
      <x:c r="M111" s="800"/>
      <x:c r="N111" s="800"/>
      <x:c r="O111" s="800"/>
      <x:c r="P111" s="800"/>
      <x:c r="Q111" s="800"/>
      <x:c r="R111" s="800"/>
      <x:c r="S111" s="804"/>
      <x:c r="T111" s="800"/>
      <x:c r="U111" s="800"/>
      <x:c r="V111" s="800"/>
      <x:c r="W111" s="800"/>
      <x:c r="X111" s="800"/>
      <x:c r="Y111" s="800"/>
      <x:c r="Z111" s="800"/>
      <x:c r="AA111" s="800"/>
      <x:c r="AB111" s="804"/>
      <x:c r="AC111" s="805" t="str">
        <x:f>IF($A111="","",IF(AND(OR($T111="Closed — No Action",$T111="Closed — Incorporated"),$AB111&lt;&gt;""),MAX(0,$AB111-$B111),MAX(0,TODAY()-$B111)))</x:f>
      </x:c>
      <x:c r="AD111" s="775" t="str">
        <x:f>IF(COUNTA($A111:$F111,$H111:$AB111,$AG111)=0,"",IF(OR($A111="",$B111="",$C111="",$D111="",$F111="",$H111="",$I111="",$J111="",$K111="",$L111="",$M111="",$N111="",$O111="",$P111="",$Q111="",$R111="",$S111="",$T111="",$U111="",$V111="",$W111="",$X111="",$Y111="",$Z111="",$AA111="",AND(NOT(OR($D111="Portfolio-Level",$D111="Market / Macro",$D111="Other")),$E111="")),"INCOMPLETE",IF(COUNTIF($A$14:$A$213,$A111)&gt;1,"DUPLICATE ID","COMPLETE")))</x:f>
      </x:c>
      <x:c r="AE111" s="775" t="str">
        <x:f>IF($A111="","",IF($AD111&lt;&gt;"COMPLETE",$AD111,IF(AND($D111="Certified Holding",OR($E111="",$G111="Candidate / Non-Holding")),"HOLDING IDENTIFIER MISMATCH",IF(AND(OR($J111="Critical",$J111="High"),OR($U111="No",AND($L111="Unverified — Pending",$U111&lt;&gt;"Exception Approved"))),"VERIFY / ESCALATE",IF($X111="Unassigned","CONVICTION DECISION REQUIRED",IF(AND($S111&lt;TODAY(),$T111&lt;&gt;"Closed — No Action",$T111&lt;&gt;"Closed — Incorporated"),"OVERDUE",IF(AND(OR($T111="Closed — No Action",$T111="Closed — Incorporated"),$AB111=""),"CLOSE DATE REQUIRED",IF(AND(NOT(OR($T111="Closed — No Action",$T111="Closed — Incorporated")),$AB111&lt;&gt;""),"STATUS / CLOSE DATE MISMATCH",IF(AND($Z111&lt;&gt;"No",NOT(OR($U111="Yes",$U111="Exception Approved"))),"PEW REFERRAL BLOCKED",IF(AND($T111="Awaiting Verification",$U111="Yes"),"STATUS MISMATCH",IF(OR($T111="Closed — No Action",$T111="Closed — Incorporated"),"CLOSED","OPEN — ON TRACK")))))))))))</x:f>
      </x:c>
      <x:c r="AF111" s="775" t="str">
        <x:f>IF($A111="","",IF($AD111&lt;&gt;"COMPLETE","NOT ELIGIBLE",IF($X111="Unassigned","NOT ELIGIBLE — CONVICTION UNASSIGNED",IF(NOT(OR($U111="Yes",$U111="Exception Approved")),"NOT ELIGIBLE — UNVERIFIED",IF(OR($V111&lt;&gt;"None",AND($W111&lt;&gt;"None",$W111&lt;&gt;"Intact"),AND($X111&lt;&gt;"No Change",$X111&lt;&gt;"Not Applicable"),$Y111&lt;&gt;"None",$Z111&lt;&gt;"No"),"ELIGIBLE FOR ROUTING","NO REFERRAL REQUIRED")))))</x:f>
      </x:c>
      <x:c r="AG111" s="800"/>
    </x:row>
    <x:row r="112" ht="36" customHeight="1">
      <x:c r="A112" s="800"/>
      <x:c r="B112" s="804"/>
      <x:c r="C112" s="804"/>
      <x:c r="D112" s="800"/>
      <x:c r="E112" s="800"/>
      <x:c r="F112" s="800"/>
      <x:c r="G112" s="802" t="str">
        <x:f>IF($E112="","",IFERROR(INDEX('Certified Allocation'!$A$5:$A$51,MATCH($E112,'Certified Allocation'!$B$5:$B$51,0)),"Candidate / Non-Holding"))</x:f>
      </x:c>
      <x:c r="H112" s="800"/>
      <x:c r="I112" s="800"/>
      <x:c r="J112" s="800"/>
      <x:c r="K112" s="800"/>
      <x:c r="L112" s="800"/>
      <x:c r="M112" s="800"/>
      <x:c r="N112" s="800"/>
      <x:c r="O112" s="800"/>
      <x:c r="P112" s="800"/>
      <x:c r="Q112" s="800"/>
      <x:c r="R112" s="800"/>
      <x:c r="S112" s="804"/>
      <x:c r="T112" s="800"/>
      <x:c r="U112" s="800"/>
      <x:c r="V112" s="800"/>
      <x:c r="W112" s="800"/>
      <x:c r="X112" s="800"/>
      <x:c r="Y112" s="800"/>
      <x:c r="Z112" s="800"/>
      <x:c r="AA112" s="800"/>
      <x:c r="AB112" s="804"/>
      <x:c r="AC112" s="805" t="str">
        <x:f>IF($A112="","",IF(AND(OR($T112="Closed — No Action",$T112="Closed — Incorporated"),$AB112&lt;&gt;""),MAX(0,$AB112-$B112),MAX(0,TODAY()-$B112)))</x:f>
      </x:c>
      <x:c r="AD112" s="775" t="str">
        <x:f>IF(COUNTA($A112:$F112,$H112:$AB112,$AG112)=0,"",IF(OR($A112="",$B112="",$C112="",$D112="",$F112="",$H112="",$I112="",$J112="",$K112="",$L112="",$M112="",$N112="",$O112="",$P112="",$Q112="",$R112="",$S112="",$T112="",$U112="",$V112="",$W112="",$X112="",$Y112="",$Z112="",$AA112="",AND(NOT(OR($D112="Portfolio-Level",$D112="Market / Macro",$D112="Other")),$E112="")),"INCOMPLETE",IF(COUNTIF($A$14:$A$213,$A112)&gt;1,"DUPLICATE ID","COMPLETE")))</x:f>
      </x:c>
      <x:c r="AE112" s="775" t="str">
        <x:f>IF($A112="","",IF($AD112&lt;&gt;"COMPLETE",$AD112,IF(AND($D112="Certified Holding",OR($E112="",$G112="Candidate / Non-Holding")),"HOLDING IDENTIFIER MISMATCH",IF(AND(OR($J112="Critical",$J112="High"),OR($U112="No",AND($L112="Unverified — Pending",$U112&lt;&gt;"Exception Approved"))),"VERIFY / ESCALATE",IF($X112="Unassigned","CONVICTION DECISION REQUIRED",IF(AND($S112&lt;TODAY(),$T112&lt;&gt;"Closed — No Action",$T112&lt;&gt;"Closed — Incorporated"),"OVERDUE",IF(AND(OR($T112="Closed — No Action",$T112="Closed — Incorporated"),$AB112=""),"CLOSE DATE REQUIRED",IF(AND(NOT(OR($T112="Closed — No Action",$T112="Closed — Incorporated")),$AB112&lt;&gt;""),"STATUS / CLOSE DATE MISMATCH",IF(AND($Z112&lt;&gt;"No",NOT(OR($U112="Yes",$U112="Exception Approved"))),"PEW REFERRAL BLOCKED",IF(AND($T112="Awaiting Verification",$U112="Yes"),"STATUS MISMATCH",IF(OR($T112="Closed — No Action",$T112="Closed — Incorporated"),"CLOSED","OPEN — ON TRACK")))))))))))</x:f>
      </x:c>
      <x:c r="AF112" s="775" t="str">
        <x:f>IF($A112="","",IF($AD112&lt;&gt;"COMPLETE","NOT ELIGIBLE",IF($X112="Unassigned","NOT ELIGIBLE — CONVICTION UNASSIGNED",IF(NOT(OR($U112="Yes",$U112="Exception Approved")),"NOT ELIGIBLE — UNVERIFIED",IF(OR($V112&lt;&gt;"None",AND($W112&lt;&gt;"None",$W112&lt;&gt;"Intact"),AND($X112&lt;&gt;"No Change",$X112&lt;&gt;"Not Applicable"),$Y112&lt;&gt;"None",$Z112&lt;&gt;"No"),"ELIGIBLE FOR ROUTING","NO REFERRAL REQUIRED")))))</x:f>
      </x:c>
      <x:c r="AG112" s="800"/>
    </x:row>
    <x:row r="113" ht="36" customHeight="1">
      <x:c r="A113" s="800"/>
      <x:c r="B113" s="804"/>
      <x:c r="C113" s="804"/>
      <x:c r="D113" s="800"/>
      <x:c r="E113" s="800"/>
      <x:c r="F113" s="800"/>
      <x:c r="G113" s="802" t="str">
        <x:f>IF($E113="","",IFERROR(INDEX('Certified Allocation'!$A$5:$A$51,MATCH($E113,'Certified Allocation'!$B$5:$B$51,0)),"Candidate / Non-Holding"))</x:f>
      </x:c>
      <x:c r="H113" s="800"/>
      <x:c r="I113" s="800"/>
      <x:c r="J113" s="800"/>
      <x:c r="K113" s="800"/>
      <x:c r="L113" s="800"/>
      <x:c r="M113" s="800"/>
      <x:c r="N113" s="800"/>
      <x:c r="O113" s="800"/>
      <x:c r="P113" s="800"/>
      <x:c r="Q113" s="800"/>
      <x:c r="R113" s="800"/>
      <x:c r="S113" s="804"/>
      <x:c r="T113" s="800"/>
      <x:c r="U113" s="800"/>
      <x:c r="V113" s="800"/>
      <x:c r="W113" s="800"/>
      <x:c r="X113" s="800"/>
      <x:c r="Y113" s="800"/>
      <x:c r="Z113" s="800"/>
      <x:c r="AA113" s="800"/>
      <x:c r="AB113" s="804"/>
      <x:c r="AC113" s="805" t="str">
        <x:f>IF($A113="","",IF(AND(OR($T113="Closed — No Action",$T113="Closed — Incorporated"),$AB113&lt;&gt;""),MAX(0,$AB113-$B113),MAX(0,TODAY()-$B113)))</x:f>
      </x:c>
      <x:c r="AD113" s="775" t="str">
        <x:f>IF(COUNTA($A113:$F113,$H113:$AB113,$AG113)=0,"",IF(OR($A113="",$B113="",$C113="",$D113="",$F113="",$H113="",$I113="",$J113="",$K113="",$L113="",$M113="",$N113="",$O113="",$P113="",$Q113="",$R113="",$S113="",$T113="",$U113="",$V113="",$W113="",$X113="",$Y113="",$Z113="",$AA113="",AND(NOT(OR($D113="Portfolio-Level",$D113="Market / Macro",$D113="Other")),$E113="")),"INCOMPLETE",IF(COUNTIF($A$14:$A$213,$A113)&gt;1,"DUPLICATE ID","COMPLETE")))</x:f>
      </x:c>
      <x:c r="AE113" s="775" t="str">
        <x:f>IF($A113="","",IF($AD113&lt;&gt;"COMPLETE",$AD113,IF(AND($D113="Certified Holding",OR($E113="",$G113="Candidate / Non-Holding")),"HOLDING IDENTIFIER MISMATCH",IF(AND(OR($J113="Critical",$J113="High"),OR($U113="No",AND($L113="Unverified — Pending",$U113&lt;&gt;"Exception Approved"))),"VERIFY / ESCALATE",IF($X113="Unassigned","CONVICTION DECISION REQUIRED",IF(AND($S113&lt;TODAY(),$T113&lt;&gt;"Closed — No Action",$T113&lt;&gt;"Closed — Incorporated"),"OVERDUE",IF(AND(OR($T113="Closed — No Action",$T113="Closed — Incorporated"),$AB113=""),"CLOSE DATE REQUIRED",IF(AND(NOT(OR($T113="Closed — No Action",$T113="Closed — Incorporated")),$AB113&lt;&gt;""),"STATUS / CLOSE DATE MISMATCH",IF(AND($Z113&lt;&gt;"No",NOT(OR($U113="Yes",$U113="Exception Approved"))),"PEW REFERRAL BLOCKED",IF(AND($T113="Awaiting Verification",$U113="Yes"),"STATUS MISMATCH",IF(OR($T113="Closed — No Action",$T113="Closed — Incorporated"),"CLOSED","OPEN — ON TRACK")))))))))))</x:f>
      </x:c>
      <x:c r="AF113" s="775" t="str">
        <x:f>IF($A113="","",IF($AD113&lt;&gt;"COMPLETE","NOT ELIGIBLE",IF($X113="Unassigned","NOT ELIGIBLE — CONVICTION UNASSIGNED",IF(NOT(OR($U113="Yes",$U113="Exception Approved")),"NOT ELIGIBLE — UNVERIFIED",IF(OR($V113&lt;&gt;"None",AND($W113&lt;&gt;"None",$W113&lt;&gt;"Intact"),AND($X113&lt;&gt;"No Change",$X113&lt;&gt;"Not Applicable"),$Y113&lt;&gt;"None",$Z113&lt;&gt;"No"),"ELIGIBLE FOR ROUTING","NO REFERRAL REQUIRED")))))</x:f>
      </x:c>
      <x:c r="AG113" s="800"/>
    </x:row>
    <x:row r="114" ht="36" customHeight="1">
      <x:c r="A114" s="800"/>
      <x:c r="B114" s="804"/>
      <x:c r="C114" s="804"/>
      <x:c r="D114" s="800"/>
      <x:c r="E114" s="800"/>
      <x:c r="F114" s="800"/>
      <x:c r="G114" s="802" t="str">
        <x:f>IF($E114="","",IFERROR(INDEX('Certified Allocation'!$A$5:$A$51,MATCH($E114,'Certified Allocation'!$B$5:$B$51,0)),"Candidate / Non-Holding"))</x:f>
      </x:c>
      <x:c r="H114" s="800"/>
      <x:c r="I114" s="800"/>
      <x:c r="J114" s="800"/>
      <x:c r="K114" s="800"/>
      <x:c r="L114" s="800"/>
      <x:c r="M114" s="800"/>
      <x:c r="N114" s="800"/>
      <x:c r="O114" s="800"/>
      <x:c r="P114" s="800"/>
      <x:c r="Q114" s="800"/>
      <x:c r="R114" s="800"/>
      <x:c r="S114" s="804"/>
      <x:c r="T114" s="800"/>
      <x:c r="U114" s="800"/>
      <x:c r="V114" s="800"/>
      <x:c r="W114" s="800"/>
      <x:c r="X114" s="800"/>
      <x:c r="Y114" s="800"/>
      <x:c r="Z114" s="800"/>
      <x:c r="AA114" s="800"/>
      <x:c r="AB114" s="804"/>
      <x:c r="AC114" s="805" t="str">
        <x:f>IF($A114="","",IF(AND(OR($T114="Closed — No Action",$T114="Closed — Incorporated"),$AB114&lt;&gt;""),MAX(0,$AB114-$B114),MAX(0,TODAY()-$B114)))</x:f>
      </x:c>
      <x:c r="AD114" s="775" t="str">
        <x:f>IF(COUNTA($A114:$F114,$H114:$AB114,$AG114)=0,"",IF(OR($A114="",$B114="",$C114="",$D114="",$F114="",$H114="",$I114="",$J114="",$K114="",$L114="",$M114="",$N114="",$O114="",$P114="",$Q114="",$R114="",$S114="",$T114="",$U114="",$V114="",$W114="",$X114="",$Y114="",$Z114="",$AA114="",AND(NOT(OR($D114="Portfolio-Level",$D114="Market / Macro",$D114="Other")),$E114="")),"INCOMPLETE",IF(COUNTIF($A$14:$A$213,$A114)&gt;1,"DUPLICATE ID","COMPLETE")))</x:f>
      </x:c>
      <x:c r="AE114" s="775" t="str">
        <x:f>IF($A114="","",IF($AD114&lt;&gt;"COMPLETE",$AD114,IF(AND($D114="Certified Holding",OR($E114="",$G114="Candidate / Non-Holding")),"HOLDING IDENTIFIER MISMATCH",IF(AND(OR($J114="Critical",$J114="High"),OR($U114="No",AND($L114="Unverified — Pending",$U114&lt;&gt;"Exception Approved"))),"VERIFY / ESCALATE",IF($X114="Unassigned","CONVICTION DECISION REQUIRED",IF(AND($S114&lt;TODAY(),$T114&lt;&gt;"Closed — No Action",$T114&lt;&gt;"Closed — Incorporated"),"OVERDUE",IF(AND(OR($T114="Closed — No Action",$T114="Closed — Incorporated"),$AB114=""),"CLOSE DATE REQUIRED",IF(AND(NOT(OR($T114="Closed — No Action",$T114="Closed — Incorporated")),$AB114&lt;&gt;""),"STATUS / CLOSE DATE MISMATCH",IF(AND($Z114&lt;&gt;"No",NOT(OR($U114="Yes",$U114="Exception Approved"))),"PEW REFERRAL BLOCKED",IF(AND($T114="Awaiting Verification",$U114="Yes"),"STATUS MISMATCH",IF(OR($T114="Closed — No Action",$T114="Closed — Incorporated"),"CLOSED","OPEN — ON TRACK")))))))))))</x:f>
      </x:c>
      <x:c r="AF114" s="775" t="str">
        <x:f>IF($A114="","",IF($AD114&lt;&gt;"COMPLETE","NOT ELIGIBLE",IF($X114="Unassigned","NOT ELIGIBLE — CONVICTION UNASSIGNED",IF(NOT(OR($U114="Yes",$U114="Exception Approved")),"NOT ELIGIBLE — UNVERIFIED",IF(OR($V114&lt;&gt;"None",AND($W114&lt;&gt;"None",$W114&lt;&gt;"Intact"),AND($X114&lt;&gt;"No Change",$X114&lt;&gt;"Not Applicable"),$Y114&lt;&gt;"None",$Z114&lt;&gt;"No"),"ELIGIBLE FOR ROUTING","NO REFERRAL REQUIRED")))))</x:f>
      </x:c>
      <x:c r="AG114" s="800"/>
    </x:row>
    <x:row r="115" ht="36" customHeight="1">
      <x:c r="A115" s="800"/>
      <x:c r="B115" s="804"/>
      <x:c r="C115" s="804"/>
      <x:c r="D115" s="800"/>
      <x:c r="E115" s="800"/>
      <x:c r="F115" s="800"/>
      <x:c r="G115" s="802" t="str">
        <x:f>IF($E115="","",IFERROR(INDEX('Certified Allocation'!$A$5:$A$51,MATCH($E115,'Certified Allocation'!$B$5:$B$51,0)),"Candidate / Non-Holding"))</x:f>
      </x:c>
      <x:c r="H115" s="800"/>
      <x:c r="I115" s="800"/>
      <x:c r="J115" s="800"/>
      <x:c r="K115" s="800"/>
      <x:c r="L115" s="800"/>
      <x:c r="M115" s="800"/>
      <x:c r="N115" s="800"/>
      <x:c r="O115" s="800"/>
      <x:c r="P115" s="800"/>
      <x:c r="Q115" s="800"/>
      <x:c r="R115" s="800"/>
      <x:c r="S115" s="804"/>
      <x:c r="T115" s="800"/>
      <x:c r="U115" s="800"/>
      <x:c r="V115" s="800"/>
      <x:c r="W115" s="800"/>
      <x:c r="X115" s="800"/>
      <x:c r="Y115" s="800"/>
      <x:c r="Z115" s="800"/>
      <x:c r="AA115" s="800"/>
      <x:c r="AB115" s="804"/>
      <x:c r="AC115" s="805" t="str">
        <x:f>IF($A115="","",IF(AND(OR($T115="Closed — No Action",$T115="Closed — Incorporated"),$AB115&lt;&gt;""),MAX(0,$AB115-$B115),MAX(0,TODAY()-$B115)))</x:f>
      </x:c>
      <x:c r="AD115" s="775" t="str">
        <x:f>IF(COUNTA($A115:$F115,$H115:$AB115,$AG115)=0,"",IF(OR($A115="",$B115="",$C115="",$D115="",$F115="",$H115="",$I115="",$J115="",$K115="",$L115="",$M115="",$N115="",$O115="",$P115="",$Q115="",$R115="",$S115="",$T115="",$U115="",$V115="",$W115="",$X115="",$Y115="",$Z115="",$AA115="",AND(NOT(OR($D115="Portfolio-Level",$D115="Market / Macro",$D115="Other")),$E115="")),"INCOMPLETE",IF(COUNTIF($A$14:$A$213,$A115)&gt;1,"DUPLICATE ID","COMPLETE")))</x:f>
      </x:c>
      <x:c r="AE115" s="775" t="str">
        <x:f>IF($A115="","",IF($AD115&lt;&gt;"COMPLETE",$AD115,IF(AND($D115="Certified Holding",OR($E115="",$G115="Candidate / Non-Holding")),"HOLDING IDENTIFIER MISMATCH",IF(AND(OR($J115="Critical",$J115="High"),OR($U115="No",AND($L115="Unverified — Pending",$U115&lt;&gt;"Exception Approved"))),"VERIFY / ESCALATE",IF($X115="Unassigned","CONVICTION DECISION REQUIRED",IF(AND($S115&lt;TODAY(),$T115&lt;&gt;"Closed — No Action",$T115&lt;&gt;"Closed — Incorporated"),"OVERDUE",IF(AND(OR($T115="Closed — No Action",$T115="Closed — Incorporated"),$AB115=""),"CLOSE DATE REQUIRED",IF(AND(NOT(OR($T115="Closed — No Action",$T115="Closed — Incorporated")),$AB115&lt;&gt;""),"STATUS / CLOSE DATE MISMATCH",IF(AND($Z115&lt;&gt;"No",NOT(OR($U115="Yes",$U115="Exception Approved"))),"PEW REFERRAL BLOCKED",IF(AND($T115="Awaiting Verification",$U115="Yes"),"STATUS MISMATCH",IF(OR($T115="Closed — No Action",$T115="Closed — Incorporated"),"CLOSED","OPEN — ON TRACK")))))))))))</x:f>
      </x:c>
      <x:c r="AF115" s="775" t="str">
        <x:f>IF($A115="","",IF($AD115&lt;&gt;"COMPLETE","NOT ELIGIBLE",IF($X115="Unassigned","NOT ELIGIBLE — CONVICTION UNASSIGNED",IF(NOT(OR($U115="Yes",$U115="Exception Approved")),"NOT ELIGIBLE — UNVERIFIED",IF(OR($V115&lt;&gt;"None",AND($W115&lt;&gt;"None",$W115&lt;&gt;"Intact"),AND($X115&lt;&gt;"No Change",$X115&lt;&gt;"Not Applicable"),$Y115&lt;&gt;"None",$Z115&lt;&gt;"No"),"ELIGIBLE FOR ROUTING","NO REFERRAL REQUIRED")))))</x:f>
      </x:c>
      <x:c r="AG115" s="800"/>
    </x:row>
    <x:row r="116" ht="36" customHeight="1">
      <x:c r="A116" s="800"/>
      <x:c r="B116" s="804"/>
      <x:c r="C116" s="804"/>
      <x:c r="D116" s="800"/>
      <x:c r="E116" s="800"/>
      <x:c r="F116" s="800"/>
      <x:c r="G116" s="802" t="str">
        <x:f>IF($E116="","",IFERROR(INDEX('Certified Allocation'!$A$5:$A$51,MATCH($E116,'Certified Allocation'!$B$5:$B$51,0)),"Candidate / Non-Holding"))</x:f>
      </x:c>
      <x:c r="H116" s="800"/>
      <x:c r="I116" s="800"/>
      <x:c r="J116" s="800"/>
      <x:c r="K116" s="800"/>
      <x:c r="L116" s="800"/>
      <x:c r="M116" s="800"/>
      <x:c r="N116" s="800"/>
      <x:c r="O116" s="800"/>
      <x:c r="P116" s="800"/>
      <x:c r="Q116" s="800"/>
      <x:c r="R116" s="800"/>
      <x:c r="S116" s="804"/>
      <x:c r="T116" s="800"/>
      <x:c r="U116" s="800"/>
      <x:c r="V116" s="800"/>
      <x:c r="W116" s="800"/>
      <x:c r="X116" s="800"/>
      <x:c r="Y116" s="800"/>
      <x:c r="Z116" s="800"/>
      <x:c r="AA116" s="800"/>
      <x:c r="AB116" s="804"/>
      <x:c r="AC116" s="805" t="str">
        <x:f>IF($A116="","",IF(AND(OR($T116="Closed — No Action",$T116="Closed — Incorporated"),$AB116&lt;&gt;""),MAX(0,$AB116-$B116),MAX(0,TODAY()-$B116)))</x:f>
      </x:c>
      <x:c r="AD116" s="775" t="str">
        <x:f>IF(COUNTA($A116:$F116,$H116:$AB116,$AG116)=0,"",IF(OR($A116="",$B116="",$C116="",$D116="",$F116="",$H116="",$I116="",$J116="",$K116="",$L116="",$M116="",$N116="",$O116="",$P116="",$Q116="",$R116="",$S116="",$T116="",$U116="",$V116="",$W116="",$X116="",$Y116="",$Z116="",$AA116="",AND(NOT(OR($D116="Portfolio-Level",$D116="Market / Macro",$D116="Other")),$E116="")),"INCOMPLETE",IF(COUNTIF($A$14:$A$213,$A116)&gt;1,"DUPLICATE ID","COMPLETE")))</x:f>
      </x:c>
      <x:c r="AE116" s="775" t="str">
        <x:f>IF($A116="","",IF($AD116&lt;&gt;"COMPLETE",$AD116,IF(AND($D116="Certified Holding",OR($E116="",$G116="Candidate / Non-Holding")),"HOLDING IDENTIFIER MISMATCH",IF(AND(OR($J116="Critical",$J116="High"),OR($U116="No",AND($L116="Unverified — Pending",$U116&lt;&gt;"Exception Approved"))),"VERIFY / ESCALATE",IF($X116="Unassigned","CONVICTION DECISION REQUIRED",IF(AND($S116&lt;TODAY(),$T116&lt;&gt;"Closed — No Action",$T116&lt;&gt;"Closed — Incorporated"),"OVERDUE",IF(AND(OR($T116="Closed — No Action",$T116="Closed — Incorporated"),$AB116=""),"CLOSE DATE REQUIRED",IF(AND(NOT(OR($T116="Closed — No Action",$T116="Closed — Incorporated")),$AB116&lt;&gt;""),"STATUS / CLOSE DATE MISMATCH",IF(AND($Z116&lt;&gt;"No",NOT(OR($U116="Yes",$U116="Exception Approved"))),"PEW REFERRAL BLOCKED",IF(AND($T116="Awaiting Verification",$U116="Yes"),"STATUS MISMATCH",IF(OR($T116="Closed — No Action",$T116="Closed — Incorporated"),"CLOSED","OPEN — ON TRACK")))))))))))</x:f>
      </x:c>
      <x:c r="AF116" s="775" t="str">
        <x:f>IF($A116="","",IF($AD116&lt;&gt;"COMPLETE","NOT ELIGIBLE",IF($X116="Unassigned","NOT ELIGIBLE — CONVICTION UNASSIGNED",IF(NOT(OR($U116="Yes",$U116="Exception Approved")),"NOT ELIGIBLE — UNVERIFIED",IF(OR($V116&lt;&gt;"None",AND($W116&lt;&gt;"None",$W116&lt;&gt;"Intact"),AND($X116&lt;&gt;"No Change",$X116&lt;&gt;"Not Applicable"),$Y116&lt;&gt;"None",$Z116&lt;&gt;"No"),"ELIGIBLE FOR ROUTING","NO REFERRAL REQUIRED")))))</x:f>
      </x:c>
      <x:c r="AG116" s="800"/>
    </x:row>
    <x:row r="117" ht="36" customHeight="1">
      <x:c r="A117" s="800"/>
      <x:c r="B117" s="804"/>
      <x:c r="C117" s="804"/>
      <x:c r="D117" s="800"/>
      <x:c r="E117" s="800"/>
      <x:c r="F117" s="800"/>
      <x:c r="G117" s="802" t="str">
        <x:f>IF($E117="","",IFERROR(INDEX('Certified Allocation'!$A$5:$A$51,MATCH($E117,'Certified Allocation'!$B$5:$B$51,0)),"Candidate / Non-Holding"))</x:f>
      </x:c>
      <x:c r="H117" s="800"/>
      <x:c r="I117" s="800"/>
      <x:c r="J117" s="800"/>
      <x:c r="K117" s="800"/>
      <x:c r="L117" s="800"/>
      <x:c r="M117" s="800"/>
      <x:c r="N117" s="800"/>
      <x:c r="O117" s="800"/>
      <x:c r="P117" s="800"/>
      <x:c r="Q117" s="800"/>
      <x:c r="R117" s="800"/>
      <x:c r="S117" s="804"/>
      <x:c r="T117" s="800"/>
      <x:c r="U117" s="800"/>
      <x:c r="V117" s="800"/>
      <x:c r="W117" s="800"/>
      <x:c r="X117" s="800"/>
      <x:c r="Y117" s="800"/>
      <x:c r="Z117" s="800"/>
      <x:c r="AA117" s="800"/>
      <x:c r="AB117" s="804"/>
      <x:c r="AC117" s="805" t="str">
        <x:f>IF($A117="","",IF(AND(OR($T117="Closed — No Action",$T117="Closed — Incorporated"),$AB117&lt;&gt;""),MAX(0,$AB117-$B117),MAX(0,TODAY()-$B117)))</x:f>
      </x:c>
      <x:c r="AD117" s="775" t="str">
        <x:f>IF(COUNTA($A117:$F117,$H117:$AB117,$AG117)=0,"",IF(OR($A117="",$B117="",$C117="",$D117="",$F117="",$H117="",$I117="",$J117="",$K117="",$L117="",$M117="",$N117="",$O117="",$P117="",$Q117="",$R117="",$S117="",$T117="",$U117="",$V117="",$W117="",$X117="",$Y117="",$Z117="",$AA117="",AND(NOT(OR($D117="Portfolio-Level",$D117="Market / Macro",$D117="Other")),$E117="")),"INCOMPLETE",IF(COUNTIF($A$14:$A$213,$A117)&gt;1,"DUPLICATE ID","COMPLETE")))</x:f>
      </x:c>
      <x:c r="AE117" s="775" t="str">
        <x:f>IF($A117="","",IF($AD117&lt;&gt;"COMPLETE",$AD117,IF(AND($D117="Certified Holding",OR($E117="",$G117="Candidate / Non-Holding")),"HOLDING IDENTIFIER MISMATCH",IF(AND(OR($J117="Critical",$J117="High"),OR($U117="No",AND($L117="Unverified — Pending",$U117&lt;&gt;"Exception Approved"))),"VERIFY / ESCALATE",IF($X117="Unassigned","CONVICTION DECISION REQUIRED",IF(AND($S117&lt;TODAY(),$T117&lt;&gt;"Closed — No Action",$T117&lt;&gt;"Closed — Incorporated"),"OVERDUE",IF(AND(OR($T117="Closed — No Action",$T117="Closed — Incorporated"),$AB117=""),"CLOSE DATE REQUIRED",IF(AND(NOT(OR($T117="Closed — No Action",$T117="Closed — Incorporated")),$AB117&lt;&gt;""),"STATUS / CLOSE DATE MISMATCH",IF(AND($Z117&lt;&gt;"No",NOT(OR($U117="Yes",$U117="Exception Approved"))),"PEW REFERRAL BLOCKED",IF(AND($T117="Awaiting Verification",$U117="Yes"),"STATUS MISMATCH",IF(OR($T117="Closed — No Action",$T117="Closed — Incorporated"),"CLOSED","OPEN — ON TRACK")))))))))))</x:f>
      </x:c>
      <x:c r="AF117" s="775" t="str">
        <x:f>IF($A117="","",IF($AD117&lt;&gt;"COMPLETE","NOT ELIGIBLE",IF($X117="Unassigned","NOT ELIGIBLE — CONVICTION UNASSIGNED",IF(NOT(OR($U117="Yes",$U117="Exception Approved")),"NOT ELIGIBLE — UNVERIFIED",IF(OR($V117&lt;&gt;"None",AND($W117&lt;&gt;"None",$W117&lt;&gt;"Intact"),AND($X117&lt;&gt;"No Change",$X117&lt;&gt;"Not Applicable"),$Y117&lt;&gt;"None",$Z117&lt;&gt;"No"),"ELIGIBLE FOR ROUTING","NO REFERRAL REQUIRED")))))</x:f>
      </x:c>
      <x:c r="AG117" s="800"/>
    </x:row>
    <x:row r="118" ht="36" customHeight="1">
      <x:c r="A118" s="800"/>
      <x:c r="B118" s="804"/>
      <x:c r="C118" s="804"/>
      <x:c r="D118" s="800"/>
      <x:c r="E118" s="800"/>
      <x:c r="F118" s="800"/>
      <x:c r="G118" s="802" t="str">
        <x:f>IF($E118="","",IFERROR(INDEX('Certified Allocation'!$A$5:$A$51,MATCH($E118,'Certified Allocation'!$B$5:$B$51,0)),"Candidate / Non-Holding"))</x:f>
      </x:c>
      <x:c r="H118" s="800"/>
      <x:c r="I118" s="800"/>
      <x:c r="J118" s="800"/>
      <x:c r="K118" s="800"/>
      <x:c r="L118" s="800"/>
      <x:c r="M118" s="800"/>
      <x:c r="N118" s="800"/>
      <x:c r="O118" s="800"/>
      <x:c r="P118" s="800"/>
      <x:c r="Q118" s="800"/>
      <x:c r="R118" s="800"/>
      <x:c r="S118" s="804"/>
      <x:c r="T118" s="800"/>
      <x:c r="U118" s="800"/>
      <x:c r="V118" s="800"/>
      <x:c r="W118" s="800"/>
      <x:c r="X118" s="800"/>
      <x:c r="Y118" s="800"/>
      <x:c r="Z118" s="800"/>
      <x:c r="AA118" s="800"/>
      <x:c r="AB118" s="804"/>
      <x:c r="AC118" s="805" t="str">
        <x:f>IF($A118="","",IF(AND(OR($T118="Closed — No Action",$T118="Closed — Incorporated"),$AB118&lt;&gt;""),MAX(0,$AB118-$B118),MAX(0,TODAY()-$B118)))</x:f>
      </x:c>
      <x:c r="AD118" s="775" t="str">
        <x:f>IF(COUNTA($A118:$F118,$H118:$AB118,$AG118)=0,"",IF(OR($A118="",$B118="",$C118="",$D118="",$F118="",$H118="",$I118="",$J118="",$K118="",$L118="",$M118="",$N118="",$O118="",$P118="",$Q118="",$R118="",$S118="",$T118="",$U118="",$V118="",$W118="",$X118="",$Y118="",$Z118="",$AA118="",AND(NOT(OR($D118="Portfolio-Level",$D118="Market / Macro",$D118="Other")),$E118="")),"INCOMPLETE",IF(COUNTIF($A$14:$A$213,$A118)&gt;1,"DUPLICATE ID","COMPLETE")))</x:f>
      </x:c>
      <x:c r="AE118" s="775" t="str">
        <x:f>IF($A118="","",IF($AD118&lt;&gt;"COMPLETE",$AD118,IF(AND($D118="Certified Holding",OR($E118="",$G118="Candidate / Non-Holding")),"HOLDING IDENTIFIER MISMATCH",IF(AND(OR($J118="Critical",$J118="High"),OR($U118="No",AND($L118="Unverified — Pending",$U118&lt;&gt;"Exception Approved"))),"VERIFY / ESCALATE",IF($X118="Unassigned","CONVICTION DECISION REQUIRED",IF(AND($S118&lt;TODAY(),$T118&lt;&gt;"Closed — No Action",$T118&lt;&gt;"Closed — Incorporated"),"OVERDUE",IF(AND(OR($T118="Closed — No Action",$T118="Closed — Incorporated"),$AB118=""),"CLOSE DATE REQUIRED",IF(AND(NOT(OR($T118="Closed — No Action",$T118="Closed — Incorporated")),$AB118&lt;&gt;""),"STATUS / CLOSE DATE MISMATCH",IF(AND($Z118&lt;&gt;"No",NOT(OR($U118="Yes",$U118="Exception Approved"))),"PEW REFERRAL BLOCKED",IF(AND($T118="Awaiting Verification",$U118="Yes"),"STATUS MISMATCH",IF(OR($T118="Closed — No Action",$T118="Closed — Incorporated"),"CLOSED","OPEN — ON TRACK")))))))))))</x:f>
      </x:c>
      <x:c r="AF118" s="775" t="str">
        <x:f>IF($A118="","",IF($AD118&lt;&gt;"COMPLETE","NOT ELIGIBLE",IF($X118="Unassigned","NOT ELIGIBLE — CONVICTION UNASSIGNED",IF(NOT(OR($U118="Yes",$U118="Exception Approved")),"NOT ELIGIBLE — UNVERIFIED",IF(OR($V118&lt;&gt;"None",AND($W118&lt;&gt;"None",$W118&lt;&gt;"Intact"),AND($X118&lt;&gt;"No Change",$X118&lt;&gt;"Not Applicable"),$Y118&lt;&gt;"None",$Z118&lt;&gt;"No"),"ELIGIBLE FOR ROUTING","NO REFERRAL REQUIRED")))))</x:f>
      </x:c>
      <x:c r="AG118" s="800"/>
    </x:row>
    <x:row r="119" ht="36" customHeight="1">
      <x:c r="A119" s="800"/>
      <x:c r="B119" s="804"/>
      <x:c r="C119" s="804"/>
      <x:c r="D119" s="800"/>
      <x:c r="E119" s="800"/>
      <x:c r="F119" s="800"/>
      <x:c r="G119" s="802" t="str">
        <x:f>IF($E119="","",IFERROR(INDEX('Certified Allocation'!$A$5:$A$51,MATCH($E119,'Certified Allocation'!$B$5:$B$51,0)),"Candidate / Non-Holding"))</x:f>
      </x:c>
      <x:c r="H119" s="800"/>
      <x:c r="I119" s="800"/>
      <x:c r="J119" s="800"/>
      <x:c r="K119" s="800"/>
      <x:c r="L119" s="800"/>
      <x:c r="M119" s="800"/>
      <x:c r="N119" s="800"/>
      <x:c r="O119" s="800"/>
      <x:c r="P119" s="800"/>
      <x:c r="Q119" s="800"/>
      <x:c r="R119" s="800"/>
      <x:c r="S119" s="804"/>
      <x:c r="T119" s="800"/>
      <x:c r="U119" s="800"/>
      <x:c r="V119" s="800"/>
      <x:c r="W119" s="800"/>
      <x:c r="X119" s="800"/>
      <x:c r="Y119" s="800"/>
      <x:c r="Z119" s="800"/>
      <x:c r="AA119" s="800"/>
      <x:c r="AB119" s="804"/>
      <x:c r="AC119" s="805" t="str">
        <x:f>IF($A119="","",IF(AND(OR($T119="Closed — No Action",$T119="Closed — Incorporated"),$AB119&lt;&gt;""),MAX(0,$AB119-$B119),MAX(0,TODAY()-$B119)))</x:f>
      </x:c>
      <x:c r="AD119" s="775" t="str">
        <x:f>IF(COUNTA($A119:$F119,$H119:$AB119,$AG119)=0,"",IF(OR($A119="",$B119="",$C119="",$D119="",$F119="",$H119="",$I119="",$J119="",$K119="",$L119="",$M119="",$N119="",$O119="",$P119="",$Q119="",$R119="",$S119="",$T119="",$U119="",$V119="",$W119="",$X119="",$Y119="",$Z119="",$AA119="",AND(NOT(OR($D119="Portfolio-Level",$D119="Market / Macro",$D119="Other")),$E119="")),"INCOMPLETE",IF(COUNTIF($A$14:$A$213,$A119)&gt;1,"DUPLICATE ID","COMPLETE")))</x:f>
      </x:c>
      <x:c r="AE119" s="775" t="str">
        <x:f>IF($A119="","",IF($AD119&lt;&gt;"COMPLETE",$AD119,IF(AND($D119="Certified Holding",OR($E119="",$G119="Candidate / Non-Holding")),"HOLDING IDENTIFIER MISMATCH",IF(AND(OR($J119="Critical",$J119="High"),OR($U119="No",AND($L119="Unverified — Pending",$U119&lt;&gt;"Exception Approved"))),"VERIFY / ESCALATE",IF($X119="Unassigned","CONVICTION DECISION REQUIRED",IF(AND($S119&lt;TODAY(),$T119&lt;&gt;"Closed — No Action",$T119&lt;&gt;"Closed — Incorporated"),"OVERDUE",IF(AND(OR($T119="Closed — No Action",$T119="Closed — Incorporated"),$AB119=""),"CLOSE DATE REQUIRED",IF(AND(NOT(OR($T119="Closed — No Action",$T119="Closed — Incorporated")),$AB119&lt;&gt;""),"STATUS / CLOSE DATE MISMATCH",IF(AND($Z119&lt;&gt;"No",NOT(OR($U119="Yes",$U119="Exception Approved"))),"PEW REFERRAL BLOCKED",IF(AND($T119="Awaiting Verification",$U119="Yes"),"STATUS MISMATCH",IF(OR($T119="Closed — No Action",$T119="Closed — Incorporated"),"CLOSED","OPEN — ON TRACK")))))))))))</x:f>
      </x:c>
      <x:c r="AF119" s="775" t="str">
        <x:f>IF($A119="","",IF($AD119&lt;&gt;"COMPLETE","NOT ELIGIBLE",IF($X119="Unassigned","NOT ELIGIBLE — CONVICTION UNASSIGNED",IF(NOT(OR($U119="Yes",$U119="Exception Approved")),"NOT ELIGIBLE — UNVERIFIED",IF(OR($V119&lt;&gt;"None",AND($W119&lt;&gt;"None",$W119&lt;&gt;"Intact"),AND($X119&lt;&gt;"No Change",$X119&lt;&gt;"Not Applicable"),$Y119&lt;&gt;"None",$Z119&lt;&gt;"No"),"ELIGIBLE FOR ROUTING","NO REFERRAL REQUIRED")))))</x:f>
      </x:c>
      <x:c r="AG119" s="800"/>
    </x:row>
    <x:row r="120" ht="36" customHeight="1">
      <x:c r="A120" s="800"/>
      <x:c r="B120" s="804"/>
      <x:c r="C120" s="804"/>
      <x:c r="D120" s="800"/>
      <x:c r="E120" s="800"/>
      <x:c r="F120" s="800"/>
      <x:c r="G120" s="802" t="str">
        <x:f>IF($E120="","",IFERROR(INDEX('Certified Allocation'!$A$5:$A$51,MATCH($E120,'Certified Allocation'!$B$5:$B$51,0)),"Candidate / Non-Holding"))</x:f>
      </x:c>
      <x:c r="H120" s="800"/>
      <x:c r="I120" s="800"/>
      <x:c r="J120" s="800"/>
      <x:c r="K120" s="800"/>
      <x:c r="L120" s="800"/>
      <x:c r="M120" s="800"/>
      <x:c r="N120" s="800"/>
      <x:c r="O120" s="800"/>
      <x:c r="P120" s="800"/>
      <x:c r="Q120" s="800"/>
      <x:c r="R120" s="800"/>
      <x:c r="S120" s="804"/>
      <x:c r="T120" s="800"/>
      <x:c r="U120" s="800"/>
      <x:c r="V120" s="800"/>
      <x:c r="W120" s="800"/>
      <x:c r="X120" s="800"/>
      <x:c r="Y120" s="800"/>
      <x:c r="Z120" s="800"/>
      <x:c r="AA120" s="800"/>
      <x:c r="AB120" s="804"/>
      <x:c r="AC120" s="805" t="str">
        <x:f>IF($A120="","",IF(AND(OR($T120="Closed — No Action",$T120="Closed — Incorporated"),$AB120&lt;&gt;""),MAX(0,$AB120-$B120),MAX(0,TODAY()-$B120)))</x:f>
      </x:c>
      <x:c r="AD120" s="775" t="str">
        <x:f>IF(COUNTA($A120:$F120,$H120:$AB120,$AG120)=0,"",IF(OR($A120="",$B120="",$C120="",$D120="",$F120="",$H120="",$I120="",$J120="",$K120="",$L120="",$M120="",$N120="",$O120="",$P120="",$Q120="",$R120="",$S120="",$T120="",$U120="",$V120="",$W120="",$X120="",$Y120="",$Z120="",$AA120="",AND(NOT(OR($D120="Portfolio-Level",$D120="Market / Macro",$D120="Other")),$E120="")),"INCOMPLETE",IF(COUNTIF($A$14:$A$213,$A120)&gt;1,"DUPLICATE ID","COMPLETE")))</x:f>
      </x:c>
      <x:c r="AE120" s="775" t="str">
        <x:f>IF($A120="","",IF($AD120&lt;&gt;"COMPLETE",$AD120,IF(AND($D120="Certified Holding",OR($E120="",$G120="Candidate / Non-Holding")),"HOLDING IDENTIFIER MISMATCH",IF(AND(OR($J120="Critical",$J120="High"),OR($U120="No",AND($L120="Unverified — Pending",$U120&lt;&gt;"Exception Approved"))),"VERIFY / ESCALATE",IF($X120="Unassigned","CONVICTION DECISION REQUIRED",IF(AND($S120&lt;TODAY(),$T120&lt;&gt;"Closed — No Action",$T120&lt;&gt;"Closed — Incorporated"),"OVERDUE",IF(AND(OR($T120="Closed — No Action",$T120="Closed — Incorporated"),$AB120=""),"CLOSE DATE REQUIRED",IF(AND(NOT(OR($T120="Closed — No Action",$T120="Closed — Incorporated")),$AB120&lt;&gt;""),"STATUS / CLOSE DATE MISMATCH",IF(AND($Z120&lt;&gt;"No",NOT(OR($U120="Yes",$U120="Exception Approved"))),"PEW REFERRAL BLOCKED",IF(AND($T120="Awaiting Verification",$U120="Yes"),"STATUS MISMATCH",IF(OR($T120="Closed — No Action",$T120="Closed — Incorporated"),"CLOSED","OPEN — ON TRACK")))))))))))</x:f>
      </x:c>
      <x:c r="AF120" s="775" t="str">
        <x:f>IF($A120="","",IF($AD120&lt;&gt;"COMPLETE","NOT ELIGIBLE",IF($X120="Unassigned","NOT ELIGIBLE — CONVICTION UNASSIGNED",IF(NOT(OR($U120="Yes",$U120="Exception Approved")),"NOT ELIGIBLE — UNVERIFIED",IF(OR($V120&lt;&gt;"None",AND($W120&lt;&gt;"None",$W120&lt;&gt;"Intact"),AND($X120&lt;&gt;"No Change",$X120&lt;&gt;"Not Applicable"),$Y120&lt;&gt;"None",$Z120&lt;&gt;"No"),"ELIGIBLE FOR ROUTING","NO REFERRAL REQUIRED")))))</x:f>
      </x:c>
      <x:c r="AG120" s="800"/>
    </x:row>
    <x:row r="121" ht="36" customHeight="1">
      <x:c r="A121" s="800"/>
      <x:c r="B121" s="804"/>
      <x:c r="C121" s="804"/>
      <x:c r="D121" s="800"/>
      <x:c r="E121" s="800"/>
      <x:c r="F121" s="800"/>
      <x:c r="G121" s="802" t="str">
        <x:f>IF($E121="","",IFERROR(INDEX('Certified Allocation'!$A$5:$A$51,MATCH($E121,'Certified Allocation'!$B$5:$B$51,0)),"Candidate / Non-Holding"))</x:f>
      </x:c>
      <x:c r="H121" s="800"/>
      <x:c r="I121" s="800"/>
      <x:c r="J121" s="800"/>
      <x:c r="K121" s="800"/>
      <x:c r="L121" s="800"/>
      <x:c r="M121" s="800"/>
      <x:c r="N121" s="800"/>
      <x:c r="O121" s="800"/>
      <x:c r="P121" s="800"/>
      <x:c r="Q121" s="800"/>
      <x:c r="R121" s="800"/>
      <x:c r="S121" s="804"/>
      <x:c r="T121" s="800"/>
      <x:c r="U121" s="800"/>
      <x:c r="V121" s="800"/>
      <x:c r="W121" s="800"/>
      <x:c r="X121" s="800"/>
      <x:c r="Y121" s="800"/>
      <x:c r="Z121" s="800"/>
      <x:c r="AA121" s="800"/>
      <x:c r="AB121" s="804"/>
      <x:c r="AC121" s="805" t="str">
        <x:f>IF($A121="","",IF(AND(OR($T121="Closed — No Action",$T121="Closed — Incorporated"),$AB121&lt;&gt;""),MAX(0,$AB121-$B121),MAX(0,TODAY()-$B121)))</x:f>
      </x:c>
      <x:c r="AD121" s="775" t="str">
        <x:f>IF(COUNTA($A121:$F121,$H121:$AB121,$AG121)=0,"",IF(OR($A121="",$B121="",$C121="",$D121="",$F121="",$H121="",$I121="",$J121="",$K121="",$L121="",$M121="",$N121="",$O121="",$P121="",$Q121="",$R121="",$S121="",$T121="",$U121="",$V121="",$W121="",$X121="",$Y121="",$Z121="",$AA121="",AND(NOT(OR($D121="Portfolio-Level",$D121="Market / Macro",$D121="Other")),$E121="")),"INCOMPLETE",IF(COUNTIF($A$14:$A$213,$A121)&gt;1,"DUPLICATE ID","COMPLETE")))</x:f>
      </x:c>
      <x:c r="AE121" s="775" t="str">
        <x:f>IF($A121="","",IF($AD121&lt;&gt;"COMPLETE",$AD121,IF(AND($D121="Certified Holding",OR($E121="",$G121="Candidate / Non-Holding")),"HOLDING IDENTIFIER MISMATCH",IF(AND(OR($J121="Critical",$J121="High"),OR($U121="No",AND($L121="Unverified — Pending",$U121&lt;&gt;"Exception Approved"))),"VERIFY / ESCALATE",IF($X121="Unassigned","CONVICTION DECISION REQUIRED",IF(AND($S121&lt;TODAY(),$T121&lt;&gt;"Closed — No Action",$T121&lt;&gt;"Closed — Incorporated"),"OVERDUE",IF(AND(OR($T121="Closed — No Action",$T121="Closed — Incorporated"),$AB121=""),"CLOSE DATE REQUIRED",IF(AND(NOT(OR($T121="Closed — No Action",$T121="Closed — Incorporated")),$AB121&lt;&gt;""),"STATUS / CLOSE DATE MISMATCH",IF(AND($Z121&lt;&gt;"No",NOT(OR($U121="Yes",$U121="Exception Approved"))),"PEW REFERRAL BLOCKED",IF(AND($T121="Awaiting Verification",$U121="Yes"),"STATUS MISMATCH",IF(OR($T121="Closed — No Action",$T121="Closed — Incorporated"),"CLOSED","OPEN — ON TRACK")))))))))))</x:f>
      </x:c>
      <x:c r="AF121" s="775" t="str">
        <x:f>IF($A121="","",IF($AD121&lt;&gt;"COMPLETE","NOT ELIGIBLE",IF($X121="Unassigned","NOT ELIGIBLE — CONVICTION UNASSIGNED",IF(NOT(OR($U121="Yes",$U121="Exception Approved")),"NOT ELIGIBLE — UNVERIFIED",IF(OR($V121&lt;&gt;"None",AND($W121&lt;&gt;"None",$W121&lt;&gt;"Intact"),AND($X121&lt;&gt;"No Change",$X121&lt;&gt;"Not Applicable"),$Y121&lt;&gt;"None",$Z121&lt;&gt;"No"),"ELIGIBLE FOR ROUTING","NO REFERRAL REQUIRED")))))</x:f>
      </x:c>
      <x:c r="AG121" s="800"/>
    </x:row>
    <x:row r="122" ht="36" customHeight="1">
      <x:c r="A122" s="800"/>
      <x:c r="B122" s="804"/>
      <x:c r="C122" s="804"/>
      <x:c r="D122" s="800"/>
      <x:c r="E122" s="800"/>
      <x:c r="F122" s="800"/>
      <x:c r="G122" s="802" t="str">
        <x:f>IF($E122="","",IFERROR(INDEX('Certified Allocation'!$A$5:$A$51,MATCH($E122,'Certified Allocation'!$B$5:$B$51,0)),"Candidate / Non-Holding"))</x:f>
      </x:c>
      <x:c r="H122" s="800"/>
      <x:c r="I122" s="800"/>
      <x:c r="J122" s="800"/>
      <x:c r="K122" s="800"/>
      <x:c r="L122" s="800"/>
      <x:c r="M122" s="800"/>
      <x:c r="N122" s="800"/>
      <x:c r="O122" s="800"/>
      <x:c r="P122" s="800"/>
      <x:c r="Q122" s="800"/>
      <x:c r="R122" s="800"/>
      <x:c r="S122" s="804"/>
      <x:c r="T122" s="800"/>
      <x:c r="U122" s="800"/>
      <x:c r="V122" s="800"/>
      <x:c r="W122" s="800"/>
      <x:c r="X122" s="800"/>
      <x:c r="Y122" s="800"/>
      <x:c r="Z122" s="800"/>
      <x:c r="AA122" s="800"/>
      <x:c r="AB122" s="804"/>
      <x:c r="AC122" s="805" t="str">
        <x:f>IF($A122="","",IF(AND(OR($T122="Closed — No Action",$T122="Closed — Incorporated"),$AB122&lt;&gt;""),MAX(0,$AB122-$B122),MAX(0,TODAY()-$B122)))</x:f>
      </x:c>
      <x:c r="AD122" s="775" t="str">
        <x:f>IF(COUNTA($A122:$F122,$H122:$AB122,$AG122)=0,"",IF(OR($A122="",$B122="",$C122="",$D122="",$F122="",$H122="",$I122="",$J122="",$K122="",$L122="",$M122="",$N122="",$O122="",$P122="",$Q122="",$R122="",$S122="",$T122="",$U122="",$V122="",$W122="",$X122="",$Y122="",$Z122="",$AA122="",AND(NOT(OR($D122="Portfolio-Level",$D122="Market / Macro",$D122="Other")),$E122="")),"INCOMPLETE",IF(COUNTIF($A$14:$A$213,$A122)&gt;1,"DUPLICATE ID","COMPLETE")))</x:f>
      </x:c>
      <x:c r="AE122" s="775" t="str">
        <x:f>IF($A122="","",IF($AD122&lt;&gt;"COMPLETE",$AD122,IF(AND($D122="Certified Holding",OR($E122="",$G122="Candidate / Non-Holding")),"HOLDING IDENTIFIER MISMATCH",IF(AND(OR($J122="Critical",$J122="High"),OR($U122="No",AND($L122="Unverified — Pending",$U122&lt;&gt;"Exception Approved"))),"VERIFY / ESCALATE",IF($X122="Unassigned","CONVICTION DECISION REQUIRED",IF(AND($S122&lt;TODAY(),$T122&lt;&gt;"Closed — No Action",$T122&lt;&gt;"Closed — Incorporated"),"OVERDUE",IF(AND(OR($T122="Closed — No Action",$T122="Closed — Incorporated"),$AB122=""),"CLOSE DATE REQUIRED",IF(AND(NOT(OR($T122="Closed — No Action",$T122="Closed — Incorporated")),$AB122&lt;&gt;""),"STATUS / CLOSE DATE MISMATCH",IF(AND($Z122&lt;&gt;"No",NOT(OR($U122="Yes",$U122="Exception Approved"))),"PEW REFERRAL BLOCKED",IF(AND($T122="Awaiting Verification",$U122="Yes"),"STATUS MISMATCH",IF(OR($T122="Closed — No Action",$T122="Closed — Incorporated"),"CLOSED","OPEN — ON TRACK")))))))))))</x:f>
      </x:c>
      <x:c r="AF122" s="775" t="str">
        <x:f>IF($A122="","",IF($AD122&lt;&gt;"COMPLETE","NOT ELIGIBLE",IF($X122="Unassigned","NOT ELIGIBLE — CONVICTION UNASSIGNED",IF(NOT(OR($U122="Yes",$U122="Exception Approved")),"NOT ELIGIBLE — UNVERIFIED",IF(OR($V122&lt;&gt;"None",AND($W122&lt;&gt;"None",$W122&lt;&gt;"Intact"),AND($X122&lt;&gt;"No Change",$X122&lt;&gt;"Not Applicable"),$Y122&lt;&gt;"None",$Z122&lt;&gt;"No"),"ELIGIBLE FOR ROUTING","NO REFERRAL REQUIRED")))))</x:f>
      </x:c>
      <x:c r="AG122" s="800"/>
    </x:row>
    <x:row r="123" ht="36" customHeight="1">
      <x:c r="A123" s="800"/>
      <x:c r="B123" s="804"/>
      <x:c r="C123" s="804"/>
      <x:c r="D123" s="800"/>
      <x:c r="E123" s="800"/>
      <x:c r="F123" s="800"/>
      <x:c r="G123" s="802" t="str">
        <x:f>IF($E123="","",IFERROR(INDEX('Certified Allocation'!$A$5:$A$51,MATCH($E123,'Certified Allocation'!$B$5:$B$51,0)),"Candidate / Non-Holding"))</x:f>
      </x:c>
      <x:c r="H123" s="800"/>
      <x:c r="I123" s="800"/>
      <x:c r="J123" s="800"/>
      <x:c r="K123" s="800"/>
      <x:c r="L123" s="800"/>
      <x:c r="M123" s="800"/>
      <x:c r="N123" s="800"/>
      <x:c r="O123" s="800"/>
      <x:c r="P123" s="800"/>
      <x:c r="Q123" s="800"/>
      <x:c r="R123" s="800"/>
      <x:c r="S123" s="804"/>
      <x:c r="T123" s="800"/>
      <x:c r="U123" s="800"/>
      <x:c r="V123" s="800"/>
      <x:c r="W123" s="800"/>
      <x:c r="X123" s="800"/>
      <x:c r="Y123" s="800"/>
      <x:c r="Z123" s="800"/>
      <x:c r="AA123" s="800"/>
      <x:c r="AB123" s="804"/>
      <x:c r="AC123" s="805" t="str">
        <x:f>IF($A123="","",IF(AND(OR($T123="Closed — No Action",$T123="Closed — Incorporated"),$AB123&lt;&gt;""),MAX(0,$AB123-$B123),MAX(0,TODAY()-$B123)))</x:f>
      </x:c>
      <x:c r="AD123" s="775" t="str">
        <x:f>IF(COUNTA($A123:$F123,$H123:$AB123,$AG123)=0,"",IF(OR($A123="",$B123="",$C123="",$D123="",$F123="",$H123="",$I123="",$J123="",$K123="",$L123="",$M123="",$N123="",$O123="",$P123="",$Q123="",$R123="",$S123="",$T123="",$U123="",$V123="",$W123="",$X123="",$Y123="",$Z123="",$AA123="",AND(NOT(OR($D123="Portfolio-Level",$D123="Market / Macro",$D123="Other")),$E123="")),"INCOMPLETE",IF(COUNTIF($A$14:$A$213,$A123)&gt;1,"DUPLICATE ID","COMPLETE")))</x:f>
      </x:c>
      <x:c r="AE123" s="775" t="str">
        <x:f>IF($A123="","",IF($AD123&lt;&gt;"COMPLETE",$AD123,IF(AND($D123="Certified Holding",OR($E123="",$G123="Candidate / Non-Holding")),"HOLDING IDENTIFIER MISMATCH",IF(AND(OR($J123="Critical",$J123="High"),OR($U123="No",AND($L123="Unverified — Pending",$U123&lt;&gt;"Exception Approved"))),"VERIFY / ESCALATE",IF($X123="Unassigned","CONVICTION DECISION REQUIRED",IF(AND($S123&lt;TODAY(),$T123&lt;&gt;"Closed — No Action",$T123&lt;&gt;"Closed — Incorporated"),"OVERDUE",IF(AND(OR($T123="Closed — No Action",$T123="Closed — Incorporated"),$AB123=""),"CLOSE DATE REQUIRED",IF(AND(NOT(OR($T123="Closed — No Action",$T123="Closed — Incorporated")),$AB123&lt;&gt;""),"STATUS / CLOSE DATE MISMATCH",IF(AND($Z123&lt;&gt;"No",NOT(OR($U123="Yes",$U123="Exception Approved"))),"PEW REFERRAL BLOCKED",IF(AND($T123="Awaiting Verification",$U123="Yes"),"STATUS MISMATCH",IF(OR($T123="Closed — No Action",$T123="Closed — Incorporated"),"CLOSED","OPEN — ON TRACK")))))))))))</x:f>
      </x:c>
      <x:c r="AF123" s="775" t="str">
        <x:f>IF($A123="","",IF($AD123&lt;&gt;"COMPLETE","NOT ELIGIBLE",IF($X123="Unassigned","NOT ELIGIBLE — CONVICTION UNASSIGNED",IF(NOT(OR($U123="Yes",$U123="Exception Approved")),"NOT ELIGIBLE — UNVERIFIED",IF(OR($V123&lt;&gt;"None",AND($W123&lt;&gt;"None",$W123&lt;&gt;"Intact"),AND($X123&lt;&gt;"No Change",$X123&lt;&gt;"Not Applicable"),$Y123&lt;&gt;"None",$Z123&lt;&gt;"No"),"ELIGIBLE FOR ROUTING","NO REFERRAL REQUIRED")))))</x:f>
      </x:c>
      <x:c r="AG123" s="800"/>
    </x:row>
    <x:row r="124" ht="36" customHeight="1">
      <x:c r="A124" s="800"/>
      <x:c r="B124" s="804"/>
      <x:c r="C124" s="804"/>
      <x:c r="D124" s="800"/>
      <x:c r="E124" s="800"/>
      <x:c r="F124" s="800"/>
      <x:c r="G124" s="802" t="str">
        <x:f>IF($E124="","",IFERROR(INDEX('Certified Allocation'!$A$5:$A$51,MATCH($E124,'Certified Allocation'!$B$5:$B$51,0)),"Candidate / Non-Holding"))</x:f>
      </x:c>
      <x:c r="H124" s="800"/>
      <x:c r="I124" s="800"/>
      <x:c r="J124" s="800"/>
      <x:c r="K124" s="800"/>
      <x:c r="L124" s="800"/>
      <x:c r="M124" s="800"/>
      <x:c r="N124" s="800"/>
      <x:c r="O124" s="800"/>
      <x:c r="P124" s="800"/>
      <x:c r="Q124" s="800"/>
      <x:c r="R124" s="800"/>
      <x:c r="S124" s="804"/>
      <x:c r="T124" s="800"/>
      <x:c r="U124" s="800"/>
      <x:c r="V124" s="800"/>
      <x:c r="W124" s="800"/>
      <x:c r="X124" s="800"/>
      <x:c r="Y124" s="800"/>
      <x:c r="Z124" s="800"/>
      <x:c r="AA124" s="800"/>
      <x:c r="AB124" s="804"/>
      <x:c r="AC124" s="805" t="str">
        <x:f>IF($A124="","",IF(AND(OR($T124="Closed — No Action",$T124="Closed — Incorporated"),$AB124&lt;&gt;""),MAX(0,$AB124-$B124),MAX(0,TODAY()-$B124)))</x:f>
      </x:c>
      <x:c r="AD124" s="775" t="str">
        <x:f>IF(COUNTA($A124:$F124,$H124:$AB124,$AG124)=0,"",IF(OR($A124="",$B124="",$C124="",$D124="",$F124="",$H124="",$I124="",$J124="",$K124="",$L124="",$M124="",$N124="",$O124="",$P124="",$Q124="",$R124="",$S124="",$T124="",$U124="",$V124="",$W124="",$X124="",$Y124="",$Z124="",$AA124="",AND(NOT(OR($D124="Portfolio-Level",$D124="Market / Macro",$D124="Other")),$E124="")),"INCOMPLETE",IF(COUNTIF($A$14:$A$213,$A124)&gt;1,"DUPLICATE ID","COMPLETE")))</x:f>
      </x:c>
      <x:c r="AE124" s="775" t="str">
        <x:f>IF($A124="","",IF($AD124&lt;&gt;"COMPLETE",$AD124,IF(AND($D124="Certified Holding",OR($E124="",$G124="Candidate / Non-Holding")),"HOLDING IDENTIFIER MISMATCH",IF(AND(OR($J124="Critical",$J124="High"),OR($U124="No",AND($L124="Unverified — Pending",$U124&lt;&gt;"Exception Approved"))),"VERIFY / ESCALATE",IF($X124="Unassigned","CONVICTION DECISION REQUIRED",IF(AND($S124&lt;TODAY(),$T124&lt;&gt;"Closed — No Action",$T124&lt;&gt;"Closed — Incorporated"),"OVERDUE",IF(AND(OR($T124="Closed — No Action",$T124="Closed — Incorporated"),$AB124=""),"CLOSE DATE REQUIRED",IF(AND(NOT(OR($T124="Closed — No Action",$T124="Closed — Incorporated")),$AB124&lt;&gt;""),"STATUS / CLOSE DATE MISMATCH",IF(AND($Z124&lt;&gt;"No",NOT(OR($U124="Yes",$U124="Exception Approved"))),"PEW REFERRAL BLOCKED",IF(AND($T124="Awaiting Verification",$U124="Yes"),"STATUS MISMATCH",IF(OR($T124="Closed — No Action",$T124="Closed — Incorporated"),"CLOSED","OPEN — ON TRACK")))))))))))</x:f>
      </x:c>
      <x:c r="AF124" s="775" t="str">
        <x:f>IF($A124="","",IF($AD124&lt;&gt;"COMPLETE","NOT ELIGIBLE",IF($X124="Unassigned","NOT ELIGIBLE — CONVICTION UNASSIGNED",IF(NOT(OR($U124="Yes",$U124="Exception Approved")),"NOT ELIGIBLE — UNVERIFIED",IF(OR($V124&lt;&gt;"None",AND($W124&lt;&gt;"None",$W124&lt;&gt;"Intact"),AND($X124&lt;&gt;"No Change",$X124&lt;&gt;"Not Applicable"),$Y124&lt;&gt;"None",$Z124&lt;&gt;"No"),"ELIGIBLE FOR ROUTING","NO REFERRAL REQUIRED")))))</x:f>
      </x:c>
      <x:c r="AG124" s="800"/>
    </x:row>
    <x:row r="125" ht="36" customHeight="1">
      <x:c r="A125" s="800"/>
      <x:c r="B125" s="804"/>
      <x:c r="C125" s="804"/>
      <x:c r="D125" s="800"/>
      <x:c r="E125" s="800"/>
      <x:c r="F125" s="800"/>
      <x:c r="G125" s="802" t="str">
        <x:f>IF($E125="","",IFERROR(INDEX('Certified Allocation'!$A$5:$A$51,MATCH($E125,'Certified Allocation'!$B$5:$B$51,0)),"Candidate / Non-Holding"))</x:f>
      </x:c>
      <x:c r="H125" s="800"/>
      <x:c r="I125" s="800"/>
      <x:c r="J125" s="800"/>
      <x:c r="K125" s="800"/>
      <x:c r="L125" s="800"/>
      <x:c r="M125" s="800"/>
      <x:c r="N125" s="800"/>
      <x:c r="O125" s="800"/>
      <x:c r="P125" s="800"/>
      <x:c r="Q125" s="800"/>
      <x:c r="R125" s="800"/>
      <x:c r="S125" s="804"/>
      <x:c r="T125" s="800"/>
      <x:c r="U125" s="800"/>
      <x:c r="V125" s="800"/>
      <x:c r="W125" s="800"/>
      <x:c r="X125" s="800"/>
      <x:c r="Y125" s="800"/>
      <x:c r="Z125" s="800"/>
      <x:c r="AA125" s="800"/>
      <x:c r="AB125" s="804"/>
      <x:c r="AC125" s="805" t="str">
        <x:f>IF($A125="","",IF(AND(OR($T125="Closed — No Action",$T125="Closed — Incorporated"),$AB125&lt;&gt;""),MAX(0,$AB125-$B125),MAX(0,TODAY()-$B125)))</x:f>
      </x:c>
      <x:c r="AD125" s="775" t="str">
        <x:f>IF(COUNTA($A125:$F125,$H125:$AB125,$AG125)=0,"",IF(OR($A125="",$B125="",$C125="",$D125="",$F125="",$H125="",$I125="",$J125="",$K125="",$L125="",$M125="",$N125="",$O125="",$P125="",$Q125="",$R125="",$S125="",$T125="",$U125="",$V125="",$W125="",$X125="",$Y125="",$Z125="",$AA125="",AND(NOT(OR($D125="Portfolio-Level",$D125="Market / Macro",$D125="Other")),$E125="")),"INCOMPLETE",IF(COUNTIF($A$14:$A$213,$A125)&gt;1,"DUPLICATE ID","COMPLETE")))</x:f>
      </x:c>
      <x:c r="AE125" s="775" t="str">
        <x:f>IF($A125="","",IF($AD125&lt;&gt;"COMPLETE",$AD125,IF(AND($D125="Certified Holding",OR($E125="",$G125="Candidate / Non-Holding")),"HOLDING IDENTIFIER MISMATCH",IF(AND(OR($J125="Critical",$J125="High"),OR($U125="No",AND($L125="Unverified — Pending",$U125&lt;&gt;"Exception Approved"))),"VERIFY / ESCALATE",IF($X125="Unassigned","CONVICTION DECISION REQUIRED",IF(AND($S125&lt;TODAY(),$T125&lt;&gt;"Closed — No Action",$T125&lt;&gt;"Closed — Incorporated"),"OVERDUE",IF(AND(OR($T125="Closed — No Action",$T125="Closed — Incorporated"),$AB125=""),"CLOSE DATE REQUIRED",IF(AND(NOT(OR($T125="Closed — No Action",$T125="Closed — Incorporated")),$AB125&lt;&gt;""),"STATUS / CLOSE DATE MISMATCH",IF(AND($Z125&lt;&gt;"No",NOT(OR($U125="Yes",$U125="Exception Approved"))),"PEW REFERRAL BLOCKED",IF(AND($T125="Awaiting Verification",$U125="Yes"),"STATUS MISMATCH",IF(OR($T125="Closed — No Action",$T125="Closed — Incorporated"),"CLOSED","OPEN — ON TRACK")))))))))))</x:f>
      </x:c>
      <x:c r="AF125" s="775" t="str">
        <x:f>IF($A125="","",IF($AD125&lt;&gt;"COMPLETE","NOT ELIGIBLE",IF($X125="Unassigned","NOT ELIGIBLE — CONVICTION UNASSIGNED",IF(NOT(OR($U125="Yes",$U125="Exception Approved")),"NOT ELIGIBLE — UNVERIFIED",IF(OR($V125&lt;&gt;"None",AND($W125&lt;&gt;"None",$W125&lt;&gt;"Intact"),AND($X125&lt;&gt;"No Change",$X125&lt;&gt;"Not Applicable"),$Y125&lt;&gt;"None",$Z125&lt;&gt;"No"),"ELIGIBLE FOR ROUTING","NO REFERRAL REQUIRED")))))</x:f>
      </x:c>
      <x:c r="AG125" s="800"/>
    </x:row>
    <x:row r="126" ht="36" customHeight="1">
      <x:c r="A126" s="800"/>
      <x:c r="B126" s="804"/>
      <x:c r="C126" s="804"/>
      <x:c r="D126" s="800"/>
      <x:c r="E126" s="800"/>
      <x:c r="F126" s="800"/>
      <x:c r="G126" s="802" t="str">
        <x:f>IF($E126="","",IFERROR(INDEX('Certified Allocation'!$A$5:$A$51,MATCH($E126,'Certified Allocation'!$B$5:$B$51,0)),"Candidate / Non-Holding"))</x:f>
      </x:c>
      <x:c r="H126" s="800"/>
      <x:c r="I126" s="800"/>
      <x:c r="J126" s="800"/>
      <x:c r="K126" s="800"/>
      <x:c r="L126" s="800"/>
      <x:c r="M126" s="800"/>
      <x:c r="N126" s="800"/>
      <x:c r="O126" s="800"/>
      <x:c r="P126" s="800"/>
      <x:c r="Q126" s="800"/>
      <x:c r="R126" s="800"/>
      <x:c r="S126" s="804"/>
      <x:c r="T126" s="800"/>
      <x:c r="U126" s="800"/>
      <x:c r="V126" s="800"/>
      <x:c r="W126" s="800"/>
      <x:c r="X126" s="800"/>
      <x:c r="Y126" s="800"/>
      <x:c r="Z126" s="800"/>
      <x:c r="AA126" s="800"/>
      <x:c r="AB126" s="804"/>
      <x:c r="AC126" s="805" t="str">
        <x:f>IF($A126="","",IF(AND(OR($T126="Closed — No Action",$T126="Closed — Incorporated"),$AB126&lt;&gt;""),MAX(0,$AB126-$B126),MAX(0,TODAY()-$B126)))</x:f>
      </x:c>
      <x:c r="AD126" s="775" t="str">
        <x:f>IF(COUNTA($A126:$F126,$H126:$AB126,$AG126)=0,"",IF(OR($A126="",$B126="",$C126="",$D126="",$F126="",$H126="",$I126="",$J126="",$K126="",$L126="",$M126="",$N126="",$O126="",$P126="",$Q126="",$R126="",$S126="",$T126="",$U126="",$V126="",$W126="",$X126="",$Y126="",$Z126="",$AA126="",AND(NOT(OR($D126="Portfolio-Level",$D126="Market / Macro",$D126="Other")),$E126="")),"INCOMPLETE",IF(COUNTIF($A$14:$A$213,$A126)&gt;1,"DUPLICATE ID","COMPLETE")))</x:f>
      </x:c>
      <x:c r="AE126" s="775" t="str">
        <x:f>IF($A126="","",IF($AD126&lt;&gt;"COMPLETE",$AD126,IF(AND($D126="Certified Holding",OR($E126="",$G126="Candidate / Non-Holding")),"HOLDING IDENTIFIER MISMATCH",IF(AND(OR($J126="Critical",$J126="High"),OR($U126="No",AND($L126="Unverified — Pending",$U126&lt;&gt;"Exception Approved"))),"VERIFY / ESCALATE",IF($X126="Unassigned","CONVICTION DECISION REQUIRED",IF(AND($S126&lt;TODAY(),$T126&lt;&gt;"Closed — No Action",$T126&lt;&gt;"Closed — Incorporated"),"OVERDUE",IF(AND(OR($T126="Closed — No Action",$T126="Closed — Incorporated"),$AB126=""),"CLOSE DATE REQUIRED",IF(AND(NOT(OR($T126="Closed — No Action",$T126="Closed — Incorporated")),$AB126&lt;&gt;""),"STATUS / CLOSE DATE MISMATCH",IF(AND($Z126&lt;&gt;"No",NOT(OR($U126="Yes",$U126="Exception Approved"))),"PEW REFERRAL BLOCKED",IF(AND($T126="Awaiting Verification",$U126="Yes"),"STATUS MISMATCH",IF(OR($T126="Closed — No Action",$T126="Closed — Incorporated"),"CLOSED","OPEN — ON TRACK")))))))))))</x:f>
      </x:c>
      <x:c r="AF126" s="775" t="str">
        <x:f>IF($A126="","",IF($AD126&lt;&gt;"COMPLETE","NOT ELIGIBLE",IF($X126="Unassigned","NOT ELIGIBLE — CONVICTION UNASSIGNED",IF(NOT(OR($U126="Yes",$U126="Exception Approved")),"NOT ELIGIBLE — UNVERIFIED",IF(OR($V126&lt;&gt;"None",AND($W126&lt;&gt;"None",$W126&lt;&gt;"Intact"),AND($X126&lt;&gt;"No Change",$X126&lt;&gt;"Not Applicable"),$Y126&lt;&gt;"None",$Z126&lt;&gt;"No"),"ELIGIBLE FOR ROUTING","NO REFERRAL REQUIRED")))))</x:f>
      </x:c>
      <x:c r="AG126" s="800"/>
    </x:row>
    <x:row r="127" ht="36" customHeight="1">
      <x:c r="A127" s="800"/>
      <x:c r="B127" s="804"/>
      <x:c r="C127" s="804"/>
      <x:c r="D127" s="800"/>
      <x:c r="E127" s="800"/>
      <x:c r="F127" s="800"/>
      <x:c r="G127" s="802" t="str">
        <x:f>IF($E127="","",IFERROR(INDEX('Certified Allocation'!$A$5:$A$51,MATCH($E127,'Certified Allocation'!$B$5:$B$51,0)),"Candidate / Non-Holding"))</x:f>
      </x:c>
      <x:c r="H127" s="800"/>
      <x:c r="I127" s="800"/>
      <x:c r="J127" s="800"/>
      <x:c r="K127" s="800"/>
      <x:c r="L127" s="800"/>
      <x:c r="M127" s="800"/>
      <x:c r="N127" s="800"/>
      <x:c r="O127" s="800"/>
      <x:c r="P127" s="800"/>
      <x:c r="Q127" s="800"/>
      <x:c r="R127" s="800"/>
      <x:c r="S127" s="804"/>
      <x:c r="T127" s="800"/>
      <x:c r="U127" s="800"/>
      <x:c r="V127" s="800"/>
      <x:c r="W127" s="800"/>
      <x:c r="X127" s="800"/>
      <x:c r="Y127" s="800"/>
      <x:c r="Z127" s="800"/>
      <x:c r="AA127" s="800"/>
      <x:c r="AB127" s="804"/>
      <x:c r="AC127" s="805" t="str">
        <x:f>IF($A127="","",IF(AND(OR($T127="Closed — No Action",$T127="Closed — Incorporated"),$AB127&lt;&gt;""),MAX(0,$AB127-$B127),MAX(0,TODAY()-$B127)))</x:f>
      </x:c>
      <x:c r="AD127" s="775" t="str">
        <x:f>IF(COUNTA($A127:$F127,$H127:$AB127,$AG127)=0,"",IF(OR($A127="",$B127="",$C127="",$D127="",$F127="",$H127="",$I127="",$J127="",$K127="",$L127="",$M127="",$N127="",$O127="",$P127="",$Q127="",$R127="",$S127="",$T127="",$U127="",$V127="",$W127="",$X127="",$Y127="",$Z127="",$AA127="",AND(NOT(OR($D127="Portfolio-Level",$D127="Market / Macro",$D127="Other")),$E127="")),"INCOMPLETE",IF(COUNTIF($A$14:$A$213,$A127)&gt;1,"DUPLICATE ID","COMPLETE")))</x:f>
      </x:c>
      <x:c r="AE127" s="775" t="str">
        <x:f>IF($A127="","",IF($AD127&lt;&gt;"COMPLETE",$AD127,IF(AND($D127="Certified Holding",OR($E127="",$G127="Candidate / Non-Holding")),"HOLDING IDENTIFIER MISMATCH",IF(AND(OR($J127="Critical",$J127="High"),OR($U127="No",AND($L127="Unverified — Pending",$U127&lt;&gt;"Exception Approved"))),"VERIFY / ESCALATE",IF($X127="Unassigned","CONVICTION DECISION REQUIRED",IF(AND($S127&lt;TODAY(),$T127&lt;&gt;"Closed — No Action",$T127&lt;&gt;"Closed — Incorporated"),"OVERDUE",IF(AND(OR($T127="Closed — No Action",$T127="Closed — Incorporated"),$AB127=""),"CLOSE DATE REQUIRED",IF(AND(NOT(OR($T127="Closed — No Action",$T127="Closed — Incorporated")),$AB127&lt;&gt;""),"STATUS / CLOSE DATE MISMATCH",IF(AND($Z127&lt;&gt;"No",NOT(OR($U127="Yes",$U127="Exception Approved"))),"PEW REFERRAL BLOCKED",IF(AND($T127="Awaiting Verification",$U127="Yes"),"STATUS MISMATCH",IF(OR($T127="Closed — No Action",$T127="Closed — Incorporated"),"CLOSED","OPEN — ON TRACK")))))))))))</x:f>
      </x:c>
      <x:c r="AF127" s="775" t="str">
        <x:f>IF($A127="","",IF($AD127&lt;&gt;"COMPLETE","NOT ELIGIBLE",IF($X127="Unassigned","NOT ELIGIBLE — CONVICTION UNASSIGNED",IF(NOT(OR($U127="Yes",$U127="Exception Approved")),"NOT ELIGIBLE — UNVERIFIED",IF(OR($V127&lt;&gt;"None",AND($W127&lt;&gt;"None",$W127&lt;&gt;"Intact"),AND($X127&lt;&gt;"No Change",$X127&lt;&gt;"Not Applicable"),$Y127&lt;&gt;"None",$Z127&lt;&gt;"No"),"ELIGIBLE FOR ROUTING","NO REFERRAL REQUIRED")))))</x:f>
      </x:c>
      <x:c r="AG127" s="800"/>
    </x:row>
    <x:row r="128" ht="36" customHeight="1">
      <x:c r="A128" s="800"/>
      <x:c r="B128" s="804"/>
      <x:c r="C128" s="804"/>
      <x:c r="D128" s="800"/>
      <x:c r="E128" s="800"/>
      <x:c r="F128" s="800"/>
      <x:c r="G128" s="802" t="str">
        <x:f>IF($E128="","",IFERROR(INDEX('Certified Allocation'!$A$5:$A$51,MATCH($E128,'Certified Allocation'!$B$5:$B$51,0)),"Candidate / Non-Holding"))</x:f>
      </x:c>
      <x:c r="H128" s="800"/>
      <x:c r="I128" s="800"/>
      <x:c r="J128" s="800"/>
      <x:c r="K128" s="800"/>
      <x:c r="L128" s="800"/>
      <x:c r="M128" s="800"/>
      <x:c r="N128" s="800"/>
      <x:c r="O128" s="800"/>
      <x:c r="P128" s="800"/>
      <x:c r="Q128" s="800"/>
      <x:c r="R128" s="800"/>
      <x:c r="S128" s="804"/>
      <x:c r="T128" s="800"/>
      <x:c r="U128" s="800"/>
      <x:c r="V128" s="800"/>
      <x:c r="W128" s="800"/>
      <x:c r="X128" s="800"/>
      <x:c r="Y128" s="800"/>
      <x:c r="Z128" s="800"/>
      <x:c r="AA128" s="800"/>
      <x:c r="AB128" s="804"/>
      <x:c r="AC128" s="805" t="str">
        <x:f>IF($A128="","",IF(AND(OR($T128="Closed — No Action",$T128="Closed — Incorporated"),$AB128&lt;&gt;""),MAX(0,$AB128-$B128),MAX(0,TODAY()-$B128)))</x:f>
      </x:c>
      <x:c r="AD128" s="775" t="str">
        <x:f>IF(COUNTA($A128:$F128,$H128:$AB128,$AG128)=0,"",IF(OR($A128="",$B128="",$C128="",$D128="",$F128="",$H128="",$I128="",$J128="",$K128="",$L128="",$M128="",$N128="",$O128="",$P128="",$Q128="",$R128="",$S128="",$T128="",$U128="",$V128="",$W128="",$X128="",$Y128="",$Z128="",$AA128="",AND(NOT(OR($D128="Portfolio-Level",$D128="Market / Macro",$D128="Other")),$E128="")),"INCOMPLETE",IF(COUNTIF($A$14:$A$213,$A128)&gt;1,"DUPLICATE ID","COMPLETE")))</x:f>
      </x:c>
      <x:c r="AE128" s="775" t="str">
        <x:f>IF($A128="","",IF($AD128&lt;&gt;"COMPLETE",$AD128,IF(AND($D128="Certified Holding",OR($E128="",$G128="Candidate / Non-Holding")),"HOLDING IDENTIFIER MISMATCH",IF(AND(OR($J128="Critical",$J128="High"),OR($U128="No",AND($L128="Unverified — Pending",$U128&lt;&gt;"Exception Approved"))),"VERIFY / ESCALATE",IF($X128="Unassigned","CONVICTION DECISION REQUIRED",IF(AND($S128&lt;TODAY(),$T128&lt;&gt;"Closed — No Action",$T128&lt;&gt;"Closed — Incorporated"),"OVERDUE",IF(AND(OR($T128="Closed — No Action",$T128="Closed — Incorporated"),$AB128=""),"CLOSE DATE REQUIRED",IF(AND(NOT(OR($T128="Closed — No Action",$T128="Closed — Incorporated")),$AB128&lt;&gt;""),"STATUS / CLOSE DATE MISMATCH",IF(AND($Z128&lt;&gt;"No",NOT(OR($U128="Yes",$U128="Exception Approved"))),"PEW REFERRAL BLOCKED",IF(AND($T128="Awaiting Verification",$U128="Yes"),"STATUS MISMATCH",IF(OR($T128="Closed — No Action",$T128="Closed — Incorporated"),"CLOSED","OPEN — ON TRACK")))))))))))</x:f>
      </x:c>
      <x:c r="AF128" s="775" t="str">
        <x:f>IF($A128="","",IF($AD128&lt;&gt;"COMPLETE","NOT ELIGIBLE",IF($X128="Unassigned","NOT ELIGIBLE — CONVICTION UNASSIGNED",IF(NOT(OR($U128="Yes",$U128="Exception Approved")),"NOT ELIGIBLE — UNVERIFIED",IF(OR($V128&lt;&gt;"None",AND($W128&lt;&gt;"None",$W128&lt;&gt;"Intact"),AND($X128&lt;&gt;"No Change",$X128&lt;&gt;"Not Applicable"),$Y128&lt;&gt;"None",$Z128&lt;&gt;"No"),"ELIGIBLE FOR ROUTING","NO REFERRAL REQUIRED")))))</x:f>
      </x:c>
      <x:c r="AG128" s="800"/>
    </x:row>
    <x:row r="129" ht="36" customHeight="1">
      <x:c r="A129" s="800"/>
      <x:c r="B129" s="804"/>
      <x:c r="C129" s="804"/>
      <x:c r="D129" s="800"/>
      <x:c r="E129" s="800"/>
      <x:c r="F129" s="800"/>
      <x:c r="G129" s="802" t="str">
        <x:f>IF($E129="","",IFERROR(INDEX('Certified Allocation'!$A$5:$A$51,MATCH($E129,'Certified Allocation'!$B$5:$B$51,0)),"Candidate / Non-Holding"))</x:f>
      </x:c>
      <x:c r="H129" s="800"/>
      <x:c r="I129" s="800"/>
      <x:c r="J129" s="800"/>
      <x:c r="K129" s="800"/>
      <x:c r="L129" s="800"/>
      <x:c r="M129" s="800"/>
      <x:c r="N129" s="800"/>
      <x:c r="O129" s="800"/>
      <x:c r="P129" s="800"/>
      <x:c r="Q129" s="800"/>
      <x:c r="R129" s="800"/>
      <x:c r="S129" s="804"/>
      <x:c r="T129" s="800"/>
      <x:c r="U129" s="800"/>
      <x:c r="V129" s="800"/>
      <x:c r="W129" s="800"/>
      <x:c r="X129" s="800"/>
      <x:c r="Y129" s="800"/>
      <x:c r="Z129" s="800"/>
      <x:c r="AA129" s="800"/>
      <x:c r="AB129" s="804"/>
      <x:c r="AC129" s="805" t="str">
        <x:f>IF($A129="","",IF(AND(OR($T129="Closed — No Action",$T129="Closed — Incorporated"),$AB129&lt;&gt;""),MAX(0,$AB129-$B129),MAX(0,TODAY()-$B129)))</x:f>
      </x:c>
      <x:c r="AD129" s="775" t="str">
        <x:f>IF(COUNTA($A129:$F129,$H129:$AB129,$AG129)=0,"",IF(OR($A129="",$B129="",$C129="",$D129="",$F129="",$H129="",$I129="",$J129="",$K129="",$L129="",$M129="",$N129="",$O129="",$P129="",$Q129="",$R129="",$S129="",$T129="",$U129="",$V129="",$W129="",$X129="",$Y129="",$Z129="",$AA129="",AND(NOT(OR($D129="Portfolio-Level",$D129="Market / Macro",$D129="Other")),$E129="")),"INCOMPLETE",IF(COUNTIF($A$14:$A$213,$A129)&gt;1,"DUPLICATE ID","COMPLETE")))</x:f>
      </x:c>
      <x:c r="AE129" s="775" t="str">
        <x:f>IF($A129="","",IF($AD129&lt;&gt;"COMPLETE",$AD129,IF(AND($D129="Certified Holding",OR($E129="",$G129="Candidate / Non-Holding")),"HOLDING IDENTIFIER MISMATCH",IF(AND(OR($J129="Critical",$J129="High"),OR($U129="No",AND($L129="Unverified — Pending",$U129&lt;&gt;"Exception Approved"))),"VERIFY / ESCALATE",IF($X129="Unassigned","CONVICTION DECISION REQUIRED",IF(AND($S129&lt;TODAY(),$T129&lt;&gt;"Closed — No Action",$T129&lt;&gt;"Closed — Incorporated"),"OVERDUE",IF(AND(OR($T129="Closed — No Action",$T129="Closed — Incorporated"),$AB129=""),"CLOSE DATE REQUIRED",IF(AND(NOT(OR($T129="Closed — No Action",$T129="Closed — Incorporated")),$AB129&lt;&gt;""),"STATUS / CLOSE DATE MISMATCH",IF(AND($Z129&lt;&gt;"No",NOT(OR($U129="Yes",$U129="Exception Approved"))),"PEW REFERRAL BLOCKED",IF(AND($T129="Awaiting Verification",$U129="Yes"),"STATUS MISMATCH",IF(OR($T129="Closed — No Action",$T129="Closed — Incorporated"),"CLOSED","OPEN — ON TRACK")))))))))))</x:f>
      </x:c>
      <x:c r="AF129" s="775" t="str">
        <x:f>IF($A129="","",IF($AD129&lt;&gt;"COMPLETE","NOT ELIGIBLE",IF($X129="Unassigned","NOT ELIGIBLE — CONVICTION UNASSIGNED",IF(NOT(OR($U129="Yes",$U129="Exception Approved")),"NOT ELIGIBLE — UNVERIFIED",IF(OR($V129&lt;&gt;"None",AND($W129&lt;&gt;"None",$W129&lt;&gt;"Intact"),AND($X129&lt;&gt;"No Change",$X129&lt;&gt;"Not Applicable"),$Y129&lt;&gt;"None",$Z129&lt;&gt;"No"),"ELIGIBLE FOR ROUTING","NO REFERRAL REQUIRED")))))</x:f>
      </x:c>
      <x:c r="AG129" s="800"/>
    </x:row>
    <x:row r="130" ht="36" customHeight="1">
      <x:c r="A130" s="800"/>
      <x:c r="B130" s="804"/>
      <x:c r="C130" s="804"/>
      <x:c r="D130" s="800"/>
      <x:c r="E130" s="800"/>
      <x:c r="F130" s="800"/>
      <x:c r="G130" s="802" t="str">
        <x:f>IF($E130="","",IFERROR(INDEX('Certified Allocation'!$A$5:$A$51,MATCH($E130,'Certified Allocation'!$B$5:$B$51,0)),"Candidate / Non-Holding"))</x:f>
      </x:c>
      <x:c r="H130" s="800"/>
      <x:c r="I130" s="800"/>
      <x:c r="J130" s="800"/>
      <x:c r="K130" s="800"/>
      <x:c r="L130" s="800"/>
      <x:c r="M130" s="800"/>
      <x:c r="N130" s="800"/>
      <x:c r="O130" s="800"/>
      <x:c r="P130" s="800"/>
      <x:c r="Q130" s="800"/>
      <x:c r="R130" s="800"/>
      <x:c r="S130" s="804"/>
      <x:c r="T130" s="800"/>
      <x:c r="U130" s="800"/>
      <x:c r="V130" s="800"/>
      <x:c r="W130" s="800"/>
      <x:c r="X130" s="800"/>
      <x:c r="Y130" s="800"/>
      <x:c r="Z130" s="800"/>
      <x:c r="AA130" s="800"/>
      <x:c r="AB130" s="804"/>
      <x:c r="AC130" s="805" t="str">
        <x:f>IF($A130="","",IF(AND(OR($T130="Closed — No Action",$T130="Closed — Incorporated"),$AB130&lt;&gt;""),MAX(0,$AB130-$B130),MAX(0,TODAY()-$B130)))</x:f>
      </x:c>
      <x:c r="AD130" s="775" t="str">
        <x:f>IF(COUNTA($A130:$F130,$H130:$AB130,$AG130)=0,"",IF(OR($A130="",$B130="",$C130="",$D130="",$F130="",$H130="",$I130="",$J130="",$K130="",$L130="",$M130="",$N130="",$O130="",$P130="",$Q130="",$R130="",$S130="",$T130="",$U130="",$V130="",$W130="",$X130="",$Y130="",$Z130="",$AA130="",AND(NOT(OR($D130="Portfolio-Level",$D130="Market / Macro",$D130="Other")),$E130="")),"INCOMPLETE",IF(COUNTIF($A$14:$A$213,$A130)&gt;1,"DUPLICATE ID","COMPLETE")))</x:f>
      </x:c>
      <x:c r="AE130" s="775" t="str">
        <x:f>IF($A130="","",IF($AD130&lt;&gt;"COMPLETE",$AD130,IF(AND($D130="Certified Holding",OR($E130="",$G130="Candidate / Non-Holding")),"HOLDING IDENTIFIER MISMATCH",IF(AND(OR($J130="Critical",$J130="High"),OR($U130="No",AND($L130="Unverified — Pending",$U130&lt;&gt;"Exception Approved"))),"VERIFY / ESCALATE",IF($X130="Unassigned","CONVICTION DECISION REQUIRED",IF(AND($S130&lt;TODAY(),$T130&lt;&gt;"Closed — No Action",$T130&lt;&gt;"Closed — Incorporated"),"OVERDUE",IF(AND(OR($T130="Closed — No Action",$T130="Closed — Incorporated"),$AB130=""),"CLOSE DATE REQUIRED",IF(AND(NOT(OR($T130="Closed — No Action",$T130="Closed — Incorporated")),$AB130&lt;&gt;""),"STATUS / CLOSE DATE MISMATCH",IF(AND($Z130&lt;&gt;"No",NOT(OR($U130="Yes",$U130="Exception Approved"))),"PEW REFERRAL BLOCKED",IF(AND($T130="Awaiting Verification",$U130="Yes"),"STATUS MISMATCH",IF(OR($T130="Closed — No Action",$T130="Closed — Incorporated"),"CLOSED","OPEN — ON TRACK")))))))))))</x:f>
      </x:c>
      <x:c r="AF130" s="775" t="str">
        <x:f>IF($A130="","",IF($AD130&lt;&gt;"COMPLETE","NOT ELIGIBLE",IF($X130="Unassigned","NOT ELIGIBLE — CONVICTION UNASSIGNED",IF(NOT(OR($U130="Yes",$U130="Exception Approved")),"NOT ELIGIBLE — UNVERIFIED",IF(OR($V130&lt;&gt;"None",AND($W130&lt;&gt;"None",$W130&lt;&gt;"Intact"),AND($X130&lt;&gt;"No Change",$X130&lt;&gt;"Not Applicable"),$Y130&lt;&gt;"None",$Z130&lt;&gt;"No"),"ELIGIBLE FOR ROUTING","NO REFERRAL REQUIRED")))))</x:f>
      </x:c>
      <x:c r="AG130" s="800"/>
    </x:row>
    <x:row r="131" ht="36" customHeight="1">
      <x:c r="A131" s="800"/>
      <x:c r="B131" s="804"/>
      <x:c r="C131" s="804"/>
      <x:c r="D131" s="800"/>
      <x:c r="E131" s="800"/>
      <x:c r="F131" s="800"/>
      <x:c r="G131" s="802" t="str">
        <x:f>IF($E131="","",IFERROR(INDEX('Certified Allocation'!$A$5:$A$51,MATCH($E131,'Certified Allocation'!$B$5:$B$51,0)),"Candidate / Non-Holding"))</x:f>
      </x:c>
      <x:c r="H131" s="800"/>
      <x:c r="I131" s="800"/>
      <x:c r="J131" s="800"/>
      <x:c r="K131" s="800"/>
      <x:c r="L131" s="800"/>
      <x:c r="M131" s="800"/>
      <x:c r="N131" s="800"/>
      <x:c r="O131" s="800"/>
      <x:c r="P131" s="800"/>
      <x:c r="Q131" s="800"/>
      <x:c r="R131" s="800"/>
      <x:c r="S131" s="804"/>
      <x:c r="T131" s="800"/>
      <x:c r="U131" s="800"/>
      <x:c r="V131" s="800"/>
      <x:c r="W131" s="800"/>
      <x:c r="X131" s="800"/>
      <x:c r="Y131" s="800"/>
      <x:c r="Z131" s="800"/>
      <x:c r="AA131" s="800"/>
      <x:c r="AB131" s="804"/>
      <x:c r="AC131" s="805" t="str">
        <x:f>IF($A131="","",IF(AND(OR($T131="Closed — No Action",$T131="Closed — Incorporated"),$AB131&lt;&gt;""),MAX(0,$AB131-$B131),MAX(0,TODAY()-$B131)))</x:f>
      </x:c>
      <x:c r="AD131" s="775" t="str">
        <x:f>IF(COUNTA($A131:$F131,$H131:$AB131,$AG131)=0,"",IF(OR($A131="",$B131="",$C131="",$D131="",$F131="",$H131="",$I131="",$J131="",$K131="",$L131="",$M131="",$N131="",$O131="",$P131="",$Q131="",$R131="",$S131="",$T131="",$U131="",$V131="",$W131="",$X131="",$Y131="",$Z131="",$AA131="",AND(NOT(OR($D131="Portfolio-Level",$D131="Market / Macro",$D131="Other")),$E131="")),"INCOMPLETE",IF(COUNTIF($A$14:$A$213,$A131)&gt;1,"DUPLICATE ID","COMPLETE")))</x:f>
      </x:c>
      <x:c r="AE131" s="775" t="str">
        <x:f>IF($A131="","",IF($AD131&lt;&gt;"COMPLETE",$AD131,IF(AND($D131="Certified Holding",OR($E131="",$G131="Candidate / Non-Holding")),"HOLDING IDENTIFIER MISMATCH",IF(AND(OR($J131="Critical",$J131="High"),OR($U131="No",AND($L131="Unverified — Pending",$U131&lt;&gt;"Exception Approved"))),"VERIFY / ESCALATE",IF($X131="Unassigned","CONVICTION DECISION REQUIRED",IF(AND($S131&lt;TODAY(),$T131&lt;&gt;"Closed — No Action",$T131&lt;&gt;"Closed — Incorporated"),"OVERDUE",IF(AND(OR($T131="Closed — No Action",$T131="Closed — Incorporated"),$AB131=""),"CLOSE DATE REQUIRED",IF(AND(NOT(OR($T131="Closed — No Action",$T131="Closed — Incorporated")),$AB131&lt;&gt;""),"STATUS / CLOSE DATE MISMATCH",IF(AND($Z131&lt;&gt;"No",NOT(OR($U131="Yes",$U131="Exception Approved"))),"PEW REFERRAL BLOCKED",IF(AND($T131="Awaiting Verification",$U131="Yes"),"STATUS MISMATCH",IF(OR($T131="Closed — No Action",$T131="Closed — Incorporated"),"CLOSED","OPEN — ON TRACK")))))))))))</x:f>
      </x:c>
      <x:c r="AF131" s="775" t="str">
        <x:f>IF($A131="","",IF($AD131&lt;&gt;"COMPLETE","NOT ELIGIBLE",IF($X131="Unassigned","NOT ELIGIBLE — CONVICTION UNASSIGNED",IF(NOT(OR($U131="Yes",$U131="Exception Approved")),"NOT ELIGIBLE — UNVERIFIED",IF(OR($V131&lt;&gt;"None",AND($W131&lt;&gt;"None",$W131&lt;&gt;"Intact"),AND($X131&lt;&gt;"No Change",$X131&lt;&gt;"Not Applicable"),$Y131&lt;&gt;"None",$Z131&lt;&gt;"No"),"ELIGIBLE FOR ROUTING","NO REFERRAL REQUIRED")))))</x:f>
      </x:c>
      <x:c r="AG131" s="800"/>
    </x:row>
    <x:row r="132" ht="36" customHeight="1">
      <x:c r="A132" s="800"/>
      <x:c r="B132" s="804"/>
      <x:c r="C132" s="804"/>
      <x:c r="D132" s="800"/>
      <x:c r="E132" s="800"/>
      <x:c r="F132" s="800"/>
      <x:c r="G132" s="802" t="str">
        <x:f>IF($E132="","",IFERROR(INDEX('Certified Allocation'!$A$5:$A$51,MATCH($E132,'Certified Allocation'!$B$5:$B$51,0)),"Candidate / Non-Holding"))</x:f>
      </x:c>
      <x:c r="H132" s="800"/>
      <x:c r="I132" s="800"/>
      <x:c r="J132" s="800"/>
      <x:c r="K132" s="800"/>
      <x:c r="L132" s="800"/>
      <x:c r="M132" s="800"/>
      <x:c r="N132" s="800"/>
      <x:c r="O132" s="800"/>
      <x:c r="P132" s="800"/>
      <x:c r="Q132" s="800"/>
      <x:c r="R132" s="800"/>
      <x:c r="S132" s="804"/>
      <x:c r="T132" s="800"/>
      <x:c r="U132" s="800"/>
      <x:c r="V132" s="800"/>
      <x:c r="W132" s="800"/>
      <x:c r="X132" s="800"/>
      <x:c r="Y132" s="800"/>
      <x:c r="Z132" s="800"/>
      <x:c r="AA132" s="800"/>
      <x:c r="AB132" s="804"/>
      <x:c r="AC132" s="805" t="str">
        <x:f>IF($A132="","",IF(AND(OR($T132="Closed — No Action",$T132="Closed — Incorporated"),$AB132&lt;&gt;""),MAX(0,$AB132-$B132),MAX(0,TODAY()-$B132)))</x:f>
      </x:c>
      <x:c r="AD132" s="775" t="str">
        <x:f>IF(COUNTA($A132:$F132,$H132:$AB132,$AG132)=0,"",IF(OR($A132="",$B132="",$C132="",$D132="",$F132="",$H132="",$I132="",$J132="",$K132="",$L132="",$M132="",$N132="",$O132="",$P132="",$Q132="",$R132="",$S132="",$T132="",$U132="",$V132="",$W132="",$X132="",$Y132="",$Z132="",$AA132="",AND(NOT(OR($D132="Portfolio-Level",$D132="Market / Macro",$D132="Other")),$E132="")),"INCOMPLETE",IF(COUNTIF($A$14:$A$213,$A132)&gt;1,"DUPLICATE ID","COMPLETE")))</x:f>
      </x:c>
      <x:c r="AE132" s="775" t="str">
        <x:f>IF($A132="","",IF($AD132&lt;&gt;"COMPLETE",$AD132,IF(AND($D132="Certified Holding",OR($E132="",$G132="Candidate / Non-Holding")),"HOLDING IDENTIFIER MISMATCH",IF(AND(OR($J132="Critical",$J132="High"),OR($U132="No",AND($L132="Unverified — Pending",$U132&lt;&gt;"Exception Approved"))),"VERIFY / ESCALATE",IF($X132="Unassigned","CONVICTION DECISION REQUIRED",IF(AND($S132&lt;TODAY(),$T132&lt;&gt;"Closed — No Action",$T132&lt;&gt;"Closed — Incorporated"),"OVERDUE",IF(AND(OR($T132="Closed — No Action",$T132="Closed — Incorporated"),$AB132=""),"CLOSE DATE REQUIRED",IF(AND(NOT(OR($T132="Closed — No Action",$T132="Closed — Incorporated")),$AB132&lt;&gt;""),"STATUS / CLOSE DATE MISMATCH",IF(AND($Z132&lt;&gt;"No",NOT(OR($U132="Yes",$U132="Exception Approved"))),"PEW REFERRAL BLOCKED",IF(AND($T132="Awaiting Verification",$U132="Yes"),"STATUS MISMATCH",IF(OR($T132="Closed — No Action",$T132="Closed — Incorporated"),"CLOSED","OPEN — ON TRACK")))))))))))</x:f>
      </x:c>
      <x:c r="AF132" s="775" t="str">
        <x:f>IF($A132="","",IF($AD132&lt;&gt;"COMPLETE","NOT ELIGIBLE",IF($X132="Unassigned","NOT ELIGIBLE — CONVICTION UNASSIGNED",IF(NOT(OR($U132="Yes",$U132="Exception Approved")),"NOT ELIGIBLE — UNVERIFIED",IF(OR($V132&lt;&gt;"None",AND($W132&lt;&gt;"None",$W132&lt;&gt;"Intact"),AND($X132&lt;&gt;"No Change",$X132&lt;&gt;"Not Applicable"),$Y132&lt;&gt;"None",$Z132&lt;&gt;"No"),"ELIGIBLE FOR ROUTING","NO REFERRAL REQUIRED")))))</x:f>
      </x:c>
      <x:c r="AG132" s="800"/>
    </x:row>
    <x:row r="133" ht="36" customHeight="1">
      <x:c r="A133" s="800"/>
      <x:c r="B133" s="804"/>
      <x:c r="C133" s="804"/>
      <x:c r="D133" s="800"/>
      <x:c r="E133" s="800"/>
      <x:c r="F133" s="800"/>
      <x:c r="G133" s="802" t="str">
        <x:f>IF($E133="","",IFERROR(INDEX('Certified Allocation'!$A$5:$A$51,MATCH($E133,'Certified Allocation'!$B$5:$B$51,0)),"Candidate / Non-Holding"))</x:f>
      </x:c>
      <x:c r="H133" s="800"/>
      <x:c r="I133" s="800"/>
      <x:c r="J133" s="800"/>
      <x:c r="K133" s="800"/>
      <x:c r="L133" s="800"/>
      <x:c r="M133" s="800"/>
      <x:c r="N133" s="800"/>
      <x:c r="O133" s="800"/>
      <x:c r="P133" s="800"/>
      <x:c r="Q133" s="800"/>
      <x:c r="R133" s="800"/>
      <x:c r="S133" s="804"/>
      <x:c r="T133" s="800"/>
      <x:c r="U133" s="800"/>
      <x:c r="V133" s="800"/>
      <x:c r="W133" s="800"/>
      <x:c r="X133" s="800"/>
      <x:c r="Y133" s="800"/>
      <x:c r="Z133" s="800"/>
      <x:c r="AA133" s="800"/>
      <x:c r="AB133" s="804"/>
      <x:c r="AC133" s="805" t="str">
        <x:f>IF($A133="","",IF(AND(OR($T133="Closed — No Action",$T133="Closed — Incorporated"),$AB133&lt;&gt;""),MAX(0,$AB133-$B133),MAX(0,TODAY()-$B133)))</x:f>
      </x:c>
      <x:c r="AD133" s="775" t="str">
        <x:f>IF(COUNTA($A133:$F133,$H133:$AB133,$AG133)=0,"",IF(OR($A133="",$B133="",$C133="",$D133="",$F133="",$H133="",$I133="",$J133="",$K133="",$L133="",$M133="",$N133="",$O133="",$P133="",$Q133="",$R133="",$S133="",$T133="",$U133="",$V133="",$W133="",$X133="",$Y133="",$Z133="",$AA133="",AND(NOT(OR($D133="Portfolio-Level",$D133="Market / Macro",$D133="Other")),$E133="")),"INCOMPLETE",IF(COUNTIF($A$14:$A$213,$A133)&gt;1,"DUPLICATE ID","COMPLETE")))</x:f>
      </x:c>
      <x:c r="AE133" s="775" t="str">
        <x:f>IF($A133="","",IF($AD133&lt;&gt;"COMPLETE",$AD133,IF(AND($D133="Certified Holding",OR($E133="",$G133="Candidate / Non-Holding")),"HOLDING IDENTIFIER MISMATCH",IF(AND(OR($J133="Critical",$J133="High"),OR($U133="No",AND($L133="Unverified — Pending",$U133&lt;&gt;"Exception Approved"))),"VERIFY / ESCALATE",IF($X133="Unassigned","CONVICTION DECISION REQUIRED",IF(AND($S133&lt;TODAY(),$T133&lt;&gt;"Closed — No Action",$T133&lt;&gt;"Closed — Incorporated"),"OVERDUE",IF(AND(OR($T133="Closed — No Action",$T133="Closed — Incorporated"),$AB133=""),"CLOSE DATE REQUIRED",IF(AND(NOT(OR($T133="Closed — No Action",$T133="Closed — Incorporated")),$AB133&lt;&gt;""),"STATUS / CLOSE DATE MISMATCH",IF(AND($Z133&lt;&gt;"No",NOT(OR($U133="Yes",$U133="Exception Approved"))),"PEW REFERRAL BLOCKED",IF(AND($T133="Awaiting Verification",$U133="Yes"),"STATUS MISMATCH",IF(OR($T133="Closed — No Action",$T133="Closed — Incorporated"),"CLOSED","OPEN — ON TRACK")))))))))))</x:f>
      </x:c>
      <x:c r="AF133" s="775" t="str">
        <x:f>IF($A133="","",IF($AD133&lt;&gt;"COMPLETE","NOT ELIGIBLE",IF($X133="Unassigned","NOT ELIGIBLE — CONVICTION UNASSIGNED",IF(NOT(OR($U133="Yes",$U133="Exception Approved")),"NOT ELIGIBLE — UNVERIFIED",IF(OR($V133&lt;&gt;"None",AND($W133&lt;&gt;"None",$W133&lt;&gt;"Intact"),AND($X133&lt;&gt;"No Change",$X133&lt;&gt;"Not Applicable"),$Y133&lt;&gt;"None",$Z133&lt;&gt;"No"),"ELIGIBLE FOR ROUTING","NO REFERRAL REQUIRED")))))</x:f>
      </x:c>
      <x:c r="AG133" s="800"/>
    </x:row>
    <x:row r="134" ht="36" customHeight="1">
      <x:c r="A134" s="800"/>
      <x:c r="B134" s="804"/>
      <x:c r="C134" s="804"/>
      <x:c r="D134" s="800"/>
      <x:c r="E134" s="800"/>
      <x:c r="F134" s="800"/>
      <x:c r="G134" s="802" t="str">
        <x:f>IF($E134="","",IFERROR(INDEX('Certified Allocation'!$A$5:$A$51,MATCH($E134,'Certified Allocation'!$B$5:$B$51,0)),"Candidate / Non-Holding"))</x:f>
      </x:c>
      <x:c r="H134" s="800"/>
      <x:c r="I134" s="800"/>
      <x:c r="J134" s="800"/>
      <x:c r="K134" s="800"/>
      <x:c r="L134" s="800"/>
      <x:c r="M134" s="800"/>
      <x:c r="N134" s="800"/>
      <x:c r="O134" s="800"/>
      <x:c r="P134" s="800"/>
      <x:c r="Q134" s="800"/>
      <x:c r="R134" s="800"/>
      <x:c r="S134" s="804"/>
      <x:c r="T134" s="800"/>
      <x:c r="U134" s="800"/>
      <x:c r="V134" s="800"/>
      <x:c r="W134" s="800"/>
      <x:c r="X134" s="800"/>
      <x:c r="Y134" s="800"/>
      <x:c r="Z134" s="800"/>
      <x:c r="AA134" s="800"/>
      <x:c r="AB134" s="804"/>
      <x:c r="AC134" s="805" t="str">
        <x:f>IF($A134="","",IF(AND(OR($T134="Closed — No Action",$T134="Closed — Incorporated"),$AB134&lt;&gt;""),MAX(0,$AB134-$B134),MAX(0,TODAY()-$B134)))</x:f>
      </x:c>
      <x:c r="AD134" s="775" t="str">
        <x:f>IF(COUNTA($A134:$F134,$H134:$AB134,$AG134)=0,"",IF(OR($A134="",$B134="",$C134="",$D134="",$F134="",$H134="",$I134="",$J134="",$K134="",$L134="",$M134="",$N134="",$O134="",$P134="",$Q134="",$R134="",$S134="",$T134="",$U134="",$V134="",$W134="",$X134="",$Y134="",$Z134="",$AA134="",AND(NOT(OR($D134="Portfolio-Level",$D134="Market / Macro",$D134="Other")),$E134="")),"INCOMPLETE",IF(COUNTIF($A$14:$A$213,$A134)&gt;1,"DUPLICATE ID","COMPLETE")))</x:f>
      </x:c>
      <x:c r="AE134" s="775" t="str">
        <x:f>IF($A134="","",IF($AD134&lt;&gt;"COMPLETE",$AD134,IF(AND($D134="Certified Holding",OR($E134="",$G134="Candidate / Non-Holding")),"HOLDING IDENTIFIER MISMATCH",IF(AND(OR($J134="Critical",$J134="High"),OR($U134="No",AND($L134="Unverified — Pending",$U134&lt;&gt;"Exception Approved"))),"VERIFY / ESCALATE",IF($X134="Unassigned","CONVICTION DECISION REQUIRED",IF(AND($S134&lt;TODAY(),$T134&lt;&gt;"Closed — No Action",$T134&lt;&gt;"Closed — Incorporated"),"OVERDUE",IF(AND(OR($T134="Closed — No Action",$T134="Closed — Incorporated"),$AB134=""),"CLOSE DATE REQUIRED",IF(AND(NOT(OR($T134="Closed — No Action",$T134="Closed — Incorporated")),$AB134&lt;&gt;""),"STATUS / CLOSE DATE MISMATCH",IF(AND($Z134&lt;&gt;"No",NOT(OR($U134="Yes",$U134="Exception Approved"))),"PEW REFERRAL BLOCKED",IF(AND($T134="Awaiting Verification",$U134="Yes"),"STATUS MISMATCH",IF(OR($T134="Closed — No Action",$T134="Closed — Incorporated"),"CLOSED","OPEN — ON TRACK")))))))))))</x:f>
      </x:c>
      <x:c r="AF134" s="775" t="str">
        <x:f>IF($A134="","",IF($AD134&lt;&gt;"COMPLETE","NOT ELIGIBLE",IF($X134="Unassigned","NOT ELIGIBLE — CONVICTION UNASSIGNED",IF(NOT(OR($U134="Yes",$U134="Exception Approved")),"NOT ELIGIBLE — UNVERIFIED",IF(OR($V134&lt;&gt;"None",AND($W134&lt;&gt;"None",$W134&lt;&gt;"Intact"),AND($X134&lt;&gt;"No Change",$X134&lt;&gt;"Not Applicable"),$Y134&lt;&gt;"None",$Z134&lt;&gt;"No"),"ELIGIBLE FOR ROUTING","NO REFERRAL REQUIRED")))))</x:f>
      </x:c>
      <x:c r="AG134" s="800"/>
    </x:row>
    <x:row r="135" ht="36" customHeight="1">
      <x:c r="A135" s="800"/>
      <x:c r="B135" s="804"/>
      <x:c r="C135" s="804"/>
      <x:c r="D135" s="800"/>
      <x:c r="E135" s="800"/>
      <x:c r="F135" s="800"/>
      <x:c r="G135" s="802" t="str">
        <x:f>IF($E135="","",IFERROR(INDEX('Certified Allocation'!$A$5:$A$51,MATCH($E135,'Certified Allocation'!$B$5:$B$51,0)),"Candidate / Non-Holding"))</x:f>
      </x:c>
      <x:c r="H135" s="800"/>
      <x:c r="I135" s="800"/>
      <x:c r="J135" s="800"/>
      <x:c r="K135" s="800"/>
      <x:c r="L135" s="800"/>
      <x:c r="M135" s="800"/>
      <x:c r="N135" s="800"/>
      <x:c r="O135" s="800"/>
      <x:c r="P135" s="800"/>
      <x:c r="Q135" s="800"/>
      <x:c r="R135" s="800"/>
      <x:c r="S135" s="804"/>
      <x:c r="T135" s="800"/>
      <x:c r="U135" s="800"/>
      <x:c r="V135" s="800"/>
      <x:c r="W135" s="800"/>
      <x:c r="X135" s="800"/>
      <x:c r="Y135" s="800"/>
      <x:c r="Z135" s="800"/>
      <x:c r="AA135" s="800"/>
      <x:c r="AB135" s="804"/>
      <x:c r="AC135" s="805" t="str">
        <x:f>IF($A135="","",IF(AND(OR($T135="Closed — No Action",$T135="Closed — Incorporated"),$AB135&lt;&gt;""),MAX(0,$AB135-$B135),MAX(0,TODAY()-$B135)))</x:f>
      </x:c>
      <x:c r="AD135" s="775" t="str">
        <x:f>IF(COUNTA($A135:$F135,$H135:$AB135,$AG135)=0,"",IF(OR($A135="",$B135="",$C135="",$D135="",$F135="",$H135="",$I135="",$J135="",$K135="",$L135="",$M135="",$N135="",$O135="",$P135="",$Q135="",$R135="",$S135="",$T135="",$U135="",$V135="",$W135="",$X135="",$Y135="",$Z135="",$AA135="",AND(NOT(OR($D135="Portfolio-Level",$D135="Market / Macro",$D135="Other")),$E135="")),"INCOMPLETE",IF(COUNTIF($A$14:$A$213,$A135)&gt;1,"DUPLICATE ID","COMPLETE")))</x:f>
      </x:c>
      <x:c r="AE135" s="775" t="str">
        <x:f>IF($A135="","",IF($AD135&lt;&gt;"COMPLETE",$AD135,IF(AND($D135="Certified Holding",OR($E135="",$G135="Candidate / Non-Holding")),"HOLDING IDENTIFIER MISMATCH",IF(AND(OR($J135="Critical",$J135="High"),OR($U135="No",AND($L135="Unverified — Pending",$U135&lt;&gt;"Exception Approved"))),"VERIFY / ESCALATE",IF($X135="Unassigned","CONVICTION DECISION REQUIRED",IF(AND($S135&lt;TODAY(),$T135&lt;&gt;"Closed — No Action",$T135&lt;&gt;"Closed — Incorporated"),"OVERDUE",IF(AND(OR($T135="Closed — No Action",$T135="Closed — Incorporated"),$AB135=""),"CLOSE DATE REQUIRED",IF(AND(NOT(OR($T135="Closed — No Action",$T135="Closed — Incorporated")),$AB135&lt;&gt;""),"STATUS / CLOSE DATE MISMATCH",IF(AND($Z135&lt;&gt;"No",NOT(OR($U135="Yes",$U135="Exception Approved"))),"PEW REFERRAL BLOCKED",IF(AND($T135="Awaiting Verification",$U135="Yes"),"STATUS MISMATCH",IF(OR($T135="Closed — No Action",$T135="Closed — Incorporated"),"CLOSED","OPEN — ON TRACK")))))))))))</x:f>
      </x:c>
      <x:c r="AF135" s="775" t="str">
        <x:f>IF($A135="","",IF($AD135&lt;&gt;"COMPLETE","NOT ELIGIBLE",IF($X135="Unassigned","NOT ELIGIBLE — CONVICTION UNASSIGNED",IF(NOT(OR($U135="Yes",$U135="Exception Approved")),"NOT ELIGIBLE — UNVERIFIED",IF(OR($V135&lt;&gt;"None",AND($W135&lt;&gt;"None",$W135&lt;&gt;"Intact"),AND($X135&lt;&gt;"No Change",$X135&lt;&gt;"Not Applicable"),$Y135&lt;&gt;"None",$Z135&lt;&gt;"No"),"ELIGIBLE FOR ROUTING","NO REFERRAL REQUIRED")))))</x:f>
      </x:c>
      <x:c r="AG135" s="800"/>
    </x:row>
    <x:row r="136" ht="36" customHeight="1">
      <x:c r="A136" s="800"/>
      <x:c r="B136" s="804"/>
      <x:c r="C136" s="804"/>
      <x:c r="D136" s="800"/>
      <x:c r="E136" s="800"/>
      <x:c r="F136" s="800"/>
      <x:c r="G136" s="802" t="str">
        <x:f>IF($E136="","",IFERROR(INDEX('Certified Allocation'!$A$5:$A$51,MATCH($E136,'Certified Allocation'!$B$5:$B$51,0)),"Candidate / Non-Holding"))</x:f>
      </x:c>
      <x:c r="H136" s="800"/>
      <x:c r="I136" s="800"/>
      <x:c r="J136" s="800"/>
      <x:c r="K136" s="800"/>
      <x:c r="L136" s="800"/>
      <x:c r="M136" s="800"/>
      <x:c r="N136" s="800"/>
      <x:c r="O136" s="800"/>
      <x:c r="P136" s="800"/>
      <x:c r="Q136" s="800"/>
      <x:c r="R136" s="800"/>
      <x:c r="S136" s="804"/>
      <x:c r="T136" s="800"/>
      <x:c r="U136" s="800"/>
      <x:c r="V136" s="800"/>
      <x:c r="W136" s="800"/>
      <x:c r="X136" s="800"/>
      <x:c r="Y136" s="800"/>
      <x:c r="Z136" s="800"/>
      <x:c r="AA136" s="800"/>
      <x:c r="AB136" s="804"/>
      <x:c r="AC136" s="805" t="str">
        <x:f>IF($A136="","",IF(AND(OR($T136="Closed — No Action",$T136="Closed — Incorporated"),$AB136&lt;&gt;""),MAX(0,$AB136-$B136),MAX(0,TODAY()-$B136)))</x:f>
      </x:c>
      <x:c r="AD136" s="775" t="str">
        <x:f>IF(COUNTA($A136:$F136,$H136:$AB136,$AG136)=0,"",IF(OR($A136="",$B136="",$C136="",$D136="",$F136="",$H136="",$I136="",$J136="",$K136="",$L136="",$M136="",$N136="",$O136="",$P136="",$Q136="",$R136="",$S136="",$T136="",$U136="",$V136="",$W136="",$X136="",$Y136="",$Z136="",$AA136="",AND(NOT(OR($D136="Portfolio-Level",$D136="Market / Macro",$D136="Other")),$E136="")),"INCOMPLETE",IF(COUNTIF($A$14:$A$213,$A136)&gt;1,"DUPLICATE ID","COMPLETE")))</x:f>
      </x:c>
      <x:c r="AE136" s="775" t="str">
        <x:f>IF($A136="","",IF($AD136&lt;&gt;"COMPLETE",$AD136,IF(AND($D136="Certified Holding",OR($E136="",$G136="Candidate / Non-Holding")),"HOLDING IDENTIFIER MISMATCH",IF(AND(OR($J136="Critical",$J136="High"),OR($U136="No",AND($L136="Unverified — Pending",$U136&lt;&gt;"Exception Approved"))),"VERIFY / ESCALATE",IF($X136="Unassigned","CONVICTION DECISION REQUIRED",IF(AND($S136&lt;TODAY(),$T136&lt;&gt;"Closed — No Action",$T136&lt;&gt;"Closed — Incorporated"),"OVERDUE",IF(AND(OR($T136="Closed — No Action",$T136="Closed — Incorporated"),$AB136=""),"CLOSE DATE REQUIRED",IF(AND(NOT(OR($T136="Closed — No Action",$T136="Closed — Incorporated")),$AB136&lt;&gt;""),"STATUS / CLOSE DATE MISMATCH",IF(AND($Z136&lt;&gt;"No",NOT(OR($U136="Yes",$U136="Exception Approved"))),"PEW REFERRAL BLOCKED",IF(AND($T136="Awaiting Verification",$U136="Yes"),"STATUS MISMATCH",IF(OR($T136="Closed — No Action",$T136="Closed — Incorporated"),"CLOSED","OPEN — ON TRACK")))))))))))</x:f>
      </x:c>
      <x:c r="AF136" s="775" t="str">
        <x:f>IF($A136="","",IF($AD136&lt;&gt;"COMPLETE","NOT ELIGIBLE",IF($X136="Unassigned","NOT ELIGIBLE — CONVICTION UNASSIGNED",IF(NOT(OR($U136="Yes",$U136="Exception Approved")),"NOT ELIGIBLE — UNVERIFIED",IF(OR($V136&lt;&gt;"None",AND($W136&lt;&gt;"None",$W136&lt;&gt;"Intact"),AND($X136&lt;&gt;"No Change",$X136&lt;&gt;"Not Applicable"),$Y136&lt;&gt;"None",$Z136&lt;&gt;"No"),"ELIGIBLE FOR ROUTING","NO REFERRAL REQUIRED")))))</x:f>
      </x:c>
      <x:c r="AG136" s="800"/>
    </x:row>
    <x:row r="137" ht="36" customHeight="1">
      <x:c r="A137" s="800"/>
      <x:c r="B137" s="804"/>
      <x:c r="C137" s="804"/>
      <x:c r="D137" s="800"/>
      <x:c r="E137" s="800"/>
      <x:c r="F137" s="800"/>
      <x:c r="G137" s="802" t="str">
        <x:f>IF($E137="","",IFERROR(INDEX('Certified Allocation'!$A$5:$A$51,MATCH($E137,'Certified Allocation'!$B$5:$B$51,0)),"Candidate / Non-Holding"))</x:f>
      </x:c>
      <x:c r="H137" s="800"/>
      <x:c r="I137" s="800"/>
      <x:c r="J137" s="800"/>
      <x:c r="K137" s="800"/>
      <x:c r="L137" s="800"/>
      <x:c r="M137" s="800"/>
      <x:c r="N137" s="800"/>
      <x:c r="O137" s="800"/>
      <x:c r="P137" s="800"/>
      <x:c r="Q137" s="800"/>
      <x:c r="R137" s="800"/>
      <x:c r="S137" s="804"/>
      <x:c r="T137" s="800"/>
      <x:c r="U137" s="800"/>
      <x:c r="V137" s="800"/>
      <x:c r="W137" s="800"/>
      <x:c r="X137" s="800"/>
      <x:c r="Y137" s="800"/>
      <x:c r="Z137" s="800"/>
      <x:c r="AA137" s="800"/>
      <x:c r="AB137" s="804"/>
      <x:c r="AC137" s="805" t="str">
        <x:f>IF($A137="","",IF(AND(OR($T137="Closed — No Action",$T137="Closed — Incorporated"),$AB137&lt;&gt;""),MAX(0,$AB137-$B137),MAX(0,TODAY()-$B137)))</x:f>
      </x:c>
      <x:c r="AD137" s="775" t="str">
        <x:f>IF(COUNTA($A137:$F137,$H137:$AB137,$AG137)=0,"",IF(OR($A137="",$B137="",$C137="",$D137="",$F137="",$H137="",$I137="",$J137="",$K137="",$L137="",$M137="",$N137="",$O137="",$P137="",$Q137="",$R137="",$S137="",$T137="",$U137="",$V137="",$W137="",$X137="",$Y137="",$Z137="",$AA137="",AND(NOT(OR($D137="Portfolio-Level",$D137="Market / Macro",$D137="Other")),$E137="")),"INCOMPLETE",IF(COUNTIF($A$14:$A$213,$A137)&gt;1,"DUPLICATE ID","COMPLETE")))</x:f>
      </x:c>
      <x:c r="AE137" s="775" t="str">
        <x:f>IF($A137="","",IF($AD137&lt;&gt;"COMPLETE",$AD137,IF(AND($D137="Certified Holding",OR($E137="",$G137="Candidate / Non-Holding")),"HOLDING IDENTIFIER MISMATCH",IF(AND(OR($J137="Critical",$J137="High"),OR($U137="No",AND($L137="Unverified — Pending",$U137&lt;&gt;"Exception Approved"))),"VERIFY / ESCALATE",IF($X137="Unassigned","CONVICTION DECISION REQUIRED",IF(AND($S137&lt;TODAY(),$T137&lt;&gt;"Closed — No Action",$T137&lt;&gt;"Closed — Incorporated"),"OVERDUE",IF(AND(OR($T137="Closed — No Action",$T137="Closed — Incorporated"),$AB137=""),"CLOSE DATE REQUIRED",IF(AND(NOT(OR($T137="Closed — No Action",$T137="Closed — Incorporated")),$AB137&lt;&gt;""),"STATUS / CLOSE DATE MISMATCH",IF(AND($Z137&lt;&gt;"No",NOT(OR($U137="Yes",$U137="Exception Approved"))),"PEW REFERRAL BLOCKED",IF(AND($T137="Awaiting Verification",$U137="Yes"),"STATUS MISMATCH",IF(OR($T137="Closed — No Action",$T137="Closed — Incorporated"),"CLOSED","OPEN — ON TRACK")))))))))))</x:f>
      </x:c>
      <x:c r="AF137" s="775" t="str">
        <x:f>IF($A137="","",IF($AD137&lt;&gt;"COMPLETE","NOT ELIGIBLE",IF($X137="Unassigned","NOT ELIGIBLE — CONVICTION UNASSIGNED",IF(NOT(OR($U137="Yes",$U137="Exception Approved")),"NOT ELIGIBLE — UNVERIFIED",IF(OR($V137&lt;&gt;"None",AND($W137&lt;&gt;"None",$W137&lt;&gt;"Intact"),AND($X137&lt;&gt;"No Change",$X137&lt;&gt;"Not Applicable"),$Y137&lt;&gt;"None",$Z137&lt;&gt;"No"),"ELIGIBLE FOR ROUTING","NO REFERRAL REQUIRED")))))</x:f>
      </x:c>
      <x:c r="AG137" s="800"/>
    </x:row>
    <x:row r="138" ht="36" customHeight="1">
      <x:c r="A138" s="800"/>
      <x:c r="B138" s="804"/>
      <x:c r="C138" s="804"/>
      <x:c r="D138" s="800"/>
      <x:c r="E138" s="800"/>
      <x:c r="F138" s="800"/>
      <x:c r="G138" s="802" t="str">
        <x:f>IF($E138="","",IFERROR(INDEX('Certified Allocation'!$A$5:$A$51,MATCH($E138,'Certified Allocation'!$B$5:$B$51,0)),"Candidate / Non-Holding"))</x:f>
      </x:c>
      <x:c r="H138" s="800"/>
      <x:c r="I138" s="800"/>
      <x:c r="J138" s="800"/>
      <x:c r="K138" s="800"/>
      <x:c r="L138" s="800"/>
      <x:c r="M138" s="800"/>
      <x:c r="N138" s="800"/>
      <x:c r="O138" s="800"/>
      <x:c r="P138" s="800"/>
      <x:c r="Q138" s="800"/>
      <x:c r="R138" s="800"/>
      <x:c r="S138" s="804"/>
      <x:c r="T138" s="800"/>
      <x:c r="U138" s="800"/>
      <x:c r="V138" s="800"/>
      <x:c r="W138" s="800"/>
      <x:c r="X138" s="800"/>
      <x:c r="Y138" s="800"/>
      <x:c r="Z138" s="800"/>
      <x:c r="AA138" s="800"/>
      <x:c r="AB138" s="804"/>
      <x:c r="AC138" s="805" t="str">
        <x:f>IF($A138="","",IF(AND(OR($T138="Closed — No Action",$T138="Closed — Incorporated"),$AB138&lt;&gt;""),MAX(0,$AB138-$B138),MAX(0,TODAY()-$B138)))</x:f>
      </x:c>
      <x:c r="AD138" s="775" t="str">
        <x:f>IF(COUNTA($A138:$F138,$H138:$AB138,$AG138)=0,"",IF(OR($A138="",$B138="",$C138="",$D138="",$F138="",$H138="",$I138="",$J138="",$K138="",$L138="",$M138="",$N138="",$O138="",$P138="",$Q138="",$R138="",$S138="",$T138="",$U138="",$V138="",$W138="",$X138="",$Y138="",$Z138="",$AA138="",AND(NOT(OR($D138="Portfolio-Level",$D138="Market / Macro",$D138="Other")),$E138="")),"INCOMPLETE",IF(COUNTIF($A$14:$A$213,$A138)&gt;1,"DUPLICATE ID","COMPLETE")))</x:f>
      </x:c>
      <x:c r="AE138" s="775" t="str">
        <x:f>IF($A138="","",IF($AD138&lt;&gt;"COMPLETE",$AD138,IF(AND($D138="Certified Holding",OR($E138="",$G138="Candidate / Non-Holding")),"HOLDING IDENTIFIER MISMATCH",IF(AND(OR($J138="Critical",$J138="High"),OR($U138="No",AND($L138="Unverified — Pending",$U138&lt;&gt;"Exception Approved"))),"VERIFY / ESCALATE",IF($X138="Unassigned","CONVICTION DECISION REQUIRED",IF(AND($S138&lt;TODAY(),$T138&lt;&gt;"Closed — No Action",$T138&lt;&gt;"Closed — Incorporated"),"OVERDUE",IF(AND(OR($T138="Closed — No Action",$T138="Closed — Incorporated"),$AB138=""),"CLOSE DATE REQUIRED",IF(AND(NOT(OR($T138="Closed — No Action",$T138="Closed — Incorporated")),$AB138&lt;&gt;""),"STATUS / CLOSE DATE MISMATCH",IF(AND($Z138&lt;&gt;"No",NOT(OR($U138="Yes",$U138="Exception Approved"))),"PEW REFERRAL BLOCKED",IF(AND($T138="Awaiting Verification",$U138="Yes"),"STATUS MISMATCH",IF(OR($T138="Closed — No Action",$T138="Closed — Incorporated"),"CLOSED","OPEN — ON TRACK")))))))))))</x:f>
      </x:c>
      <x:c r="AF138" s="775" t="str">
        <x:f>IF($A138="","",IF($AD138&lt;&gt;"COMPLETE","NOT ELIGIBLE",IF($X138="Unassigned","NOT ELIGIBLE — CONVICTION UNASSIGNED",IF(NOT(OR($U138="Yes",$U138="Exception Approved")),"NOT ELIGIBLE — UNVERIFIED",IF(OR($V138&lt;&gt;"None",AND($W138&lt;&gt;"None",$W138&lt;&gt;"Intact"),AND($X138&lt;&gt;"No Change",$X138&lt;&gt;"Not Applicable"),$Y138&lt;&gt;"None",$Z138&lt;&gt;"No"),"ELIGIBLE FOR ROUTING","NO REFERRAL REQUIRED")))))</x:f>
      </x:c>
      <x:c r="AG138" s="800"/>
    </x:row>
    <x:row r="139" ht="36" customHeight="1">
      <x:c r="A139" s="800"/>
      <x:c r="B139" s="804"/>
      <x:c r="C139" s="804"/>
      <x:c r="D139" s="800"/>
      <x:c r="E139" s="800"/>
      <x:c r="F139" s="800"/>
      <x:c r="G139" s="802" t="str">
        <x:f>IF($E139="","",IFERROR(INDEX('Certified Allocation'!$A$5:$A$51,MATCH($E139,'Certified Allocation'!$B$5:$B$51,0)),"Candidate / Non-Holding"))</x:f>
      </x:c>
      <x:c r="H139" s="800"/>
      <x:c r="I139" s="800"/>
      <x:c r="J139" s="800"/>
      <x:c r="K139" s="800"/>
      <x:c r="L139" s="800"/>
      <x:c r="M139" s="800"/>
      <x:c r="N139" s="800"/>
      <x:c r="O139" s="800"/>
      <x:c r="P139" s="800"/>
      <x:c r="Q139" s="800"/>
      <x:c r="R139" s="800"/>
      <x:c r="S139" s="804"/>
      <x:c r="T139" s="800"/>
      <x:c r="U139" s="800"/>
      <x:c r="V139" s="800"/>
      <x:c r="W139" s="800"/>
      <x:c r="X139" s="800"/>
      <x:c r="Y139" s="800"/>
      <x:c r="Z139" s="800"/>
      <x:c r="AA139" s="800"/>
      <x:c r="AB139" s="804"/>
      <x:c r="AC139" s="805" t="str">
        <x:f>IF($A139="","",IF(AND(OR($T139="Closed — No Action",$T139="Closed — Incorporated"),$AB139&lt;&gt;""),MAX(0,$AB139-$B139),MAX(0,TODAY()-$B139)))</x:f>
      </x:c>
      <x:c r="AD139" s="775" t="str">
        <x:f>IF(COUNTA($A139:$F139,$H139:$AB139,$AG139)=0,"",IF(OR($A139="",$B139="",$C139="",$D139="",$F139="",$H139="",$I139="",$J139="",$K139="",$L139="",$M139="",$N139="",$O139="",$P139="",$Q139="",$R139="",$S139="",$T139="",$U139="",$V139="",$W139="",$X139="",$Y139="",$Z139="",$AA139="",AND(NOT(OR($D139="Portfolio-Level",$D139="Market / Macro",$D139="Other")),$E139="")),"INCOMPLETE",IF(COUNTIF($A$14:$A$213,$A139)&gt;1,"DUPLICATE ID","COMPLETE")))</x:f>
      </x:c>
      <x:c r="AE139" s="775" t="str">
        <x:f>IF($A139="","",IF($AD139&lt;&gt;"COMPLETE",$AD139,IF(AND($D139="Certified Holding",OR($E139="",$G139="Candidate / Non-Holding")),"HOLDING IDENTIFIER MISMATCH",IF(AND(OR($J139="Critical",$J139="High"),OR($U139="No",AND($L139="Unverified — Pending",$U139&lt;&gt;"Exception Approved"))),"VERIFY / ESCALATE",IF($X139="Unassigned","CONVICTION DECISION REQUIRED",IF(AND($S139&lt;TODAY(),$T139&lt;&gt;"Closed — No Action",$T139&lt;&gt;"Closed — Incorporated"),"OVERDUE",IF(AND(OR($T139="Closed — No Action",$T139="Closed — Incorporated"),$AB139=""),"CLOSE DATE REQUIRED",IF(AND(NOT(OR($T139="Closed — No Action",$T139="Closed — Incorporated")),$AB139&lt;&gt;""),"STATUS / CLOSE DATE MISMATCH",IF(AND($Z139&lt;&gt;"No",NOT(OR($U139="Yes",$U139="Exception Approved"))),"PEW REFERRAL BLOCKED",IF(AND($T139="Awaiting Verification",$U139="Yes"),"STATUS MISMATCH",IF(OR($T139="Closed — No Action",$T139="Closed — Incorporated"),"CLOSED","OPEN — ON TRACK")))))))))))</x:f>
      </x:c>
      <x:c r="AF139" s="775" t="str">
        <x:f>IF($A139="","",IF($AD139&lt;&gt;"COMPLETE","NOT ELIGIBLE",IF($X139="Unassigned","NOT ELIGIBLE — CONVICTION UNASSIGNED",IF(NOT(OR($U139="Yes",$U139="Exception Approved")),"NOT ELIGIBLE — UNVERIFIED",IF(OR($V139&lt;&gt;"None",AND($W139&lt;&gt;"None",$W139&lt;&gt;"Intact"),AND($X139&lt;&gt;"No Change",$X139&lt;&gt;"Not Applicable"),$Y139&lt;&gt;"None",$Z139&lt;&gt;"No"),"ELIGIBLE FOR ROUTING","NO REFERRAL REQUIRED")))))</x:f>
      </x:c>
      <x:c r="AG139" s="800"/>
    </x:row>
    <x:row r="140" ht="36" customHeight="1">
      <x:c r="A140" s="800"/>
      <x:c r="B140" s="804"/>
      <x:c r="C140" s="804"/>
      <x:c r="D140" s="800"/>
      <x:c r="E140" s="800"/>
      <x:c r="F140" s="800"/>
      <x:c r="G140" s="802" t="str">
        <x:f>IF($E140="","",IFERROR(INDEX('Certified Allocation'!$A$5:$A$51,MATCH($E140,'Certified Allocation'!$B$5:$B$51,0)),"Candidate / Non-Holding"))</x:f>
      </x:c>
      <x:c r="H140" s="800"/>
      <x:c r="I140" s="800"/>
      <x:c r="J140" s="800"/>
      <x:c r="K140" s="800"/>
      <x:c r="L140" s="800"/>
      <x:c r="M140" s="800"/>
      <x:c r="N140" s="800"/>
      <x:c r="O140" s="800"/>
      <x:c r="P140" s="800"/>
      <x:c r="Q140" s="800"/>
      <x:c r="R140" s="800"/>
      <x:c r="S140" s="804"/>
      <x:c r="T140" s="800"/>
      <x:c r="U140" s="800"/>
      <x:c r="V140" s="800"/>
      <x:c r="W140" s="800"/>
      <x:c r="X140" s="800"/>
      <x:c r="Y140" s="800"/>
      <x:c r="Z140" s="800"/>
      <x:c r="AA140" s="800"/>
      <x:c r="AB140" s="804"/>
      <x:c r="AC140" s="805" t="str">
        <x:f>IF($A140="","",IF(AND(OR($T140="Closed — No Action",$T140="Closed — Incorporated"),$AB140&lt;&gt;""),MAX(0,$AB140-$B140),MAX(0,TODAY()-$B140)))</x:f>
      </x:c>
      <x:c r="AD140" s="775" t="str">
        <x:f>IF(COUNTA($A140:$F140,$H140:$AB140,$AG140)=0,"",IF(OR($A140="",$B140="",$C140="",$D140="",$F140="",$H140="",$I140="",$J140="",$K140="",$L140="",$M140="",$N140="",$O140="",$P140="",$Q140="",$R140="",$S140="",$T140="",$U140="",$V140="",$W140="",$X140="",$Y140="",$Z140="",$AA140="",AND(NOT(OR($D140="Portfolio-Level",$D140="Market / Macro",$D140="Other")),$E140="")),"INCOMPLETE",IF(COUNTIF($A$14:$A$213,$A140)&gt;1,"DUPLICATE ID","COMPLETE")))</x:f>
      </x:c>
      <x:c r="AE140" s="775" t="str">
        <x:f>IF($A140="","",IF($AD140&lt;&gt;"COMPLETE",$AD140,IF(AND($D140="Certified Holding",OR($E140="",$G140="Candidate / Non-Holding")),"HOLDING IDENTIFIER MISMATCH",IF(AND(OR($J140="Critical",$J140="High"),OR($U140="No",AND($L140="Unverified — Pending",$U140&lt;&gt;"Exception Approved"))),"VERIFY / ESCALATE",IF($X140="Unassigned","CONVICTION DECISION REQUIRED",IF(AND($S140&lt;TODAY(),$T140&lt;&gt;"Closed — No Action",$T140&lt;&gt;"Closed — Incorporated"),"OVERDUE",IF(AND(OR($T140="Closed — No Action",$T140="Closed — Incorporated"),$AB140=""),"CLOSE DATE REQUIRED",IF(AND(NOT(OR($T140="Closed — No Action",$T140="Closed — Incorporated")),$AB140&lt;&gt;""),"STATUS / CLOSE DATE MISMATCH",IF(AND($Z140&lt;&gt;"No",NOT(OR($U140="Yes",$U140="Exception Approved"))),"PEW REFERRAL BLOCKED",IF(AND($T140="Awaiting Verification",$U140="Yes"),"STATUS MISMATCH",IF(OR($T140="Closed — No Action",$T140="Closed — Incorporated"),"CLOSED","OPEN — ON TRACK")))))))))))</x:f>
      </x:c>
      <x:c r="AF140" s="775" t="str">
        <x:f>IF($A140="","",IF($AD140&lt;&gt;"COMPLETE","NOT ELIGIBLE",IF($X140="Unassigned","NOT ELIGIBLE — CONVICTION UNASSIGNED",IF(NOT(OR($U140="Yes",$U140="Exception Approved")),"NOT ELIGIBLE — UNVERIFIED",IF(OR($V140&lt;&gt;"None",AND($W140&lt;&gt;"None",$W140&lt;&gt;"Intact"),AND($X140&lt;&gt;"No Change",$X140&lt;&gt;"Not Applicable"),$Y140&lt;&gt;"None",$Z140&lt;&gt;"No"),"ELIGIBLE FOR ROUTING","NO REFERRAL REQUIRED")))))</x:f>
      </x:c>
      <x:c r="AG140" s="800"/>
    </x:row>
    <x:row r="141" ht="36" customHeight="1">
      <x:c r="A141" s="800"/>
      <x:c r="B141" s="804"/>
      <x:c r="C141" s="804"/>
      <x:c r="D141" s="800"/>
      <x:c r="E141" s="800"/>
      <x:c r="F141" s="800"/>
      <x:c r="G141" s="802" t="str">
        <x:f>IF($E141="","",IFERROR(INDEX('Certified Allocation'!$A$5:$A$51,MATCH($E141,'Certified Allocation'!$B$5:$B$51,0)),"Candidate / Non-Holding"))</x:f>
      </x:c>
      <x:c r="H141" s="800"/>
      <x:c r="I141" s="800"/>
      <x:c r="J141" s="800"/>
      <x:c r="K141" s="800"/>
      <x:c r="L141" s="800"/>
      <x:c r="M141" s="800"/>
      <x:c r="N141" s="800"/>
      <x:c r="O141" s="800"/>
      <x:c r="P141" s="800"/>
      <x:c r="Q141" s="800"/>
      <x:c r="R141" s="800"/>
      <x:c r="S141" s="804"/>
      <x:c r="T141" s="800"/>
      <x:c r="U141" s="800"/>
      <x:c r="V141" s="800"/>
      <x:c r="W141" s="800"/>
      <x:c r="X141" s="800"/>
      <x:c r="Y141" s="800"/>
      <x:c r="Z141" s="800"/>
      <x:c r="AA141" s="800"/>
      <x:c r="AB141" s="804"/>
      <x:c r="AC141" s="805" t="str">
        <x:f>IF($A141="","",IF(AND(OR($T141="Closed — No Action",$T141="Closed — Incorporated"),$AB141&lt;&gt;""),MAX(0,$AB141-$B141),MAX(0,TODAY()-$B141)))</x:f>
      </x:c>
      <x:c r="AD141" s="775" t="str">
        <x:f>IF(COUNTA($A141:$F141,$H141:$AB141,$AG141)=0,"",IF(OR($A141="",$B141="",$C141="",$D141="",$F141="",$H141="",$I141="",$J141="",$K141="",$L141="",$M141="",$N141="",$O141="",$P141="",$Q141="",$R141="",$S141="",$T141="",$U141="",$V141="",$W141="",$X141="",$Y141="",$Z141="",$AA141="",AND(NOT(OR($D141="Portfolio-Level",$D141="Market / Macro",$D141="Other")),$E141="")),"INCOMPLETE",IF(COUNTIF($A$14:$A$213,$A141)&gt;1,"DUPLICATE ID","COMPLETE")))</x:f>
      </x:c>
      <x:c r="AE141" s="775" t="str">
        <x:f>IF($A141="","",IF($AD141&lt;&gt;"COMPLETE",$AD141,IF(AND($D141="Certified Holding",OR($E141="",$G141="Candidate / Non-Holding")),"HOLDING IDENTIFIER MISMATCH",IF(AND(OR($J141="Critical",$J141="High"),OR($U141="No",AND($L141="Unverified — Pending",$U141&lt;&gt;"Exception Approved"))),"VERIFY / ESCALATE",IF($X141="Unassigned","CONVICTION DECISION REQUIRED",IF(AND($S141&lt;TODAY(),$T141&lt;&gt;"Closed — No Action",$T141&lt;&gt;"Closed — Incorporated"),"OVERDUE",IF(AND(OR($T141="Closed — No Action",$T141="Closed — Incorporated"),$AB141=""),"CLOSE DATE REQUIRED",IF(AND(NOT(OR($T141="Closed — No Action",$T141="Closed — Incorporated")),$AB141&lt;&gt;""),"STATUS / CLOSE DATE MISMATCH",IF(AND($Z141&lt;&gt;"No",NOT(OR($U141="Yes",$U141="Exception Approved"))),"PEW REFERRAL BLOCKED",IF(AND($T141="Awaiting Verification",$U141="Yes"),"STATUS MISMATCH",IF(OR($T141="Closed — No Action",$T141="Closed — Incorporated"),"CLOSED","OPEN — ON TRACK")))))))))))</x:f>
      </x:c>
      <x:c r="AF141" s="775" t="str">
        <x:f>IF($A141="","",IF($AD141&lt;&gt;"COMPLETE","NOT ELIGIBLE",IF($X141="Unassigned","NOT ELIGIBLE — CONVICTION UNASSIGNED",IF(NOT(OR($U141="Yes",$U141="Exception Approved")),"NOT ELIGIBLE — UNVERIFIED",IF(OR($V141&lt;&gt;"None",AND($W141&lt;&gt;"None",$W141&lt;&gt;"Intact"),AND($X141&lt;&gt;"No Change",$X141&lt;&gt;"Not Applicable"),$Y141&lt;&gt;"None",$Z141&lt;&gt;"No"),"ELIGIBLE FOR ROUTING","NO REFERRAL REQUIRED")))))</x:f>
      </x:c>
      <x:c r="AG141" s="800"/>
    </x:row>
    <x:row r="142" ht="36" customHeight="1">
      <x:c r="A142" s="800"/>
      <x:c r="B142" s="804"/>
      <x:c r="C142" s="804"/>
      <x:c r="D142" s="800"/>
      <x:c r="E142" s="800"/>
      <x:c r="F142" s="800"/>
      <x:c r="G142" s="802" t="str">
        <x:f>IF($E142="","",IFERROR(INDEX('Certified Allocation'!$A$5:$A$51,MATCH($E142,'Certified Allocation'!$B$5:$B$51,0)),"Candidate / Non-Holding"))</x:f>
      </x:c>
      <x:c r="H142" s="800"/>
      <x:c r="I142" s="800"/>
      <x:c r="J142" s="800"/>
      <x:c r="K142" s="800"/>
      <x:c r="L142" s="800"/>
      <x:c r="M142" s="800"/>
      <x:c r="N142" s="800"/>
      <x:c r="O142" s="800"/>
      <x:c r="P142" s="800"/>
      <x:c r="Q142" s="800"/>
      <x:c r="R142" s="800"/>
      <x:c r="S142" s="804"/>
      <x:c r="T142" s="800"/>
      <x:c r="U142" s="800"/>
      <x:c r="V142" s="800"/>
      <x:c r="W142" s="800"/>
      <x:c r="X142" s="800"/>
      <x:c r="Y142" s="800"/>
      <x:c r="Z142" s="800"/>
      <x:c r="AA142" s="800"/>
      <x:c r="AB142" s="804"/>
      <x:c r="AC142" s="805" t="str">
        <x:f>IF($A142="","",IF(AND(OR($T142="Closed — No Action",$T142="Closed — Incorporated"),$AB142&lt;&gt;""),MAX(0,$AB142-$B142),MAX(0,TODAY()-$B142)))</x:f>
      </x:c>
      <x:c r="AD142" s="775" t="str">
        <x:f>IF(COUNTA($A142:$F142,$H142:$AB142,$AG142)=0,"",IF(OR($A142="",$B142="",$C142="",$D142="",$F142="",$H142="",$I142="",$J142="",$K142="",$L142="",$M142="",$N142="",$O142="",$P142="",$Q142="",$R142="",$S142="",$T142="",$U142="",$V142="",$W142="",$X142="",$Y142="",$Z142="",$AA142="",AND(NOT(OR($D142="Portfolio-Level",$D142="Market / Macro",$D142="Other")),$E142="")),"INCOMPLETE",IF(COUNTIF($A$14:$A$213,$A142)&gt;1,"DUPLICATE ID","COMPLETE")))</x:f>
      </x:c>
      <x:c r="AE142" s="775" t="str">
        <x:f>IF($A142="","",IF($AD142&lt;&gt;"COMPLETE",$AD142,IF(AND($D142="Certified Holding",OR($E142="",$G142="Candidate / Non-Holding")),"HOLDING IDENTIFIER MISMATCH",IF(AND(OR($J142="Critical",$J142="High"),OR($U142="No",AND($L142="Unverified — Pending",$U142&lt;&gt;"Exception Approved"))),"VERIFY / ESCALATE",IF($X142="Unassigned","CONVICTION DECISION REQUIRED",IF(AND($S142&lt;TODAY(),$T142&lt;&gt;"Closed — No Action",$T142&lt;&gt;"Closed — Incorporated"),"OVERDUE",IF(AND(OR($T142="Closed — No Action",$T142="Closed — Incorporated"),$AB142=""),"CLOSE DATE REQUIRED",IF(AND(NOT(OR($T142="Closed — No Action",$T142="Closed — Incorporated")),$AB142&lt;&gt;""),"STATUS / CLOSE DATE MISMATCH",IF(AND($Z142&lt;&gt;"No",NOT(OR($U142="Yes",$U142="Exception Approved"))),"PEW REFERRAL BLOCKED",IF(AND($T142="Awaiting Verification",$U142="Yes"),"STATUS MISMATCH",IF(OR($T142="Closed — No Action",$T142="Closed — Incorporated"),"CLOSED","OPEN — ON TRACK")))))))))))</x:f>
      </x:c>
      <x:c r="AF142" s="775" t="str">
        <x:f>IF($A142="","",IF($AD142&lt;&gt;"COMPLETE","NOT ELIGIBLE",IF($X142="Unassigned","NOT ELIGIBLE — CONVICTION UNASSIGNED",IF(NOT(OR($U142="Yes",$U142="Exception Approved")),"NOT ELIGIBLE — UNVERIFIED",IF(OR($V142&lt;&gt;"None",AND($W142&lt;&gt;"None",$W142&lt;&gt;"Intact"),AND($X142&lt;&gt;"No Change",$X142&lt;&gt;"Not Applicable"),$Y142&lt;&gt;"None",$Z142&lt;&gt;"No"),"ELIGIBLE FOR ROUTING","NO REFERRAL REQUIRED")))))</x:f>
      </x:c>
      <x:c r="AG142" s="800"/>
    </x:row>
    <x:row r="143" ht="36" customHeight="1">
      <x:c r="A143" s="800"/>
      <x:c r="B143" s="804"/>
      <x:c r="C143" s="804"/>
      <x:c r="D143" s="800"/>
      <x:c r="E143" s="800"/>
      <x:c r="F143" s="800"/>
      <x:c r="G143" s="802" t="str">
        <x:f>IF($E143="","",IFERROR(INDEX('Certified Allocation'!$A$5:$A$51,MATCH($E143,'Certified Allocation'!$B$5:$B$51,0)),"Candidate / Non-Holding"))</x:f>
      </x:c>
      <x:c r="H143" s="800"/>
      <x:c r="I143" s="800"/>
      <x:c r="J143" s="800"/>
      <x:c r="K143" s="800"/>
      <x:c r="L143" s="800"/>
      <x:c r="M143" s="800"/>
      <x:c r="N143" s="800"/>
      <x:c r="O143" s="800"/>
      <x:c r="P143" s="800"/>
      <x:c r="Q143" s="800"/>
      <x:c r="R143" s="800"/>
      <x:c r="S143" s="804"/>
      <x:c r="T143" s="800"/>
      <x:c r="U143" s="800"/>
      <x:c r="V143" s="800"/>
      <x:c r="W143" s="800"/>
      <x:c r="X143" s="800"/>
      <x:c r="Y143" s="800"/>
      <x:c r="Z143" s="800"/>
      <x:c r="AA143" s="800"/>
      <x:c r="AB143" s="804"/>
      <x:c r="AC143" s="805" t="str">
        <x:f>IF($A143="","",IF(AND(OR($T143="Closed — No Action",$T143="Closed — Incorporated"),$AB143&lt;&gt;""),MAX(0,$AB143-$B143),MAX(0,TODAY()-$B143)))</x:f>
      </x:c>
      <x:c r="AD143" s="775" t="str">
        <x:f>IF(COUNTA($A143:$F143,$H143:$AB143,$AG143)=0,"",IF(OR($A143="",$B143="",$C143="",$D143="",$F143="",$H143="",$I143="",$J143="",$K143="",$L143="",$M143="",$N143="",$O143="",$P143="",$Q143="",$R143="",$S143="",$T143="",$U143="",$V143="",$W143="",$X143="",$Y143="",$Z143="",$AA143="",AND(NOT(OR($D143="Portfolio-Level",$D143="Market / Macro",$D143="Other")),$E143="")),"INCOMPLETE",IF(COUNTIF($A$14:$A$213,$A143)&gt;1,"DUPLICATE ID","COMPLETE")))</x:f>
      </x:c>
      <x:c r="AE143" s="775" t="str">
        <x:f>IF($A143="","",IF($AD143&lt;&gt;"COMPLETE",$AD143,IF(AND($D143="Certified Holding",OR($E143="",$G143="Candidate / Non-Holding")),"HOLDING IDENTIFIER MISMATCH",IF(AND(OR($J143="Critical",$J143="High"),OR($U143="No",AND($L143="Unverified — Pending",$U143&lt;&gt;"Exception Approved"))),"VERIFY / ESCALATE",IF($X143="Unassigned","CONVICTION DECISION REQUIRED",IF(AND($S143&lt;TODAY(),$T143&lt;&gt;"Closed — No Action",$T143&lt;&gt;"Closed — Incorporated"),"OVERDUE",IF(AND(OR($T143="Closed — No Action",$T143="Closed — Incorporated"),$AB143=""),"CLOSE DATE REQUIRED",IF(AND(NOT(OR($T143="Closed — No Action",$T143="Closed — Incorporated")),$AB143&lt;&gt;""),"STATUS / CLOSE DATE MISMATCH",IF(AND($Z143&lt;&gt;"No",NOT(OR($U143="Yes",$U143="Exception Approved"))),"PEW REFERRAL BLOCKED",IF(AND($T143="Awaiting Verification",$U143="Yes"),"STATUS MISMATCH",IF(OR($T143="Closed — No Action",$T143="Closed — Incorporated"),"CLOSED","OPEN — ON TRACK")))))))))))</x:f>
      </x:c>
      <x:c r="AF143" s="775" t="str">
        <x:f>IF($A143="","",IF($AD143&lt;&gt;"COMPLETE","NOT ELIGIBLE",IF($X143="Unassigned","NOT ELIGIBLE — CONVICTION UNASSIGNED",IF(NOT(OR($U143="Yes",$U143="Exception Approved")),"NOT ELIGIBLE — UNVERIFIED",IF(OR($V143&lt;&gt;"None",AND($W143&lt;&gt;"None",$W143&lt;&gt;"Intact"),AND($X143&lt;&gt;"No Change",$X143&lt;&gt;"Not Applicable"),$Y143&lt;&gt;"None",$Z143&lt;&gt;"No"),"ELIGIBLE FOR ROUTING","NO REFERRAL REQUIRED")))))</x:f>
      </x:c>
      <x:c r="AG143" s="800"/>
    </x:row>
    <x:row r="144" ht="36" customHeight="1">
      <x:c r="A144" s="800"/>
      <x:c r="B144" s="804"/>
      <x:c r="C144" s="804"/>
      <x:c r="D144" s="800"/>
      <x:c r="E144" s="800"/>
      <x:c r="F144" s="800"/>
      <x:c r="G144" s="802" t="str">
        <x:f>IF($E144="","",IFERROR(INDEX('Certified Allocation'!$A$5:$A$51,MATCH($E144,'Certified Allocation'!$B$5:$B$51,0)),"Candidate / Non-Holding"))</x:f>
      </x:c>
      <x:c r="H144" s="800"/>
      <x:c r="I144" s="800"/>
      <x:c r="J144" s="800"/>
      <x:c r="K144" s="800"/>
      <x:c r="L144" s="800"/>
      <x:c r="M144" s="800"/>
      <x:c r="N144" s="800"/>
      <x:c r="O144" s="800"/>
      <x:c r="P144" s="800"/>
      <x:c r="Q144" s="800"/>
      <x:c r="R144" s="800"/>
      <x:c r="S144" s="804"/>
      <x:c r="T144" s="800"/>
      <x:c r="U144" s="800"/>
      <x:c r="V144" s="800"/>
      <x:c r="W144" s="800"/>
      <x:c r="X144" s="800"/>
      <x:c r="Y144" s="800"/>
      <x:c r="Z144" s="800"/>
      <x:c r="AA144" s="800"/>
      <x:c r="AB144" s="804"/>
      <x:c r="AC144" s="805" t="str">
        <x:f>IF($A144="","",IF(AND(OR($T144="Closed — No Action",$T144="Closed — Incorporated"),$AB144&lt;&gt;""),MAX(0,$AB144-$B144),MAX(0,TODAY()-$B144)))</x:f>
      </x:c>
      <x:c r="AD144" s="775" t="str">
        <x:f>IF(COUNTA($A144:$F144,$H144:$AB144,$AG144)=0,"",IF(OR($A144="",$B144="",$C144="",$D144="",$F144="",$H144="",$I144="",$J144="",$K144="",$L144="",$M144="",$N144="",$O144="",$P144="",$Q144="",$R144="",$S144="",$T144="",$U144="",$V144="",$W144="",$X144="",$Y144="",$Z144="",$AA144="",AND(NOT(OR($D144="Portfolio-Level",$D144="Market / Macro",$D144="Other")),$E144="")),"INCOMPLETE",IF(COUNTIF($A$14:$A$213,$A144)&gt;1,"DUPLICATE ID","COMPLETE")))</x:f>
      </x:c>
      <x:c r="AE144" s="775" t="str">
        <x:f>IF($A144="","",IF($AD144&lt;&gt;"COMPLETE",$AD144,IF(AND($D144="Certified Holding",OR($E144="",$G144="Candidate / Non-Holding")),"HOLDING IDENTIFIER MISMATCH",IF(AND(OR($J144="Critical",$J144="High"),OR($U144="No",AND($L144="Unverified — Pending",$U144&lt;&gt;"Exception Approved"))),"VERIFY / ESCALATE",IF($X144="Unassigned","CONVICTION DECISION REQUIRED",IF(AND($S144&lt;TODAY(),$T144&lt;&gt;"Closed — No Action",$T144&lt;&gt;"Closed — Incorporated"),"OVERDUE",IF(AND(OR($T144="Closed — No Action",$T144="Closed — Incorporated"),$AB144=""),"CLOSE DATE REQUIRED",IF(AND(NOT(OR($T144="Closed — No Action",$T144="Closed — Incorporated")),$AB144&lt;&gt;""),"STATUS / CLOSE DATE MISMATCH",IF(AND($Z144&lt;&gt;"No",NOT(OR($U144="Yes",$U144="Exception Approved"))),"PEW REFERRAL BLOCKED",IF(AND($T144="Awaiting Verification",$U144="Yes"),"STATUS MISMATCH",IF(OR($T144="Closed — No Action",$T144="Closed — Incorporated"),"CLOSED","OPEN — ON TRACK")))))))))))</x:f>
      </x:c>
      <x:c r="AF144" s="775" t="str">
        <x:f>IF($A144="","",IF($AD144&lt;&gt;"COMPLETE","NOT ELIGIBLE",IF($X144="Unassigned","NOT ELIGIBLE — CONVICTION UNASSIGNED",IF(NOT(OR($U144="Yes",$U144="Exception Approved")),"NOT ELIGIBLE — UNVERIFIED",IF(OR($V144&lt;&gt;"None",AND($W144&lt;&gt;"None",$W144&lt;&gt;"Intact"),AND($X144&lt;&gt;"No Change",$X144&lt;&gt;"Not Applicable"),$Y144&lt;&gt;"None",$Z144&lt;&gt;"No"),"ELIGIBLE FOR ROUTING","NO REFERRAL REQUIRED")))))</x:f>
      </x:c>
      <x:c r="AG144" s="800"/>
    </x:row>
    <x:row r="145" ht="36" customHeight="1">
      <x:c r="A145" s="800"/>
      <x:c r="B145" s="804"/>
      <x:c r="C145" s="804"/>
      <x:c r="D145" s="800"/>
      <x:c r="E145" s="800"/>
      <x:c r="F145" s="800"/>
      <x:c r="G145" s="802" t="str">
        <x:f>IF($E145="","",IFERROR(INDEX('Certified Allocation'!$A$5:$A$51,MATCH($E145,'Certified Allocation'!$B$5:$B$51,0)),"Candidate / Non-Holding"))</x:f>
      </x:c>
      <x:c r="H145" s="800"/>
      <x:c r="I145" s="800"/>
      <x:c r="J145" s="800"/>
      <x:c r="K145" s="800"/>
      <x:c r="L145" s="800"/>
      <x:c r="M145" s="800"/>
      <x:c r="N145" s="800"/>
      <x:c r="O145" s="800"/>
      <x:c r="P145" s="800"/>
      <x:c r="Q145" s="800"/>
      <x:c r="R145" s="800"/>
      <x:c r="S145" s="804"/>
      <x:c r="T145" s="800"/>
      <x:c r="U145" s="800"/>
      <x:c r="V145" s="800"/>
      <x:c r="W145" s="800"/>
      <x:c r="X145" s="800"/>
      <x:c r="Y145" s="800"/>
      <x:c r="Z145" s="800"/>
      <x:c r="AA145" s="800"/>
      <x:c r="AB145" s="804"/>
      <x:c r="AC145" s="805" t="str">
        <x:f>IF($A145="","",IF(AND(OR($T145="Closed — No Action",$T145="Closed — Incorporated"),$AB145&lt;&gt;""),MAX(0,$AB145-$B145),MAX(0,TODAY()-$B145)))</x:f>
      </x:c>
      <x:c r="AD145" s="775" t="str">
        <x:f>IF(COUNTA($A145:$F145,$H145:$AB145,$AG145)=0,"",IF(OR($A145="",$B145="",$C145="",$D145="",$F145="",$H145="",$I145="",$J145="",$K145="",$L145="",$M145="",$N145="",$O145="",$P145="",$Q145="",$R145="",$S145="",$T145="",$U145="",$V145="",$W145="",$X145="",$Y145="",$Z145="",$AA145="",AND(NOT(OR($D145="Portfolio-Level",$D145="Market / Macro",$D145="Other")),$E145="")),"INCOMPLETE",IF(COUNTIF($A$14:$A$213,$A145)&gt;1,"DUPLICATE ID","COMPLETE")))</x:f>
      </x:c>
      <x:c r="AE145" s="775" t="str">
        <x:f>IF($A145="","",IF($AD145&lt;&gt;"COMPLETE",$AD145,IF(AND($D145="Certified Holding",OR($E145="",$G145="Candidate / Non-Holding")),"HOLDING IDENTIFIER MISMATCH",IF(AND(OR($J145="Critical",$J145="High"),OR($U145="No",AND($L145="Unverified — Pending",$U145&lt;&gt;"Exception Approved"))),"VERIFY / ESCALATE",IF($X145="Unassigned","CONVICTION DECISION REQUIRED",IF(AND($S145&lt;TODAY(),$T145&lt;&gt;"Closed — No Action",$T145&lt;&gt;"Closed — Incorporated"),"OVERDUE",IF(AND(OR($T145="Closed — No Action",$T145="Closed — Incorporated"),$AB145=""),"CLOSE DATE REQUIRED",IF(AND(NOT(OR($T145="Closed — No Action",$T145="Closed — Incorporated")),$AB145&lt;&gt;""),"STATUS / CLOSE DATE MISMATCH",IF(AND($Z145&lt;&gt;"No",NOT(OR($U145="Yes",$U145="Exception Approved"))),"PEW REFERRAL BLOCKED",IF(AND($T145="Awaiting Verification",$U145="Yes"),"STATUS MISMATCH",IF(OR($T145="Closed — No Action",$T145="Closed — Incorporated"),"CLOSED","OPEN — ON TRACK")))))))))))</x:f>
      </x:c>
      <x:c r="AF145" s="775" t="str">
        <x:f>IF($A145="","",IF($AD145&lt;&gt;"COMPLETE","NOT ELIGIBLE",IF($X145="Unassigned","NOT ELIGIBLE — CONVICTION UNASSIGNED",IF(NOT(OR($U145="Yes",$U145="Exception Approved")),"NOT ELIGIBLE — UNVERIFIED",IF(OR($V145&lt;&gt;"None",AND($W145&lt;&gt;"None",$W145&lt;&gt;"Intact"),AND($X145&lt;&gt;"No Change",$X145&lt;&gt;"Not Applicable"),$Y145&lt;&gt;"None",$Z145&lt;&gt;"No"),"ELIGIBLE FOR ROUTING","NO REFERRAL REQUIRED")))))</x:f>
      </x:c>
      <x:c r="AG145" s="800"/>
    </x:row>
    <x:row r="146" ht="36" customHeight="1">
      <x:c r="A146" s="800"/>
      <x:c r="B146" s="804"/>
      <x:c r="C146" s="804"/>
      <x:c r="D146" s="800"/>
      <x:c r="E146" s="800"/>
      <x:c r="F146" s="800"/>
      <x:c r="G146" s="802" t="str">
        <x:f>IF($E146="","",IFERROR(INDEX('Certified Allocation'!$A$5:$A$51,MATCH($E146,'Certified Allocation'!$B$5:$B$51,0)),"Candidate / Non-Holding"))</x:f>
      </x:c>
      <x:c r="H146" s="800"/>
      <x:c r="I146" s="800"/>
      <x:c r="J146" s="800"/>
      <x:c r="K146" s="800"/>
      <x:c r="L146" s="800"/>
      <x:c r="M146" s="800"/>
      <x:c r="N146" s="800"/>
      <x:c r="O146" s="800"/>
      <x:c r="P146" s="800"/>
      <x:c r="Q146" s="800"/>
      <x:c r="R146" s="800"/>
      <x:c r="S146" s="804"/>
      <x:c r="T146" s="800"/>
      <x:c r="U146" s="800"/>
      <x:c r="V146" s="800"/>
      <x:c r="W146" s="800"/>
      <x:c r="X146" s="800"/>
      <x:c r="Y146" s="800"/>
      <x:c r="Z146" s="800"/>
      <x:c r="AA146" s="800"/>
      <x:c r="AB146" s="804"/>
      <x:c r="AC146" s="805" t="str">
        <x:f>IF($A146="","",IF(AND(OR($T146="Closed — No Action",$T146="Closed — Incorporated"),$AB146&lt;&gt;""),MAX(0,$AB146-$B146),MAX(0,TODAY()-$B146)))</x:f>
      </x:c>
      <x:c r="AD146" s="775" t="str">
        <x:f>IF(COUNTA($A146:$F146,$H146:$AB146,$AG146)=0,"",IF(OR($A146="",$B146="",$C146="",$D146="",$F146="",$H146="",$I146="",$J146="",$K146="",$L146="",$M146="",$N146="",$O146="",$P146="",$Q146="",$R146="",$S146="",$T146="",$U146="",$V146="",$W146="",$X146="",$Y146="",$Z146="",$AA146="",AND(NOT(OR($D146="Portfolio-Level",$D146="Market / Macro",$D146="Other")),$E146="")),"INCOMPLETE",IF(COUNTIF($A$14:$A$213,$A146)&gt;1,"DUPLICATE ID","COMPLETE")))</x:f>
      </x:c>
      <x:c r="AE146" s="775" t="str">
        <x:f>IF($A146="","",IF($AD146&lt;&gt;"COMPLETE",$AD146,IF(AND($D146="Certified Holding",OR($E146="",$G146="Candidate / Non-Holding")),"HOLDING IDENTIFIER MISMATCH",IF(AND(OR($J146="Critical",$J146="High"),OR($U146="No",AND($L146="Unverified — Pending",$U146&lt;&gt;"Exception Approved"))),"VERIFY / ESCALATE",IF($X146="Unassigned","CONVICTION DECISION REQUIRED",IF(AND($S146&lt;TODAY(),$T146&lt;&gt;"Closed — No Action",$T146&lt;&gt;"Closed — Incorporated"),"OVERDUE",IF(AND(OR($T146="Closed — No Action",$T146="Closed — Incorporated"),$AB146=""),"CLOSE DATE REQUIRED",IF(AND(NOT(OR($T146="Closed — No Action",$T146="Closed — Incorporated")),$AB146&lt;&gt;""),"STATUS / CLOSE DATE MISMATCH",IF(AND($Z146&lt;&gt;"No",NOT(OR($U146="Yes",$U146="Exception Approved"))),"PEW REFERRAL BLOCKED",IF(AND($T146="Awaiting Verification",$U146="Yes"),"STATUS MISMATCH",IF(OR($T146="Closed — No Action",$T146="Closed — Incorporated"),"CLOSED","OPEN — ON TRACK")))))))))))</x:f>
      </x:c>
      <x:c r="AF146" s="775" t="str">
        <x:f>IF($A146="","",IF($AD146&lt;&gt;"COMPLETE","NOT ELIGIBLE",IF($X146="Unassigned","NOT ELIGIBLE — CONVICTION UNASSIGNED",IF(NOT(OR($U146="Yes",$U146="Exception Approved")),"NOT ELIGIBLE — UNVERIFIED",IF(OR($V146&lt;&gt;"None",AND($W146&lt;&gt;"None",$W146&lt;&gt;"Intact"),AND($X146&lt;&gt;"No Change",$X146&lt;&gt;"Not Applicable"),$Y146&lt;&gt;"None",$Z146&lt;&gt;"No"),"ELIGIBLE FOR ROUTING","NO REFERRAL REQUIRED")))))</x:f>
      </x:c>
      <x:c r="AG146" s="800"/>
    </x:row>
    <x:row r="147" ht="36" customHeight="1">
      <x:c r="A147" s="800"/>
      <x:c r="B147" s="804"/>
      <x:c r="C147" s="804"/>
      <x:c r="D147" s="800"/>
      <x:c r="E147" s="800"/>
      <x:c r="F147" s="800"/>
      <x:c r="G147" s="802" t="str">
        <x:f>IF($E147="","",IFERROR(INDEX('Certified Allocation'!$A$5:$A$51,MATCH($E147,'Certified Allocation'!$B$5:$B$51,0)),"Candidate / Non-Holding"))</x:f>
      </x:c>
      <x:c r="H147" s="800"/>
      <x:c r="I147" s="800"/>
      <x:c r="J147" s="800"/>
      <x:c r="K147" s="800"/>
      <x:c r="L147" s="800"/>
      <x:c r="M147" s="800"/>
      <x:c r="N147" s="800"/>
      <x:c r="O147" s="800"/>
      <x:c r="P147" s="800"/>
      <x:c r="Q147" s="800"/>
      <x:c r="R147" s="800"/>
      <x:c r="S147" s="804"/>
      <x:c r="T147" s="800"/>
      <x:c r="U147" s="800"/>
      <x:c r="V147" s="800"/>
      <x:c r="W147" s="800"/>
      <x:c r="X147" s="800"/>
      <x:c r="Y147" s="800"/>
      <x:c r="Z147" s="800"/>
      <x:c r="AA147" s="800"/>
      <x:c r="AB147" s="804"/>
      <x:c r="AC147" s="805" t="str">
        <x:f>IF($A147="","",IF(AND(OR($T147="Closed — No Action",$T147="Closed — Incorporated"),$AB147&lt;&gt;""),MAX(0,$AB147-$B147),MAX(0,TODAY()-$B147)))</x:f>
      </x:c>
      <x:c r="AD147" s="775" t="str">
        <x:f>IF(COUNTA($A147:$F147,$H147:$AB147,$AG147)=0,"",IF(OR($A147="",$B147="",$C147="",$D147="",$F147="",$H147="",$I147="",$J147="",$K147="",$L147="",$M147="",$N147="",$O147="",$P147="",$Q147="",$R147="",$S147="",$T147="",$U147="",$V147="",$W147="",$X147="",$Y147="",$Z147="",$AA147="",AND(NOT(OR($D147="Portfolio-Level",$D147="Market / Macro",$D147="Other")),$E147="")),"INCOMPLETE",IF(COUNTIF($A$14:$A$213,$A147)&gt;1,"DUPLICATE ID","COMPLETE")))</x:f>
      </x:c>
      <x:c r="AE147" s="775" t="str">
        <x:f>IF($A147="","",IF($AD147&lt;&gt;"COMPLETE",$AD147,IF(AND($D147="Certified Holding",OR($E147="",$G147="Candidate / Non-Holding")),"HOLDING IDENTIFIER MISMATCH",IF(AND(OR($J147="Critical",$J147="High"),OR($U147="No",AND($L147="Unverified — Pending",$U147&lt;&gt;"Exception Approved"))),"VERIFY / ESCALATE",IF($X147="Unassigned","CONVICTION DECISION REQUIRED",IF(AND($S147&lt;TODAY(),$T147&lt;&gt;"Closed — No Action",$T147&lt;&gt;"Closed — Incorporated"),"OVERDUE",IF(AND(OR($T147="Closed — No Action",$T147="Closed — Incorporated"),$AB147=""),"CLOSE DATE REQUIRED",IF(AND(NOT(OR($T147="Closed — No Action",$T147="Closed — Incorporated")),$AB147&lt;&gt;""),"STATUS / CLOSE DATE MISMATCH",IF(AND($Z147&lt;&gt;"No",NOT(OR($U147="Yes",$U147="Exception Approved"))),"PEW REFERRAL BLOCKED",IF(AND($T147="Awaiting Verification",$U147="Yes"),"STATUS MISMATCH",IF(OR($T147="Closed — No Action",$T147="Closed — Incorporated"),"CLOSED","OPEN — ON TRACK")))))))))))</x:f>
      </x:c>
      <x:c r="AF147" s="775" t="str">
        <x:f>IF($A147="","",IF($AD147&lt;&gt;"COMPLETE","NOT ELIGIBLE",IF($X147="Unassigned","NOT ELIGIBLE — CONVICTION UNASSIGNED",IF(NOT(OR($U147="Yes",$U147="Exception Approved")),"NOT ELIGIBLE — UNVERIFIED",IF(OR($V147&lt;&gt;"None",AND($W147&lt;&gt;"None",$W147&lt;&gt;"Intact"),AND($X147&lt;&gt;"No Change",$X147&lt;&gt;"Not Applicable"),$Y147&lt;&gt;"None",$Z147&lt;&gt;"No"),"ELIGIBLE FOR ROUTING","NO REFERRAL REQUIRED")))))</x:f>
      </x:c>
      <x:c r="AG147" s="800"/>
    </x:row>
    <x:row r="148" ht="36" customHeight="1">
      <x:c r="A148" s="800"/>
      <x:c r="B148" s="804"/>
      <x:c r="C148" s="804"/>
      <x:c r="D148" s="800"/>
      <x:c r="E148" s="800"/>
      <x:c r="F148" s="800"/>
      <x:c r="G148" s="802" t="str">
        <x:f>IF($E148="","",IFERROR(INDEX('Certified Allocation'!$A$5:$A$51,MATCH($E148,'Certified Allocation'!$B$5:$B$51,0)),"Candidate / Non-Holding"))</x:f>
      </x:c>
      <x:c r="H148" s="800"/>
      <x:c r="I148" s="800"/>
      <x:c r="J148" s="800"/>
      <x:c r="K148" s="800"/>
      <x:c r="L148" s="800"/>
      <x:c r="M148" s="800"/>
      <x:c r="N148" s="800"/>
      <x:c r="O148" s="800"/>
      <x:c r="P148" s="800"/>
      <x:c r="Q148" s="800"/>
      <x:c r="R148" s="800"/>
      <x:c r="S148" s="804"/>
      <x:c r="T148" s="800"/>
      <x:c r="U148" s="800"/>
      <x:c r="V148" s="800"/>
      <x:c r="W148" s="800"/>
      <x:c r="X148" s="800"/>
      <x:c r="Y148" s="800"/>
      <x:c r="Z148" s="800"/>
      <x:c r="AA148" s="800"/>
      <x:c r="AB148" s="804"/>
      <x:c r="AC148" s="805" t="str">
        <x:f>IF($A148="","",IF(AND(OR($T148="Closed — No Action",$T148="Closed — Incorporated"),$AB148&lt;&gt;""),MAX(0,$AB148-$B148),MAX(0,TODAY()-$B148)))</x:f>
      </x:c>
      <x:c r="AD148" s="775" t="str">
        <x:f>IF(COUNTA($A148:$F148,$H148:$AB148,$AG148)=0,"",IF(OR($A148="",$B148="",$C148="",$D148="",$F148="",$H148="",$I148="",$J148="",$K148="",$L148="",$M148="",$N148="",$O148="",$P148="",$Q148="",$R148="",$S148="",$T148="",$U148="",$V148="",$W148="",$X148="",$Y148="",$Z148="",$AA148="",AND(NOT(OR($D148="Portfolio-Level",$D148="Market / Macro",$D148="Other")),$E148="")),"INCOMPLETE",IF(COUNTIF($A$14:$A$213,$A148)&gt;1,"DUPLICATE ID","COMPLETE")))</x:f>
      </x:c>
      <x:c r="AE148" s="775" t="str">
        <x:f>IF($A148="","",IF($AD148&lt;&gt;"COMPLETE",$AD148,IF(AND($D148="Certified Holding",OR($E148="",$G148="Candidate / Non-Holding")),"HOLDING IDENTIFIER MISMATCH",IF(AND(OR($J148="Critical",$J148="High"),OR($U148="No",AND($L148="Unverified — Pending",$U148&lt;&gt;"Exception Approved"))),"VERIFY / ESCALATE",IF($X148="Unassigned","CONVICTION DECISION REQUIRED",IF(AND($S148&lt;TODAY(),$T148&lt;&gt;"Closed — No Action",$T148&lt;&gt;"Closed — Incorporated"),"OVERDUE",IF(AND(OR($T148="Closed — No Action",$T148="Closed — Incorporated"),$AB148=""),"CLOSE DATE REQUIRED",IF(AND(NOT(OR($T148="Closed — No Action",$T148="Closed — Incorporated")),$AB148&lt;&gt;""),"STATUS / CLOSE DATE MISMATCH",IF(AND($Z148&lt;&gt;"No",NOT(OR($U148="Yes",$U148="Exception Approved"))),"PEW REFERRAL BLOCKED",IF(AND($T148="Awaiting Verification",$U148="Yes"),"STATUS MISMATCH",IF(OR($T148="Closed — No Action",$T148="Closed — Incorporated"),"CLOSED","OPEN — ON TRACK")))))))))))</x:f>
      </x:c>
      <x:c r="AF148" s="775" t="str">
        <x:f>IF($A148="","",IF($AD148&lt;&gt;"COMPLETE","NOT ELIGIBLE",IF($X148="Unassigned","NOT ELIGIBLE — CONVICTION UNASSIGNED",IF(NOT(OR($U148="Yes",$U148="Exception Approved")),"NOT ELIGIBLE — UNVERIFIED",IF(OR($V148&lt;&gt;"None",AND($W148&lt;&gt;"None",$W148&lt;&gt;"Intact"),AND($X148&lt;&gt;"No Change",$X148&lt;&gt;"Not Applicable"),$Y148&lt;&gt;"None",$Z148&lt;&gt;"No"),"ELIGIBLE FOR ROUTING","NO REFERRAL REQUIRED")))))</x:f>
      </x:c>
      <x:c r="AG148" s="800"/>
    </x:row>
    <x:row r="149" ht="36" customHeight="1">
      <x:c r="A149" s="800"/>
      <x:c r="B149" s="804"/>
      <x:c r="C149" s="804"/>
      <x:c r="D149" s="800"/>
      <x:c r="E149" s="800"/>
      <x:c r="F149" s="800"/>
      <x:c r="G149" s="802" t="str">
        <x:f>IF($E149="","",IFERROR(INDEX('Certified Allocation'!$A$5:$A$51,MATCH($E149,'Certified Allocation'!$B$5:$B$51,0)),"Candidate / Non-Holding"))</x:f>
      </x:c>
      <x:c r="H149" s="800"/>
      <x:c r="I149" s="800"/>
      <x:c r="J149" s="800"/>
      <x:c r="K149" s="800"/>
      <x:c r="L149" s="800"/>
      <x:c r="M149" s="800"/>
      <x:c r="N149" s="800"/>
      <x:c r="O149" s="800"/>
      <x:c r="P149" s="800"/>
      <x:c r="Q149" s="800"/>
      <x:c r="R149" s="800"/>
      <x:c r="S149" s="804"/>
      <x:c r="T149" s="800"/>
      <x:c r="U149" s="800"/>
      <x:c r="V149" s="800"/>
      <x:c r="W149" s="800"/>
      <x:c r="X149" s="800"/>
      <x:c r="Y149" s="800"/>
      <x:c r="Z149" s="800"/>
      <x:c r="AA149" s="800"/>
      <x:c r="AB149" s="804"/>
      <x:c r="AC149" s="805" t="str">
        <x:f>IF($A149="","",IF(AND(OR($T149="Closed — No Action",$T149="Closed — Incorporated"),$AB149&lt;&gt;""),MAX(0,$AB149-$B149),MAX(0,TODAY()-$B149)))</x:f>
      </x:c>
      <x:c r="AD149" s="775" t="str">
        <x:f>IF(COUNTA($A149:$F149,$H149:$AB149,$AG149)=0,"",IF(OR($A149="",$B149="",$C149="",$D149="",$F149="",$H149="",$I149="",$J149="",$K149="",$L149="",$M149="",$N149="",$O149="",$P149="",$Q149="",$R149="",$S149="",$T149="",$U149="",$V149="",$W149="",$X149="",$Y149="",$Z149="",$AA149="",AND(NOT(OR($D149="Portfolio-Level",$D149="Market / Macro",$D149="Other")),$E149="")),"INCOMPLETE",IF(COUNTIF($A$14:$A$213,$A149)&gt;1,"DUPLICATE ID","COMPLETE")))</x:f>
      </x:c>
      <x:c r="AE149" s="775" t="str">
        <x:f>IF($A149="","",IF($AD149&lt;&gt;"COMPLETE",$AD149,IF(AND($D149="Certified Holding",OR($E149="",$G149="Candidate / Non-Holding")),"HOLDING IDENTIFIER MISMATCH",IF(AND(OR($J149="Critical",$J149="High"),OR($U149="No",AND($L149="Unverified — Pending",$U149&lt;&gt;"Exception Approved"))),"VERIFY / ESCALATE",IF($X149="Unassigned","CONVICTION DECISION REQUIRED",IF(AND($S149&lt;TODAY(),$T149&lt;&gt;"Closed — No Action",$T149&lt;&gt;"Closed — Incorporated"),"OVERDUE",IF(AND(OR($T149="Closed — No Action",$T149="Closed — Incorporated"),$AB149=""),"CLOSE DATE REQUIRED",IF(AND(NOT(OR($T149="Closed — No Action",$T149="Closed — Incorporated")),$AB149&lt;&gt;""),"STATUS / CLOSE DATE MISMATCH",IF(AND($Z149&lt;&gt;"No",NOT(OR($U149="Yes",$U149="Exception Approved"))),"PEW REFERRAL BLOCKED",IF(AND($T149="Awaiting Verification",$U149="Yes"),"STATUS MISMATCH",IF(OR($T149="Closed — No Action",$T149="Closed — Incorporated"),"CLOSED","OPEN — ON TRACK")))))))))))</x:f>
      </x:c>
      <x:c r="AF149" s="775" t="str">
        <x:f>IF($A149="","",IF($AD149&lt;&gt;"COMPLETE","NOT ELIGIBLE",IF($X149="Unassigned","NOT ELIGIBLE — CONVICTION UNASSIGNED",IF(NOT(OR($U149="Yes",$U149="Exception Approved")),"NOT ELIGIBLE — UNVERIFIED",IF(OR($V149&lt;&gt;"None",AND($W149&lt;&gt;"None",$W149&lt;&gt;"Intact"),AND($X149&lt;&gt;"No Change",$X149&lt;&gt;"Not Applicable"),$Y149&lt;&gt;"None",$Z149&lt;&gt;"No"),"ELIGIBLE FOR ROUTING","NO REFERRAL REQUIRED")))))</x:f>
      </x:c>
      <x:c r="AG149" s="800"/>
    </x:row>
    <x:row r="150" ht="36" customHeight="1">
      <x:c r="A150" s="800"/>
      <x:c r="B150" s="804"/>
      <x:c r="C150" s="804"/>
      <x:c r="D150" s="800"/>
      <x:c r="E150" s="800"/>
      <x:c r="F150" s="800"/>
      <x:c r="G150" s="802" t="str">
        <x:f>IF($E150="","",IFERROR(INDEX('Certified Allocation'!$A$5:$A$51,MATCH($E150,'Certified Allocation'!$B$5:$B$51,0)),"Candidate / Non-Holding"))</x:f>
      </x:c>
      <x:c r="H150" s="800"/>
      <x:c r="I150" s="800"/>
      <x:c r="J150" s="800"/>
      <x:c r="K150" s="800"/>
      <x:c r="L150" s="800"/>
      <x:c r="M150" s="800"/>
      <x:c r="N150" s="800"/>
      <x:c r="O150" s="800"/>
      <x:c r="P150" s="800"/>
      <x:c r="Q150" s="800"/>
      <x:c r="R150" s="800"/>
      <x:c r="S150" s="804"/>
      <x:c r="T150" s="800"/>
      <x:c r="U150" s="800"/>
      <x:c r="V150" s="800"/>
      <x:c r="W150" s="800"/>
      <x:c r="X150" s="800"/>
      <x:c r="Y150" s="800"/>
      <x:c r="Z150" s="800"/>
      <x:c r="AA150" s="800"/>
      <x:c r="AB150" s="804"/>
      <x:c r="AC150" s="805" t="str">
        <x:f>IF($A150="","",IF(AND(OR($T150="Closed — No Action",$T150="Closed — Incorporated"),$AB150&lt;&gt;""),MAX(0,$AB150-$B150),MAX(0,TODAY()-$B150)))</x:f>
      </x:c>
      <x:c r="AD150" s="775" t="str">
        <x:f>IF(COUNTA($A150:$F150,$H150:$AB150,$AG150)=0,"",IF(OR($A150="",$B150="",$C150="",$D150="",$F150="",$H150="",$I150="",$J150="",$K150="",$L150="",$M150="",$N150="",$O150="",$P150="",$Q150="",$R150="",$S150="",$T150="",$U150="",$V150="",$W150="",$X150="",$Y150="",$Z150="",$AA150="",AND(NOT(OR($D150="Portfolio-Level",$D150="Market / Macro",$D150="Other")),$E150="")),"INCOMPLETE",IF(COUNTIF($A$14:$A$213,$A150)&gt;1,"DUPLICATE ID","COMPLETE")))</x:f>
      </x:c>
      <x:c r="AE150" s="775" t="str">
        <x:f>IF($A150="","",IF($AD150&lt;&gt;"COMPLETE",$AD150,IF(AND($D150="Certified Holding",OR($E150="",$G150="Candidate / Non-Holding")),"HOLDING IDENTIFIER MISMATCH",IF(AND(OR($J150="Critical",$J150="High"),OR($U150="No",AND($L150="Unverified — Pending",$U150&lt;&gt;"Exception Approved"))),"VERIFY / ESCALATE",IF($X150="Unassigned","CONVICTION DECISION REQUIRED",IF(AND($S150&lt;TODAY(),$T150&lt;&gt;"Closed — No Action",$T150&lt;&gt;"Closed — Incorporated"),"OVERDUE",IF(AND(OR($T150="Closed — No Action",$T150="Closed — Incorporated"),$AB150=""),"CLOSE DATE REQUIRED",IF(AND(NOT(OR($T150="Closed — No Action",$T150="Closed — Incorporated")),$AB150&lt;&gt;""),"STATUS / CLOSE DATE MISMATCH",IF(AND($Z150&lt;&gt;"No",NOT(OR($U150="Yes",$U150="Exception Approved"))),"PEW REFERRAL BLOCKED",IF(AND($T150="Awaiting Verification",$U150="Yes"),"STATUS MISMATCH",IF(OR($T150="Closed — No Action",$T150="Closed — Incorporated"),"CLOSED","OPEN — ON TRACK")))))))))))</x:f>
      </x:c>
      <x:c r="AF150" s="775" t="str">
        <x:f>IF($A150="","",IF($AD150&lt;&gt;"COMPLETE","NOT ELIGIBLE",IF($X150="Unassigned","NOT ELIGIBLE — CONVICTION UNASSIGNED",IF(NOT(OR($U150="Yes",$U150="Exception Approved")),"NOT ELIGIBLE — UNVERIFIED",IF(OR($V150&lt;&gt;"None",AND($W150&lt;&gt;"None",$W150&lt;&gt;"Intact"),AND($X150&lt;&gt;"No Change",$X150&lt;&gt;"Not Applicable"),$Y150&lt;&gt;"None",$Z150&lt;&gt;"No"),"ELIGIBLE FOR ROUTING","NO REFERRAL REQUIRED")))))</x:f>
      </x:c>
      <x:c r="AG150" s="800"/>
    </x:row>
    <x:row r="151" ht="36" customHeight="1">
      <x:c r="A151" s="800"/>
      <x:c r="B151" s="804"/>
      <x:c r="C151" s="804"/>
      <x:c r="D151" s="800"/>
      <x:c r="E151" s="800"/>
      <x:c r="F151" s="800"/>
      <x:c r="G151" s="802" t="str">
        <x:f>IF($E151="","",IFERROR(INDEX('Certified Allocation'!$A$5:$A$51,MATCH($E151,'Certified Allocation'!$B$5:$B$51,0)),"Candidate / Non-Holding"))</x:f>
      </x:c>
      <x:c r="H151" s="800"/>
      <x:c r="I151" s="800"/>
      <x:c r="J151" s="800"/>
      <x:c r="K151" s="800"/>
      <x:c r="L151" s="800"/>
      <x:c r="M151" s="800"/>
      <x:c r="N151" s="800"/>
      <x:c r="O151" s="800"/>
      <x:c r="P151" s="800"/>
      <x:c r="Q151" s="800"/>
      <x:c r="R151" s="800"/>
      <x:c r="S151" s="804"/>
      <x:c r="T151" s="800"/>
      <x:c r="U151" s="800"/>
      <x:c r="V151" s="800"/>
      <x:c r="W151" s="800"/>
      <x:c r="X151" s="800"/>
      <x:c r="Y151" s="800"/>
      <x:c r="Z151" s="800"/>
      <x:c r="AA151" s="800"/>
      <x:c r="AB151" s="804"/>
      <x:c r="AC151" s="805" t="str">
        <x:f>IF($A151="","",IF(AND(OR($T151="Closed — No Action",$T151="Closed — Incorporated"),$AB151&lt;&gt;""),MAX(0,$AB151-$B151),MAX(0,TODAY()-$B151)))</x:f>
      </x:c>
      <x:c r="AD151" s="775" t="str">
        <x:f>IF(COUNTA($A151:$F151,$H151:$AB151,$AG151)=0,"",IF(OR($A151="",$B151="",$C151="",$D151="",$F151="",$H151="",$I151="",$J151="",$K151="",$L151="",$M151="",$N151="",$O151="",$P151="",$Q151="",$R151="",$S151="",$T151="",$U151="",$V151="",$W151="",$X151="",$Y151="",$Z151="",$AA151="",AND(NOT(OR($D151="Portfolio-Level",$D151="Market / Macro",$D151="Other")),$E151="")),"INCOMPLETE",IF(COUNTIF($A$14:$A$213,$A151)&gt;1,"DUPLICATE ID","COMPLETE")))</x:f>
      </x:c>
      <x:c r="AE151" s="775" t="str">
        <x:f>IF($A151="","",IF($AD151&lt;&gt;"COMPLETE",$AD151,IF(AND($D151="Certified Holding",OR($E151="",$G151="Candidate / Non-Holding")),"HOLDING IDENTIFIER MISMATCH",IF(AND(OR($J151="Critical",$J151="High"),OR($U151="No",AND($L151="Unverified — Pending",$U151&lt;&gt;"Exception Approved"))),"VERIFY / ESCALATE",IF($X151="Unassigned","CONVICTION DECISION REQUIRED",IF(AND($S151&lt;TODAY(),$T151&lt;&gt;"Closed — No Action",$T151&lt;&gt;"Closed — Incorporated"),"OVERDUE",IF(AND(OR($T151="Closed — No Action",$T151="Closed — Incorporated"),$AB151=""),"CLOSE DATE REQUIRED",IF(AND(NOT(OR($T151="Closed — No Action",$T151="Closed — Incorporated")),$AB151&lt;&gt;""),"STATUS / CLOSE DATE MISMATCH",IF(AND($Z151&lt;&gt;"No",NOT(OR($U151="Yes",$U151="Exception Approved"))),"PEW REFERRAL BLOCKED",IF(AND($T151="Awaiting Verification",$U151="Yes"),"STATUS MISMATCH",IF(OR($T151="Closed — No Action",$T151="Closed — Incorporated"),"CLOSED","OPEN — ON TRACK")))))))))))</x:f>
      </x:c>
      <x:c r="AF151" s="775" t="str">
        <x:f>IF($A151="","",IF($AD151&lt;&gt;"COMPLETE","NOT ELIGIBLE",IF($X151="Unassigned","NOT ELIGIBLE — CONVICTION UNASSIGNED",IF(NOT(OR($U151="Yes",$U151="Exception Approved")),"NOT ELIGIBLE — UNVERIFIED",IF(OR($V151&lt;&gt;"None",AND($W151&lt;&gt;"None",$W151&lt;&gt;"Intact"),AND($X151&lt;&gt;"No Change",$X151&lt;&gt;"Not Applicable"),$Y151&lt;&gt;"None",$Z151&lt;&gt;"No"),"ELIGIBLE FOR ROUTING","NO REFERRAL REQUIRED")))))</x:f>
      </x:c>
      <x:c r="AG151" s="800"/>
    </x:row>
    <x:row r="152" ht="36" customHeight="1">
      <x:c r="A152" s="800"/>
      <x:c r="B152" s="804"/>
      <x:c r="C152" s="804"/>
      <x:c r="D152" s="800"/>
      <x:c r="E152" s="800"/>
      <x:c r="F152" s="800"/>
      <x:c r="G152" s="802" t="str">
        <x:f>IF($E152="","",IFERROR(INDEX('Certified Allocation'!$A$5:$A$51,MATCH($E152,'Certified Allocation'!$B$5:$B$51,0)),"Candidate / Non-Holding"))</x:f>
      </x:c>
      <x:c r="H152" s="800"/>
      <x:c r="I152" s="800"/>
      <x:c r="J152" s="800"/>
      <x:c r="K152" s="800"/>
      <x:c r="L152" s="800"/>
      <x:c r="M152" s="800"/>
      <x:c r="N152" s="800"/>
      <x:c r="O152" s="800"/>
      <x:c r="P152" s="800"/>
      <x:c r="Q152" s="800"/>
      <x:c r="R152" s="800"/>
      <x:c r="S152" s="804"/>
      <x:c r="T152" s="800"/>
      <x:c r="U152" s="800"/>
      <x:c r="V152" s="800"/>
      <x:c r="W152" s="800"/>
      <x:c r="X152" s="800"/>
      <x:c r="Y152" s="800"/>
      <x:c r="Z152" s="800"/>
      <x:c r="AA152" s="800"/>
      <x:c r="AB152" s="804"/>
      <x:c r="AC152" s="805" t="str">
        <x:f>IF($A152="","",IF(AND(OR($T152="Closed — No Action",$T152="Closed — Incorporated"),$AB152&lt;&gt;""),MAX(0,$AB152-$B152),MAX(0,TODAY()-$B152)))</x:f>
      </x:c>
      <x:c r="AD152" s="775" t="str">
        <x:f>IF(COUNTA($A152:$F152,$H152:$AB152,$AG152)=0,"",IF(OR($A152="",$B152="",$C152="",$D152="",$F152="",$H152="",$I152="",$J152="",$K152="",$L152="",$M152="",$N152="",$O152="",$P152="",$Q152="",$R152="",$S152="",$T152="",$U152="",$V152="",$W152="",$X152="",$Y152="",$Z152="",$AA152="",AND(NOT(OR($D152="Portfolio-Level",$D152="Market / Macro",$D152="Other")),$E152="")),"INCOMPLETE",IF(COUNTIF($A$14:$A$213,$A152)&gt;1,"DUPLICATE ID","COMPLETE")))</x:f>
      </x:c>
      <x:c r="AE152" s="775" t="str">
        <x:f>IF($A152="","",IF($AD152&lt;&gt;"COMPLETE",$AD152,IF(AND($D152="Certified Holding",OR($E152="",$G152="Candidate / Non-Holding")),"HOLDING IDENTIFIER MISMATCH",IF(AND(OR($J152="Critical",$J152="High"),OR($U152="No",AND($L152="Unverified — Pending",$U152&lt;&gt;"Exception Approved"))),"VERIFY / ESCALATE",IF($X152="Unassigned","CONVICTION DECISION REQUIRED",IF(AND($S152&lt;TODAY(),$T152&lt;&gt;"Closed — No Action",$T152&lt;&gt;"Closed — Incorporated"),"OVERDUE",IF(AND(OR($T152="Closed — No Action",$T152="Closed — Incorporated"),$AB152=""),"CLOSE DATE REQUIRED",IF(AND(NOT(OR($T152="Closed — No Action",$T152="Closed — Incorporated")),$AB152&lt;&gt;""),"STATUS / CLOSE DATE MISMATCH",IF(AND($Z152&lt;&gt;"No",NOT(OR($U152="Yes",$U152="Exception Approved"))),"PEW REFERRAL BLOCKED",IF(AND($T152="Awaiting Verification",$U152="Yes"),"STATUS MISMATCH",IF(OR($T152="Closed — No Action",$T152="Closed — Incorporated"),"CLOSED","OPEN — ON TRACK")))))))))))</x:f>
      </x:c>
      <x:c r="AF152" s="775" t="str">
        <x:f>IF($A152="","",IF($AD152&lt;&gt;"COMPLETE","NOT ELIGIBLE",IF($X152="Unassigned","NOT ELIGIBLE — CONVICTION UNASSIGNED",IF(NOT(OR($U152="Yes",$U152="Exception Approved")),"NOT ELIGIBLE — UNVERIFIED",IF(OR($V152&lt;&gt;"None",AND($W152&lt;&gt;"None",$W152&lt;&gt;"Intact"),AND($X152&lt;&gt;"No Change",$X152&lt;&gt;"Not Applicable"),$Y152&lt;&gt;"None",$Z152&lt;&gt;"No"),"ELIGIBLE FOR ROUTING","NO REFERRAL REQUIRED")))))</x:f>
      </x:c>
      <x:c r="AG152" s="800"/>
    </x:row>
    <x:row r="153" ht="36" customHeight="1">
      <x:c r="A153" s="800"/>
      <x:c r="B153" s="804"/>
      <x:c r="C153" s="804"/>
      <x:c r="D153" s="800"/>
      <x:c r="E153" s="800"/>
      <x:c r="F153" s="800"/>
      <x:c r="G153" s="802" t="str">
        <x:f>IF($E153="","",IFERROR(INDEX('Certified Allocation'!$A$5:$A$51,MATCH($E153,'Certified Allocation'!$B$5:$B$51,0)),"Candidate / Non-Holding"))</x:f>
      </x:c>
      <x:c r="H153" s="800"/>
      <x:c r="I153" s="800"/>
      <x:c r="J153" s="800"/>
      <x:c r="K153" s="800"/>
      <x:c r="L153" s="800"/>
      <x:c r="M153" s="800"/>
      <x:c r="N153" s="800"/>
      <x:c r="O153" s="800"/>
      <x:c r="P153" s="800"/>
      <x:c r="Q153" s="800"/>
      <x:c r="R153" s="800"/>
      <x:c r="S153" s="804"/>
      <x:c r="T153" s="800"/>
      <x:c r="U153" s="800"/>
      <x:c r="V153" s="800"/>
      <x:c r="W153" s="800"/>
      <x:c r="X153" s="800"/>
      <x:c r="Y153" s="800"/>
      <x:c r="Z153" s="800"/>
      <x:c r="AA153" s="800"/>
      <x:c r="AB153" s="804"/>
      <x:c r="AC153" s="805" t="str">
        <x:f>IF($A153="","",IF(AND(OR($T153="Closed — No Action",$T153="Closed — Incorporated"),$AB153&lt;&gt;""),MAX(0,$AB153-$B153),MAX(0,TODAY()-$B153)))</x:f>
      </x:c>
      <x:c r="AD153" s="775" t="str">
        <x:f>IF(COUNTA($A153:$F153,$H153:$AB153,$AG153)=0,"",IF(OR($A153="",$B153="",$C153="",$D153="",$F153="",$H153="",$I153="",$J153="",$K153="",$L153="",$M153="",$N153="",$O153="",$P153="",$Q153="",$R153="",$S153="",$T153="",$U153="",$V153="",$W153="",$X153="",$Y153="",$Z153="",$AA153="",AND(NOT(OR($D153="Portfolio-Level",$D153="Market / Macro",$D153="Other")),$E153="")),"INCOMPLETE",IF(COUNTIF($A$14:$A$213,$A153)&gt;1,"DUPLICATE ID","COMPLETE")))</x:f>
      </x:c>
      <x:c r="AE153" s="775" t="str">
        <x:f>IF($A153="","",IF($AD153&lt;&gt;"COMPLETE",$AD153,IF(AND($D153="Certified Holding",OR($E153="",$G153="Candidate / Non-Holding")),"HOLDING IDENTIFIER MISMATCH",IF(AND(OR($J153="Critical",$J153="High"),OR($U153="No",AND($L153="Unverified — Pending",$U153&lt;&gt;"Exception Approved"))),"VERIFY / ESCALATE",IF($X153="Unassigned","CONVICTION DECISION REQUIRED",IF(AND($S153&lt;TODAY(),$T153&lt;&gt;"Closed — No Action",$T153&lt;&gt;"Closed — Incorporated"),"OVERDUE",IF(AND(OR($T153="Closed — No Action",$T153="Closed — Incorporated"),$AB153=""),"CLOSE DATE REQUIRED",IF(AND(NOT(OR($T153="Closed — No Action",$T153="Closed — Incorporated")),$AB153&lt;&gt;""),"STATUS / CLOSE DATE MISMATCH",IF(AND($Z153&lt;&gt;"No",NOT(OR($U153="Yes",$U153="Exception Approved"))),"PEW REFERRAL BLOCKED",IF(AND($T153="Awaiting Verification",$U153="Yes"),"STATUS MISMATCH",IF(OR($T153="Closed — No Action",$T153="Closed — Incorporated"),"CLOSED","OPEN — ON TRACK")))))))))))</x:f>
      </x:c>
      <x:c r="AF153" s="775" t="str">
        <x:f>IF($A153="","",IF($AD153&lt;&gt;"COMPLETE","NOT ELIGIBLE",IF($X153="Unassigned","NOT ELIGIBLE — CONVICTION UNASSIGNED",IF(NOT(OR($U153="Yes",$U153="Exception Approved")),"NOT ELIGIBLE — UNVERIFIED",IF(OR($V153&lt;&gt;"None",AND($W153&lt;&gt;"None",$W153&lt;&gt;"Intact"),AND($X153&lt;&gt;"No Change",$X153&lt;&gt;"Not Applicable"),$Y153&lt;&gt;"None",$Z153&lt;&gt;"No"),"ELIGIBLE FOR ROUTING","NO REFERRAL REQUIRED")))))</x:f>
      </x:c>
      <x:c r="AG153" s="800"/>
    </x:row>
    <x:row r="154" ht="36" customHeight="1">
      <x:c r="A154" s="800"/>
      <x:c r="B154" s="804"/>
      <x:c r="C154" s="804"/>
      <x:c r="D154" s="800"/>
      <x:c r="E154" s="800"/>
      <x:c r="F154" s="800"/>
      <x:c r="G154" s="802" t="str">
        <x:f>IF($E154="","",IFERROR(INDEX('Certified Allocation'!$A$5:$A$51,MATCH($E154,'Certified Allocation'!$B$5:$B$51,0)),"Candidate / Non-Holding"))</x:f>
      </x:c>
      <x:c r="H154" s="800"/>
      <x:c r="I154" s="800"/>
      <x:c r="J154" s="800"/>
      <x:c r="K154" s="800"/>
      <x:c r="L154" s="800"/>
      <x:c r="M154" s="800"/>
      <x:c r="N154" s="800"/>
      <x:c r="O154" s="800"/>
      <x:c r="P154" s="800"/>
      <x:c r="Q154" s="800"/>
      <x:c r="R154" s="800"/>
      <x:c r="S154" s="804"/>
      <x:c r="T154" s="800"/>
      <x:c r="U154" s="800"/>
      <x:c r="V154" s="800"/>
      <x:c r="W154" s="800"/>
      <x:c r="X154" s="800"/>
      <x:c r="Y154" s="800"/>
      <x:c r="Z154" s="800"/>
      <x:c r="AA154" s="800"/>
      <x:c r="AB154" s="804"/>
      <x:c r="AC154" s="805" t="str">
        <x:f>IF($A154="","",IF(AND(OR($T154="Closed — No Action",$T154="Closed — Incorporated"),$AB154&lt;&gt;""),MAX(0,$AB154-$B154),MAX(0,TODAY()-$B154)))</x:f>
      </x:c>
      <x:c r="AD154" s="775" t="str">
        <x:f>IF(COUNTA($A154:$F154,$H154:$AB154,$AG154)=0,"",IF(OR($A154="",$B154="",$C154="",$D154="",$F154="",$H154="",$I154="",$J154="",$K154="",$L154="",$M154="",$N154="",$O154="",$P154="",$Q154="",$R154="",$S154="",$T154="",$U154="",$V154="",$W154="",$X154="",$Y154="",$Z154="",$AA154="",AND(NOT(OR($D154="Portfolio-Level",$D154="Market / Macro",$D154="Other")),$E154="")),"INCOMPLETE",IF(COUNTIF($A$14:$A$213,$A154)&gt;1,"DUPLICATE ID","COMPLETE")))</x:f>
      </x:c>
      <x:c r="AE154" s="775" t="str">
        <x:f>IF($A154="","",IF($AD154&lt;&gt;"COMPLETE",$AD154,IF(AND($D154="Certified Holding",OR($E154="",$G154="Candidate / Non-Holding")),"HOLDING IDENTIFIER MISMATCH",IF(AND(OR($J154="Critical",$J154="High"),OR($U154="No",AND($L154="Unverified — Pending",$U154&lt;&gt;"Exception Approved"))),"VERIFY / ESCALATE",IF($X154="Unassigned","CONVICTION DECISION REQUIRED",IF(AND($S154&lt;TODAY(),$T154&lt;&gt;"Closed — No Action",$T154&lt;&gt;"Closed — Incorporated"),"OVERDUE",IF(AND(OR($T154="Closed — No Action",$T154="Closed — Incorporated"),$AB154=""),"CLOSE DATE REQUIRED",IF(AND(NOT(OR($T154="Closed — No Action",$T154="Closed — Incorporated")),$AB154&lt;&gt;""),"STATUS / CLOSE DATE MISMATCH",IF(AND($Z154&lt;&gt;"No",NOT(OR($U154="Yes",$U154="Exception Approved"))),"PEW REFERRAL BLOCKED",IF(AND($T154="Awaiting Verification",$U154="Yes"),"STATUS MISMATCH",IF(OR($T154="Closed — No Action",$T154="Closed — Incorporated"),"CLOSED","OPEN — ON TRACK")))))))))))</x:f>
      </x:c>
      <x:c r="AF154" s="775" t="str">
        <x:f>IF($A154="","",IF($AD154&lt;&gt;"COMPLETE","NOT ELIGIBLE",IF($X154="Unassigned","NOT ELIGIBLE — CONVICTION UNASSIGNED",IF(NOT(OR($U154="Yes",$U154="Exception Approved")),"NOT ELIGIBLE — UNVERIFIED",IF(OR($V154&lt;&gt;"None",AND($W154&lt;&gt;"None",$W154&lt;&gt;"Intact"),AND($X154&lt;&gt;"No Change",$X154&lt;&gt;"Not Applicable"),$Y154&lt;&gt;"None",$Z154&lt;&gt;"No"),"ELIGIBLE FOR ROUTING","NO REFERRAL REQUIRED")))))</x:f>
      </x:c>
      <x:c r="AG154" s="800"/>
    </x:row>
    <x:row r="155" ht="36" customHeight="1">
      <x:c r="A155" s="800"/>
      <x:c r="B155" s="804"/>
      <x:c r="C155" s="804"/>
      <x:c r="D155" s="800"/>
      <x:c r="E155" s="800"/>
      <x:c r="F155" s="800"/>
      <x:c r="G155" s="802" t="str">
        <x:f>IF($E155="","",IFERROR(INDEX('Certified Allocation'!$A$5:$A$51,MATCH($E155,'Certified Allocation'!$B$5:$B$51,0)),"Candidate / Non-Holding"))</x:f>
      </x:c>
      <x:c r="H155" s="800"/>
      <x:c r="I155" s="800"/>
      <x:c r="J155" s="800"/>
      <x:c r="K155" s="800"/>
      <x:c r="L155" s="800"/>
      <x:c r="M155" s="800"/>
      <x:c r="N155" s="800"/>
      <x:c r="O155" s="800"/>
      <x:c r="P155" s="800"/>
      <x:c r="Q155" s="800"/>
      <x:c r="R155" s="800"/>
      <x:c r="S155" s="804"/>
      <x:c r="T155" s="800"/>
      <x:c r="U155" s="800"/>
      <x:c r="V155" s="800"/>
      <x:c r="W155" s="800"/>
      <x:c r="X155" s="800"/>
      <x:c r="Y155" s="800"/>
      <x:c r="Z155" s="800"/>
      <x:c r="AA155" s="800"/>
      <x:c r="AB155" s="804"/>
      <x:c r="AC155" s="805" t="str">
        <x:f>IF($A155="","",IF(AND(OR($T155="Closed — No Action",$T155="Closed — Incorporated"),$AB155&lt;&gt;""),MAX(0,$AB155-$B155),MAX(0,TODAY()-$B155)))</x:f>
      </x:c>
      <x:c r="AD155" s="775" t="str">
        <x:f>IF(COUNTA($A155:$F155,$H155:$AB155,$AG155)=0,"",IF(OR($A155="",$B155="",$C155="",$D155="",$F155="",$H155="",$I155="",$J155="",$K155="",$L155="",$M155="",$N155="",$O155="",$P155="",$Q155="",$R155="",$S155="",$T155="",$U155="",$V155="",$W155="",$X155="",$Y155="",$Z155="",$AA155="",AND(NOT(OR($D155="Portfolio-Level",$D155="Market / Macro",$D155="Other")),$E155="")),"INCOMPLETE",IF(COUNTIF($A$14:$A$213,$A155)&gt;1,"DUPLICATE ID","COMPLETE")))</x:f>
      </x:c>
      <x:c r="AE155" s="775" t="str">
        <x:f>IF($A155="","",IF($AD155&lt;&gt;"COMPLETE",$AD155,IF(AND($D155="Certified Holding",OR($E155="",$G155="Candidate / Non-Holding")),"HOLDING IDENTIFIER MISMATCH",IF(AND(OR($J155="Critical",$J155="High"),OR($U155="No",AND($L155="Unverified — Pending",$U155&lt;&gt;"Exception Approved"))),"VERIFY / ESCALATE",IF($X155="Unassigned","CONVICTION DECISION REQUIRED",IF(AND($S155&lt;TODAY(),$T155&lt;&gt;"Closed — No Action",$T155&lt;&gt;"Closed — Incorporated"),"OVERDUE",IF(AND(OR($T155="Closed — No Action",$T155="Closed — Incorporated"),$AB155=""),"CLOSE DATE REQUIRED",IF(AND(NOT(OR($T155="Closed — No Action",$T155="Closed — Incorporated")),$AB155&lt;&gt;""),"STATUS / CLOSE DATE MISMATCH",IF(AND($Z155&lt;&gt;"No",NOT(OR($U155="Yes",$U155="Exception Approved"))),"PEW REFERRAL BLOCKED",IF(AND($T155="Awaiting Verification",$U155="Yes"),"STATUS MISMATCH",IF(OR($T155="Closed — No Action",$T155="Closed — Incorporated"),"CLOSED","OPEN — ON TRACK")))))))))))</x:f>
      </x:c>
      <x:c r="AF155" s="775" t="str">
        <x:f>IF($A155="","",IF($AD155&lt;&gt;"COMPLETE","NOT ELIGIBLE",IF($X155="Unassigned","NOT ELIGIBLE — CONVICTION UNASSIGNED",IF(NOT(OR($U155="Yes",$U155="Exception Approved")),"NOT ELIGIBLE — UNVERIFIED",IF(OR($V155&lt;&gt;"None",AND($W155&lt;&gt;"None",$W155&lt;&gt;"Intact"),AND($X155&lt;&gt;"No Change",$X155&lt;&gt;"Not Applicable"),$Y155&lt;&gt;"None",$Z155&lt;&gt;"No"),"ELIGIBLE FOR ROUTING","NO REFERRAL REQUIRED")))))</x:f>
      </x:c>
      <x:c r="AG155" s="800"/>
    </x:row>
    <x:row r="156" ht="36" customHeight="1">
      <x:c r="A156" s="800"/>
      <x:c r="B156" s="804"/>
      <x:c r="C156" s="804"/>
      <x:c r="D156" s="800"/>
      <x:c r="E156" s="800"/>
      <x:c r="F156" s="800"/>
      <x:c r="G156" s="802" t="str">
        <x:f>IF($E156="","",IFERROR(INDEX('Certified Allocation'!$A$5:$A$51,MATCH($E156,'Certified Allocation'!$B$5:$B$51,0)),"Candidate / Non-Holding"))</x:f>
      </x:c>
      <x:c r="H156" s="800"/>
      <x:c r="I156" s="800"/>
      <x:c r="J156" s="800"/>
      <x:c r="K156" s="800"/>
      <x:c r="L156" s="800"/>
      <x:c r="M156" s="800"/>
      <x:c r="N156" s="800"/>
      <x:c r="O156" s="800"/>
      <x:c r="P156" s="800"/>
      <x:c r="Q156" s="800"/>
      <x:c r="R156" s="800"/>
      <x:c r="S156" s="804"/>
      <x:c r="T156" s="800"/>
      <x:c r="U156" s="800"/>
      <x:c r="V156" s="800"/>
      <x:c r="W156" s="800"/>
      <x:c r="X156" s="800"/>
      <x:c r="Y156" s="800"/>
      <x:c r="Z156" s="800"/>
      <x:c r="AA156" s="800"/>
      <x:c r="AB156" s="804"/>
      <x:c r="AC156" s="805" t="str">
        <x:f>IF($A156="","",IF(AND(OR($T156="Closed — No Action",$T156="Closed — Incorporated"),$AB156&lt;&gt;""),MAX(0,$AB156-$B156),MAX(0,TODAY()-$B156)))</x:f>
      </x:c>
      <x:c r="AD156" s="775" t="str">
        <x:f>IF(COUNTA($A156:$F156,$H156:$AB156,$AG156)=0,"",IF(OR($A156="",$B156="",$C156="",$D156="",$F156="",$H156="",$I156="",$J156="",$K156="",$L156="",$M156="",$N156="",$O156="",$P156="",$Q156="",$R156="",$S156="",$T156="",$U156="",$V156="",$W156="",$X156="",$Y156="",$Z156="",$AA156="",AND(NOT(OR($D156="Portfolio-Level",$D156="Market / Macro",$D156="Other")),$E156="")),"INCOMPLETE",IF(COUNTIF($A$14:$A$213,$A156)&gt;1,"DUPLICATE ID","COMPLETE")))</x:f>
      </x:c>
      <x:c r="AE156" s="775" t="str">
        <x:f>IF($A156="","",IF($AD156&lt;&gt;"COMPLETE",$AD156,IF(AND($D156="Certified Holding",OR($E156="",$G156="Candidate / Non-Holding")),"HOLDING IDENTIFIER MISMATCH",IF(AND(OR($J156="Critical",$J156="High"),OR($U156="No",AND($L156="Unverified — Pending",$U156&lt;&gt;"Exception Approved"))),"VERIFY / ESCALATE",IF($X156="Unassigned","CONVICTION DECISION REQUIRED",IF(AND($S156&lt;TODAY(),$T156&lt;&gt;"Closed — No Action",$T156&lt;&gt;"Closed — Incorporated"),"OVERDUE",IF(AND(OR($T156="Closed — No Action",$T156="Closed — Incorporated"),$AB156=""),"CLOSE DATE REQUIRED",IF(AND(NOT(OR($T156="Closed — No Action",$T156="Closed — Incorporated")),$AB156&lt;&gt;""),"STATUS / CLOSE DATE MISMATCH",IF(AND($Z156&lt;&gt;"No",NOT(OR($U156="Yes",$U156="Exception Approved"))),"PEW REFERRAL BLOCKED",IF(AND($T156="Awaiting Verification",$U156="Yes"),"STATUS MISMATCH",IF(OR($T156="Closed — No Action",$T156="Closed — Incorporated"),"CLOSED","OPEN — ON TRACK")))))))))))</x:f>
      </x:c>
      <x:c r="AF156" s="775" t="str">
        <x:f>IF($A156="","",IF($AD156&lt;&gt;"COMPLETE","NOT ELIGIBLE",IF($X156="Unassigned","NOT ELIGIBLE — CONVICTION UNASSIGNED",IF(NOT(OR($U156="Yes",$U156="Exception Approved")),"NOT ELIGIBLE — UNVERIFIED",IF(OR($V156&lt;&gt;"None",AND($W156&lt;&gt;"None",$W156&lt;&gt;"Intact"),AND($X156&lt;&gt;"No Change",$X156&lt;&gt;"Not Applicable"),$Y156&lt;&gt;"None",$Z156&lt;&gt;"No"),"ELIGIBLE FOR ROUTING","NO REFERRAL REQUIRED")))))</x:f>
      </x:c>
      <x:c r="AG156" s="800"/>
    </x:row>
    <x:row r="157" ht="36" customHeight="1">
      <x:c r="A157" s="800"/>
      <x:c r="B157" s="804"/>
      <x:c r="C157" s="804"/>
      <x:c r="D157" s="800"/>
      <x:c r="E157" s="800"/>
      <x:c r="F157" s="800"/>
      <x:c r="G157" s="802" t="str">
        <x:f>IF($E157="","",IFERROR(INDEX('Certified Allocation'!$A$5:$A$51,MATCH($E157,'Certified Allocation'!$B$5:$B$51,0)),"Candidate / Non-Holding"))</x:f>
      </x:c>
      <x:c r="H157" s="800"/>
      <x:c r="I157" s="800"/>
      <x:c r="J157" s="800"/>
      <x:c r="K157" s="800"/>
      <x:c r="L157" s="800"/>
      <x:c r="M157" s="800"/>
      <x:c r="N157" s="800"/>
      <x:c r="O157" s="800"/>
      <x:c r="P157" s="800"/>
      <x:c r="Q157" s="800"/>
      <x:c r="R157" s="800"/>
      <x:c r="S157" s="804"/>
      <x:c r="T157" s="800"/>
      <x:c r="U157" s="800"/>
      <x:c r="V157" s="800"/>
      <x:c r="W157" s="800"/>
      <x:c r="X157" s="800"/>
      <x:c r="Y157" s="800"/>
      <x:c r="Z157" s="800"/>
      <x:c r="AA157" s="800"/>
      <x:c r="AB157" s="804"/>
      <x:c r="AC157" s="805" t="str">
        <x:f>IF($A157="","",IF(AND(OR($T157="Closed — No Action",$T157="Closed — Incorporated"),$AB157&lt;&gt;""),MAX(0,$AB157-$B157),MAX(0,TODAY()-$B157)))</x:f>
      </x:c>
      <x:c r="AD157" s="775" t="str">
        <x:f>IF(COUNTA($A157:$F157,$H157:$AB157,$AG157)=0,"",IF(OR($A157="",$B157="",$C157="",$D157="",$F157="",$H157="",$I157="",$J157="",$K157="",$L157="",$M157="",$N157="",$O157="",$P157="",$Q157="",$R157="",$S157="",$T157="",$U157="",$V157="",$W157="",$X157="",$Y157="",$Z157="",$AA157="",AND(NOT(OR($D157="Portfolio-Level",$D157="Market / Macro",$D157="Other")),$E157="")),"INCOMPLETE",IF(COUNTIF($A$14:$A$213,$A157)&gt;1,"DUPLICATE ID","COMPLETE")))</x:f>
      </x:c>
      <x:c r="AE157" s="775" t="str">
        <x:f>IF($A157="","",IF($AD157&lt;&gt;"COMPLETE",$AD157,IF(AND($D157="Certified Holding",OR($E157="",$G157="Candidate / Non-Holding")),"HOLDING IDENTIFIER MISMATCH",IF(AND(OR($J157="Critical",$J157="High"),OR($U157="No",AND($L157="Unverified — Pending",$U157&lt;&gt;"Exception Approved"))),"VERIFY / ESCALATE",IF($X157="Unassigned","CONVICTION DECISION REQUIRED",IF(AND($S157&lt;TODAY(),$T157&lt;&gt;"Closed — No Action",$T157&lt;&gt;"Closed — Incorporated"),"OVERDUE",IF(AND(OR($T157="Closed — No Action",$T157="Closed — Incorporated"),$AB157=""),"CLOSE DATE REQUIRED",IF(AND(NOT(OR($T157="Closed — No Action",$T157="Closed — Incorporated")),$AB157&lt;&gt;""),"STATUS / CLOSE DATE MISMATCH",IF(AND($Z157&lt;&gt;"No",NOT(OR($U157="Yes",$U157="Exception Approved"))),"PEW REFERRAL BLOCKED",IF(AND($T157="Awaiting Verification",$U157="Yes"),"STATUS MISMATCH",IF(OR($T157="Closed — No Action",$T157="Closed — Incorporated"),"CLOSED","OPEN — ON TRACK")))))))))))</x:f>
      </x:c>
      <x:c r="AF157" s="775" t="str">
        <x:f>IF($A157="","",IF($AD157&lt;&gt;"COMPLETE","NOT ELIGIBLE",IF($X157="Unassigned","NOT ELIGIBLE — CONVICTION UNASSIGNED",IF(NOT(OR($U157="Yes",$U157="Exception Approved")),"NOT ELIGIBLE — UNVERIFIED",IF(OR($V157&lt;&gt;"None",AND($W157&lt;&gt;"None",$W157&lt;&gt;"Intact"),AND($X157&lt;&gt;"No Change",$X157&lt;&gt;"Not Applicable"),$Y157&lt;&gt;"None",$Z157&lt;&gt;"No"),"ELIGIBLE FOR ROUTING","NO REFERRAL REQUIRED")))))</x:f>
      </x:c>
      <x:c r="AG157" s="800"/>
    </x:row>
    <x:row r="158" ht="36" customHeight="1">
      <x:c r="A158" s="800"/>
      <x:c r="B158" s="804"/>
      <x:c r="C158" s="804"/>
      <x:c r="D158" s="800"/>
      <x:c r="E158" s="800"/>
      <x:c r="F158" s="800"/>
      <x:c r="G158" s="802" t="str">
        <x:f>IF($E158="","",IFERROR(INDEX('Certified Allocation'!$A$5:$A$51,MATCH($E158,'Certified Allocation'!$B$5:$B$51,0)),"Candidate / Non-Holding"))</x:f>
      </x:c>
      <x:c r="H158" s="800"/>
      <x:c r="I158" s="800"/>
      <x:c r="J158" s="800"/>
      <x:c r="K158" s="800"/>
      <x:c r="L158" s="800"/>
      <x:c r="M158" s="800"/>
      <x:c r="N158" s="800"/>
      <x:c r="O158" s="800"/>
      <x:c r="P158" s="800"/>
      <x:c r="Q158" s="800"/>
      <x:c r="R158" s="800"/>
      <x:c r="S158" s="804"/>
      <x:c r="T158" s="800"/>
      <x:c r="U158" s="800"/>
      <x:c r="V158" s="800"/>
      <x:c r="W158" s="800"/>
      <x:c r="X158" s="800"/>
      <x:c r="Y158" s="800"/>
      <x:c r="Z158" s="800"/>
      <x:c r="AA158" s="800"/>
      <x:c r="AB158" s="804"/>
      <x:c r="AC158" s="805" t="str">
        <x:f>IF($A158="","",IF(AND(OR($T158="Closed — No Action",$T158="Closed — Incorporated"),$AB158&lt;&gt;""),MAX(0,$AB158-$B158),MAX(0,TODAY()-$B158)))</x:f>
      </x:c>
      <x:c r="AD158" s="775" t="str">
        <x:f>IF(COUNTA($A158:$F158,$H158:$AB158,$AG158)=0,"",IF(OR($A158="",$B158="",$C158="",$D158="",$F158="",$H158="",$I158="",$J158="",$K158="",$L158="",$M158="",$N158="",$O158="",$P158="",$Q158="",$R158="",$S158="",$T158="",$U158="",$V158="",$W158="",$X158="",$Y158="",$Z158="",$AA158="",AND(NOT(OR($D158="Portfolio-Level",$D158="Market / Macro",$D158="Other")),$E158="")),"INCOMPLETE",IF(COUNTIF($A$14:$A$213,$A158)&gt;1,"DUPLICATE ID","COMPLETE")))</x:f>
      </x:c>
      <x:c r="AE158" s="775" t="str">
        <x:f>IF($A158="","",IF($AD158&lt;&gt;"COMPLETE",$AD158,IF(AND($D158="Certified Holding",OR($E158="",$G158="Candidate / Non-Holding")),"HOLDING IDENTIFIER MISMATCH",IF(AND(OR($J158="Critical",$J158="High"),OR($U158="No",AND($L158="Unverified — Pending",$U158&lt;&gt;"Exception Approved"))),"VERIFY / ESCALATE",IF($X158="Unassigned","CONVICTION DECISION REQUIRED",IF(AND($S158&lt;TODAY(),$T158&lt;&gt;"Closed — No Action",$T158&lt;&gt;"Closed — Incorporated"),"OVERDUE",IF(AND(OR($T158="Closed — No Action",$T158="Closed — Incorporated"),$AB158=""),"CLOSE DATE REQUIRED",IF(AND(NOT(OR($T158="Closed — No Action",$T158="Closed — Incorporated")),$AB158&lt;&gt;""),"STATUS / CLOSE DATE MISMATCH",IF(AND($Z158&lt;&gt;"No",NOT(OR($U158="Yes",$U158="Exception Approved"))),"PEW REFERRAL BLOCKED",IF(AND($T158="Awaiting Verification",$U158="Yes"),"STATUS MISMATCH",IF(OR($T158="Closed — No Action",$T158="Closed — Incorporated"),"CLOSED","OPEN — ON TRACK")))))))))))</x:f>
      </x:c>
      <x:c r="AF158" s="775" t="str">
        <x:f>IF($A158="","",IF($AD158&lt;&gt;"COMPLETE","NOT ELIGIBLE",IF($X158="Unassigned","NOT ELIGIBLE — CONVICTION UNASSIGNED",IF(NOT(OR($U158="Yes",$U158="Exception Approved")),"NOT ELIGIBLE — UNVERIFIED",IF(OR($V158&lt;&gt;"None",AND($W158&lt;&gt;"None",$W158&lt;&gt;"Intact"),AND($X158&lt;&gt;"No Change",$X158&lt;&gt;"Not Applicable"),$Y158&lt;&gt;"None",$Z158&lt;&gt;"No"),"ELIGIBLE FOR ROUTING","NO REFERRAL REQUIRED")))))</x:f>
      </x:c>
      <x:c r="AG158" s="800"/>
    </x:row>
    <x:row r="159" ht="36" customHeight="1">
      <x:c r="A159" s="800"/>
      <x:c r="B159" s="804"/>
      <x:c r="C159" s="804"/>
      <x:c r="D159" s="800"/>
      <x:c r="E159" s="800"/>
      <x:c r="F159" s="800"/>
      <x:c r="G159" s="802" t="str">
        <x:f>IF($E159="","",IFERROR(INDEX('Certified Allocation'!$A$5:$A$51,MATCH($E159,'Certified Allocation'!$B$5:$B$51,0)),"Candidate / Non-Holding"))</x:f>
      </x:c>
      <x:c r="H159" s="800"/>
      <x:c r="I159" s="800"/>
      <x:c r="J159" s="800"/>
      <x:c r="K159" s="800"/>
      <x:c r="L159" s="800"/>
      <x:c r="M159" s="800"/>
      <x:c r="N159" s="800"/>
      <x:c r="O159" s="800"/>
      <x:c r="P159" s="800"/>
      <x:c r="Q159" s="800"/>
      <x:c r="R159" s="800"/>
      <x:c r="S159" s="804"/>
      <x:c r="T159" s="800"/>
      <x:c r="U159" s="800"/>
      <x:c r="V159" s="800"/>
      <x:c r="W159" s="800"/>
      <x:c r="X159" s="800"/>
      <x:c r="Y159" s="800"/>
      <x:c r="Z159" s="800"/>
      <x:c r="AA159" s="800"/>
      <x:c r="AB159" s="804"/>
      <x:c r="AC159" s="805" t="str">
        <x:f>IF($A159="","",IF(AND(OR($T159="Closed — No Action",$T159="Closed — Incorporated"),$AB159&lt;&gt;""),MAX(0,$AB159-$B159),MAX(0,TODAY()-$B159)))</x:f>
      </x:c>
      <x:c r="AD159" s="775" t="str">
        <x:f>IF(COUNTA($A159:$F159,$H159:$AB159,$AG159)=0,"",IF(OR($A159="",$B159="",$C159="",$D159="",$F159="",$H159="",$I159="",$J159="",$K159="",$L159="",$M159="",$N159="",$O159="",$P159="",$Q159="",$R159="",$S159="",$T159="",$U159="",$V159="",$W159="",$X159="",$Y159="",$Z159="",$AA159="",AND(NOT(OR($D159="Portfolio-Level",$D159="Market / Macro",$D159="Other")),$E159="")),"INCOMPLETE",IF(COUNTIF($A$14:$A$213,$A159)&gt;1,"DUPLICATE ID","COMPLETE")))</x:f>
      </x:c>
      <x:c r="AE159" s="775" t="str">
        <x:f>IF($A159="","",IF($AD159&lt;&gt;"COMPLETE",$AD159,IF(AND($D159="Certified Holding",OR($E159="",$G159="Candidate / Non-Holding")),"HOLDING IDENTIFIER MISMATCH",IF(AND(OR($J159="Critical",$J159="High"),OR($U159="No",AND($L159="Unverified — Pending",$U159&lt;&gt;"Exception Approved"))),"VERIFY / ESCALATE",IF($X159="Unassigned","CONVICTION DECISION REQUIRED",IF(AND($S159&lt;TODAY(),$T159&lt;&gt;"Closed — No Action",$T159&lt;&gt;"Closed — Incorporated"),"OVERDUE",IF(AND(OR($T159="Closed — No Action",$T159="Closed — Incorporated"),$AB159=""),"CLOSE DATE REQUIRED",IF(AND(NOT(OR($T159="Closed — No Action",$T159="Closed — Incorporated")),$AB159&lt;&gt;""),"STATUS / CLOSE DATE MISMATCH",IF(AND($Z159&lt;&gt;"No",NOT(OR($U159="Yes",$U159="Exception Approved"))),"PEW REFERRAL BLOCKED",IF(AND($T159="Awaiting Verification",$U159="Yes"),"STATUS MISMATCH",IF(OR($T159="Closed — No Action",$T159="Closed — Incorporated"),"CLOSED","OPEN — ON TRACK")))))))))))</x:f>
      </x:c>
      <x:c r="AF159" s="775" t="str">
        <x:f>IF($A159="","",IF($AD159&lt;&gt;"COMPLETE","NOT ELIGIBLE",IF($X159="Unassigned","NOT ELIGIBLE — CONVICTION UNASSIGNED",IF(NOT(OR($U159="Yes",$U159="Exception Approved")),"NOT ELIGIBLE — UNVERIFIED",IF(OR($V159&lt;&gt;"None",AND($W159&lt;&gt;"None",$W159&lt;&gt;"Intact"),AND($X159&lt;&gt;"No Change",$X159&lt;&gt;"Not Applicable"),$Y159&lt;&gt;"None",$Z159&lt;&gt;"No"),"ELIGIBLE FOR ROUTING","NO REFERRAL REQUIRED")))))</x:f>
      </x:c>
      <x:c r="AG159" s="800"/>
    </x:row>
    <x:row r="160" ht="36" customHeight="1">
      <x:c r="A160" s="800"/>
      <x:c r="B160" s="804"/>
      <x:c r="C160" s="804"/>
      <x:c r="D160" s="800"/>
      <x:c r="E160" s="800"/>
      <x:c r="F160" s="800"/>
      <x:c r="G160" s="802" t="str">
        <x:f>IF($E160="","",IFERROR(INDEX('Certified Allocation'!$A$5:$A$51,MATCH($E160,'Certified Allocation'!$B$5:$B$51,0)),"Candidate / Non-Holding"))</x:f>
      </x:c>
      <x:c r="H160" s="800"/>
      <x:c r="I160" s="800"/>
      <x:c r="J160" s="800"/>
      <x:c r="K160" s="800"/>
      <x:c r="L160" s="800"/>
      <x:c r="M160" s="800"/>
      <x:c r="N160" s="800"/>
      <x:c r="O160" s="800"/>
      <x:c r="P160" s="800"/>
      <x:c r="Q160" s="800"/>
      <x:c r="R160" s="800"/>
      <x:c r="S160" s="804"/>
      <x:c r="T160" s="800"/>
      <x:c r="U160" s="800"/>
      <x:c r="V160" s="800"/>
      <x:c r="W160" s="800"/>
      <x:c r="X160" s="800"/>
      <x:c r="Y160" s="800"/>
      <x:c r="Z160" s="800"/>
      <x:c r="AA160" s="800"/>
      <x:c r="AB160" s="804"/>
      <x:c r="AC160" s="805" t="str">
        <x:f>IF($A160="","",IF(AND(OR($T160="Closed — No Action",$T160="Closed — Incorporated"),$AB160&lt;&gt;""),MAX(0,$AB160-$B160),MAX(0,TODAY()-$B160)))</x:f>
      </x:c>
      <x:c r="AD160" s="775" t="str">
        <x:f>IF(COUNTA($A160:$F160,$H160:$AB160,$AG160)=0,"",IF(OR($A160="",$B160="",$C160="",$D160="",$F160="",$H160="",$I160="",$J160="",$K160="",$L160="",$M160="",$N160="",$O160="",$P160="",$Q160="",$R160="",$S160="",$T160="",$U160="",$V160="",$W160="",$X160="",$Y160="",$Z160="",$AA160="",AND(NOT(OR($D160="Portfolio-Level",$D160="Market / Macro",$D160="Other")),$E160="")),"INCOMPLETE",IF(COUNTIF($A$14:$A$213,$A160)&gt;1,"DUPLICATE ID","COMPLETE")))</x:f>
      </x:c>
      <x:c r="AE160" s="775" t="str">
        <x:f>IF($A160="","",IF($AD160&lt;&gt;"COMPLETE",$AD160,IF(AND($D160="Certified Holding",OR($E160="",$G160="Candidate / Non-Holding")),"HOLDING IDENTIFIER MISMATCH",IF(AND(OR($J160="Critical",$J160="High"),OR($U160="No",AND($L160="Unverified — Pending",$U160&lt;&gt;"Exception Approved"))),"VERIFY / ESCALATE",IF($X160="Unassigned","CONVICTION DECISION REQUIRED",IF(AND($S160&lt;TODAY(),$T160&lt;&gt;"Closed — No Action",$T160&lt;&gt;"Closed — Incorporated"),"OVERDUE",IF(AND(OR($T160="Closed — No Action",$T160="Closed — Incorporated"),$AB160=""),"CLOSE DATE REQUIRED",IF(AND(NOT(OR($T160="Closed — No Action",$T160="Closed — Incorporated")),$AB160&lt;&gt;""),"STATUS / CLOSE DATE MISMATCH",IF(AND($Z160&lt;&gt;"No",NOT(OR($U160="Yes",$U160="Exception Approved"))),"PEW REFERRAL BLOCKED",IF(AND($T160="Awaiting Verification",$U160="Yes"),"STATUS MISMATCH",IF(OR($T160="Closed — No Action",$T160="Closed — Incorporated"),"CLOSED","OPEN — ON TRACK")))))))))))</x:f>
      </x:c>
      <x:c r="AF160" s="775" t="str">
        <x:f>IF($A160="","",IF($AD160&lt;&gt;"COMPLETE","NOT ELIGIBLE",IF($X160="Unassigned","NOT ELIGIBLE — CONVICTION UNASSIGNED",IF(NOT(OR($U160="Yes",$U160="Exception Approved")),"NOT ELIGIBLE — UNVERIFIED",IF(OR($V160&lt;&gt;"None",AND($W160&lt;&gt;"None",$W160&lt;&gt;"Intact"),AND($X160&lt;&gt;"No Change",$X160&lt;&gt;"Not Applicable"),$Y160&lt;&gt;"None",$Z160&lt;&gt;"No"),"ELIGIBLE FOR ROUTING","NO REFERRAL REQUIRED")))))</x:f>
      </x:c>
      <x:c r="AG160" s="800"/>
    </x:row>
    <x:row r="161" ht="36" customHeight="1">
      <x:c r="A161" s="800"/>
      <x:c r="B161" s="804"/>
      <x:c r="C161" s="804"/>
      <x:c r="D161" s="800"/>
      <x:c r="E161" s="800"/>
      <x:c r="F161" s="800"/>
      <x:c r="G161" s="802" t="str">
        <x:f>IF($E161="","",IFERROR(INDEX('Certified Allocation'!$A$5:$A$51,MATCH($E161,'Certified Allocation'!$B$5:$B$51,0)),"Candidate / Non-Holding"))</x:f>
      </x:c>
      <x:c r="H161" s="800"/>
      <x:c r="I161" s="800"/>
      <x:c r="J161" s="800"/>
      <x:c r="K161" s="800"/>
      <x:c r="L161" s="800"/>
      <x:c r="M161" s="800"/>
      <x:c r="N161" s="800"/>
      <x:c r="O161" s="800"/>
      <x:c r="P161" s="800"/>
      <x:c r="Q161" s="800"/>
      <x:c r="R161" s="800"/>
      <x:c r="S161" s="804"/>
      <x:c r="T161" s="800"/>
      <x:c r="U161" s="800"/>
      <x:c r="V161" s="800"/>
      <x:c r="W161" s="800"/>
      <x:c r="X161" s="800"/>
      <x:c r="Y161" s="800"/>
      <x:c r="Z161" s="800"/>
      <x:c r="AA161" s="800"/>
      <x:c r="AB161" s="804"/>
      <x:c r="AC161" s="805" t="str">
        <x:f>IF($A161="","",IF(AND(OR($T161="Closed — No Action",$T161="Closed — Incorporated"),$AB161&lt;&gt;""),MAX(0,$AB161-$B161),MAX(0,TODAY()-$B161)))</x:f>
      </x:c>
      <x:c r="AD161" s="775" t="str">
        <x:f>IF(COUNTA($A161:$F161,$H161:$AB161,$AG161)=0,"",IF(OR($A161="",$B161="",$C161="",$D161="",$F161="",$H161="",$I161="",$J161="",$K161="",$L161="",$M161="",$N161="",$O161="",$P161="",$Q161="",$R161="",$S161="",$T161="",$U161="",$V161="",$W161="",$X161="",$Y161="",$Z161="",$AA161="",AND(NOT(OR($D161="Portfolio-Level",$D161="Market / Macro",$D161="Other")),$E161="")),"INCOMPLETE",IF(COUNTIF($A$14:$A$213,$A161)&gt;1,"DUPLICATE ID","COMPLETE")))</x:f>
      </x:c>
      <x:c r="AE161" s="775" t="str">
        <x:f>IF($A161="","",IF($AD161&lt;&gt;"COMPLETE",$AD161,IF(AND($D161="Certified Holding",OR($E161="",$G161="Candidate / Non-Holding")),"HOLDING IDENTIFIER MISMATCH",IF(AND(OR($J161="Critical",$J161="High"),OR($U161="No",AND($L161="Unverified — Pending",$U161&lt;&gt;"Exception Approved"))),"VERIFY / ESCALATE",IF($X161="Unassigned","CONVICTION DECISION REQUIRED",IF(AND($S161&lt;TODAY(),$T161&lt;&gt;"Closed — No Action",$T161&lt;&gt;"Closed — Incorporated"),"OVERDUE",IF(AND(OR($T161="Closed — No Action",$T161="Closed — Incorporated"),$AB161=""),"CLOSE DATE REQUIRED",IF(AND(NOT(OR($T161="Closed — No Action",$T161="Closed — Incorporated")),$AB161&lt;&gt;""),"STATUS / CLOSE DATE MISMATCH",IF(AND($Z161&lt;&gt;"No",NOT(OR($U161="Yes",$U161="Exception Approved"))),"PEW REFERRAL BLOCKED",IF(AND($T161="Awaiting Verification",$U161="Yes"),"STATUS MISMATCH",IF(OR($T161="Closed — No Action",$T161="Closed — Incorporated"),"CLOSED","OPEN — ON TRACK")))))))))))</x:f>
      </x:c>
      <x:c r="AF161" s="775" t="str">
        <x:f>IF($A161="","",IF($AD161&lt;&gt;"COMPLETE","NOT ELIGIBLE",IF($X161="Unassigned","NOT ELIGIBLE — CONVICTION UNASSIGNED",IF(NOT(OR($U161="Yes",$U161="Exception Approved")),"NOT ELIGIBLE — UNVERIFIED",IF(OR($V161&lt;&gt;"None",AND($W161&lt;&gt;"None",$W161&lt;&gt;"Intact"),AND($X161&lt;&gt;"No Change",$X161&lt;&gt;"Not Applicable"),$Y161&lt;&gt;"None",$Z161&lt;&gt;"No"),"ELIGIBLE FOR ROUTING","NO REFERRAL REQUIRED")))))</x:f>
      </x:c>
      <x:c r="AG161" s="800"/>
    </x:row>
    <x:row r="162" ht="36" customHeight="1">
      <x:c r="A162" s="800"/>
      <x:c r="B162" s="804"/>
      <x:c r="C162" s="804"/>
      <x:c r="D162" s="800"/>
      <x:c r="E162" s="800"/>
      <x:c r="F162" s="800"/>
      <x:c r="G162" s="802" t="str">
        <x:f>IF($E162="","",IFERROR(INDEX('Certified Allocation'!$A$5:$A$51,MATCH($E162,'Certified Allocation'!$B$5:$B$51,0)),"Candidate / Non-Holding"))</x:f>
      </x:c>
      <x:c r="H162" s="800"/>
      <x:c r="I162" s="800"/>
      <x:c r="J162" s="800"/>
      <x:c r="K162" s="800"/>
      <x:c r="L162" s="800"/>
      <x:c r="M162" s="800"/>
      <x:c r="N162" s="800"/>
      <x:c r="O162" s="800"/>
      <x:c r="P162" s="800"/>
      <x:c r="Q162" s="800"/>
      <x:c r="R162" s="800"/>
      <x:c r="S162" s="804"/>
      <x:c r="T162" s="800"/>
      <x:c r="U162" s="800"/>
      <x:c r="V162" s="800"/>
      <x:c r="W162" s="800"/>
      <x:c r="X162" s="800"/>
      <x:c r="Y162" s="800"/>
      <x:c r="Z162" s="800"/>
      <x:c r="AA162" s="800"/>
      <x:c r="AB162" s="804"/>
      <x:c r="AC162" s="805" t="str">
        <x:f>IF($A162="","",IF(AND(OR($T162="Closed — No Action",$T162="Closed — Incorporated"),$AB162&lt;&gt;""),MAX(0,$AB162-$B162),MAX(0,TODAY()-$B162)))</x:f>
      </x:c>
      <x:c r="AD162" s="775" t="str">
        <x:f>IF(COUNTA($A162:$F162,$H162:$AB162,$AG162)=0,"",IF(OR($A162="",$B162="",$C162="",$D162="",$F162="",$H162="",$I162="",$J162="",$K162="",$L162="",$M162="",$N162="",$O162="",$P162="",$Q162="",$R162="",$S162="",$T162="",$U162="",$V162="",$W162="",$X162="",$Y162="",$Z162="",$AA162="",AND(NOT(OR($D162="Portfolio-Level",$D162="Market / Macro",$D162="Other")),$E162="")),"INCOMPLETE",IF(COUNTIF($A$14:$A$213,$A162)&gt;1,"DUPLICATE ID","COMPLETE")))</x:f>
      </x:c>
      <x:c r="AE162" s="775" t="str">
        <x:f>IF($A162="","",IF($AD162&lt;&gt;"COMPLETE",$AD162,IF(AND($D162="Certified Holding",OR($E162="",$G162="Candidate / Non-Holding")),"HOLDING IDENTIFIER MISMATCH",IF(AND(OR($J162="Critical",$J162="High"),OR($U162="No",AND($L162="Unverified — Pending",$U162&lt;&gt;"Exception Approved"))),"VERIFY / ESCALATE",IF($X162="Unassigned","CONVICTION DECISION REQUIRED",IF(AND($S162&lt;TODAY(),$T162&lt;&gt;"Closed — No Action",$T162&lt;&gt;"Closed — Incorporated"),"OVERDUE",IF(AND(OR($T162="Closed — No Action",$T162="Closed — Incorporated"),$AB162=""),"CLOSE DATE REQUIRED",IF(AND(NOT(OR($T162="Closed — No Action",$T162="Closed — Incorporated")),$AB162&lt;&gt;""),"STATUS / CLOSE DATE MISMATCH",IF(AND($Z162&lt;&gt;"No",NOT(OR($U162="Yes",$U162="Exception Approved"))),"PEW REFERRAL BLOCKED",IF(AND($T162="Awaiting Verification",$U162="Yes"),"STATUS MISMATCH",IF(OR($T162="Closed — No Action",$T162="Closed — Incorporated"),"CLOSED","OPEN — ON TRACK")))))))))))</x:f>
      </x:c>
      <x:c r="AF162" s="775" t="str">
        <x:f>IF($A162="","",IF($AD162&lt;&gt;"COMPLETE","NOT ELIGIBLE",IF($X162="Unassigned","NOT ELIGIBLE — CONVICTION UNASSIGNED",IF(NOT(OR($U162="Yes",$U162="Exception Approved")),"NOT ELIGIBLE — UNVERIFIED",IF(OR($V162&lt;&gt;"None",AND($W162&lt;&gt;"None",$W162&lt;&gt;"Intact"),AND($X162&lt;&gt;"No Change",$X162&lt;&gt;"Not Applicable"),$Y162&lt;&gt;"None",$Z162&lt;&gt;"No"),"ELIGIBLE FOR ROUTING","NO REFERRAL REQUIRED")))))</x:f>
      </x:c>
      <x:c r="AG162" s="800"/>
    </x:row>
    <x:row r="163" ht="36" customHeight="1">
      <x:c r="A163" s="800"/>
      <x:c r="B163" s="804"/>
      <x:c r="C163" s="804"/>
      <x:c r="D163" s="800"/>
      <x:c r="E163" s="800"/>
      <x:c r="F163" s="800"/>
      <x:c r="G163" s="802" t="str">
        <x:f>IF($E163="","",IFERROR(INDEX('Certified Allocation'!$A$5:$A$51,MATCH($E163,'Certified Allocation'!$B$5:$B$51,0)),"Candidate / Non-Holding"))</x:f>
      </x:c>
      <x:c r="H163" s="800"/>
      <x:c r="I163" s="800"/>
      <x:c r="J163" s="800"/>
      <x:c r="K163" s="800"/>
      <x:c r="L163" s="800"/>
      <x:c r="M163" s="800"/>
      <x:c r="N163" s="800"/>
      <x:c r="O163" s="800"/>
      <x:c r="P163" s="800"/>
      <x:c r="Q163" s="800"/>
      <x:c r="R163" s="800"/>
      <x:c r="S163" s="804"/>
      <x:c r="T163" s="800"/>
      <x:c r="U163" s="800"/>
      <x:c r="V163" s="800"/>
      <x:c r="W163" s="800"/>
      <x:c r="X163" s="800"/>
      <x:c r="Y163" s="800"/>
      <x:c r="Z163" s="800"/>
      <x:c r="AA163" s="800"/>
      <x:c r="AB163" s="804"/>
      <x:c r="AC163" s="805" t="str">
        <x:f>IF($A163="","",IF(AND(OR($T163="Closed — No Action",$T163="Closed — Incorporated"),$AB163&lt;&gt;""),MAX(0,$AB163-$B163),MAX(0,TODAY()-$B163)))</x:f>
      </x:c>
      <x:c r="AD163" s="775" t="str">
        <x:f>IF(COUNTA($A163:$F163,$H163:$AB163,$AG163)=0,"",IF(OR($A163="",$B163="",$C163="",$D163="",$F163="",$H163="",$I163="",$J163="",$K163="",$L163="",$M163="",$N163="",$O163="",$P163="",$Q163="",$R163="",$S163="",$T163="",$U163="",$V163="",$W163="",$X163="",$Y163="",$Z163="",$AA163="",AND(NOT(OR($D163="Portfolio-Level",$D163="Market / Macro",$D163="Other")),$E163="")),"INCOMPLETE",IF(COUNTIF($A$14:$A$213,$A163)&gt;1,"DUPLICATE ID","COMPLETE")))</x:f>
      </x:c>
      <x:c r="AE163" s="775" t="str">
        <x:f>IF($A163="","",IF($AD163&lt;&gt;"COMPLETE",$AD163,IF(AND($D163="Certified Holding",OR($E163="",$G163="Candidate / Non-Holding")),"HOLDING IDENTIFIER MISMATCH",IF(AND(OR($J163="Critical",$J163="High"),OR($U163="No",AND($L163="Unverified — Pending",$U163&lt;&gt;"Exception Approved"))),"VERIFY / ESCALATE",IF($X163="Unassigned","CONVICTION DECISION REQUIRED",IF(AND($S163&lt;TODAY(),$T163&lt;&gt;"Closed — No Action",$T163&lt;&gt;"Closed — Incorporated"),"OVERDUE",IF(AND(OR($T163="Closed — No Action",$T163="Closed — Incorporated"),$AB163=""),"CLOSE DATE REQUIRED",IF(AND(NOT(OR($T163="Closed — No Action",$T163="Closed — Incorporated")),$AB163&lt;&gt;""),"STATUS / CLOSE DATE MISMATCH",IF(AND($Z163&lt;&gt;"No",NOT(OR($U163="Yes",$U163="Exception Approved"))),"PEW REFERRAL BLOCKED",IF(AND($T163="Awaiting Verification",$U163="Yes"),"STATUS MISMATCH",IF(OR($T163="Closed — No Action",$T163="Closed — Incorporated"),"CLOSED","OPEN — ON TRACK")))))))))))</x:f>
      </x:c>
      <x:c r="AF163" s="775" t="str">
        <x:f>IF($A163="","",IF($AD163&lt;&gt;"COMPLETE","NOT ELIGIBLE",IF($X163="Unassigned","NOT ELIGIBLE — CONVICTION UNASSIGNED",IF(NOT(OR($U163="Yes",$U163="Exception Approved")),"NOT ELIGIBLE — UNVERIFIED",IF(OR($V163&lt;&gt;"None",AND($W163&lt;&gt;"None",$W163&lt;&gt;"Intact"),AND($X163&lt;&gt;"No Change",$X163&lt;&gt;"Not Applicable"),$Y163&lt;&gt;"None",$Z163&lt;&gt;"No"),"ELIGIBLE FOR ROUTING","NO REFERRAL REQUIRED")))))</x:f>
      </x:c>
      <x:c r="AG163" s="800"/>
    </x:row>
    <x:row r="164" ht="36" customHeight="1">
      <x:c r="A164" s="800"/>
      <x:c r="B164" s="804"/>
      <x:c r="C164" s="804"/>
      <x:c r="D164" s="800"/>
      <x:c r="E164" s="800"/>
      <x:c r="F164" s="800"/>
      <x:c r="G164" s="802" t="str">
        <x:f>IF($E164="","",IFERROR(INDEX('Certified Allocation'!$A$5:$A$51,MATCH($E164,'Certified Allocation'!$B$5:$B$51,0)),"Candidate / Non-Holding"))</x:f>
      </x:c>
      <x:c r="H164" s="800"/>
      <x:c r="I164" s="800"/>
      <x:c r="J164" s="800"/>
      <x:c r="K164" s="800"/>
      <x:c r="L164" s="800"/>
      <x:c r="M164" s="800"/>
      <x:c r="N164" s="800"/>
      <x:c r="O164" s="800"/>
      <x:c r="P164" s="800"/>
      <x:c r="Q164" s="800"/>
      <x:c r="R164" s="800"/>
      <x:c r="S164" s="804"/>
      <x:c r="T164" s="800"/>
      <x:c r="U164" s="800"/>
      <x:c r="V164" s="800"/>
      <x:c r="W164" s="800"/>
      <x:c r="X164" s="800"/>
      <x:c r="Y164" s="800"/>
      <x:c r="Z164" s="800"/>
      <x:c r="AA164" s="800"/>
      <x:c r="AB164" s="804"/>
      <x:c r="AC164" s="805" t="str">
        <x:f>IF($A164="","",IF(AND(OR($T164="Closed — No Action",$T164="Closed — Incorporated"),$AB164&lt;&gt;""),MAX(0,$AB164-$B164),MAX(0,TODAY()-$B164)))</x:f>
      </x:c>
      <x:c r="AD164" s="775" t="str">
        <x:f>IF(COUNTA($A164:$F164,$H164:$AB164,$AG164)=0,"",IF(OR($A164="",$B164="",$C164="",$D164="",$F164="",$H164="",$I164="",$J164="",$K164="",$L164="",$M164="",$N164="",$O164="",$P164="",$Q164="",$R164="",$S164="",$T164="",$U164="",$V164="",$W164="",$X164="",$Y164="",$Z164="",$AA164="",AND(NOT(OR($D164="Portfolio-Level",$D164="Market / Macro",$D164="Other")),$E164="")),"INCOMPLETE",IF(COUNTIF($A$14:$A$213,$A164)&gt;1,"DUPLICATE ID","COMPLETE")))</x:f>
      </x:c>
      <x:c r="AE164" s="775" t="str">
        <x:f>IF($A164="","",IF($AD164&lt;&gt;"COMPLETE",$AD164,IF(AND($D164="Certified Holding",OR($E164="",$G164="Candidate / Non-Holding")),"HOLDING IDENTIFIER MISMATCH",IF(AND(OR($J164="Critical",$J164="High"),OR($U164="No",AND($L164="Unverified — Pending",$U164&lt;&gt;"Exception Approved"))),"VERIFY / ESCALATE",IF($X164="Unassigned","CONVICTION DECISION REQUIRED",IF(AND($S164&lt;TODAY(),$T164&lt;&gt;"Closed — No Action",$T164&lt;&gt;"Closed — Incorporated"),"OVERDUE",IF(AND(OR($T164="Closed — No Action",$T164="Closed — Incorporated"),$AB164=""),"CLOSE DATE REQUIRED",IF(AND(NOT(OR($T164="Closed — No Action",$T164="Closed — Incorporated")),$AB164&lt;&gt;""),"STATUS / CLOSE DATE MISMATCH",IF(AND($Z164&lt;&gt;"No",NOT(OR($U164="Yes",$U164="Exception Approved"))),"PEW REFERRAL BLOCKED",IF(AND($T164="Awaiting Verification",$U164="Yes"),"STATUS MISMATCH",IF(OR($T164="Closed — No Action",$T164="Closed — Incorporated"),"CLOSED","OPEN — ON TRACK")))))))))))</x:f>
      </x:c>
      <x:c r="AF164" s="775" t="str">
        <x:f>IF($A164="","",IF($AD164&lt;&gt;"COMPLETE","NOT ELIGIBLE",IF($X164="Unassigned","NOT ELIGIBLE — CONVICTION UNASSIGNED",IF(NOT(OR($U164="Yes",$U164="Exception Approved")),"NOT ELIGIBLE — UNVERIFIED",IF(OR($V164&lt;&gt;"None",AND($W164&lt;&gt;"None",$W164&lt;&gt;"Intact"),AND($X164&lt;&gt;"No Change",$X164&lt;&gt;"Not Applicable"),$Y164&lt;&gt;"None",$Z164&lt;&gt;"No"),"ELIGIBLE FOR ROUTING","NO REFERRAL REQUIRED")))))</x:f>
      </x:c>
      <x:c r="AG164" s="800"/>
    </x:row>
    <x:row r="165" ht="36" customHeight="1">
      <x:c r="A165" s="800"/>
      <x:c r="B165" s="804"/>
      <x:c r="C165" s="804"/>
      <x:c r="D165" s="800"/>
      <x:c r="E165" s="800"/>
      <x:c r="F165" s="800"/>
      <x:c r="G165" s="802" t="str">
        <x:f>IF($E165="","",IFERROR(INDEX('Certified Allocation'!$A$5:$A$51,MATCH($E165,'Certified Allocation'!$B$5:$B$51,0)),"Candidate / Non-Holding"))</x:f>
      </x:c>
      <x:c r="H165" s="800"/>
      <x:c r="I165" s="800"/>
      <x:c r="J165" s="800"/>
      <x:c r="K165" s="800"/>
      <x:c r="L165" s="800"/>
      <x:c r="M165" s="800"/>
      <x:c r="N165" s="800"/>
      <x:c r="O165" s="800"/>
      <x:c r="P165" s="800"/>
      <x:c r="Q165" s="800"/>
      <x:c r="R165" s="800"/>
      <x:c r="S165" s="804"/>
      <x:c r="T165" s="800"/>
      <x:c r="U165" s="800"/>
      <x:c r="V165" s="800"/>
      <x:c r="W165" s="800"/>
      <x:c r="X165" s="800"/>
      <x:c r="Y165" s="800"/>
      <x:c r="Z165" s="800"/>
      <x:c r="AA165" s="800"/>
      <x:c r="AB165" s="804"/>
      <x:c r="AC165" s="805" t="str">
        <x:f>IF($A165="","",IF(AND(OR($T165="Closed — No Action",$T165="Closed — Incorporated"),$AB165&lt;&gt;""),MAX(0,$AB165-$B165),MAX(0,TODAY()-$B165)))</x:f>
      </x:c>
      <x:c r="AD165" s="775" t="str">
        <x:f>IF(COUNTA($A165:$F165,$H165:$AB165,$AG165)=0,"",IF(OR($A165="",$B165="",$C165="",$D165="",$F165="",$H165="",$I165="",$J165="",$K165="",$L165="",$M165="",$N165="",$O165="",$P165="",$Q165="",$R165="",$S165="",$T165="",$U165="",$V165="",$W165="",$X165="",$Y165="",$Z165="",$AA165="",AND(NOT(OR($D165="Portfolio-Level",$D165="Market / Macro",$D165="Other")),$E165="")),"INCOMPLETE",IF(COUNTIF($A$14:$A$213,$A165)&gt;1,"DUPLICATE ID","COMPLETE")))</x:f>
      </x:c>
      <x:c r="AE165" s="775" t="str">
        <x:f>IF($A165="","",IF($AD165&lt;&gt;"COMPLETE",$AD165,IF(AND($D165="Certified Holding",OR($E165="",$G165="Candidate / Non-Holding")),"HOLDING IDENTIFIER MISMATCH",IF(AND(OR($J165="Critical",$J165="High"),OR($U165="No",AND($L165="Unverified — Pending",$U165&lt;&gt;"Exception Approved"))),"VERIFY / ESCALATE",IF($X165="Unassigned","CONVICTION DECISION REQUIRED",IF(AND($S165&lt;TODAY(),$T165&lt;&gt;"Closed — No Action",$T165&lt;&gt;"Closed — Incorporated"),"OVERDUE",IF(AND(OR($T165="Closed — No Action",$T165="Closed — Incorporated"),$AB165=""),"CLOSE DATE REQUIRED",IF(AND(NOT(OR($T165="Closed — No Action",$T165="Closed — Incorporated")),$AB165&lt;&gt;""),"STATUS / CLOSE DATE MISMATCH",IF(AND($Z165&lt;&gt;"No",NOT(OR($U165="Yes",$U165="Exception Approved"))),"PEW REFERRAL BLOCKED",IF(AND($T165="Awaiting Verification",$U165="Yes"),"STATUS MISMATCH",IF(OR($T165="Closed — No Action",$T165="Closed — Incorporated"),"CLOSED","OPEN — ON TRACK")))))))))))</x:f>
      </x:c>
      <x:c r="AF165" s="775" t="str">
        <x:f>IF($A165="","",IF($AD165&lt;&gt;"COMPLETE","NOT ELIGIBLE",IF($X165="Unassigned","NOT ELIGIBLE — CONVICTION UNASSIGNED",IF(NOT(OR($U165="Yes",$U165="Exception Approved")),"NOT ELIGIBLE — UNVERIFIED",IF(OR($V165&lt;&gt;"None",AND($W165&lt;&gt;"None",$W165&lt;&gt;"Intact"),AND($X165&lt;&gt;"No Change",$X165&lt;&gt;"Not Applicable"),$Y165&lt;&gt;"None",$Z165&lt;&gt;"No"),"ELIGIBLE FOR ROUTING","NO REFERRAL REQUIRED")))))</x:f>
      </x:c>
      <x:c r="AG165" s="800"/>
    </x:row>
    <x:row r="166" ht="36" customHeight="1">
      <x:c r="A166" s="800"/>
      <x:c r="B166" s="804"/>
      <x:c r="C166" s="804"/>
      <x:c r="D166" s="800"/>
      <x:c r="E166" s="800"/>
      <x:c r="F166" s="800"/>
      <x:c r="G166" s="802" t="str">
        <x:f>IF($E166="","",IFERROR(INDEX('Certified Allocation'!$A$5:$A$51,MATCH($E166,'Certified Allocation'!$B$5:$B$51,0)),"Candidate / Non-Holding"))</x:f>
      </x:c>
      <x:c r="H166" s="800"/>
      <x:c r="I166" s="800"/>
      <x:c r="J166" s="800"/>
      <x:c r="K166" s="800"/>
      <x:c r="L166" s="800"/>
      <x:c r="M166" s="800"/>
      <x:c r="N166" s="800"/>
      <x:c r="O166" s="800"/>
      <x:c r="P166" s="800"/>
      <x:c r="Q166" s="800"/>
      <x:c r="R166" s="800"/>
      <x:c r="S166" s="804"/>
      <x:c r="T166" s="800"/>
      <x:c r="U166" s="800"/>
      <x:c r="V166" s="800"/>
      <x:c r="W166" s="800"/>
      <x:c r="X166" s="800"/>
      <x:c r="Y166" s="800"/>
      <x:c r="Z166" s="800"/>
      <x:c r="AA166" s="800"/>
      <x:c r="AB166" s="804"/>
      <x:c r="AC166" s="805" t="str">
        <x:f>IF($A166="","",IF(AND(OR($T166="Closed — No Action",$T166="Closed — Incorporated"),$AB166&lt;&gt;""),MAX(0,$AB166-$B166),MAX(0,TODAY()-$B166)))</x:f>
      </x:c>
      <x:c r="AD166" s="775" t="str">
        <x:f>IF(COUNTA($A166:$F166,$H166:$AB166,$AG166)=0,"",IF(OR($A166="",$B166="",$C166="",$D166="",$F166="",$H166="",$I166="",$J166="",$K166="",$L166="",$M166="",$N166="",$O166="",$P166="",$Q166="",$R166="",$S166="",$T166="",$U166="",$V166="",$W166="",$X166="",$Y166="",$Z166="",$AA166="",AND(NOT(OR($D166="Portfolio-Level",$D166="Market / Macro",$D166="Other")),$E166="")),"INCOMPLETE",IF(COUNTIF($A$14:$A$213,$A166)&gt;1,"DUPLICATE ID","COMPLETE")))</x:f>
      </x:c>
      <x:c r="AE166" s="775" t="str">
        <x:f>IF($A166="","",IF($AD166&lt;&gt;"COMPLETE",$AD166,IF(AND($D166="Certified Holding",OR($E166="",$G166="Candidate / Non-Holding")),"HOLDING IDENTIFIER MISMATCH",IF(AND(OR($J166="Critical",$J166="High"),OR($U166="No",AND($L166="Unverified — Pending",$U166&lt;&gt;"Exception Approved"))),"VERIFY / ESCALATE",IF($X166="Unassigned","CONVICTION DECISION REQUIRED",IF(AND($S166&lt;TODAY(),$T166&lt;&gt;"Closed — No Action",$T166&lt;&gt;"Closed — Incorporated"),"OVERDUE",IF(AND(OR($T166="Closed — No Action",$T166="Closed — Incorporated"),$AB166=""),"CLOSE DATE REQUIRED",IF(AND(NOT(OR($T166="Closed — No Action",$T166="Closed — Incorporated")),$AB166&lt;&gt;""),"STATUS / CLOSE DATE MISMATCH",IF(AND($Z166&lt;&gt;"No",NOT(OR($U166="Yes",$U166="Exception Approved"))),"PEW REFERRAL BLOCKED",IF(AND($T166="Awaiting Verification",$U166="Yes"),"STATUS MISMATCH",IF(OR($T166="Closed — No Action",$T166="Closed — Incorporated"),"CLOSED","OPEN — ON TRACK")))))))))))</x:f>
      </x:c>
      <x:c r="AF166" s="775" t="str">
        <x:f>IF($A166="","",IF($AD166&lt;&gt;"COMPLETE","NOT ELIGIBLE",IF($X166="Unassigned","NOT ELIGIBLE — CONVICTION UNASSIGNED",IF(NOT(OR($U166="Yes",$U166="Exception Approved")),"NOT ELIGIBLE — UNVERIFIED",IF(OR($V166&lt;&gt;"None",AND($W166&lt;&gt;"None",$W166&lt;&gt;"Intact"),AND($X166&lt;&gt;"No Change",$X166&lt;&gt;"Not Applicable"),$Y166&lt;&gt;"None",$Z166&lt;&gt;"No"),"ELIGIBLE FOR ROUTING","NO REFERRAL REQUIRED")))))</x:f>
      </x:c>
      <x:c r="AG166" s="800"/>
    </x:row>
    <x:row r="167" ht="36" customHeight="1">
      <x:c r="A167" s="800"/>
      <x:c r="B167" s="804"/>
      <x:c r="C167" s="804"/>
      <x:c r="D167" s="800"/>
      <x:c r="E167" s="800"/>
      <x:c r="F167" s="800"/>
      <x:c r="G167" s="802" t="str">
        <x:f>IF($E167="","",IFERROR(INDEX('Certified Allocation'!$A$5:$A$51,MATCH($E167,'Certified Allocation'!$B$5:$B$51,0)),"Candidate / Non-Holding"))</x:f>
      </x:c>
      <x:c r="H167" s="800"/>
      <x:c r="I167" s="800"/>
      <x:c r="J167" s="800"/>
      <x:c r="K167" s="800"/>
      <x:c r="L167" s="800"/>
      <x:c r="M167" s="800"/>
      <x:c r="N167" s="800"/>
      <x:c r="O167" s="800"/>
      <x:c r="P167" s="800"/>
      <x:c r="Q167" s="800"/>
      <x:c r="R167" s="800"/>
      <x:c r="S167" s="804"/>
      <x:c r="T167" s="800"/>
      <x:c r="U167" s="800"/>
      <x:c r="V167" s="800"/>
      <x:c r="W167" s="800"/>
      <x:c r="X167" s="800"/>
      <x:c r="Y167" s="800"/>
      <x:c r="Z167" s="800"/>
      <x:c r="AA167" s="800"/>
      <x:c r="AB167" s="804"/>
      <x:c r="AC167" s="805" t="str">
        <x:f>IF($A167="","",IF(AND(OR($T167="Closed — No Action",$T167="Closed — Incorporated"),$AB167&lt;&gt;""),MAX(0,$AB167-$B167),MAX(0,TODAY()-$B167)))</x:f>
      </x:c>
      <x:c r="AD167" s="775" t="str">
        <x:f>IF(COUNTA($A167:$F167,$H167:$AB167,$AG167)=0,"",IF(OR($A167="",$B167="",$C167="",$D167="",$F167="",$H167="",$I167="",$J167="",$K167="",$L167="",$M167="",$N167="",$O167="",$P167="",$Q167="",$R167="",$S167="",$T167="",$U167="",$V167="",$W167="",$X167="",$Y167="",$Z167="",$AA167="",AND(NOT(OR($D167="Portfolio-Level",$D167="Market / Macro",$D167="Other")),$E167="")),"INCOMPLETE",IF(COUNTIF($A$14:$A$213,$A167)&gt;1,"DUPLICATE ID","COMPLETE")))</x:f>
      </x:c>
      <x:c r="AE167" s="775" t="str">
        <x:f>IF($A167="","",IF($AD167&lt;&gt;"COMPLETE",$AD167,IF(AND($D167="Certified Holding",OR($E167="",$G167="Candidate / Non-Holding")),"HOLDING IDENTIFIER MISMATCH",IF(AND(OR($J167="Critical",$J167="High"),OR($U167="No",AND($L167="Unverified — Pending",$U167&lt;&gt;"Exception Approved"))),"VERIFY / ESCALATE",IF($X167="Unassigned","CONVICTION DECISION REQUIRED",IF(AND($S167&lt;TODAY(),$T167&lt;&gt;"Closed — No Action",$T167&lt;&gt;"Closed — Incorporated"),"OVERDUE",IF(AND(OR($T167="Closed — No Action",$T167="Closed — Incorporated"),$AB167=""),"CLOSE DATE REQUIRED",IF(AND(NOT(OR($T167="Closed — No Action",$T167="Closed — Incorporated")),$AB167&lt;&gt;""),"STATUS / CLOSE DATE MISMATCH",IF(AND($Z167&lt;&gt;"No",NOT(OR($U167="Yes",$U167="Exception Approved"))),"PEW REFERRAL BLOCKED",IF(AND($T167="Awaiting Verification",$U167="Yes"),"STATUS MISMATCH",IF(OR($T167="Closed — No Action",$T167="Closed — Incorporated"),"CLOSED","OPEN — ON TRACK")))))))))))</x:f>
      </x:c>
      <x:c r="AF167" s="775" t="str">
        <x:f>IF($A167="","",IF($AD167&lt;&gt;"COMPLETE","NOT ELIGIBLE",IF($X167="Unassigned","NOT ELIGIBLE — CONVICTION UNASSIGNED",IF(NOT(OR($U167="Yes",$U167="Exception Approved")),"NOT ELIGIBLE — UNVERIFIED",IF(OR($V167&lt;&gt;"None",AND($W167&lt;&gt;"None",$W167&lt;&gt;"Intact"),AND($X167&lt;&gt;"No Change",$X167&lt;&gt;"Not Applicable"),$Y167&lt;&gt;"None",$Z167&lt;&gt;"No"),"ELIGIBLE FOR ROUTING","NO REFERRAL REQUIRED")))))</x:f>
      </x:c>
      <x:c r="AG167" s="800"/>
    </x:row>
    <x:row r="168" ht="36" customHeight="1">
      <x:c r="A168" s="800"/>
      <x:c r="B168" s="804"/>
      <x:c r="C168" s="804"/>
      <x:c r="D168" s="800"/>
      <x:c r="E168" s="800"/>
      <x:c r="F168" s="800"/>
      <x:c r="G168" s="802" t="str">
        <x:f>IF($E168="","",IFERROR(INDEX('Certified Allocation'!$A$5:$A$51,MATCH($E168,'Certified Allocation'!$B$5:$B$51,0)),"Candidate / Non-Holding"))</x:f>
      </x:c>
      <x:c r="H168" s="800"/>
      <x:c r="I168" s="800"/>
      <x:c r="J168" s="800"/>
      <x:c r="K168" s="800"/>
      <x:c r="L168" s="800"/>
      <x:c r="M168" s="800"/>
      <x:c r="N168" s="800"/>
      <x:c r="O168" s="800"/>
      <x:c r="P168" s="800"/>
      <x:c r="Q168" s="800"/>
      <x:c r="R168" s="800"/>
      <x:c r="S168" s="804"/>
      <x:c r="T168" s="800"/>
      <x:c r="U168" s="800"/>
      <x:c r="V168" s="800"/>
      <x:c r="W168" s="800"/>
      <x:c r="X168" s="800"/>
      <x:c r="Y168" s="800"/>
      <x:c r="Z168" s="800"/>
      <x:c r="AA168" s="800"/>
      <x:c r="AB168" s="804"/>
      <x:c r="AC168" s="805" t="str">
        <x:f>IF($A168="","",IF(AND(OR($T168="Closed — No Action",$T168="Closed — Incorporated"),$AB168&lt;&gt;""),MAX(0,$AB168-$B168),MAX(0,TODAY()-$B168)))</x:f>
      </x:c>
      <x:c r="AD168" s="775" t="str">
        <x:f>IF(COUNTA($A168:$F168,$H168:$AB168,$AG168)=0,"",IF(OR($A168="",$B168="",$C168="",$D168="",$F168="",$H168="",$I168="",$J168="",$K168="",$L168="",$M168="",$N168="",$O168="",$P168="",$Q168="",$R168="",$S168="",$T168="",$U168="",$V168="",$W168="",$X168="",$Y168="",$Z168="",$AA168="",AND(NOT(OR($D168="Portfolio-Level",$D168="Market / Macro",$D168="Other")),$E168="")),"INCOMPLETE",IF(COUNTIF($A$14:$A$213,$A168)&gt;1,"DUPLICATE ID","COMPLETE")))</x:f>
      </x:c>
      <x:c r="AE168" s="775" t="str">
        <x:f>IF($A168="","",IF($AD168&lt;&gt;"COMPLETE",$AD168,IF(AND($D168="Certified Holding",OR($E168="",$G168="Candidate / Non-Holding")),"HOLDING IDENTIFIER MISMATCH",IF(AND(OR($J168="Critical",$J168="High"),OR($U168="No",AND($L168="Unverified — Pending",$U168&lt;&gt;"Exception Approved"))),"VERIFY / ESCALATE",IF($X168="Unassigned","CONVICTION DECISION REQUIRED",IF(AND($S168&lt;TODAY(),$T168&lt;&gt;"Closed — No Action",$T168&lt;&gt;"Closed — Incorporated"),"OVERDUE",IF(AND(OR($T168="Closed — No Action",$T168="Closed — Incorporated"),$AB168=""),"CLOSE DATE REQUIRED",IF(AND(NOT(OR($T168="Closed — No Action",$T168="Closed — Incorporated")),$AB168&lt;&gt;""),"STATUS / CLOSE DATE MISMATCH",IF(AND($Z168&lt;&gt;"No",NOT(OR($U168="Yes",$U168="Exception Approved"))),"PEW REFERRAL BLOCKED",IF(AND($T168="Awaiting Verification",$U168="Yes"),"STATUS MISMATCH",IF(OR($T168="Closed — No Action",$T168="Closed — Incorporated"),"CLOSED","OPEN — ON TRACK")))))))))))</x:f>
      </x:c>
      <x:c r="AF168" s="775" t="str">
        <x:f>IF($A168="","",IF($AD168&lt;&gt;"COMPLETE","NOT ELIGIBLE",IF($X168="Unassigned","NOT ELIGIBLE — CONVICTION UNASSIGNED",IF(NOT(OR($U168="Yes",$U168="Exception Approved")),"NOT ELIGIBLE — UNVERIFIED",IF(OR($V168&lt;&gt;"None",AND($W168&lt;&gt;"None",$W168&lt;&gt;"Intact"),AND($X168&lt;&gt;"No Change",$X168&lt;&gt;"Not Applicable"),$Y168&lt;&gt;"None",$Z168&lt;&gt;"No"),"ELIGIBLE FOR ROUTING","NO REFERRAL REQUIRED")))))</x:f>
      </x:c>
      <x:c r="AG168" s="800"/>
    </x:row>
    <x:row r="169" ht="36" customHeight="1">
      <x:c r="A169" s="800"/>
      <x:c r="B169" s="804"/>
      <x:c r="C169" s="804"/>
      <x:c r="D169" s="800"/>
      <x:c r="E169" s="800"/>
      <x:c r="F169" s="800"/>
      <x:c r="G169" s="802" t="str">
        <x:f>IF($E169="","",IFERROR(INDEX('Certified Allocation'!$A$5:$A$51,MATCH($E169,'Certified Allocation'!$B$5:$B$51,0)),"Candidate / Non-Holding"))</x:f>
      </x:c>
      <x:c r="H169" s="800"/>
      <x:c r="I169" s="800"/>
      <x:c r="J169" s="800"/>
      <x:c r="K169" s="800"/>
      <x:c r="L169" s="800"/>
      <x:c r="M169" s="800"/>
      <x:c r="N169" s="800"/>
      <x:c r="O169" s="800"/>
      <x:c r="P169" s="800"/>
      <x:c r="Q169" s="800"/>
      <x:c r="R169" s="800"/>
      <x:c r="S169" s="804"/>
      <x:c r="T169" s="800"/>
      <x:c r="U169" s="800"/>
      <x:c r="V169" s="800"/>
      <x:c r="W169" s="800"/>
      <x:c r="X169" s="800"/>
      <x:c r="Y169" s="800"/>
      <x:c r="Z169" s="800"/>
      <x:c r="AA169" s="800"/>
      <x:c r="AB169" s="804"/>
      <x:c r="AC169" s="805" t="str">
        <x:f>IF($A169="","",IF(AND(OR($T169="Closed — No Action",$T169="Closed — Incorporated"),$AB169&lt;&gt;""),MAX(0,$AB169-$B169),MAX(0,TODAY()-$B169)))</x:f>
      </x:c>
      <x:c r="AD169" s="775" t="str">
        <x:f>IF(COUNTA($A169:$F169,$H169:$AB169,$AG169)=0,"",IF(OR($A169="",$B169="",$C169="",$D169="",$F169="",$H169="",$I169="",$J169="",$K169="",$L169="",$M169="",$N169="",$O169="",$P169="",$Q169="",$R169="",$S169="",$T169="",$U169="",$V169="",$W169="",$X169="",$Y169="",$Z169="",$AA169="",AND(NOT(OR($D169="Portfolio-Level",$D169="Market / Macro",$D169="Other")),$E169="")),"INCOMPLETE",IF(COUNTIF($A$14:$A$213,$A169)&gt;1,"DUPLICATE ID","COMPLETE")))</x:f>
      </x:c>
      <x:c r="AE169" s="775" t="str">
        <x:f>IF($A169="","",IF($AD169&lt;&gt;"COMPLETE",$AD169,IF(AND($D169="Certified Holding",OR($E169="",$G169="Candidate / Non-Holding")),"HOLDING IDENTIFIER MISMATCH",IF(AND(OR($J169="Critical",$J169="High"),OR($U169="No",AND($L169="Unverified — Pending",$U169&lt;&gt;"Exception Approved"))),"VERIFY / ESCALATE",IF($X169="Unassigned","CONVICTION DECISION REQUIRED",IF(AND($S169&lt;TODAY(),$T169&lt;&gt;"Closed — No Action",$T169&lt;&gt;"Closed — Incorporated"),"OVERDUE",IF(AND(OR($T169="Closed — No Action",$T169="Closed — Incorporated"),$AB169=""),"CLOSE DATE REQUIRED",IF(AND(NOT(OR($T169="Closed — No Action",$T169="Closed — Incorporated")),$AB169&lt;&gt;""),"STATUS / CLOSE DATE MISMATCH",IF(AND($Z169&lt;&gt;"No",NOT(OR($U169="Yes",$U169="Exception Approved"))),"PEW REFERRAL BLOCKED",IF(AND($T169="Awaiting Verification",$U169="Yes"),"STATUS MISMATCH",IF(OR($T169="Closed — No Action",$T169="Closed — Incorporated"),"CLOSED","OPEN — ON TRACK")))))))))))</x:f>
      </x:c>
      <x:c r="AF169" s="775" t="str">
        <x:f>IF($A169="","",IF($AD169&lt;&gt;"COMPLETE","NOT ELIGIBLE",IF($X169="Unassigned","NOT ELIGIBLE — CONVICTION UNASSIGNED",IF(NOT(OR($U169="Yes",$U169="Exception Approved")),"NOT ELIGIBLE — UNVERIFIED",IF(OR($V169&lt;&gt;"None",AND($W169&lt;&gt;"None",$W169&lt;&gt;"Intact"),AND($X169&lt;&gt;"No Change",$X169&lt;&gt;"Not Applicable"),$Y169&lt;&gt;"None",$Z169&lt;&gt;"No"),"ELIGIBLE FOR ROUTING","NO REFERRAL REQUIRED")))))</x:f>
      </x:c>
      <x:c r="AG169" s="800"/>
    </x:row>
    <x:row r="170" ht="36" customHeight="1">
      <x:c r="A170" s="800"/>
      <x:c r="B170" s="804"/>
      <x:c r="C170" s="804"/>
      <x:c r="D170" s="800"/>
      <x:c r="E170" s="800"/>
      <x:c r="F170" s="800"/>
      <x:c r="G170" s="802" t="str">
        <x:f>IF($E170="","",IFERROR(INDEX('Certified Allocation'!$A$5:$A$51,MATCH($E170,'Certified Allocation'!$B$5:$B$51,0)),"Candidate / Non-Holding"))</x:f>
      </x:c>
      <x:c r="H170" s="800"/>
      <x:c r="I170" s="800"/>
      <x:c r="J170" s="800"/>
      <x:c r="K170" s="800"/>
      <x:c r="L170" s="800"/>
      <x:c r="M170" s="800"/>
      <x:c r="N170" s="800"/>
      <x:c r="O170" s="800"/>
      <x:c r="P170" s="800"/>
      <x:c r="Q170" s="800"/>
      <x:c r="R170" s="800"/>
      <x:c r="S170" s="804"/>
      <x:c r="T170" s="800"/>
      <x:c r="U170" s="800"/>
      <x:c r="V170" s="800"/>
      <x:c r="W170" s="800"/>
      <x:c r="X170" s="800"/>
      <x:c r="Y170" s="800"/>
      <x:c r="Z170" s="800"/>
      <x:c r="AA170" s="800"/>
      <x:c r="AB170" s="804"/>
      <x:c r="AC170" s="805" t="str">
        <x:f>IF($A170="","",IF(AND(OR($T170="Closed — No Action",$T170="Closed — Incorporated"),$AB170&lt;&gt;""),MAX(0,$AB170-$B170),MAX(0,TODAY()-$B170)))</x:f>
      </x:c>
      <x:c r="AD170" s="775" t="str">
        <x:f>IF(COUNTA($A170:$F170,$H170:$AB170,$AG170)=0,"",IF(OR($A170="",$B170="",$C170="",$D170="",$F170="",$H170="",$I170="",$J170="",$K170="",$L170="",$M170="",$N170="",$O170="",$P170="",$Q170="",$R170="",$S170="",$T170="",$U170="",$V170="",$W170="",$X170="",$Y170="",$Z170="",$AA170="",AND(NOT(OR($D170="Portfolio-Level",$D170="Market / Macro",$D170="Other")),$E170="")),"INCOMPLETE",IF(COUNTIF($A$14:$A$213,$A170)&gt;1,"DUPLICATE ID","COMPLETE")))</x:f>
      </x:c>
      <x:c r="AE170" s="775" t="str">
        <x:f>IF($A170="","",IF($AD170&lt;&gt;"COMPLETE",$AD170,IF(AND($D170="Certified Holding",OR($E170="",$G170="Candidate / Non-Holding")),"HOLDING IDENTIFIER MISMATCH",IF(AND(OR($J170="Critical",$J170="High"),OR($U170="No",AND($L170="Unverified — Pending",$U170&lt;&gt;"Exception Approved"))),"VERIFY / ESCALATE",IF($X170="Unassigned","CONVICTION DECISION REQUIRED",IF(AND($S170&lt;TODAY(),$T170&lt;&gt;"Closed — No Action",$T170&lt;&gt;"Closed — Incorporated"),"OVERDUE",IF(AND(OR($T170="Closed — No Action",$T170="Closed — Incorporated"),$AB170=""),"CLOSE DATE REQUIRED",IF(AND(NOT(OR($T170="Closed — No Action",$T170="Closed — Incorporated")),$AB170&lt;&gt;""),"STATUS / CLOSE DATE MISMATCH",IF(AND($Z170&lt;&gt;"No",NOT(OR($U170="Yes",$U170="Exception Approved"))),"PEW REFERRAL BLOCKED",IF(AND($T170="Awaiting Verification",$U170="Yes"),"STATUS MISMATCH",IF(OR($T170="Closed — No Action",$T170="Closed — Incorporated"),"CLOSED","OPEN — ON TRACK")))))))))))</x:f>
      </x:c>
      <x:c r="AF170" s="775" t="str">
        <x:f>IF($A170="","",IF($AD170&lt;&gt;"COMPLETE","NOT ELIGIBLE",IF($X170="Unassigned","NOT ELIGIBLE — CONVICTION UNASSIGNED",IF(NOT(OR($U170="Yes",$U170="Exception Approved")),"NOT ELIGIBLE — UNVERIFIED",IF(OR($V170&lt;&gt;"None",AND($W170&lt;&gt;"None",$W170&lt;&gt;"Intact"),AND($X170&lt;&gt;"No Change",$X170&lt;&gt;"Not Applicable"),$Y170&lt;&gt;"None",$Z170&lt;&gt;"No"),"ELIGIBLE FOR ROUTING","NO REFERRAL REQUIRED")))))</x:f>
      </x:c>
      <x:c r="AG170" s="800"/>
    </x:row>
    <x:row r="171" ht="36" customHeight="1">
      <x:c r="A171" s="800"/>
      <x:c r="B171" s="804"/>
      <x:c r="C171" s="804"/>
      <x:c r="D171" s="800"/>
      <x:c r="E171" s="800"/>
      <x:c r="F171" s="800"/>
      <x:c r="G171" s="802" t="str">
        <x:f>IF($E171="","",IFERROR(INDEX('Certified Allocation'!$A$5:$A$51,MATCH($E171,'Certified Allocation'!$B$5:$B$51,0)),"Candidate / Non-Holding"))</x:f>
      </x:c>
      <x:c r="H171" s="800"/>
      <x:c r="I171" s="800"/>
      <x:c r="J171" s="800"/>
      <x:c r="K171" s="800"/>
      <x:c r="L171" s="800"/>
      <x:c r="M171" s="800"/>
      <x:c r="N171" s="800"/>
      <x:c r="O171" s="800"/>
      <x:c r="P171" s="800"/>
      <x:c r="Q171" s="800"/>
      <x:c r="R171" s="800"/>
      <x:c r="S171" s="804"/>
      <x:c r="T171" s="800"/>
      <x:c r="U171" s="800"/>
      <x:c r="V171" s="800"/>
      <x:c r="W171" s="800"/>
      <x:c r="X171" s="800"/>
      <x:c r="Y171" s="800"/>
      <x:c r="Z171" s="800"/>
      <x:c r="AA171" s="800"/>
      <x:c r="AB171" s="804"/>
      <x:c r="AC171" s="805" t="str">
        <x:f>IF($A171="","",IF(AND(OR($T171="Closed — No Action",$T171="Closed — Incorporated"),$AB171&lt;&gt;""),MAX(0,$AB171-$B171),MAX(0,TODAY()-$B171)))</x:f>
      </x:c>
      <x:c r="AD171" s="775" t="str">
        <x:f>IF(COUNTA($A171:$F171,$H171:$AB171,$AG171)=0,"",IF(OR($A171="",$B171="",$C171="",$D171="",$F171="",$H171="",$I171="",$J171="",$K171="",$L171="",$M171="",$N171="",$O171="",$P171="",$Q171="",$R171="",$S171="",$T171="",$U171="",$V171="",$W171="",$X171="",$Y171="",$Z171="",$AA171="",AND(NOT(OR($D171="Portfolio-Level",$D171="Market / Macro",$D171="Other")),$E171="")),"INCOMPLETE",IF(COUNTIF($A$14:$A$213,$A171)&gt;1,"DUPLICATE ID","COMPLETE")))</x:f>
      </x:c>
      <x:c r="AE171" s="775" t="str">
        <x:f>IF($A171="","",IF($AD171&lt;&gt;"COMPLETE",$AD171,IF(AND($D171="Certified Holding",OR($E171="",$G171="Candidate / Non-Holding")),"HOLDING IDENTIFIER MISMATCH",IF(AND(OR($J171="Critical",$J171="High"),OR($U171="No",AND($L171="Unverified — Pending",$U171&lt;&gt;"Exception Approved"))),"VERIFY / ESCALATE",IF($X171="Unassigned","CONVICTION DECISION REQUIRED",IF(AND($S171&lt;TODAY(),$T171&lt;&gt;"Closed — No Action",$T171&lt;&gt;"Closed — Incorporated"),"OVERDUE",IF(AND(OR($T171="Closed — No Action",$T171="Closed — Incorporated"),$AB171=""),"CLOSE DATE REQUIRED",IF(AND(NOT(OR($T171="Closed — No Action",$T171="Closed — Incorporated")),$AB171&lt;&gt;""),"STATUS / CLOSE DATE MISMATCH",IF(AND($Z171&lt;&gt;"No",NOT(OR($U171="Yes",$U171="Exception Approved"))),"PEW REFERRAL BLOCKED",IF(AND($T171="Awaiting Verification",$U171="Yes"),"STATUS MISMATCH",IF(OR($T171="Closed — No Action",$T171="Closed — Incorporated"),"CLOSED","OPEN — ON TRACK")))))))))))</x:f>
      </x:c>
      <x:c r="AF171" s="775" t="str">
        <x:f>IF($A171="","",IF($AD171&lt;&gt;"COMPLETE","NOT ELIGIBLE",IF($X171="Unassigned","NOT ELIGIBLE — CONVICTION UNASSIGNED",IF(NOT(OR($U171="Yes",$U171="Exception Approved")),"NOT ELIGIBLE — UNVERIFIED",IF(OR($V171&lt;&gt;"None",AND($W171&lt;&gt;"None",$W171&lt;&gt;"Intact"),AND($X171&lt;&gt;"No Change",$X171&lt;&gt;"Not Applicable"),$Y171&lt;&gt;"None",$Z171&lt;&gt;"No"),"ELIGIBLE FOR ROUTING","NO REFERRAL REQUIRED")))))</x:f>
      </x:c>
      <x:c r="AG171" s="800"/>
    </x:row>
    <x:row r="172" ht="36" customHeight="1">
      <x:c r="A172" s="800"/>
      <x:c r="B172" s="804"/>
      <x:c r="C172" s="804"/>
      <x:c r="D172" s="800"/>
      <x:c r="E172" s="800"/>
      <x:c r="F172" s="800"/>
      <x:c r="G172" s="802" t="str">
        <x:f>IF($E172="","",IFERROR(INDEX('Certified Allocation'!$A$5:$A$51,MATCH($E172,'Certified Allocation'!$B$5:$B$51,0)),"Candidate / Non-Holding"))</x:f>
      </x:c>
      <x:c r="H172" s="800"/>
      <x:c r="I172" s="800"/>
      <x:c r="J172" s="800"/>
      <x:c r="K172" s="800"/>
      <x:c r="L172" s="800"/>
      <x:c r="M172" s="800"/>
      <x:c r="N172" s="800"/>
      <x:c r="O172" s="800"/>
      <x:c r="P172" s="800"/>
      <x:c r="Q172" s="800"/>
      <x:c r="R172" s="800"/>
      <x:c r="S172" s="804"/>
      <x:c r="T172" s="800"/>
      <x:c r="U172" s="800"/>
      <x:c r="V172" s="800"/>
      <x:c r="W172" s="800"/>
      <x:c r="X172" s="800"/>
      <x:c r="Y172" s="800"/>
      <x:c r="Z172" s="800"/>
      <x:c r="AA172" s="800"/>
      <x:c r="AB172" s="804"/>
      <x:c r="AC172" s="805" t="str">
        <x:f>IF($A172="","",IF(AND(OR($T172="Closed — No Action",$T172="Closed — Incorporated"),$AB172&lt;&gt;""),MAX(0,$AB172-$B172),MAX(0,TODAY()-$B172)))</x:f>
      </x:c>
      <x:c r="AD172" s="775" t="str">
        <x:f>IF(COUNTA($A172:$F172,$H172:$AB172,$AG172)=0,"",IF(OR($A172="",$B172="",$C172="",$D172="",$F172="",$H172="",$I172="",$J172="",$K172="",$L172="",$M172="",$N172="",$O172="",$P172="",$Q172="",$R172="",$S172="",$T172="",$U172="",$V172="",$W172="",$X172="",$Y172="",$Z172="",$AA172="",AND(NOT(OR($D172="Portfolio-Level",$D172="Market / Macro",$D172="Other")),$E172="")),"INCOMPLETE",IF(COUNTIF($A$14:$A$213,$A172)&gt;1,"DUPLICATE ID","COMPLETE")))</x:f>
      </x:c>
      <x:c r="AE172" s="775" t="str">
        <x:f>IF($A172="","",IF($AD172&lt;&gt;"COMPLETE",$AD172,IF(AND($D172="Certified Holding",OR($E172="",$G172="Candidate / Non-Holding")),"HOLDING IDENTIFIER MISMATCH",IF(AND(OR($J172="Critical",$J172="High"),OR($U172="No",AND($L172="Unverified — Pending",$U172&lt;&gt;"Exception Approved"))),"VERIFY / ESCALATE",IF($X172="Unassigned","CONVICTION DECISION REQUIRED",IF(AND($S172&lt;TODAY(),$T172&lt;&gt;"Closed — No Action",$T172&lt;&gt;"Closed — Incorporated"),"OVERDUE",IF(AND(OR($T172="Closed — No Action",$T172="Closed — Incorporated"),$AB172=""),"CLOSE DATE REQUIRED",IF(AND(NOT(OR($T172="Closed — No Action",$T172="Closed — Incorporated")),$AB172&lt;&gt;""),"STATUS / CLOSE DATE MISMATCH",IF(AND($Z172&lt;&gt;"No",NOT(OR($U172="Yes",$U172="Exception Approved"))),"PEW REFERRAL BLOCKED",IF(AND($T172="Awaiting Verification",$U172="Yes"),"STATUS MISMATCH",IF(OR($T172="Closed — No Action",$T172="Closed — Incorporated"),"CLOSED","OPEN — ON TRACK")))))))))))</x:f>
      </x:c>
      <x:c r="AF172" s="775" t="str">
        <x:f>IF($A172="","",IF($AD172&lt;&gt;"COMPLETE","NOT ELIGIBLE",IF($X172="Unassigned","NOT ELIGIBLE — CONVICTION UNASSIGNED",IF(NOT(OR($U172="Yes",$U172="Exception Approved")),"NOT ELIGIBLE — UNVERIFIED",IF(OR($V172&lt;&gt;"None",AND($W172&lt;&gt;"None",$W172&lt;&gt;"Intact"),AND($X172&lt;&gt;"No Change",$X172&lt;&gt;"Not Applicable"),$Y172&lt;&gt;"None",$Z172&lt;&gt;"No"),"ELIGIBLE FOR ROUTING","NO REFERRAL REQUIRED")))))</x:f>
      </x:c>
      <x:c r="AG172" s="800"/>
    </x:row>
    <x:row r="173" ht="36" customHeight="1">
      <x:c r="A173" s="800"/>
      <x:c r="B173" s="804"/>
      <x:c r="C173" s="804"/>
      <x:c r="D173" s="800"/>
      <x:c r="E173" s="800"/>
      <x:c r="F173" s="800"/>
      <x:c r="G173" s="802" t="str">
        <x:f>IF($E173="","",IFERROR(INDEX('Certified Allocation'!$A$5:$A$51,MATCH($E173,'Certified Allocation'!$B$5:$B$51,0)),"Candidate / Non-Holding"))</x:f>
      </x:c>
      <x:c r="H173" s="800"/>
      <x:c r="I173" s="800"/>
      <x:c r="J173" s="800"/>
      <x:c r="K173" s="800"/>
      <x:c r="L173" s="800"/>
      <x:c r="M173" s="800"/>
      <x:c r="N173" s="800"/>
      <x:c r="O173" s="800"/>
      <x:c r="P173" s="800"/>
      <x:c r="Q173" s="800"/>
      <x:c r="R173" s="800"/>
      <x:c r="S173" s="804"/>
      <x:c r="T173" s="800"/>
      <x:c r="U173" s="800"/>
      <x:c r="V173" s="800"/>
      <x:c r="W173" s="800"/>
      <x:c r="X173" s="800"/>
      <x:c r="Y173" s="800"/>
      <x:c r="Z173" s="800"/>
      <x:c r="AA173" s="800"/>
      <x:c r="AB173" s="804"/>
      <x:c r="AC173" s="805" t="str">
        <x:f>IF($A173="","",IF(AND(OR($T173="Closed — No Action",$T173="Closed — Incorporated"),$AB173&lt;&gt;""),MAX(0,$AB173-$B173),MAX(0,TODAY()-$B173)))</x:f>
      </x:c>
      <x:c r="AD173" s="775" t="str">
        <x:f>IF(COUNTA($A173:$F173,$H173:$AB173,$AG173)=0,"",IF(OR($A173="",$B173="",$C173="",$D173="",$F173="",$H173="",$I173="",$J173="",$K173="",$L173="",$M173="",$N173="",$O173="",$P173="",$Q173="",$R173="",$S173="",$T173="",$U173="",$V173="",$W173="",$X173="",$Y173="",$Z173="",$AA173="",AND(NOT(OR($D173="Portfolio-Level",$D173="Market / Macro",$D173="Other")),$E173="")),"INCOMPLETE",IF(COUNTIF($A$14:$A$213,$A173)&gt;1,"DUPLICATE ID","COMPLETE")))</x:f>
      </x:c>
      <x:c r="AE173" s="775" t="str">
        <x:f>IF($A173="","",IF($AD173&lt;&gt;"COMPLETE",$AD173,IF(AND($D173="Certified Holding",OR($E173="",$G173="Candidate / Non-Holding")),"HOLDING IDENTIFIER MISMATCH",IF(AND(OR($J173="Critical",$J173="High"),OR($U173="No",AND($L173="Unverified — Pending",$U173&lt;&gt;"Exception Approved"))),"VERIFY / ESCALATE",IF($X173="Unassigned","CONVICTION DECISION REQUIRED",IF(AND($S173&lt;TODAY(),$T173&lt;&gt;"Closed — No Action",$T173&lt;&gt;"Closed — Incorporated"),"OVERDUE",IF(AND(OR($T173="Closed — No Action",$T173="Closed — Incorporated"),$AB173=""),"CLOSE DATE REQUIRED",IF(AND(NOT(OR($T173="Closed — No Action",$T173="Closed — Incorporated")),$AB173&lt;&gt;""),"STATUS / CLOSE DATE MISMATCH",IF(AND($Z173&lt;&gt;"No",NOT(OR($U173="Yes",$U173="Exception Approved"))),"PEW REFERRAL BLOCKED",IF(AND($T173="Awaiting Verification",$U173="Yes"),"STATUS MISMATCH",IF(OR($T173="Closed — No Action",$T173="Closed — Incorporated"),"CLOSED","OPEN — ON TRACK")))))))))))</x:f>
      </x:c>
      <x:c r="AF173" s="775" t="str">
        <x:f>IF($A173="","",IF($AD173&lt;&gt;"COMPLETE","NOT ELIGIBLE",IF($X173="Unassigned","NOT ELIGIBLE — CONVICTION UNASSIGNED",IF(NOT(OR($U173="Yes",$U173="Exception Approved")),"NOT ELIGIBLE — UNVERIFIED",IF(OR($V173&lt;&gt;"None",AND($W173&lt;&gt;"None",$W173&lt;&gt;"Intact"),AND($X173&lt;&gt;"No Change",$X173&lt;&gt;"Not Applicable"),$Y173&lt;&gt;"None",$Z173&lt;&gt;"No"),"ELIGIBLE FOR ROUTING","NO REFERRAL REQUIRED")))))</x:f>
      </x:c>
      <x:c r="AG173" s="800"/>
    </x:row>
    <x:row r="174" ht="36" customHeight="1">
      <x:c r="A174" s="800"/>
      <x:c r="B174" s="804"/>
      <x:c r="C174" s="804"/>
      <x:c r="D174" s="800"/>
      <x:c r="E174" s="800"/>
      <x:c r="F174" s="800"/>
      <x:c r="G174" s="802" t="str">
        <x:f>IF($E174="","",IFERROR(INDEX('Certified Allocation'!$A$5:$A$51,MATCH($E174,'Certified Allocation'!$B$5:$B$51,0)),"Candidate / Non-Holding"))</x:f>
      </x:c>
      <x:c r="H174" s="800"/>
      <x:c r="I174" s="800"/>
      <x:c r="J174" s="800"/>
      <x:c r="K174" s="800"/>
      <x:c r="L174" s="800"/>
      <x:c r="M174" s="800"/>
      <x:c r="N174" s="800"/>
      <x:c r="O174" s="800"/>
      <x:c r="P174" s="800"/>
      <x:c r="Q174" s="800"/>
      <x:c r="R174" s="800"/>
      <x:c r="S174" s="804"/>
      <x:c r="T174" s="800"/>
      <x:c r="U174" s="800"/>
      <x:c r="V174" s="800"/>
      <x:c r="W174" s="800"/>
      <x:c r="X174" s="800"/>
      <x:c r="Y174" s="800"/>
      <x:c r="Z174" s="800"/>
      <x:c r="AA174" s="800"/>
      <x:c r="AB174" s="804"/>
      <x:c r="AC174" s="805" t="str">
        <x:f>IF($A174="","",IF(AND(OR($T174="Closed — No Action",$T174="Closed — Incorporated"),$AB174&lt;&gt;""),MAX(0,$AB174-$B174),MAX(0,TODAY()-$B174)))</x:f>
      </x:c>
      <x:c r="AD174" s="775" t="str">
        <x:f>IF(COUNTA($A174:$F174,$H174:$AB174,$AG174)=0,"",IF(OR($A174="",$B174="",$C174="",$D174="",$F174="",$H174="",$I174="",$J174="",$K174="",$L174="",$M174="",$N174="",$O174="",$P174="",$Q174="",$R174="",$S174="",$T174="",$U174="",$V174="",$W174="",$X174="",$Y174="",$Z174="",$AA174="",AND(NOT(OR($D174="Portfolio-Level",$D174="Market / Macro",$D174="Other")),$E174="")),"INCOMPLETE",IF(COUNTIF($A$14:$A$213,$A174)&gt;1,"DUPLICATE ID","COMPLETE")))</x:f>
      </x:c>
      <x:c r="AE174" s="775" t="str">
        <x:f>IF($A174="","",IF($AD174&lt;&gt;"COMPLETE",$AD174,IF(AND($D174="Certified Holding",OR($E174="",$G174="Candidate / Non-Holding")),"HOLDING IDENTIFIER MISMATCH",IF(AND(OR($J174="Critical",$J174="High"),OR($U174="No",AND($L174="Unverified — Pending",$U174&lt;&gt;"Exception Approved"))),"VERIFY / ESCALATE",IF($X174="Unassigned","CONVICTION DECISION REQUIRED",IF(AND($S174&lt;TODAY(),$T174&lt;&gt;"Closed — No Action",$T174&lt;&gt;"Closed — Incorporated"),"OVERDUE",IF(AND(OR($T174="Closed — No Action",$T174="Closed — Incorporated"),$AB174=""),"CLOSE DATE REQUIRED",IF(AND(NOT(OR($T174="Closed — No Action",$T174="Closed — Incorporated")),$AB174&lt;&gt;""),"STATUS / CLOSE DATE MISMATCH",IF(AND($Z174&lt;&gt;"No",NOT(OR($U174="Yes",$U174="Exception Approved"))),"PEW REFERRAL BLOCKED",IF(AND($T174="Awaiting Verification",$U174="Yes"),"STATUS MISMATCH",IF(OR($T174="Closed — No Action",$T174="Closed — Incorporated"),"CLOSED","OPEN — ON TRACK")))))))))))</x:f>
      </x:c>
      <x:c r="AF174" s="775" t="str">
        <x:f>IF($A174="","",IF($AD174&lt;&gt;"COMPLETE","NOT ELIGIBLE",IF($X174="Unassigned","NOT ELIGIBLE — CONVICTION UNASSIGNED",IF(NOT(OR($U174="Yes",$U174="Exception Approved")),"NOT ELIGIBLE — UNVERIFIED",IF(OR($V174&lt;&gt;"None",AND($W174&lt;&gt;"None",$W174&lt;&gt;"Intact"),AND($X174&lt;&gt;"No Change",$X174&lt;&gt;"Not Applicable"),$Y174&lt;&gt;"None",$Z174&lt;&gt;"No"),"ELIGIBLE FOR ROUTING","NO REFERRAL REQUIRED")))))</x:f>
      </x:c>
      <x:c r="AG174" s="800"/>
    </x:row>
    <x:row r="175" ht="36" customHeight="1">
      <x:c r="A175" s="800"/>
      <x:c r="B175" s="804"/>
      <x:c r="C175" s="804"/>
      <x:c r="D175" s="800"/>
      <x:c r="E175" s="800"/>
      <x:c r="F175" s="800"/>
      <x:c r="G175" s="802" t="str">
        <x:f>IF($E175="","",IFERROR(INDEX('Certified Allocation'!$A$5:$A$51,MATCH($E175,'Certified Allocation'!$B$5:$B$51,0)),"Candidate / Non-Holding"))</x:f>
      </x:c>
      <x:c r="H175" s="800"/>
      <x:c r="I175" s="800"/>
      <x:c r="J175" s="800"/>
      <x:c r="K175" s="800"/>
      <x:c r="L175" s="800"/>
      <x:c r="M175" s="800"/>
      <x:c r="N175" s="800"/>
      <x:c r="O175" s="800"/>
      <x:c r="P175" s="800"/>
      <x:c r="Q175" s="800"/>
      <x:c r="R175" s="800"/>
      <x:c r="S175" s="804"/>
      <x:c r="T175" s="800"/>
      <x:c r="U175" s="800"/>
      <x:c r="V175" s="800"/>
      <x:c r="W175" s="800"/>
      <x:c r="X175" s="800"/>
      <x:c r="Y175" s="800"/>
      <x:c r="Z175" s="800"/>
      <x:c r="AA175" s="800"/>
      <x:c r="AB175" s="804"/>
      <x:c r="AC175" s="805" t="str">
        <x:f>IF($A175="","",IF(AND(OR($T175="Closed — No Action",$T175="Closed — Incorporated"),$AB175&lt;&gt;""),MAX(0,$AB175-$B175),MAX(0,TODAY()-$B175)))</x:f>
      </x:c>
      <x:c r="AD175" s="775" t="str">
        <x:f>IF(COUNTA($A175:$F175,$H175:$AB175,$AG175)=0,"",IF(OR($A175="",$B175="",$C175="",$D175="",$F175="",$H175="",$I175="",$J175="",$K175="",$L175="",$M175="",$N175="",$O175="",$P175="",$Q175="",$R175="",$S175="",$T175="",$U175="",$V175="",$W175="",$X175="",$Y175="",$Z175="",$AA175="",AND(NOT(OR($D175="Portfolio-Level",$D175="Market / Macro",$D175="Other")),$E175="")),"INCOMPLETE",IF(COUNTIF($A$14:$A$213,$A175)&gt;1,"DUPLICATE ID","COMPLETE")))</x:f>
      </x:c>
      <x:c r="AE175" s="775" t="str">
        <x:f>IF($A175="","",IF($AD175&lt;&gt;"COMPLETE",$AD175,IF(AND($D175="Certified Holding",OR($E175="",$G175="Candidate / Non-Holding")),"HOLDING IDENTIFIER MISMATCH",IF(AND(OR($J175="Critical",$J175="High"),OR($U175="No",AND($L175="Unverified — Pending",$U175&lt;&gt;"Exception Approved"))),"VERIFY / ESCALATE",IF($X175="Unassigned","CONVICTION DECISION REQUIRED",IF(AND($S175&lt;TODAY(),$T175&lt;&gt;"Closed — No Action",$T175&lt;&gt;"Closed — Incorporated"),"OVERDUE",IF(AND(OR($T175="Closed — No Action",$T175="Closed — Incorporated"),$AB175=""),"CLOSE DATE REQUIRED",IF(AND(NOT(OR($T175="Closed — No Action",$T175="Closed — Incorporated")),$AB175&lt;&gt;""),"STATUS / CLOSE DATE MISMATCH",IF(AND($Z175&lt;&gt;"No",NOT(OR($U175="Yes",$U175="Exception Approved"))),"PEW REFERRAL BLOCKED",IF(AND($T175="Awaiting Verification",$U175="Yes"),"STATUS MISMATCH",IF(OR($T175="Closed — No Action",$T175="Closed — Incorporated"),"CLOSED","OPEN — ON TRACK")))))))))))</x:f>
      </x:c>
      <x:c r="AF175" s="775" t="str">
        <x:f>IF($A175="","",IF($AD175&lt;&gt;"COMPLETE","NOT ELIGIBLE",IF($X175="Unassigned","NOT ELIGIBLE — CONVICTION UNASSIGNED",IF(NOT(OR($U175="Yes",$U175="Exception Approved")),"NOT ELIGIBLE — UNVERIFIED",IF(OR($V175&lt;&gt;"None",AND($W175&lt;&gt;"None",$W175&lt;&gt;"Intact"),AND($X175&lt;&gt;"No Change",$X175&lt;&gt;"Not Applicable"),$Y175&lt;&gt;"None",$Z175&lt;&gt;"No"),"ELIGIBLE FOR ROUTING","NO REFERRAL REQUIRED")))))</x:f>
      </x:c>
      <x:c r="AG175" s="800"/>
    </x:row>
    <x:row r="176" ht="36" customHeight="1">
      <x:c r="A176" s="800"/>
      <x:c r="B176" s="804"/>
      <x:c r="C176" s="804"/>
      <x:c r="D176" s="800"/>
      <x:c r="E176" s="800"/>
      <x:c r="F176" s="800"/>
      <x:c r="G176" s="802" t="str">
        <x:f>IF($E176="","",IFERROR(INDEX('Certified Allocation'!$A$5:$A$51,MATCH($E176,'Certified Allocation'!$B$5:$B$51,0)),"Candidate / Non-Holding"))</x:f>
      </x:c>
      <x:c r="H176" s="800"/>
      <x:c r="I176" s="800"/>
      <x:c r="J176" s="800"/>
      <x:c r="K176" s="800"/>
      <x:c r="L176" s="800"/>
      <x:c r="M176" s="800"/>
      <x:c r="N176" s="800"/>
      <x:c r="O176" s="800"/>
      <x:c r="P176" s="800"/>
      <x:c r="Q176" s="800"/>
      <x:c r="R176" s="800"/>
      <x:c r="S176" s="804"/>
      <x:c r="T176" s="800"/>
      <x:c r="U176" s="800"/>
      <x:c r="V176" s="800"/>
      <x:c r="W176" s="800"/>
      <x:c r="X176" s="800"/>
      <x:c r="Y176" s="800"/>
      <x:c r="Z176" s="800"/>
      <x:c r="AA176" s="800"/>
      <x:c r="AB176" s="804"/>
      <x:c r="AC176" s="805" t="str">
        <x:f>IF($A176="","",IF(AND(OR($T176="Closed — No Action",$T176="Closed — Incorporated"),$AB176&lt;&gt;""),MAX(0,$AB176-$B176),MAX(0,TODAY()-$B176)))</x:f>
      </x:c>
      <x:c r="AD176" s="775" t="str">
        <x:f>IF(COUNTA($A176:$F176,$H176:$AB176,$AG176)=0,"",IF(OR($A176="",$B176="",$C176="",$D176="",$F176="",$H176="",$I176="",$J176="",$K176="",$L176="",$M176="",$N176="",$O176="",$P176="",$Q176="",$R176="",$S176="",$T176="",$U176="",$V176="",$W176="",$X176="",$Y176="",$Z176="",$AA176="",AND(NOT(OR($D176="Portfolio-Level",$D176="Market / Macro",$D176="Other")),$E176="")),"INCOMPLETE",IF(COUNTIF($A$14:$A$213,$A176)&gt;1,"DUPLICATE ID","COMPLETE")))</x:f>
      </x:c>
      <x:c r="AE176" s="775" t="str">
        <x:f>IF($A176="","",IF($AD176&lt;&gt;"COMPLETE",$AD176,IF(AND($D176="Certified Holding",OR($E176="",$G176="Candidate / Non-Holding")),"HOLDING IDENTIFIER MISMATCH",IF(AND(OR($J176="Critical",$J176="High"),OR($U176="No",AND($L176="Unverified — Pending",$U176&lt;&gt;"Exception Approved"))),"VERIFY / ESCALATE",IF($X176="Unassigned","CONVICTION DECISION REQUIRED",IF(AND($S176&lt;TODAY(),$T176&lt;&gt;"Closed — No Action",$T176&lt;&gt;"Closed — Incorporated"),"OVERDUE",IF(AND(OR($T176="Closed — No Action",$T176="Closed — Incorporated"),$AB176=""),"CLOSE DATE REQUIRED",IF(AND(NOT(OR($T176="Closed — No Action",$T176="Closed — Incorporated")),$AB176&lt;&gt;""),"STATUS / CLOSE DATE MISMATCH",IF(AND($Z176&lt;&gt;"No",NOT(OR($U176="Yes",$U176="Exception Approved"))),"PEW REFERRAL BLOCKED",IF(AND($T176="Awaiting Verification",$U176="Yes"),"STATUS MISMATCH",IF(OR($T176="Closed — No Action",$T176="Closed — Incorporated"),"CLOSED","OPEN — ON TRACK")))))))))))</x:f>
      </x:c>
      <x:c r="AF176" s="775" t="str">
        <x:f>IF($A176="","",IF($AD176&lt;&gt;"COMPLETE","NOT ELIGIBLE",IF($X176="Unassigned","NOT ELIGIBLE — CONVICTION UNASSIGNED",IF(NOT(OR($U176="Yes",$U176="Exception Approved")),"NOT ELIGIBLE — UNVERIFIED",IF(OR($V176&lt;&gt;"None",AND($W176&lt;&gt;"None",$W176&lt;&gt;"Intact"),AND($X176&lt;&gt;"No Change",$X176&lt;&gt;"Not Applicable"),$Y176&lt;&gt;"None",$Z176&lt;&gt;"No"),"ELIGIBLE FOR ROUTING","NO REFERRAL REQUIRED")))))</x:f>
      </x:c>
      <x:c r="AG176" s="800"/>
    </x:row>
    <x:row r="177" ht="36" customHeight="1">
      <x:c r="A177" s="800"/>
      <x:c r="B177" s="804"/>
      <x:c r="C177" s="804"/>
      <x:c r="D177" s="800"/>
      <x:c r="E177" s="800"/>
      <x:c r="F177" s="800"/>
      <x:c r="G177" s="802" t="str">
        <x:f>IF($E177="","",IFERROR(INDEX('Certified Allocation'!$A$5:$A$51,MATCH($E177,'Certified Allocation'!$B$5:$B$51,0)),"Candidate / Non-Holding"))</x:f>
      </x:c>
      <x:c r="H177" s="800"/>
      <x:c r="I177" s="800"/>
      <x:c r="J177" s="800"/>
      <x:c r="K177" s="800"/>
      <x:c r="L177" s="800"/>
      <x:c r="M177" s="800"/>
      <x:c r="N177" s="800"/>
      <x:c r="O177" s="800"/>
      <x:c r="P177" s="800"/>
      <x:c r="Q177" s="800"/>
      <x:c r="R177" s="800"/>
      <x:c r="S177" s="804"/>
      <x:c r="T177" s="800"/>
      <x:c r="U177" s="800"/>
      <x:c r="V177" s="800"/>
      <x:c r="W177" s="800"/>
      <x:c r="X177" s="800"/>
      <x:c r="Y177" s="800"/>
      <x:c r="Z177" s="800"/>
      <x:c r="AA177" s="800"/>
      <x:c r="AB177" s="804"/>
      <x:c r="AC177" s="805" t="str">
        <x:f>IF($A177="","",IF(AND(OR($T177="Closed — No Action",$T177="Closed — Incorporated"),$AB177&lt;&gt;""),MAX(0,$AB177-$B177),MAX(0,TODAY()-$B177)))</x:f>
      </x:c>
      <x:c r="AD177" s="775" t="str">
        <x:f>IF(COUNTA($A177:$F177,$H177:$AB177,$AG177)=0,"",IF(OR($A177="",$B177="",$C177="",$D177="",$F177="",$H177="",$I177="",$J177="",$K177="",$L177="",$M177="",$N177="",$O177="",$P177="",$Q177="",$R177="",$S177="",$T177="",$U177="",$V177="",$W177="",$X177="",$Y177="",$Z177="",$AA177="",AND(NOT(OR($D177="Portfolio-Level",$D177="Market / Macro",$D177="Other")),$E177="")),"INCOMPLETE",IF(COUNTIF($A$14:$A$213,$A177)&gt;1,"DUPLICATE ID","COMPLETE")))</x:f>
      </x:c>
      <x:c r="AE177" s="775" t="str">
        <x:f>IF($A177="","",IF($AD177&lt;&gt;"COMPLETE",$AD177,IF(AND($D177="Certified Holding",OR($E177="",$G177="Candidate / Non-Holding")),"HOLDING IDENTIFIER MISMATCH",IF(AND(OR($J177="Critical",$J177="High"),OR($U177="No",AND($L177="Unverified — Pending",$U177&lt;&gt;"Exception Approved"))),"VERIFY / ESCALATE",IF($X177="Unassigned","CONVICTION DECISION REQUIRED",IF(AND($S177&lt;TODAY(),$T177&lt;&gt;"Closed — No Action",$T177&lt;&gt;"Closed — Incorporated"),"OVERDUE",IF(AND(OR($T177="Closed — No Action",$T177="Closed — Incorporated"),$AB177=""),"CLOSE DATE REQUIRED",IF(AND(NOT(OR($T177="Closed — No Action",$T177="Closed — Incorporated")),$AB177&lt;&gt;""),"STATUS / CLOSE DATE MISMATCH",IF(AND($Z177&lt;&gt;"No",NOT(OR($U177="Yes",$U177="Exception Approved"))),"PEW REFERRAL BLOCKED",IF(AND($T177="Awaiting Verification",$U177="Yes"),"STATUS MISMATCH",IF(OR($T177="Closed — No Action",$T177="Closed — Incorporated"),"CLOSED","OPEN — ON TRACK")))))))))))</x:f>
      </x:c>
      <x:c r="AF177" s="775" t="str">
        <x:f>IF($A177="","",IF($AD177&lt;&gt;"COMPLETE","NOT ELIGIBLE",IF($X177="Unassigned","NOT ELIGIBLE — CONVICTION UNASSIGNED",IF(NOT(OR($U177="Yes",$U177="Exception Approved")),"NOT ELIGIBLE — UNVERIFIED",IF(OR($V177&lt;&gt;"None",AND($W177&lt;&gt;"None",$W177&lt;&gt;"Intact"),AND($X177&lt;&gt;"No Change",$X177&lt;&gt;"Not Applicable"),$Y177&lt;&gt;"None",$Z177&lt;&gt;"No"),"ELIGIBLE FOR ROUTING","NO REFERRAL REQUIRED")))))</x:f>
      </x:c>
      <x:c r="AG177" s="800"/>
    </x:row>
    <x:row r="178" ht="36" customHeight="1">
      <x:c r="A178" s="800"/>
      <x:c r="B178" s="804"/>
      <x:c r="C178" s="804"/>
      <x:c r="D178" s="800"/>
      <x:c r="E178" s="800"/>
      <x:c r="F178" s="800"/>
      <x:c r="G178" s="802" t="str">
        <x:f>IF($E178="","",IFERROR(INDEX('Certified Allocation'!$A$5:$A$51,MATCH($E178,'Certified Allocation'!$B$5:$B$51,0)),"Candidate / Non-Holding"))</x:f>
      </x:c>
      <x:c r="H178" s="800"/>
      <x:c r="I178" s="800"/>
      <x:c r="J178" s="800"/>
      <x:c r="K178" s="800"/>
      <x:c r="L178" s="800"/>
      <x:c r="M178" s="800"/>
      <x:c r="N178" s="800"/>
      <x:c r="O178" s="800"/>
      <x:c r="P178" s="800"/>
      <x:c r="Q178" s="800"/>
      <x:c r="R178" s="800"/>
      <x:c r="S178" s="804"/>
      <x:c r="T178" s="800"/>
      <x:c r="U178" s="800"/>
      <x:c r="V178" s="800"/>
      <x:c r="W178" s="800"/>
      <x:c r="X178" s="800"/>
      <x:c r="Y178" s="800"/>
      <x:c r="Z178" s="800"/>
      <x:c r="AA178" s="800"/>
      <x:c r="AB178" s="804"/>
      <x:c r="AC178" s="805" t="str">
        <x:f>IF($A178="","",IF(AND(OR($T178="Closed — No Action",$T178="Closed — Incorporated"),$AB178&lt;&gt;""),MAX(0,$AB178-$B178),MAX(0,TODAY()-$B178)))</x:f>
      </x:c>
      <x:c r="AD178" s="775" t="str">
        <x:f>IF(COUNTA($A178:$F178,$H178:$AB178,$AG178)=0,"",IF(OR($A178="",$B178="",$C178="",$D178="",$F178="",$H178="",$I178="",$J178="",$K178="",$L178="",$M178="",$N178="",$O178="",$P178="",$Q178="",$R178="",$S178="",$T178="",$U178="",$V178="",$W178="",$X178="",$Y178="",$Z178="",$AA178="",AND(NOT(OR($D178="Portfolio-Level",$D178="Market / Macro",$D178="Other")),$E178="")),"INCOMPLETE",IF(COUNTIF($A$14:$A$213,$A178)&gt;1,"DUPLICATE ID","COMPLETE")))</x:f>
      </x:c>
      <x:c r="AE178" s="775" t="str">
        <x:f>IF($A178="","",IF($AD178&lt;&gt;"COMPLETE",$AD178,IF(AND($D178="Certified Holding",OR($E178="",$G178="Candidate / Non-Holding")),"HOLDING IDENTIFIER MISMATCH",IF(AND(OR($J178="Critical",$J178="High"),OR($U178="No",AND($L178="Unverified — Pending",$U178&lt;&gt;"Exception Approved"))),"VERIFY / ESCALATE",IF($X178="Unassigned","CONVICTION DECISION REQUIRED",IF(AND($S178&lt;TODAY(),$T178&lt;&gt;"Closed — No Action",$T178&lt;&gt;"Closed — Incorporated"),"OVERDUE",IF(AND(OR($T178="Closed — No Action",$T178="Closed — Incorporated"),$AB178=""),"CLOSE DATE REQUIRED",IF(AND(NOT(OR($T178="Closed — No Action",$T178="Closed — Incorporated")),$AB178&lt;&gt;""),"STATUS / CLOSE DATE MISMATCH",IF(AND($Z178&lt;&gt;"No",NOT(OR($U178="Yes",$U178="Exception Approved"))),"PEW REFERRAL BLOCKED",IF(AND($T178="Awaiting Verification",$U178="Yes"),"STATUS MISMATCH",IF(OR($T178="Closed — No Action",$T178="Closed — Incorporated"),"CLOSED","OPEN — ON TRACK")))))))))))</x:f>
      </x:c>
      <x:c r="AF178" s="775" t="str">
        <x:f>IF($A178="","",IF($AD178&lt;&gt;"COMPLETE","NOT ELIGIBLE",IF($X178="Unassigned","NOT ELIGIBLE — CONVICTION UNASSIGNED",IF(NOT(OR($U178="Yes",$U178="Exception Approved")),"NOT ELIGIBLE — UNVERIFIED",IF(OR($V178&lt;&gt;"None",AND($W178&lt;&gt;"None",$W178&lt;&gt;"Intact"),AND($X178&lt;&gt;"No Change",$X178&lt;&gt;"Not Applicable"),$Y178&lt;&gt;"None",$Z178&lt;&gt;"No"),"ELIGIBLE FOR ROUTING","NO REFERRAL REQUIRED")))))</x:f>
      </x:c>
      <x:c r="AG178" s="800"/>
    </x:row>
    <x:row r="179" ht="36" customHeight="1">
      <x:c r="A179" s="800"/>
      <x:c r="B179" s="804"/>
      <x:c r="C179" s="804"/>
      <x:c r="D179" s="800"/>
      <x:c r="E179" s="800"/>
      <x:c r="F179" s="800"/>
      <x:c r="G179" s="802" t="str">
        <x:f>IF($E179="","",IFERROR(INDEX('Certified Allocation'!$A$5:$A$51,MATCH($E179,'Certified Allocation'!$B$5:$B$51,0)),"Candidate / Non-Holding"))</x:f>
      </x:c>
      <x:c r="H179" s="800"/>
      <x:c r="I179" s="800"/>
      <x:c r="J179" s="800"/>
      <x:c r="K179" s="800"/>
      <x:c r="L179" s="800"/>
      <x:c r="M179" s="800"/>
      <x:c r="N179" s="800"/>
      <x:c r="O179" s="800"/>
      <x:c r="P179" s="800"/>
      <x:c r="Q179" s="800"/>
      <x:c r="R179" s="800"/>
      <x:c r="S179" s="804"/>
      <x:c r="T179" s="800"/>
      <x:c r="U179" s="800"/>
      <x:c r="V179" s="800"/>
      <x:c r="W179" s="800"/>
      <x:c r="X179" s="800"/>
      <x:c r="Y179" s="800"/>
      <x:c r="Z179" s="800"/>
      <x:c r="AA179" s="800"/>
      <x:c r="AB179" s="804"/>
      <x:c r="AC179" s="805" t="str">
        <x:f>IF($A179="","",IF(AND(OR($T179="Closed — No Action",$T179="Closed — Incorporated"),$AB179&lt;&gt;""),MAX(0,$AB179-$B179),MAX(0,TODAY()-$B179)))</x:f>
      </x:c>
      <x:c r="AD179" s="775" t="str">
        <x:f>IF(COUNTA($A179:$F179,$H179:$AB179,$AG179)=0,"",IF(OR($A179="",$B179="",$C179="",$D179="",$F179="",$H179="",$I179="",$J179="",$K179="",$L179="",$M179="",$N179="",$O179="",$P179="",$Q179="",$R179="",$S179="",$T179="",$U179="",$V179="",$W179="",$X179="",$Y179="",$Z179="",$AA179="",AND(NOT(OR($D179="Portfolio-Level",$D179="Market / Macro",$D179="Other")),$E179="")),"INCOMPLETE",IF(COUNTIF($A$14:$A$213,$A179)&gt;1,"DUPLICATE ID","COMPLETE")))</x:f>
      </x:c>
      <x:c r="AE179" s="775" t="str">
        <x:f>IF($A179="","",IF($AD179&lt;&gt;"COMPLETE",$AD179,IF(AND($D179="Certified Holding",OR($E179="",$G179="Candidate / Non-Holding")),"HOLDING IDENTIFIER MISMATCH",IF(AND(OR($J179="Critical",$J179="High"),OR($U179="No",AND($L179="Unverified — Pending",$U179&lt;&gt;"Exception Approved"))),"VERIFY / ESCALATE",IF($X179="Unassigned","CONVICTION DECISION REQUIRED",IF(AND($S179&lt;TODAY(),$T179&lt;&gt;"Closed — No Action",$T179&lt;&gt;"Closed — Incorporated"),"OVERDUE",IF(AND(OR($T179="Closed — No Action",$T179="Closed — Incorporated"),$AB179=""),"CLOSE DATE REQUIRED",IF(AND(NOT(OR($T179="Closed — No Action",$T179="Closed — Incorporated")),$AB179&lt;&gt;""),"STATUS / CLOSE DATE MISMATCH",IF(AND($Z179&lt;&gt;"No",NOT(OR($U179="Yes",$U179="Exception Approved"))),"PEW REFERRAL BLOCKED",IF(AND($T179="Awaiting Verification",$U179="Yes"),"STATUS MISMATCH",IF(OR($T179="Closed — No Action",$T179="Closed — Incorporated"),"CLOSED","OPEN — ON TRACK")))))))))))</x:f>
      </x:c>
      <x:c r="AF179" s="775" t="str">
        <x:f>IF($A179="","",IF($AD179&lt;&gt;"COMPLETE","NOT ELIGIBLE",IF($X179="Unassigned","NOT ELIGIBLE — CONVICTION UNASSIGNED",IF(NOT(OR($U179="Yes",$U179="Exception Approved")),"NOT ELIGIBLE — UNVERIFIED",IF(OR($V179&lt;&gt;"None",AND($W179&lt;&gt;"None",$W179&lt;&gt;"Intact"),AND($X179&lt;&gt;"No Change",$X179&lt;&gt;"Not Applicable"),$Y179&lt;&gt;"None",$Z179&lt;&gt;"No"),"ELIGIBLE FOR ROUTING","NO REFERRAL REQUIRED")))))</x:f>
      </x:c>
      <x:c r="AG179" s="800"/>
    </x:row>
    <x:row r="180" ht="36" customHeight="1">
      <x:c r="A180" s="800"/>
      <x:c r="B180" s="804"/>
      <x:c r="C180" s="804"/>
      <x:c r="D180" s="800"/>
      <x:c r="E180" s="800"/>
      <x:c r="F180" s="800"/>
      <x:c r="G180" s="802" t="str">
        <x:f>IF($E180="","",IFERROR(INDEX('Certified Allocation'!$A$5:$A$51,MATCH($E180,'Certified Allocation'!$B$5:$B$51,0)),"Candidate / Non-Holding"))</x:f>
      </x:c>
      <x:c r="H180" s="800"/>
      <x:c r="I180" s="800"/>
      <x:c r="J180" s="800"/>
      <x:c r="K180" s="800"/>
      <x:c r="L180" s="800"/>
      <x:c r="M180" s="800"/>
      <x:c r="N180" s="800"/>
      <x:c r="O180" s="800"/>
      <x:c r="P180" s="800"/>
      <x:c r="Q180" s="800"/>
      <x:c r="R180" s="800"/>
      <x:c r="S180" s="804"/>
      <x:c r="T180" s="800"/>
      <x:c r="U180" s="800"/>
      <x:c r="V180" s="800"/>
      <x:c r="W180" s="800"/>
      <x:c r="X180" s="800"/>
      <x:c r="Y180" s="800"/>
      <x:c r="Z180" s="800"/>
      <x:c r="AA180" s="800"/>
      <x:c r="AB180" s="804"/>
      <x:c r="AC180" s="805" t="str">
        <x:f>IF($A180="","",IF(AND(OR($T180="Closed — No Action",$T180="Closed — Incorporated"),$AB180&lt;&gt;""),MAX(0,$AB180-$B180),MAX(0,TODAY()-$B180)))</x:f>
      </x:c>
      <x:c r="AD180" s="775" t="str">
        <x:f>IF(COUNTA($A180:$F180,$H180:$AB180,$AG180)=0,"",IF(OR($A180="",$B180="",$C180="",$D180="",$F180="",$H180="",$I180="",$J180="",$K180="",$L180="",$M180="",$N180="",$O180="",$P180="",$Q180="",$R180="",$S180="",$T180="",$U180="",$V180="",$W180="",$X180="",$Y180="",$Z180="",$AA180="",AND(NOT(OR($D180="Portfolio-Level",$D180="Market / Macro",$D180="Other")),$E180="")),"INCOMPLETE",IF(COUNTIF($A$14:$A$213,$A180)&gt;1,"DUPLICATE ID","COMPLETE")))</x:f>
      </x:c>
      <x:c r="AE180" s="775" t="str">
        <x:f>IF($A180="","",IF($AD180&lt;&gt;"COMPLETE",$AD180,IF(AND($D180="Certified Holding",OR($E180="",$G180="Candidate / Non-Holding")),"HOLDING IDENTIFIER MISMATCH",IF(AND(OR($J180="Critical",$J180="High"),OR($U180="No",AND($L180="Unverified — Pending",$U180&lt;&gt;"Exception Approved"))),"VERIFY / ESCALATE",IF($X180="Unassigned","CONVICTION DECISION REQUIRED",IF(AND($S180&lt;TODAY(),$T180&lt;&gt;"Closed — No Action",$T180&lt;&gt;"Closed — Incorporated"),"OVERDUE",IF(AND(OR($T180="Closed — No Action",$T180="Closed — Incorporated"),$AB180=""),"CLOSE DATE REQUIRED",IF(AND(NOT(OR($T180="Closed — No Action",$T180="Closed — Incorporated")),$AB180&lt;&gt;""),"STATUS / CLOSE DATE MISMATCH",IF(AND($Z180&lt;&gt;"No",NOT(OR($U180="Yes",$U180="Exception Approved"))),"PEW REFERRAL BLOCKED",IF(AND($T180="Awaiting Verification",$U180="Yes"),"STATUS MISMATCH",IF(OR($T180="Closed — No Action",$T180="Closed — Incorporated"),"CLOSED","OPEN — ON TRACK")))))))))))</x:f>
      </x:c>
      <x:c r="AF180" s="775" t="str">
        <x:f>IF($A180="","",IF($AD180&lt;&gt;"COMPLETE","NOT ELIGIBLE",IF($X180="Unassigned","NOT ELIGIBLE — CONVICTION UNASSIGNED",IF(NOT(OR($U180="Yes",$U180="Exception Approved")),"NOT ELIGIBLE — UNVERIFIED",IF(OR($V180&lt;&gt;"None",AND($W180&lt;&gt;"None",$W180&lt;&gt;"Intact"),AND($X180&lt;&gt;"No Change",$X180&lt;&gt;"Not Applicable"),$Y180&lt;&gt;"None",$Z180&lt;&gt;"No"),"ELIGIBLE FOR ROUTING","NO REFERRAL REQUIRED")))))</x:f>
      </x:c>
      <x:c r="AG180" s="800"/>
    </x:row>
    <x:row r="181" ht="36" customHeight="1">
      <x:c r="A181" s="800"/>
      <x:c r="B181" s="804"/>
      <x:c r="C181" s="804"/>
      <x:c r="D181" s="800"/>
      <x:c r="E181" s="800"/>
      <x:c r="F181" s="800"/>
      <x:c r="G181" s="802" t="str">
        <x:f>IF($E181="","",IFERROR(INDEX('Certified Allocation'!$A$5:$A$51,MATCH($E181,'Certified Allocation'!$B$5:$B$51,0)),"Candidate / Non-Holding"))</x:f>
      </x:c>
      <x:c r="H181" s="800"/>
      <x:c r="I181" s="800"/>
      <x:c r="J181" s="800"/>
      <x:c r="K181" s="800"/>
      <x:c r="L181" s="800"/>
      <x:c r="M181" s="800"/>
      <x:c r="N181" s="800"/>
      <x:c r="O181" s="800"/>
      <x:c r="P181" s="800"/>
      <x:c r="Q181" s="800"/>
      <x:c r="R181" s="800"/>
      <x:c r="S181" s="804"/>
      <x:c r="T181" s="800"/>
      <x:c r="U181" s="800"/>
      <x:c r="V181" s="800"/>
      <x:c r="W181" s="800"/>
      <x:c r="X181" s="800"/>
      <x:c r="Y181" s="800"/>
      <x:c r="Z181" s="800"/>
      <x:c r="AA181" s="800"/>
      <x:c r="AB181" s="804"/>
      <x:c r="AC181" s="805" t="str">
        <x:f>IF($A181="","",IF(AND(OR($T181="Closed — No Action",$T181="Closed — Incorporated"),$AB181&lt;&gt;""),MAX(0,$AB181-$B181),MAX(0,TODAY()-$B181)))</x:f>
      </x:c>
      <x:c r="AD181" s="775" t="str">
        <x:f>IF(COUNTA($A181:$F181,$H181:$AB181,$AG181)=0,"",IF(OR($A181="",$B181="",$C181="",$D181="",$F181="",$H181="",$I181="",$J181="",$K181="",$L181="",$M181="",$N181="",$O181="",$P181="",$Q181="",$R181="",$S181="",$T181="",$U181="",$V181="",$W181="",$X181="",$Y181="",$Z181="",$AA181="",AND(NOT(OR($D181="Portfolio-Level",$D181="Market / Macro",$D181="Other")),$E181="")),"INCOMPLETE",IF(COUNTIF($A$14:$A$213,$A181)&gt;1,"DUPLICATE ID","COMPLETE")))</x:f>
      </x:c>
      <x:c r="AE181" s="775" t="str">
        <x:f>IF($A181="","",IF($AD181&lt;&gt;"COMPLETE",$AD181,IF(AND($D181="Certified Holding",OR($E181="",$G181="Candidate / Non-Holding")),"HOLDING IDENTIFIER MISMATCH",IF(AND(OR($J181="Critical",$J181="High"),OR($U181="No",AND($L181="Unverified — Pending",$U181&lt;&gt;"Exception Approved"))),"VERIFY / ESCALATE",IF($X181="Unassigned","CONVICTION DECISION REQUIRED",IF(AND($S181&lt;TODAY(),$T181&lt;&gt;"Closed — No Action",$T181&lt;&gt;"Closed — Incorporated"),"OVERDUE",IF(AND(OR($T181="Closed — No Action",$T181="Closed — Incorporated"),$AB181=""),"CLOSE DATE REQUIRED",IF(AND(NOT(OR($T181="Closed — No Action",$T181="Closed — Incorporated")),$AB181&lt;&gt;""),"STATUS / CLOSE DATE MISMATCH",IF(AND($Z181&lt;&gt;"No",NOT(OR($U181="Yes",$U181="Exception Approved"))),"PEW REFERRAL BLOCKED",IF(AND($T181="Awaiting Verification",$U181="Yes"),"STATUS MISMATCH",IF(OR($T181="Closed — No Action",$T181="Closed — Incorporated"),"CLOSED","OPEN — ON TRACK")))))))))))</x:f>
      </x:c>
      <x:c r="AF181" s="775" t="str">
        <x:f>IF($A181="","",IF($AD181&lt;&gt;"COMPLETE","NOT ELIGIBLE",IF($X181="Unassigned","NOT ELIGIBLE — CONVICTION UNASSIGNED",IF(NOT(OR($U181="Yes",$U181="Exception Approved")),"NOT ELIGIBLE — UNVERIFIED",IF(OR($V181&lt;&gt;"None",AND($W181&lt;&gt;"None",$W181&lt;&gt;"Intact"),AND($X181&lt;&gt;"No Change",$X181&lt;&gt;"Not Applicable"),$Y181&lt;&gt;"None",$Z181&lt;&gt;"No"),"ELIGIBLE FOR ROUTING","NO REFERRAL REQUIRED")))))</x:f>
      </x:c>
      <x:c r="AG181" s="800"/>
    </x:row>
    <x:row r="182" ht="36" customHeight="1">
      <x:c r="A182" s="800"/>
      <x:c r="B182" s="804"/>
      <x:c r="C182" s="804"/>
      <x:c r="D182" s="800"/>
      <x:c r="E182" s="800"/>
      <x:c r="F182" s="800"/>
      <x:c r="G182" s="802" t="str">
        <x:f>IF($E182="","",IFERROR(INDEX('Certified Allocation'!$A$5:$A$51,MATCH($E182,'Certified Allocation'!$B$5:$B$51,0)),"Candidate / Non-Holding"))</x:f>
      </x:c>
      <x:c r="H182" s="800"/>
      <x:c r="I182" s="800"/>
      <x:c r="J182" s="800"/>
      <x:c r="K182" s="800"/>
      <x:c r="L182" s="800"/>
      <x:c r="M182" s="800"/>
      <x:c r="N182" s="800"/>
      <x:c r="O182" s="800"/>
      <x:c r="P182" s="800"/>
      <x:c r="Q182" s="800"/>
      <x:c r="R182" s="800"/>
      <x:c r="S182" s="804"/>
      <x:c r="T182" s="800"/>
      <x:c r="U182" s="800"/>
      <x:c r="V182" s="800"/>
      <x:c r="W182" s="800"/>
      <x:c r="X182" s="800"/>
      <x:c r="Y182" s="800"/>
      <x:c r="Z182" s="800"/>
      <x:c r="AA182" s="800"/>
      <x:c r="AB182" s="804"/>
      <x:c r="AC182" s="805" t="str">
        <x:f>IF($A182="","",IF(AND(OR($T182="Closed — No Action",$T182="Closed — Incorporated"),$AB182&lt;&gt;""),MAX(0,$AB182-$B182),MAX(0,TODAY()-$B182)))</x:f>
      </x:c>
      <x:c r="AD182" s="775" t="str">
        <x:f>IF(COUNTA($A182:$F182,$H182:$AB182,$AG182)=0,"",IF(OR($A182="",$B182="",$C182="",$D182="",$F182="",$H182="",$I182="",$J182="",$K182="",$L182="",$M182="",$N182="",$O182="",$P182="",$Q182="",$R182="",$S182="",$T182="",$U182="",$V182="",$W182="",$X182="",$Y182="",$Z182="",$AA182="",AND(NOT(OR($D182="Portfolio-Level",$D182="Market / Macro",$D182="Other")),$E182="")),"INCOMPLETE",IF(COUNTIF($A$14:$A$213,$A182)&gt;1,"DUPLICATE ID","COMPLETE")))</x:f>
      </x:c>
      <x:c r="AE182" s="775" t="str">
        <x:f>IF($A182="","",IF($AD182&lt;&gt;"COMPLETE",$AD182,IF(AND($D182="Certified Holding",OR($E182="",$G182="Candidate / Non-Holding")),"HOLDING IDENTIFIER MISMATCH",IF(AND(OR($J182="Critical",$J182="High"),OR($U182="No",AND($L182="Unverified — Pending",$U182&lt;&gt;"Exception Approved"))),"VERIFY / ESCALATE",IF($X182="Unassigned","CONVICTION DECISION REQUIRED",IF(AND($S182&lt;TODAY(),$T182&lt;&gt;"Closed — No Action",$T182&lt;&gt;"Closed — Incorporated"),"OVERDUE",IF(AND(OR($T182="Closed — No Action",$T182="Closed — Incorporated"),$AB182=""),"CLOSE DATE REQUIRED",IF(AND(NOT(OR($T182="Closed — No Action",$T182="Closed — Incorporated")),$AB182&lt;&gt;""),"STATUS / CLOSE DATE MISMATCH",IF(AND($Z182&lt;&gt;"No",NOT(OR($U182="Yes",$U182="Exception Approved"))),"PEW REFERRAL BLOCKED",IF(AND($T182="Awaiting Verification",$U182="Yes"),"STATUS MISMATCH",IF(OR($T182="Closed — No Action",$T182="Closed — Incorporated"),"CLOSED","OPEN — ON TRACK")))))))))))</x:f>
      </x:c>
      <x:c r="AF182" s="775" t="str">
        <x:f>IF($A182="","",IF($AD182&lt;&gt;"COMPLETE","NOT ELIGIBLE",IF($X182="Unassigned","NOT ELIGIBLE — CONVICTION UNASSIGNED",IF(NOT(OR($U182="Yes",$U182="Exception Approved")),"NOT ELIGIBLE — UNVERIFIED",IF(OR($V182&lt;&gt;"None",AND($W182&lt;&gt;"None",$W182&lt;&gt;"Intact"),AND($X182&lt;&gt;"No Change",$X182&lt;&gt;"Not Applicable"),$Y182&lt;&gt;"None",$Z182&lt;&gt;"No"),"ELIGIBLE FOR ROUTING","NO REFERRAL REQUIRED")))))</x:f>
      </x:c>
      <x:c r="AG182" s="800"/>
    </x:row>
    <x:row r="183" ht="36" customHeight="1">
      <x:c r="A183" s="800"/>
      <x:c r="B183" s="804"/>
      <x:c r="C183" s="804"/>
      <x:c r="D183" s="800"/>
      <x:c r="E183" s="800"/>
      <x:c r="F183" s="800"/>
      <x:c r="G183" s="802" t="str">
        <x:f>IF($E183="","",IFERROR(INDEX('Certified Allocation'!$A$5:$A$51,MATCH($E183,'Certified Allocation'!$B$5:$B$51,0)),"Candidate / Non-Holding"))</x:f>
      </x:c>
      <x:c r="H183" s="800"/>
      <x:c r="I183" s="800"/>
      <x:c r="J183" s="800"/>
      <x:c r="K183" s="800"/>
      <x:c r="L183" s="800"/>
      <x:c r="M183" s="800"/>
      <x:c r="N183" s="800"/>
      <x:c r="O183" s="800"/>
      <x:c r="P183" s="800"/>
      <x:c r="Q183" s="800"/>
      <x:c r="R183" s="800"/>
      <x:c r="S183" s="804"/>
      <x:c r="T183" s="800"/>
      <x:c r="U183" s="800"/>
      <x:c r="V183" s="800"/>
      <x:c r="W183" s="800"/>
      <x:c r="X183" s="800"/>
      <x:c r="Y183" s="800"/>
      <x:c r="Z183" s="800"/>
      <x:c r="AA183" s="800"/>
      <x:c r="AB183" s="804"/>
      <x:c r="AC183" s="805" t="str">
        <x:f>IF($A183="","",IF(AND(OR($T183="Closed — No Action",$T183="Closed — Incorporated"),$AB183&lt;&gt;""),MAX(0,$AB183-$B183),MAX(0,TODAY()-$B183)))</x:f>
      </x:c>
      <x:c r="AD183" s="775" t="str">
        <x:f>IF(COUNTA($A183:$F183,$H183:$AB183,$AG183)=0,"",IF(OR($A183="",$B183="",$C183="",$D183="",$F183="",$H183="",$I183="",$J183="",$K183="",$L183="",$M183="",$N183="",$O183="",$P183="",$Q183="",$R183="",$S183="",$T183="",$U183="",$V183="",$W183="",$X183="",$Y183="",$Z183="",$AA183="",AND(NOT(OR($D183="Portfolio-Level",$D183="Market / Macro",$D183="Other")),$E183="")),"INCOMPLETE",IF(COUNTIF($A$14:$A$213,$A183)&gt;1,"DUPLICATE ID","COMPLETE")))</x:f>
      </x:c>
      <x:c r="AE183" s="775" t="str">
        <x:f>IF($A183="","",IF($AD183&lt;&gt;"COMPLETE",$AD183,IF(AND($D183="Certified Holding",OR($E183="",$G183="Candidate / Non-Holding")),"HOLDING IDENTIFIER MISMATCH",IF(AND(OR($J183="Critical",$J183="High"),OR($U183="No",AND($L183="Unverified — Pending",$U183&lt;&gt;"Exception Approved"))),"VERIFY / ESCALATE",IF($X183="Unassigned","CONVICTION DECISION REQUIRED",IF(AND($S183&lt;TODAY(),$T183&lt;&gt;"Closed — No Action",$T183&lt;&gt;"Closed — Incorporated"),"OVERDUE",IF(AND(OR($T183="Closed — No Action",$T183="Closed — Incorporated"),$AB183=""),"CLOSE DATE REQUIRED",IF(AND(NOT(OR($T183="Closed — No Action",$T183="Closed — Incorporated")),$AB183&lt;&gt;""),"STATUS / CLOSE DATE MISMATCH",IF(AND($Z183&lt;&gt;"No",NOT(OR($U183="Yes",$U183="Exception Approved"))),"PEW REFERRAL BLOCKED",IF(AND($T183="Awaiting Verification",$U183="Yes"),"STATUS MISMATCH",IF(OR($T183="Closed — No Action",$T183="Closed — Incorporated"),"CLOSED","OPEN — ON TRACK")))))))))))</x:f>
      </x:c>
      <x:c r="AF183" s="775" t="str">
        <x:f>IF($A183="","",IF($AD183&lt;&gt;"COMPLETE","NOT ELIGIBLE",IF($X183="Unassigned","NOT ELIGIBLE — CONVICTION UNASSIGNED",IF(NOT(OR($U183="Yes",$U183="Exception Approved")),"NOT ELIGIBLE — UNVERIFIED",IF(OR($V183&lt;&gt;"None",AND($W183&lt;&gt;"None",$W183&lt;&gt;"Intact"),AND($X183&lt;&gt;"No Change",$X183&lt;&gt;"Not Applicable"),$Y183&lt;&gt;"None",$Z183&lt;&gt;"No"),"ELIGIBLE FOR ROUTING","NO REFERRAL REQUIRED")))))</x:f>
      </x:c>
      <x:c r="AG183" s="800"/>
    </x:row>
    <x:row r="184" ht="36" customHeight="1">
      <x:c r="A184" s="800"/>
      <x:c r="B184" s="804"/>
      <x:c r="C184" s="804"/>
      <x:c r="D184" s="800"/>
      <x:c r="E184" s="800"/>
      <x:c r="F184" s="800"/>
      <x:c r="G184" s="802" t="str">
        <x:f>IF($E184="","",IFERROR(INDEX('Certified Allocation'!$A$5:$A$51,MATCH($E184,'Certified Allocation'!$B$5:$B$51,0)),"Candidate / Non-Holding"))</x:f>
      </x:c>
      <x:c r="H184" s="800"/>
      <x:c r="I184" s="800"/>
      <x:c r="J184" s="800"/>
      <x:c r="K184" s="800"/>
      <x:c r="L184" s="800"/>
      <x:c r="M184" s="800"/>
      <x:c r="N184" s="800"/>
      <x:c r="O184" s="800"/>
      <x:c r="P184" s="800"/>
      <x:c r="Q184" s="800"/>
      <x:c r="R184" s="800"/>
      <x:c r="S184" s="804"/>
      <x:c r="T184" s="800"/>
      <x:c r="U184" s="800"/>
      <x:c r="V184" s="800"/>
      <x:c r="W184" s="800"/>
      <x:c r="X184" s="800"/>
      <x:c r="Y184" s="800"/>
      <x:c r="Z184" s="800"/>
      <x:c r="AA184" s="800"/>
      <x:c r="AB184" s="804"/>
      <x:c r="AC184" s="805" t="str">
        <x:f>IF($A184="","",IF(AND(OR($T184="Closed — No Action",$T184="Closed — Incorporated"),$AB184&lt;&gt;""),MAX(0,$AB184-$B184),MAX(0,TODAY()-$B184)))</x:f>
      </x:c>
      <x:c r="AD184" s="775" t="str">
        <x:f>IF(COUNTA($A184:$F184,$H184:$AB184,$AG184)=0,"",IF(OR($A184="",$B184="",$C184="",$D184="",$F184="",$H184="",$I184="",$J184="",$K184="",$L184="",$M184="",$N184="",$O184="",$P184="",$Q184="",$R184="",$S184="",$T184="",$U184="",$V184="",$W184="",$X184="",$Y184="",$Z184="",$AA184="",AND(NOT(OR($D184="Portfolio-Level",$D184="Market / Macro",$D184="Other")),$E184="")),"INCOMPLETE",IF(COUNTIF($A$14:$A$213,$A184)&gt;1,"DUPLICATE ID","COMPLETE")))</x:f>
      </x:c>
      <x:c r="AE184" s="775" t="str">
        <x:f>IF($A184="","",IF($AD184&lt;&gt;"COMPLETE",$AD184,IF(AND($D184="Certified Holding",OR($E184="",$G184="Candidate / Non-Holding")),"HOLDING IDENTIFIER MISMATCH",IF(AND(OR($J184="Critical",$J184="High"),OR($U184="No",AND($L184="Unverified — Pending",$U184&lt;&gt;"Exception Approved"))),"VERIFY / ESCALATE",IF($X184="Unassigned","CONVICTION DECISION REQUIRED",IF(AND($S184&lt;TODAY(),$T184&lt;&gt;"Closed — No Action",$T184&lt;&gt;"Closed — Incorporated"),"OVERDUE",IF(AND(OR($T184="Closed — No Action",$T184="Closed — Incorporated"),$AB184=""),"CLOSE DATE REQUIRED",IF(AND(NOT(OR($T184="Closed — No Action",$T184="Closed — Incorporated")),$AB184&lt;&gt;""),"STATUS / CLOSE DATE MISMATCH",IF(AND($Z184&lt;&gt;"No",NOT(OR($U184="Yes",$U184="Exception Approved"))),"PEW REFERRAL BLOCKED",IF(AND($T184="Awaiting Verification",$U184="Yes"),"STATUS MISMATCH",IF(OR($T184="Closed — No Action",$T184="Closed — Incorporated"),"CLOSED","OPEN — ON TRACK")))))))))))</x:f>
      </x:c>
      <x:c r="AF184" s="775" t="str">
        <x:f>IF($A184="","",IF($AD184&lt;&gt;"COMPLETE","NOT ELIGIBLE",IF($X184="Unassigned","NOT ELIGIBLE — CONVICTION UNASSIGNED",IF(NOT(OR($U184="Yes",$U184="Exception Approved")),"NOT ELIGIBLE — UNVERIFIED",IF(OR($V184&lt;&gt;"None",AND($W184&lt;&gt;"None",$W184&lt;&gt;"Intact"),AND($X184&lt;&gt;"No Change",$X184&lt;&gt;"Not Applicable"),$Y184&lt;&gt;"None",$Z184&lt;&gt;"No"),"ELIGIBLE FOR ROUTING","NO REFERRAL REQUIRED")))))</x:f>
      </x:c>
      <x:c r="AG184" s="800"/>
    </x:row>
    <x:row r="185" ht="36" customHeight="1">
      <x:c r="A185" s="800"/>
      <x:c r="B185" s="804"/>
      <x:c r="C185" s="804"/>
      <x:c r="D185" s="800"/>
      <x:c r="E185" s="800"/>
      <x:c r="F185" s="800"/>
      <x:c r="G185" s="802" t="str">
        <x:f>IF($E185="","",IFERROR(INDEX('Certified Allocation'!$A$5:$A$51,MATCH($E185,'Certified Allocation'!$B$5:$B$51,0)),"Candidate / Non-Holding"))</x:f>
      </x:c>
      <x:c r="H185" s="800"/>
      <x:c r="I185" s="800"/>
      <x:c r="J185" s="800"/>
      <x:c r="K185" s="800"/>
      <x:c r="L185" s="800"/>
      <x:c r="M185" s="800"/>
      <x:c r="N185" s="800"/>
      <x:c r="O185" s="800"/>
      <x:c r="P185" s="800"/>
      <x:c r="Q185" s="800"/>
      <x:c r="R185" s="800"/>
      <x:c r="S185" s="804"/>
      <x:c r="T185" s="800"/>
      <x:c r="U185" s="800"/>
      <x:c r="V185" s="800"/>
      <x:c r="W185" s="800"/>
      <x:c r="X185" s="800"/>
      <x:c r="Y185" s="800"/>
      <x:c r="Z185" s="800"/>
      <x:c r="AA185" s="800"/>
      <x:c r="AB185" s="804"/>
      <x:c r="AC185" s="805" t="str">
        <x:f>IF($A185="","",IF(AND(OR($T185="Closed — No Action",$T185="Closed — Incorporated"),$AB185&lt;&gt;""),MAX(0,$AB185-$B185),MAX(0,TODAY()-$B185)))</x:f>
      </x:c>
      <x:c r="AD185" s="775" t="str">
        <x:f>IF(COUNTA($A185:$F185,$H185:$AB185,$AG185)=0,"",IF(OR($A185="",$B185="",$C185="",$D185="",$F185="",$H185="",$I185="",$J185="",$K185="",$L185="",$M185="",$N185="",$O185="",$P185="",$Q185="",$R185="",$S185="",$T185="",$U185="",$V185="",$W185="",$X185="",$Y185="",$Z185="",$AA185="",AND(NOT(OR($D185="Portfolio-Level",$D185="Market / Macro",$D185="Other")),$E185="")),"INCOMPLETE",IF(COUNTIF($A$14:$A$213,$A185)&gt;1,"DUPLICATE ID","COMPLETE")))</x:f>
      </x:c>
      <x:c r="AE185" s="775" t="str">
        <x:f>IF($A185="","",IF($AD185&lt;&gt;"COMPLETE",$AD185,IF(AND($D185="Certified Holding",OR($E185="",$G185="Candidate / Non-Holding")),"HOLDING IDENTIFIER MISMATCH",IF(AND(OR($J185="Critical",$J185="High"),OR($U185="No",AND($L185="Unverified — Pending",$U185&lt;&gt;"Exception Approved"))),"VERIFY / ESCALATE",IF($X185="Unassigned","CONVICTION DECISION REQUIRED",IF(AND($S185&lt;TODAY(),$T185&lt;&gt;"Closed — No Action",$T185&lt;&gt;"Closed — Incorporated"),"OVERDUE",IF(AND(OR($T185="Closed — No Action",$T185="Closed — Incorporated"),$AB185=""),"CLOSE DATE REQUIRED",IF(AND(NOT(OR($T185="Closed — No Action",$T185="Closed — Incorporated")),$AB185&lt;&gt;""),"STATUS / CLOSE DATE MISMATCH",IF(AND($Z185&lt;&gt;"No",NOT(OR($U185="Yes",$U185="Exception Approved"))),"PEW REFERRAL BLOCKED",IF(AND($T185="Awaiting Verification",$U185="Yes"),"STATUS MISMATCH",IF(OR($T185="Closed — No Action",$T185="Closed — Incorporated"),"CLOSED","OPEN — ON TRACK")))))))))))</x:f>
      </x:c>
      <x:c r="AF185" s="775" t="str">
        <x:f>IF($A185="","",IF($AD185&lt;&gt;"COMPLETE","NOT ELIGIBLE",IF($X185="Unassigned","NOT ELIGIBLE — CONVICTION UNASSIGNED",IF(NOT(OR($U185="Yes",$U185="Exception Approved")),"NOT ELIGIBLE — UNVERIFIED",IF(OR($V185&lt;&gt;"None",AND($W185&lt;&gt;"None",$W185&lt;&gt;"Intact"),AND($X185&lt;&gt;"No Change",$X185&lt;&gt;"Not Applicable"),$Y185&lt;&gt;"None",$Z185&lt;&gt;"No"),"ELIGIBLE FOR ROUTING","NO REFERRAL REQUIRED")))))</x:f>
      </x:c>
      <x:c r="AG185" s="800"/>
    </x:row>
    <x:row r="186" ht="36" customHeight="1">
      <x:c r="A186" s="800"/>
      <x:c r="B186" s="804"/>
      <x:c r="C186" s="804"/>
      <x:c r="D186" s="800"/>
      <x:c r="E186" s="800"/>
      <x:c r="F186" s="800"/>
      <x:c r="G186" s="802" t="str">
        <x:f>IF($E186="","",IFERROR(INDEX('Certified Allocation'!$A$5:$A$51,MATCH($E186,'Certified Allocation'!$B$5:$B$51,0)),"Candidate / Non-Holding"))</x:f>
      </x:c>
      <x:c r="H186" s="800"/>
      <x:c r="I186" s="800"/>
      <x:c r="J186" s="800"/>
      <x:c r="K186" s="800"/>
      <x:c r="L186" s="800"/>
      <x:c r="M186" s="800"/>
      <x:c r="N186" s="800"/>
      <x:c r="O186" s="800"/>
      <x:c r="P186" s="800"/>
      <x:c r="Q186" s="800"/>
      <x:c r="R186" s="800"/>
      <x:c r="S186" s="804"/>
      <x:c r="T186" s="800"/>
      <x:c r="U186" s="800"/>
      <x:c r="V186" s="800"/>
      <x:c r="W186" s="800"/>
      <x:c r="X186" s="800"/>
      <x:c r="Y186" s="800"/>
      <x:c r="Z186" s="800"/>
      <x:c r="AA186" s="800"/>
      <x:c r="AB186" s="804"/>
      <x:c r="AC186" s="805" t="str">
        <x:f>IF($A186="","",IF(AND(OR($T186="Closed — No Action",$T186="Closed — Incorporated"),$AB186&lt;&gt;""),MAX(0,$AB186-$B186),MAX(0,TODAY()-$B186)))</x:f>
      </x:c>
      <x:c r="AD186" s="775" t="str">
        <x:f>IF(COUNTA($A186:$F186,$H186:$AB186,$AG186)=0,"",IF(OR($A186="",$B186="",$C186="",$D186="",$F186="",$H186="",$I186="",$J186="",$K186="",$L186="",$M186="",$N186="",$O186="",$P186="",$Q186="",$R186="",$S186="",$T186="",$U186="",$V186="",$W186="",$X186="",$Y186="",$Z186="",$AA186="",AND(NOT(OR($D186="Portfolio-Level",$D186="Market / Macro",$D186="Other")),$E186="")),"INCOMPLETE",IF(COUNTIF($A$14:$A$213,$A186)&gt;1,"DUPLICATE ID","COMPLETE")))</x:f>
      </x:c>
      <x:c r="AE186" s="775" t="str">
        <x:f>IF($A186="","",IF($AD186&lt;&gt;"COMPLETE",$AD186,IF(AND($D186="Certified Holding",OR($E186="",$G186="Candidate / Non-Holding")),"HOLDING IDENTIFIER MISMATCH",IF(AND(OR($J186="Critical",$J186="High"),OR($U186="No",AND($L186="Unverified — Pending",$U186&lt;&gt;"Exception Approved"))),"VERIFY / ESCALATE",IF($X186="Unassigned","CONVICTION DECISION REQUIRED",IF(AND($S186&lt;TODAY(),$T186&lt;&gt;"Closed — No Action",$T186&lt;&gt;"Closed — Incorporated"),"OVERDUE",IF(AND(OR($T186="Closed — No Action",$T186="Closed — Incorporated"),$AB186=""),"CLOSE DATE REQUIRED",IF(AND(NOT(OR($T186="Closed — No Action",$T186="Closed — Incorporated")),$AB186&lt;&gt;""),"STATUS / CLOSE DATE MISMATCH",IF(AND($Z186&lt;&gt;"No",NOT(OR($U186="Yes",$U186="Exception Approved"))),"PEW REFERRAL BLOCKED",IF(AND($T186="Awaiting Verification",$U186="Yes"),"STATUS MISMATCH",IF(OR($T186="Closed — No Action",$T186="Closed — Incorporated"),"CLOSED","OPEN — ON TRACK")))))))))))</x:f>
      </x:c>
      <x:c r="AF186" s="775" t="str">
        <x:f>IF($A186="","",IF($AD186&lt;&gt;"COMPLETE","NOT ELIGIBLE",IF($X186="Unassigned","NOT ELIGIBLE — CONVICTION UNASSIGNED",IF(NOT(OR($U186="Yes",$U186="Exception Approved")),"NOT ELIGIBLE — UNVERIFIED",IF(OR($V186&lt;&gt;"None",AND($W186&lt;&gt;"None",$W186&lt;&gt;"Intact"),AND($X186&lt;&gt;"No Change",$X186&lt;&gt;"Not Applicable"),$Y186&lt;&gt;"None",$Z186&lt;&gt;"No"),"ELIGIBLE FOR ROUTING","NO REFERRAL REQUIRED")))))</x:f>
      </x:c>
      <x:c r="AG186" s="800"/>
    </x:row>
    <x:row r="187" ht="36" customHeight="1">
      <x:c r="A187" s="800"/>
      <x:c r="B187" s="804"/>
      <x:c r="C187" s="804"/>
      <x:c r="D187" s="800"/>
      <x:c r="E187" s="800"/>
      <x:c r="F187" s="800"/>
      <x:c r="G187" s="802" t="str">
        <x:f>IF($E187="","",IFERROR(INDEX('Certified Allocation'!$A$5:$A$51,MATCH($E187,'Certified Allocation'!$B$5:$B$51,0)),"Candidate / Non-Holding"))</x:f>
      </x:c>
      <x:c r="H187" s="800"/>
      <x:c r="I187" s="800"/>
      <x:c r="J187" s="800"/>
      <x:c r="K187" s="800"/>
      <x:c r="L187" s="800"/>
      <x:c r="M187" s="800"/>
      <x:c r="N187" s="800"/>
      <x:c r="O187" s="800"/>
      <x:c r="P187" s="800"/>
      <x:c r="Q187" s="800"/>
      <x:c r="R187" s="800"/>
      <x:c r="S187" s="804"/>
      <x:c r="T187" s="800"/>
      <x:c r="U187" s="800"/>
      <x:c r="V187" s="800"/>
      <x:c r="W187" s="800"/>
      <x:c r="X187" s="800"/>
      <x:c r="Y187" s="800"/>
      <x:c r="Z187" s="800"/>
      <x:c r="AA187" s="800"/>
      <x:c r="AB187" s="804"/>
      <x:c r="AC187" s="805" t="str">
        <x:f>IF($A187="","",IF(AND(OR($T187="Closed — No Action",$T187="Closed — Incorporated"),$AB187&lt;&gt;""),MAX(0,$AB187-$B187),MAX(0,TODAY()-$B187)))</x:f>
      </x:c>
      <x:c r="AD187" s="775" t="str">
        <x:f>IF(COUNTA($A187:$F187,$H187:$AB187,$AG187)=0,"",IF(OR($A187="",$B187="",$C187="",$D187="",$F187="",$H187="",$I187="",$J187="",$K187="",$L187="",$M187="",$N187="",$O187="",$P187="",$Q187="",$R187="",$S187="",$T187="",$U187="",$V187="",$W187="",$X187="",$Y187="",$Z187="",$AA187="",AND(NOT(OR($D187="Portfolio-Level",$D187="Market / Macro",$D187="Other")),$E187="")),"INCOMPLETE",IF(COUNTIF($A$14:$A$213,$A187)&gt;1,"DUPLICATE ID","COMPLETE")))</x:f>
      </x:c>
      <x:c r="AE187" s="775" t="str">
        <x:f>IF($A187="","",IF($AD187&lt;&gt;"COMPLETE",$AD187,IF(AND($D187="Certified Holding",OR($E187="",$G187="Candidate / Non-Holding")),"HOLDING IDENTIFIER MISMATCH",IF(AND(OR($J187="Critical",$J187="High"),OR($U187="No",AND($L187="Unverified — Pending",$U187&lt;&gt;"Exception Approved"))),"VERIFY / ESCALATE",IF($X187="Unassigned","CONVICTION DECISION REQUIRED",IF(AND($S187&lt;TODAY(),$T187&lt;&gt;"Closed — No Action",$T187&lt;&gt;"Closed — Incorporated"),"OVERDUE",IF(AND(OR($T187="Closed — No Action",$T187="Closed — Incorporated"),$AB187=""),"CLOSE DATE REQUIRED",IF(AND(NOT(OR($T187="Closed — No Action",$T187="Closed — Incorporated")),$AB187&lt;&gt;""),"STATUS / CLOSE DATE MISMATCH",IF(AND($Z187&lt;&gt;"No",NOT(OR($U187="Yes",$U187="Exception Approved"))),"PEW REFERRAL BLOCKED",IF(AND($T187="Awaiting Verification",$U187="Yes"),"STATUS MISMATCH",IF(OR($T187="Closed — No Action",$T187="Closed — Incorporated"),"CLOSED","OPEN — ON TRACK")))))))))))</x:f>
      </x:c>
      <x:c r="AF187" s="775" t="str">
        <x:f>IF($A187="","",IF($AD187&lt;&gt;"COMPLETE","NOT ELIGIBLE",IF($X187="Unassigned","NOT ELIGIBLE — CONVICTION UNASSIGNED",IF(NOT(OR($U187="Yes",$U187="Exception Approved")),"NOT ELIGIBLE — UNVERIFIED",IF(OR($V187&lt;&gt;"None",AND($W187&lt;&gt;"None",$W187&lt;&gt;"Intact"),AND($X187&lt;&gt;"No Change",$X187&lt;&gt;"Not Applicable"),$Y187&lt;&gt;"None",$Z187&lt;&gt;"No"),"ELIGIBLE FOR ROUTING","NO REFERRAL REQUIRED")))))</x:f>
      </x:c>
      <x:c r="AG187" s="800"/>
    </x:row>
    <x:row r="188" ht="36" customHeight="1">
      <x:c r="A188" s="800"/>
      <x:c r="B188" s="804"/>
      <x:c r="C188" s="804"/>
      <x:c r="D188" s="800"/>
      <x:c r="E188" s="800"/>
      <x:c r="F188" s="800"/>
      <x:c r="G188" s="802" t="str">
        <x:f>IF($E188="","",IFERROR(INDEX('Certified Allocation'!$A$5:$A$51,MATCH($E188,'Certified Allocation'!$B$5:$B$51,0)),"Candidate / Non-Holding"))</x:f>
      </x:c>
      <x:c r="H188" s="800"/>
      <x:c r="I188" s="800"/>
      <x:c r="J188" s="800"/>
      <x:c r="K188" s="800"/>
      <x:c r="L188" s="800"/>
      <x:c r="M188" s="800"/>
      <x:c r="N188" s="800"/>
      <x:c r="O188" s="800"/>
      <x:c r="P188" s="800"/>
      <x:c r="Q188" s="800"/>
      <x:c r="R188" s="800"/>
      <x:c r="S188" s="804"/>
      <x:c r="T188" s="800"/>
      <x:c r="U188" s="800"/>
      <x:c r="V188" s="800"/>
      <x:c r="W188" s="800"/>
      <x:c r="X188" s="800"/>
      <x:c r="Y188" s="800"/>
      <x:c r="Z188" s="800"/>
      <x:c r="AA188" s="800"/>
      <x:c r="AB188" s="804"/>
      <x:c r="AC188" s="805" t="str">
        <x:f>IF($A188="","",IF(AND(OR($T188="Closed — No Action",$T188="Closed — Incorporated"),$AB188&lt;&gt;""),MAX(0,$AB188-$B188),MAX(0,TODAY()-$B188)))</x:f>
      </x:c>
      <x:c r="AD188" s="775" t="str">
        <x:f>IF(COUNTA($A188:$F188,$H188:$AB188,$AG188)=0,"",IF(OR($A188="",$B188="",$C188="",$D188="",$F188="",$H188="",$I188="",$J188="",$K188="",$L188="",$M188="",$N188="",$O188="",$P188="",$Q188="",$R188="",$S188="",$T188="",$U188="",$V188="",$W188="",$X188="",$Y188="",$Z188="",$AA188="",AND(NOT(OR($D188="Portfolio-Level",$D188="Market / Macro",$D188="Other")),$E188="")),"INCOMPLETE",IF(COUNTIF($A$14:$A$213,$A188)&gt;1,"DUPLICATE ID","COMPLETE")))</x:f>
      </x:c>
      <x:c r="AE188" s="775" t="str">
        <x:f>IF($A188="","",IF($AD188&lt;&gt;"COMPLETE",$AD188,IF(AND($D188="Certified Holding",OR($E188="",$G188="Candidate / Non-Holding")),"HOLDING IDENTIFIER MISMATCH",IF(AND(OR($J188="Critical",$J188="High"),OR($U188="No",AND($L188="Unverified — Pending",$U188&lt;&gt;"Exception Approved"))),"VERIFY / ESCALATE",IF($X188="Unassigned","CONVICTION DECISION REQUIRED",IF(AND($S188&lt;TODAY(),$T188&lt;&gt;"Closed — No Action",$T188&lt;&gt;"Closed — Incorporated"),"OVERDUE",IF(AND(OR($T188="Closed — No Action",$T188="Closed — Incorporated"),$AB188=""),"CLOSE DATE REQUIRED",IF(AND(NOT(OR($T188="Closed — No Action",$T188="Closed — Incorporated")),$AB188&lt;&gt;""),"STATUS / CLOSE DATE MISMATCH",IF(AND($Z188&lt;&gt;"No",NOT(OR($U188="Yes",$U188="Exception Approved"))),"PEW REFERRAL BLOCKED",IF(AND($T188="Awaiting Verification",$U188="Yes"),"STATUS MISMATCH",IF(OR($T188="Closed — No Action",$T188="Closed — Incorporated"),"CLOSED","OPEN — ON TRACK")))))))))))</x:f>
      </x:c>
      <x:c r="AF188" s="775" t="str">
        <x:f>IF($A188="","",IF($AD188&lt;&gt;"COMPLETE","NOT ELIGIBLE",IF($X188="Unassigned","NOT ELIGIBLE — CONVICTION UNASSIGNED",IF(NOT(OR($U188="Yes",$U188="Exception Approved")),"NOT ELIGIBLE — UNVERIFIED",IF(OR($V188&lt;&gt;"None",AND($W188&lt;&gt;"None",$W188&lt;&gt;"Intact"),AND($X188&lt;&gt;"No Change",$X188&lt;&gt;"Not Applicable"),$Y188&lt;&gt;"None",$Z188&lt;&gt;"No"),"ELIGIBLE FOR ROUTING","NO REFERRAL REQUIRED")))))</x:f>
      </x:c>
      <x:c r="AG188" s="800"/>
    </x:row>
    <x:row r="189" ht="36" customHeight="1">
      <x:c r="A189" s="800"/>
      <x:c r="B189" s="804"/>
      <x:c r="C189" s="804"/>
      <x:c r="D189" s="800"/>
      <x:c r="E189" s="800"/>
      <x:c r="F189" s="800"/>
      <x:c r="G189" s="802" t="str">
        <x:f>IF($E189="","",IFERROR(INDEX('Certified Allocation'!$A$5:$A$51,MATCH($E189,'Certified Allocation'!$B$5:$B$51,0)),"Candidate / Non-Holding"))</x:f>
      </x:c>
      <x:c r="H189" s="800"/>
      <x:c r="I189" s="800"/>
      <x:c r="J189" s="800"/>
      <x:c r="K189" s="800"/>
      <x:c r="L189" s="800"/>
      <x:c r="M189" s="800"/>
      <x:c r="N189" s="800"/>
      <x:c r="O189" s="800"/>
      <x:c r="P189" s="800"/>
      <x:c r="Q189" s="800"/>
      <x:c r="R189" s="800"/>
      <x:c r="S189" s="804"/>
      <x:c r="T189" s="800"/>
      <x:c r="U189" s="800"/>
      <x:c r="V189" s="800"/>
      <x:c r="W189" s="800"/>
      <x:c r="X189" s="800"/>
      <x:c r="Y189" s="800"/>
      <x:c r="Z189" s="800"/>
      <x:c r="AA189" s="800"/>
      <x:c r="AB189" s="804"/>
      <x:c r="AC189" s="805" t="str">
        <x:f>IF($A189="","",IF(AND(OR($T189="Closed — No Action",$T189="Closed — Incorporated"),$AB189&lt;&gt;""),MAX(0,$AB189-$B189),MAX(0,TODAY()-$B189)))</x:f>
      </x:c>
      <x:c r="AD189" s="775" t="str">
        <x:f>IF(COUNTA($A189:$F189,$H189:$AB189,$AG189)=0,"",IF(OR($A189="",$B189="",$C189="",$D189="",$F189="",$H189="",$I189="",$J189="",$K189="",$L189="",$M189="",$N189="",$O189="",$P189="",$Q189="",$R189="",$S189="",$T189="",$U189="",$V189="",$W189="",$X189="",$Y189="",$Z189="",$AA189="",AND(NOT(OR($D189="Portfolio-Level",$D189="Market / Macro",$D189="Other")),$E189="")),"INCOMPLETE",IF(COUNTIF($A$14:$A$213,$A189)&gt;1,"DUPLICATE ID","COMPLETE")))</x:f>
      </x:c>
      <x:c r="AE189" s="775" t="str">
        <x:f>IF($A189="","",IF($AD189&lt;&gt;"COMPLETE",$AD189,IF(AND($D189="Certified Holding",OR($E189="",$G189="Candidate / Non-Holding")),"HOLDING IDENTIFIER MISMATCH",IF(AND(OR($J189="Critical",$J189="High"),OR($U189="No",AND($L189="Unverified — Pending",$U189&lt;&gt;"Exception Approved"))),"VERIFY / ESCALATE",IF($X189="Unassigned","CONVICTION DECISION REQUIRED",IF(AND($S189&lt;TODAY(),$T189&lt;&gt;"Closed — No Action",$T189&lt;&gt;"Closed — Incorporated"),"OVERDUE",IF(AND(OR($T189="Closed — No Action",$T189="Closed — Incorporated"),$AB189=""),"CLOSE DATE REQUIRED",IF(AND(NOT(OR($T189="Closed — No Action",$T189="Closed — Incorporated")),$AB189&lt;&gt;""),"STATUS / CLOSE DATE MISMATCH",IF(AND($Z189&lt;&gt;"No",NOT(OR($U189="Yes",$U189="Exception Approved"))),"PEW REFERRAL BLOCKED",IF(AND($T189="Awaiting Verification",$U189="Yes"),"STATUS MISMATCH",IF(OR($T189="Closed — No Action",$T189="Closed — Incorporated"),"CLOSED","OPEN — ON TRACK")))))))))))</x:f>
      </x:c>
      <x:c r="AF189" s="775" t="str">
        <x:f>IF($A189="","",IF($AD189&lt;&gt;"COMPLETE","NOT ELIGIBLE",IF($X189="Unassigned","NOT ELIGIBLE — CONVICTION UNASSIGNED",IF(NOT(OR($U189="Yes",$U189="Exception Approved")),"NOT ELIGIBLE — UNVERIFIED",IF(OR($V189&lt;&gt;"None",AND($W189&lt;&gt;"None",$W189&lt;&gt;"Intact"),AND($X189&lt;&gt;"No Change",$X189&lt;&gt;"Not Applicable"),$Y189&lt;&gt;"None",$Z189&lt;&gt;"No"),"ELIGIBLE FOR ROUTING","NO REFERRAL REQUIRED")))))</x:f>
      </x:c>
      <x:c r="AG189" s="800"/>
    </x:row>
    <x:row r="190" ht="36" customHeight="1">
      <x:c r="A190" s="800"/>
      <x:c r="B190" s="804"/>
      <x:c r="C190" s="804"/>
      <x:c r="D190" s="800"/>
      <x:c r="E190" s="800"/>
      <x:c r="F190" s="800"/>
      <x:c r="G190" s="802" t="str">
        <x:f>IF($E190="","",IFERROR(INDEX('Certified Allocation'!$A$5:$A$51,MATCH($E190,'Certified Allocation'!$B$5:$B$51,0)),"Candidate / Non-Holding"))</x:f>
      </x:c>
      <x:c r="H190" s="800"/>
      <x:c r="I190" s="800"/>
      <x:c r="J190" s="800"/>
      <x:c r="K190" s="800"/>
      <x:c r="L190" s="800"/>
      <x:c r="M190" s="800"/>
      <x:c r="N190" s="800"/>
      <x:c r="O190" s="800"/>
      <x:c r="P190" s="800"/>
      <x:c r="Q190" s="800"/>
      <x:c r="R190" s="800"/>
      <x:c r="S190" s="804"/>
      <x:c r="T190" s="800"/>
      <x:c r="U190" s="800"/>
      <x:c r="V190" s="800"/>
      <x:c r="W190" s="800"/>
      <x:c r="X190" s="800"/>
      <x:c r="Y190" s="800"/>
      <x:c r="Z190" s="800"/>
      <x:c r="AA190" s="800"/>
      <x:c r="AB190" s="804"/>
      <x:c r="AC190" s="805" t="str">
        <x:f>IF($A190="","",IF(AND(OR($T190="Closed — No Action",$T190="Closed — Incorporated"),$AB190&lt;&gt;""),MAX(0,$AB190-$B190),MAX(0,TODAY()-$B190)))</x:f>
      </x:c>
      <x:c r="AD190" s="775" t="str">
        <x:f>IF(COUNTA($A190:$F190,$H190:$AB190,$AG190)=0,"",IF(OR($A190="",$B190="",$C190="",$D190="",$F190="",$H190="",$I190="",$J190="",$K190="",$L190="",$M190="",$N190="",$O190="",$P190="",$Q190="",$R190="",$S190="",$T190="",$U190="",$V190="",$W190="",$X190="",$Y190="",$Z190="",$AA190="",AND(NOT(OR($D190="Portfolio-Level",$D190="Market / Macro",$D190="Other")),$E190="")),"INCOMPLETE",IF(COUNTIF($A$14:$A$213,$A190)&gt;1,"DUPLICATE ID","COMPLETE")))</x:f>
      </x:c>
      <x:c r="AE190" s="775" t="str">
        <x:f>IF($A190="","",IF($AD190&lt;&gt;"COMPLETE",$AD190,IF(AND($D190="Certified Holding",OR($E190="",$G190="Candidate / Non-Holding")),"HOLDING IDENTIFIER MISMATCH",IF(AND(OR($J190="Critical",$J190="High"),OR($U190="No",AND($L190="Unverified — Pending",$U190&lt;&gt;"Exception Approved"))),"VERIFY / ESCALATE",IF($X190="Unassigned","CONVICTION DECISION REQUIRED",IF(AND($S190&lt;TODAY(),$T190&lt;&gt;"Closed — No Action",$T190&lt;&gt;"Closed — Incorporated"),"OVERDUE",IF(AND(OR($T190="Closed — No Action",$T190="Closed — Incorporated"),$AB190=""),"CLOSE DATE REQUIRED",IF(AND(NOT(OR($T190="Closed — No Action",$T190="Closed — Incorporated")),$AB190&lt;&gt;""),"STATUS / CLOSE DATE MISMATCH",IF(AND($Z190&lt;&gt;"No",NOT(OR($U190="Yes",$U190="Exception Approved"))),"PEW REFERRAL BLOCKED",IF(AND($T190="Awaiting Verification",$U190="Yes"),"STATUS MISMATCH",IF(OR($T190="Closed — No Action",$T190="Closed — Incorporated"),"CLOSED","OPEN — ON TRACK")))))))))))</x:f>
      </x:c>
      <x:c r="AF190" s="775" t="str">
        <x:f>IF($A190="","",IF($AD190&lt;&gt;"COMPLETE","NOT ELIGIBLE",IF($X190="Unassigned","NOT ELIGIBLE — CONVICTION UNASSIGNED",IF(NOT(OR($U190="Yes",$U190="Exception Approved")),"NOT ELIGIBLE — UNVERIFIED",IF(OR($V190&lt;&gt;"None",AND($W190&lt;&gt;"None",$W190&lt;&gt;"Intact"),AND($X190&lt;&gt;"No Change",$X190&lt;&gt;"Not Applicable"),$Y190&lt;&gt;"None",$Z190&lt;&gt;"No"),"ELIGIBLE FOR ROUTING","NO REFERRAL REQUIRED")))))</x:f>
      </x:c>
      <x:c r="AG190" s="800"/>
    </x:row>
    <x:row r="191" ht="36" customHeight="1">
      <x:c r="A191" s="800"/>
      <x:c r="B191" s="804"/>
      <x:c r="C191" s="804"/>
      <x:c r="D191" s="800"/>
      <x:c r="E191" s="800"/>
      <x:c r="F191" s="800"/>
      <x:c r="G191" s="802" t="str">
        <x:f>IF($E191="","",IFERROR(INDEX('Certified Allocation'!$A$5:$A$51,MATCH($E191,'Certified Allocation'!$B$5:$B$51,0)),"Candidate / Non-Holding"))</x:f>
      </x:c>
      <x:c r="H191" s="800"/>
      <x:c r="I191" s="800"/>
      <x:c r="J191" s="800"/>
      <x:c r="K191" s="800"/>
      <x:c r="L191" s="800"/>
      <x:c r="M191" s="800"/>
      <x:c r="N191" s="800"/>
      <x:c r="O191" s="800"/>
      <x:c r="P191" s="800"/>
      <x:c r="Q191" s="800"/>
      <x:c r="R191" s="800"/>
      <x:c r="S191" s="804"/>
      <x:c r="T191" s="800"/>
      <x:c r="U191" s="800"/>
      <x:c r="V191" s="800"/>
      <x:c r="W191" s="800"/>
      <x:c r="X191" s="800"/>
      <x:c r="Y191" s="800"/>
      <x:c r="Z191" s="800"/>
      <x:c r="AA191" s="800"/>
      <x:c r="AB191" s="804"/>
      <x:c r="AC191" s="805" t="str">
        <x:f>IF($A191="","",IF(AND(OR($T191="Closed — No Action",$T191="Closed — Incorporated"),$AB191&lt;&gt;""),MAX(0,$AB191-$B191),MAX(0,TODAY()-$B191)))</x:f>
      </x:c>
      <x:c r="AD191" s="775" t="str">
        <x:f>IF(COUNTA($A191:$F191,$H191:$AB191,$AG191)=0,"",IF(OR($A191="",$B191="",$C191="",$D191="",$F191="",$H191="",$I191="",$J191="",$K191="",$L191="",$M191="",$N191="",$O191="",$P191="",$Q191="",$R191="",$S191="",$T191="",$U191="",$V191="",$W191="",$X191="",$Y191="",$Z191="",$AA191="",AND(NOT(OR($D191="Portfolio-Level",$D191="Market / Macro",$D191="Other")),$E191="")),"INCOMPLETE",IF(COUNTIF($A$14:$A$213,$A191)&gt;1,"DUPLICATE ID","COMPLETE")))</x:f>
      </x:c>
      <x:c r="AE191" s="775" t="str">
        <x:f>IF($A191="","",IF($AD191&lt;&gt;"COMPLETE",$AD191,IF(AND($D191="Certified Holding",OR($E191="",$G191="Candidate / Non-Holding")),"HOLDING IDENTIFIER MISMATCH",IF(AND(OR($J191="Critical",$J191="High"),OR($U191="No",AND($L191="Unverified — Pending",$U191&lt;&gt;"Exception Approved"))),"VERIFY / ESCALATE",IF($X191="Unassigned","CONVICTION DECISION REQUIRED",IF(AND($S191&lt;TODAY(),$T191&lt;&gt;"Closed — No Action",$T191&lt;&gt;"Closed — Incorporated"),"OVERDUE",IF(AND(OR($T191="Closed — No Action",$T191="Closed — Incorporated"),$AB191=""),"CLOSE DATE REQUIRED",IF(AND(NOT(OR($T191="Closed — No Action",$T191="Closed — Incorporated")),$AB191&lt;&gt;""),"STATUS / CLOSE DATE MISMATCH",IF(AND($Z191&lt;&gt;"No",NOT(OR($U191="Yes",$U191="Exception Approved"))),"PEW REFERRAL BLOCKED",IF(AND($T191="Awaiting Verification",$U191="Yes"),"STATUS MISMATCH",IF(OR($T191="Closed — No Action",$T191="Closed — Incorporated"),"CLOSED","OPEN — ON TRACK")))))))))))</x:f>
      </x:c>
      <x:c r="AF191" s="775" t="str">
        <x:f>IF($A191="","",IF($AD191&lt;&gt;"COMPLETE","NOT ELIGIBLE",IF($X191="Unassigned","NOT ELIGIBLE — CONVICTION UNASSIGNED",IF(NOT(OR($U191="Yes",$U191="Exception Approved")),"NOT ELIGIBLE — UNVERIFIED",IF(OR($V191&lt;&gt;"None",AND($W191&lt;&gt;"None",$W191&lt;&gt;"Intact"),AND($X191&lt;&gt;"No Change",$X191&lt;&gt;"Not Applicable"),$Y191&lt;&gt;"None",$Z191&lt;&gt;"No"),"ELIGIBLE FOR ROUTING","NO REFERRAL REQUIRED")))))</x:f>
      </x:c>
      <x:c r="AG191" s="800"/>
    </x:row>
    <x:row r="192" ht="36" customHeight="1">
      <x:c r="A192" s="800"/>
      <x:c r="B192" s="804"/>
      <x:c r="C192" s="804"/>
      <x:c r="D192" s="800"/>
      <x:c r="E192" s="800"/>
      <x:c r="F192" s="800"/>
      <x:c r="G192" s="802" t="str">
        <x:f>IF($E192="","",IFERROR(INDEX('Certified Allocation'!$A$5:$A$51,MATCH($E192,'Certified Allocation'!$B$5:$B$51,0)),"Candidate / Non-Holding"))</x:f>
      </x:c>
      <x:c r="H192" s="800"/>
      <x:c r="I192" s="800"/>
      <x:c r="J192" s="800"/>
      <x:c r="K192" s="800"/>
      <x:c r="L192" s="800"/>
      <x:c r="M192" s="800"/>
      <x:c r="N192" s="800"/>
      <x:c r="O192" s="800"/>
      <x:c r="P192" s="800"/>
      <x:c r="Q192" s="800"/>
      <x:c r="R192" s="800"/>
      <x:c r="S192" s="804"/>
      <x:c r="T192" s="800"/>
      <x:c r="U192" s="800"/>
      <x:c r="V192" s="800"/>
      <x:c r="W192" s="800"/>
      <x:c r="X192" s="800"/>
      <x:c r="Y192" s="800"/>
      <x:c r="Z192" s="800"/>
      <x:c r="AA192" s="800"/>
      <x:c r="AB192" s="804"/>
      <x:c r="AC192" s="805" t="str">
        <x:f>IF($A192="","",IF(AND(OR($T192="Closed — No Action",$T192="Closed — Incorporated"),$AB192&lt;&gt;""),MAX(0,$AB192-$B192),MAX(0,TODAY()-$B192)))</x:f>
      </x:c>
      <x:c r="AD192" s="775" t="str">
        <x:f>IF(COUNTA($A192:$F192,$H192:$AB192,$AG192)=0,"",IF(OR($A192="",$B192="",$C192="",$D192="",$F192="",$H192="",$I192="",$J192="",$K192="",$L192="",$M192="",$N192="",$O192="",$P192="",$Q192="",$R192="",$S192="",$T192="",$U192="",$V192="",$W192="",$X192="",$Y192="",$Z192="",$AA192="",AND(NOT(OR($D192="Portfolio-Level",$D192="Market / Macro",$D192="Other")),$E192="")),"INCOMPLETE",IF(COUNTIF($A$14:$A$213,$A192)&gt;1,"DUPLICATE ID","COMPLETE")))</x:f>
      </x:c>
      <x:c r="AE192" s="775" t="str">
        <x:f>IF($A192="","",IF($AD192&lt;&gt;"COMPLETE",$AD192,IF(AND($D192="Certified Holding",OR($E192="",$G192="Candidate / Non-Holding")),"HOLDING IDENTIFIER MISMATCH",IF(AND(OR($J192="Critical",$J192="High"),OR($U192="No",AND($L192="Unverified — Pending",$U192&lt;&gt;"Exception Approved"))),"VERIFY / ESCALATE",IF($X192="Unassigned","CONVICTION DECISION REQUIRED",IF(AND($S192&lt;TODAY(),$T192&lt;&gt;"Closed — No Action",$T192&lt;&gt;"Closed — Incorporated"),"OVERDUE",IF(AND(OR($T192="Closed — No Action",$T192="Closed — Incorporated"),$AB192=""),"CLOSE DATE REQUIRED",IF(AND(NOT(OR($T192="Closed — No Action",$T192="Closed — Incorporated")),$AB192&lt;&gt;""),"STATUS / CLOSE DATE MISMATCH",IF(AND($Z192&lt;&gt;"No",NOT(OR($U192="Yes",$U192="Exception Approved"))),"PEW REFERRAL BLOCKED",IF(AND($T192="Awaiting Verification",$U192="Yes"),"STATUS MISMATCH",IF(OR($T192="Closed — No Action",$T192="Closed — Incorporated"),"CLOSED","OPEN — ON TRACK")))))))))))</x:f>
      </x:c>
      <x:c r="AF192" s="775" t="str">
        <x:f>IF($A192="","",IF($AD192&lt;&gt;"COMPLETE","NOT ELIGIBLE",IF($X192="Unassigned","NOT ELIGIBLE — CONVICTION UNASSIGNED",IF(NOT(OR($U192="Yes",$U192="Exception Approved")),"NOT ELIGIBLE — UNVERIFIED",IF(OR($V192&lt;&gt;"None",AND($W192&lt;&gt;"None",$W192&lt;&gt;"Intact"),AND($X192&lt;&gt;"No Change",$X192&lt;&gt;"Not Applicable"),$Y192&lt;&gt;"None",$Z192&lt;&gt;"No"),"ELIGIBLE FOR ROUTING","NO REFERRAL REQUIRED")))))</x:f>
      </x:c>
      <x:c r="AG192" s="800"/>
    </x:row>
    <x:row r="193" ht="36" customHeight="1">
      <x:c r="A193" s="800"/>
      <x:c r="B193" s="804"/>
      <x:c r="C193" s="804"/>
      <x:c r="D193" s="800"/>
      <x:c r="E193" s="800"/>
      <x:c r="F193" s="800"/>
      <x:c r="G193" s="802" t="str">
        <x:f>IF($E193="","",IFERROR(INDEX('Certified Allocation'!$A$5:$A$51,MATCH($E193,'Certified Allocation'!$B$5:$B$51,0)),"Candidate / Non-Holding"))</x:f>
      </x:c>
      <x:c r="H193" s="800"/>
      <x:c r="I193" s="800"/>
      <x:c r="J193" s="800"/>
      <x:c r="K193" s="800"/>
      <x:c r="L193" s="800"/>
      <x:c r="M193" s="800"/>
      <x:c r="N193" s="800"/>
      <x:c r="O193" s="800"/>
      <x:c r="P193" s="800"/>
      <x:c r="Q193" s="800"/>
      <x:c r="R193" s="800"/>
      <x:c r="S193" s="804"/>
      <x:c r="T193" s="800"/>
      <x:c r="U193" s="800"/>
      <x:c r="V193" s="800"/>
      <x:c r="W193" s="800"/>
      <x:c r="X193" s="800"/>
      <x:c r="Y193" s="800"/>
      <x:c r="Z193" s="800"/>
      <x:c r="AA193" s="800"/>
      <x:c r="AB193" s="804"/>
      <x:c r="AC193" s="805" t="str">
        <x:f>IF($A193="","",IF(AND(OR($T193="Closed — No Action",$T193="Closed — Incorporated"),$AB193&lt;&gt;""),MAX(0,$AB193-$B193),MAX(0,TODAY()-$B193)))</x:f>
      </x:c>
      <x:c r="AD193" s="775" t="str">
        <x:f>IF(COUNTA($A193:$F193,$H193:$AB193,$AG193)=0,"",IF(OR($A193="",$B193="",$C193="",$D193="",$F193="",$H193="",$I193="",$J193="",$K193="",$L193="",$M193="",$N193="",$O193="",$P193="",$Q193="",$R193="",$S193="",$T193="",$U193="",$V193="",$W193="",$X193="",$Y193="",$Z193="",$AA193="",AND(NOT(OR($D193="Portfolio-Level",$D193="Market / Macro",$D193="Other")),$E193="")),"INCOMPLETE",IF(COUNTIF($A$14:$A$213,$A193)&gt;1,"DUPLICATE ID","COMPLETE")))</x:f>
      </x:c>
      <x:c r="AE193" s="775" t="str">
        <x:f>IF($A193="","",IF($AD193&lt;&gt;"COMPLETE",$AD193,IF(AND($D193="Certified Holding",OR($E193="",$G193="Candidate / Non-Holding")),"HOLDING IDENTIFIER MISMATCH",IF(AND(OR($J193="Critical",$J193="High"),OR($U193="No",AND($L193="Unverified — Pending",$U193&lt;&gt;"Exception Approved"))),"VERIFY / ESCALATE",IF($X193="Unassigned","CONVICTION DECISION REQUIRED",IF(AND($S193&lt;TODAY(),$T193&lt;&gt;"Closed — No Action",$T193&lt;&gt;"Closed — Incorporated"),"OVERDUE",IF(AND(OR($T193="Closed — No Action",$T193="Closed — Incorporated"),$AB193=""),"CLOSE DATE REQUIRED",IF(AND(NOT(OR($T193="Closed — No Action",$T193="Closed — Incorporated")),$AB193&lt;&gt;""),"STATUS / CLOSE DATE MISMATCH",IF(AND($Z193&lt;&gt;"No",NOT(OR($U193="Yes",$U193="Exception Approved"))),"PEW REFERRAL BLOCKED",IF(AND($T193="Awaiting Verification",$U193="Yes"),"STATUS MISMATCH",IF(OR($T193="Closed — No Action",$T193="Closed — Incorporated"),"CLOSED","OPEN — ON TRACK")))))))))))</x:f>
      </x:c>
      <x:c r="AF193" s="775" t="str">
        <x:f>IF($A193="","",IF($AD193&lt;&gt;"COMPLETE","NOT ELIGIBLE",IF($X193="Unassigned","NOT ELIGIBLE — CONVICTION UNASSIGNED",IF(NOT(OR($U193="Yes",$U193="Exception Approved")),"NOT ELIGIBLE — UNVERIFIED",IF(OR($V193&lt;&gt;"None",AND($W193&lt;&gt;"None",$W193&lt;&gt;"Intact"),AND($X193&lt;&gt;"No Change",$X193&lt;&gt;"Not Applicable"),$Y193&lt;&gt;"None",$Z193&lt;&gt;"No"),"ELIGIBLE FOR ROUTING","NO REFERRAL REQUIRED")))))</x:f>
      </x:c>
      <x:c r="AG193" s="800"/>
    </x:row>
    <x:row r="194" ht="36" customHeight="1">
      <x:c r="A194" s="800"/>
      <x:c r="B194" s="804"/>
      <x:c r="C194" s="804"/>
      <x:c r="D194" s="800"/>
      <x:c r="E194" s="800"/>
      <x:c r="F194" s="800"/>
      <x:c r="G194" s="802" t="str">
        <x:f>IF($E194="","",IFERROR(INDEX('Certified Allocation'!$A$5:$A$51,MATCH($E194,'Certified Allocation'!$B$5:$B$51,0)),"Candidate / Non-Holding"))</x:f>
      </x:c>
      <x:c r="H194" s="800"/>
      <x:c r="I194" s="800"/>
      <x:c r="J194" s="800"/>
      <x:c r="K194" s="800"/>
      <x:c r="L194" s="800"/>
      <x:c r="M194" s="800"/>
      <x:c r="N194" s="800"/>
      <x:c r="O194" s="800"/>
      <x:c r="P194" s="800"/>
      <x:c r="Q194" s="800"/>
      <x:c r="R194" s="800"/>
      <x:c r="S194" s="804"/>
      <x:c r="T194" s="800"/>
      <x:c r="U194" s="800"/>
      <x:c r="V194" s="800"/>
      <x:c r="W194" s="800"/>
      <x:c r="X194" s="800"/>
      <x:c r="Y194" s="800"/>
      <x:c r="Z194" s="800"/>
      <x:c r="AA194" s="800"/>
      <x:c r="AB194" s="804"/>
      <x:c r="AC194" s="805" t="str">
        <x:f>IF($A194="","",IF(AND(OR($T194="Closed — No Action",$T194="Closed — Incorporated"),$AB194&lt;&gt;""),MAX(0,$AB194-$B194),MAX(0,TODAY()-$B194)))</x:f>
      </x:c>
      <x:c r="AD194" s="775" t="str">
        <x:f>IF(COUNTA($A194:$F194,$H194:$AB194,$AG194)=0,"",IF(OR($A194="",$B194="",$C194="",$D194="",$F194="",$H194="",$I194="",$J194="",$K194="",$L194="",$M194="",$N194="",$O194="",$P194="",$Q194="",$R194="",$S194="",$T194="",$U194="",$V194="",$W194="",$X194="",$Y194="",$Z194="",$AA194="",AND(NOT(OR($D194="Portfolio-Level",$D194="Market / Macro",$D194="Other")),$E194="")),"INCOMPLETE",IF(COUNTIF($A$14:$A$213,$A194)&gt;1,"DUPLICATE ID","COMPLETE")))</x:f>
      </x:c>
      <x:c r="AE194" s="775" t="str">
        <x:f>IF($A194="","",IF($AD194&lt;&gt;"COMPLETE",$AD194,IF(AND($D194="Certified Holding",OR($E194="",$G194="Candidate / Non-Holding")),"HOLDING IDENTIFIER MISMATCH",IF(AND(OR($J194="Critical",$J194="High"),OR($U194="No",AND($L194="Unverified — Pending",$U194&lt;&gt;"Exception Approved"))),"VERIFY / ESCALATE",IF($X194="Unassigned","CONVICTION DECISION REQUIRED",IF(AND($S194&lt;TODAY(),$T194&lt;&gt;"Closed — No Action",$T194&lt;&gt;"Closed — Incorporated"),"OVERDUE",IF(AND(OR($T194="Closed — No Action",$T194="Closed — Incorporated"),$AB194=""),"CLOSE DATE REQUIRED",IF(AND(NOT(OR($T194="Closed — No Action",$T194="Closed — Incorporated")),$AB194&lt;&gt;""),"STATUS / CLOSE DATE MISMATCH",IF(AND($Z194&lt;&gt;"No",NOT(OR($U194="Yes",$U194="Exception Approved"))),"PEW REFERRAL BLOCKED",IF(AND($T194="Awaiting Verification",$U194="Yes"),"STATUS MISMATCH",IF(OR($T194="Closed — No Action",$T194="Closed — Incorporated"),"CLOSED","OPEN — ON TRACK")))))))))))</x:f>
      </x:c>
      <x:c r="AF194" s="775" t="str">
        <x:f>IF($A194="","",IF($AD194&lt;&gt;"COMPLETE","NOT ELIGIBLE",IF($X194="Unassigned","NOT ELIGIBLE — CONVICTION UNASSIGNED",IF(NOT(OR($U194="Yes",$U194="Exception Approved")),"NOT ELIGIBLE — UNVERIFIED",IF(OR($V194&lt;&gt;"None",AND($W194&lt;&gt;"None",$W194&lt;&gt;"Intact"),AND($X194&lt;&gt;"No Change",$X194&lt;&gt;"Not Applicable"),$Y194&lt;&gt;"None",$Z194&lt;&gt;"No"),"ELIGIBLE FOR ROUTING","NO REFERRAL REQUIRED")))))</x:f>
      </x:c>
      <x:c r="AG194" s="800"/>
    </x:row>
    <x:row r="195" ht="36" customHeight="1">
      <x:c r="A195" s="800"/>
      <x:c r="B195" s="804"/>
      <x:c r="C195" s="804"/>
      <x:c r="D195" s="800"/>
      <x:c r="E195" s="800"/>
      <x:c r="F195" s="800"/>
      <x:c r="G195" s="802" t="str">
        <x:f>IF($E195="","",IFERROR(INDEX('Certified Allocation'!$A$5:$A$51,MATCH($E195,'Certified Allocation'!$B$5:$B$51,0)),"Candidate / Non-Holding"))</x:f>
      </x:c>
      <x:c r="H195" s="800"/>
      <x:c r="I195" s="800"/>
      <x:c r="J195" s="800"/>
      <x:c r="K195" s="800"/>
      <x:c r="L195" s="800"/>
      <x:c r="M195" s="800"/>
      <x:c r="N195" s="800"/>
      <x:c r="O195" s="800"/>
      <x:c r="P195" s="800"/>
      <x:c r="Q195" s="800"/>
      <x:c r="R195" s="800"/>
      <x:c r="S195" s="804"/>
      <x:c r="T195" s="800"/>
      <x:c r="U195" s="800"/>
      <x:c r="V195" s="800"/>
      <x:c r="W195" s="800"/>
      <x:c r="X195" s="800"/>
      <x:c r="Y195" s="800"/>
      <x:c r="Z195" s="800"/>
      <x:c r="AA195" s="800"/>
      <x:c r="AB195" s="804"/>
      <x:c r="AC195" s="805" t="str">
        <x:f>IF($A195="","",IF(AND(OR($T195="Closed — No Action",$T195="Closed — Incorporated"),$AB195&lt;&gt;""),MAX(0,$AB195-$B195),MAX(0,TODAY()-$B195)))</x:f>
      </x:c>
      <x:c r="AD195" s="775" t="str">
        <x:f>IF(COUNTA($A195:$F195,$H195:$AB195,$AG195)=0,"",IF(OR($A195="",$B195="",$C195="",$D195="",$F195="",$H195="",$I195="",$J195="",$K195="",$L195="",$M195="",$N195="",$O195="",$P195="",$Q195="",$R195="",$S195="",$T195="",$U195="",$V195="",$W195="",$X195="",$Y195="",$Z195="",$AA195="",AND(NOT(OR($D195="Portfolio-Level",$D195="Market / Macro",$D195="Other")),$E195="")),"INCOMPLETE",IF(COUNTIF($A$14:$A$213,$A195)&gt;1,"DUPLICATE ID","COMPLETE")))</x:f>
      </x:c>
      <x:c r="AE195" s="775" t="str">
        <x:f>IF($A195="","",IF($AD195&lt;&gt;"COMPLETE",$AD195,IF(AND($D195="Certified Holding",OR($E195="",$G195="Candidate / Non-Holding")),"HOLDING IDENTIFIER MISMATCH",IF(AND(OR($J195="Critical",$J195="High"),OR($U195="No",AND($L195="Unverified — Pending",$U195&lt;&gt;"Exception Approved"))),"VERIFY / ESCALATE",IF($X195="Unassigned","CONVICTION DECISION REQUIRED",IF(AND($S195&lt;TODAY(),$T195&lt;&gt;"Closed — No Action",$T195&lt;&gt;"Closed — Incorporated"),"OVERDUE",IF(AND(OR($T195="Closed — No Action",$T195="Closed — Incorporated"),$AB195=""),"CLOSE DATE REQUIRED",IF(AND(NOT(OR($T195="Closed — No Action",$T195="Closed — Incorporated")),$AB195&lt;&gt;""),"STATUS / CLOSE DATE MISMATCH",IF(AND($Z195&lt;&gt;"No",NOT(OR($U195="Yes",$U195="Exception Approved"))),"PEW REFERRAL BLOCKED",IF(AND($T195="Awaiting Verification",$U195="Yes"),"STATUS MISMATCH",IF(OR($T195="Closed — No Action",$T195="Closed — Incorporated"),"CLOSED","OPEN — ON TRACK")))))))))))</x:f>
      </x:c>
      <x:c r="AF195" s="775" t="str">
        <x:f>IF($A195="","",IF($AD195&lt;&gt;"COMPLETE","NOT ELIGIBLE",IF($X195="Unassigned","NOT ELIGIBLE — CONVICTION UNASSIGNED",IF(NOT(OR($U195="Yes",$U195="Exception Approved")),"NOT ELIGIBLE — UNVERIFIED",IF(OR($V195&lt;&gt;"None",AND($W195&lt;&gt;"None",$W195&lt;&gt;"Intact"),AND($X195&lt;&gt;"No Change",$X195&lt;&gt;"Not Applicable"),$Y195&lt;&gt;"None",$Z195&lt;&gt;"No"),"ELIGIBLE FOR ROUTING","NO REFERRAL REQUIRED")))))</x:f>
      </x:c>
      <x:c r="AG195" s="800"/>
    </x:row>
    <x:row r="196" ht="36" customHeight="1">
      <x:c r="A196" s="800"/>
      <x:c r="B196" s="804"/>
      <x:c r="C196" s="804"/>
      <x:c r="D196" s="800"/>
      <x:c r="E196" s="800"/>
      <x:c r="F196" s="800"/>
      <x:c r="G196" s="802" t="str">
        <x:f>IF($E196="","",IFERROR(INDEX('Certified Allocation'!$A$5:$A$51,MATCH($E196,'Certified Allocation'!$B$5:$B$51,0)),"Candidate / Non-Holding"))</x:f>
      </x:c>
      <x:c r="H196" s="800"/>
      <x:c r="I196" s="800"/>
      <x:c r="J196" s="800"/>
      <x:c r="K196" s="800"/>
      <x:c r="L196" s="800"/>
      <x:c r="M196" s="800"/>
      <x:c r="N196" s="800"/>
      <x:c r="O196" s="800"/>
      <x:c r="P196" s="800"/>
      <x:c r="Q196" s="800"/>
      <x:c r="R196" s="800"/>
      <x:c r="S196" s="804"/>
      <x:c r="T196" s="800"/>
      <x:c r="U196" s="800"/>
      <x:c r="V196" s="800"/>
      <x:c r="W196" s="800"/>
      <x:c r="X196" s="800"/>
      <x:c r="Y196" s="800"/>
      <x:c r="Z196" s="800"/>
      <x:c r="AA196" s="800"/>
      <x:c r="AB196" s="804"/>
      <x:c r="AC196" s="805" t="str">
        <x:f>IF($A196="","",IF(AND(OR($T196="Closed — No Action",$T196="Closed — Incorporated"),$AB196&lt;&gt;""),MAX(0,$AB196-$B196),MAX(0,TODAY()-$B196)))</x:f>
      </x:c>
      <x:c r="AD196" s="775" t="str">
        <x:f>IF(COUNTA($A196:$F196,$H196:$AB196,$AG196)=0,"",IF(OR($A196="",$B196="",$C196="",$D196="",$F196="",$H196="",$I196="",$J196="",$K196="",$L196="",$M196="",$N196="",$O196="",$P196="",$Q196="",$R196="",$S196="",$T196="",$U196="",$V196="",$W196="",$X196="",$Y196="",$Z196="",$AA196="",AND(NOT(OR($D196="Portfolio-Level",$D196="Market / Macro",$D196="Other")),$E196="")),"INCOMPLETE",IF(COUNTIF($A$14:$A$213,$A196)&gt;1,"DUPLICATE ID","COMPLETE")))</x:f>
      </x:c>
      <x:c r="AE196" s="775" t="str">
        <x:f>IF($A196="","",IF($AD196&lt;&gt;"COMPLETE",$AD196,IF(AND($D196="Certified Holding",OR($E196="",$G196="Candidate / Non-Holding")),"HOLDING IDENTIFIER MISMATCH",IF(AND(OR($J196="Critical",$J196="High"),OR($U196="No",AND($L196="Unverified — Pending",$U196&lt;&gt;"Exception Approved"))),"VERIFY / ESCALATE",IF($X196="Unassigned","CONVICTION DECISION REQUIRED",IF(AND($S196&lt;TODAY(),$T196&lt;&gt;"Closed — No Action",$T196&lt;&gt;"Closed — Incorporated"),"OVERDUE",IF(AND(OR($T196="Closed — No Action",$T196="Closed — Incorporated"),$AB196=""),"CLOSE DATE REQUIRED",IF(AND(NOT(OR($T196="Closed — No Action",$T196="Closed — Incorporated")),$AB196&lt;&gt;""),"STATUS / CLOSE DATE MISMATCH",IF(AND($Z196&lt;&gt;"No",NOT(OR($U196="Yes",$U196="Exception Approved"))),"PEW REFERRAL BLOCKED",IF(AND($T196="Awaiting Verification",$U196="Yes"),"STATUS MISMATCH",IF(OR($T196="Closed — No Action",$T196="Closed — Incorporated"),"CLOSED","OPEN — ON TRACK")))))))))))</x:f>
      </x:c>
      <x:c r="AF196" s="775" t="str">
        <x:f>IF($A196="","",IF($AD196&lt;&gt;"COMPLETE","NOT ELIGIBLE",IF($X196="Unassigned","NOT ELIGIBLE — CONVICTION UNASSIGNED",IF(NOT(OR($U196="Yes",$U196="Exception Approved")),"NOT ELIGIBLE — UNVERIFIED",IF(OR($V196&lt;&gt;"None",AND($W196&lt;&gt;"None",$W196&lt;&gt;"Intact"),AND($X196&lt;&gt;"No Change",$X196&lt;&gt;"Not Applicable"),$Y196&lt;&gt;"None",$Z196&lt;&gt;"No"),"ELIGIBLE FOR ROUTING","NO REFERRAL REQUIRED")))))</x:f>
      </x:c>
      <x:c r="AG196" s="800"/>
    </x:row>
    <x:row r="197" ht="36" customHeight="1">
      <x:c r="A197" s="800"/>
      <x:c r="B197" s="804"/>
      <x:c r="C197" s="804"/>
      <x:c r="D197" s="800"/>
      <x:c r="E197" s="800"/>
      <x:c r="F197" s="800"/>
      <x:c r="G197" s="802" t="str">
        <x:f>IF($E197="","",IFERROR(INDEX('Certified Allocation'!$A$5:$A$51,MATCH($E197,'Certified Allocation'!$B$5:$B$51,0)),"Candidate / Non-Holding"))</x:f>
      </x:c>
      <x:c r="H197" s="800"/>
      <x:c r="I197" s="800"/>
      <x:c r="J197" s="800"/>
      <x:c r="K197" s="800"/>
      <x:c r="L197" s="800"/>
      <x:c r="M197" s="800"/>
      <x:c r="N197" s="800"/>
      <x:c r="O197" s="800"/>
      <x:c r="P197" s="800"/>
      <x:c r="Q197" s="800"/>
      <x:c r="R197" s="800"/>
      <x:c r="S197" s="804"/>
      <x:c r="T197" s="800"/>
      <x:c r="U197" s="800"/>
      <x:c r="V197" s="800"/>
      <x:c r="W197" s="800"/>
      <x:c r="X197" s="800"/>
      <x:c r="Y197" s="800"/>
      <x:c r="Z197" s="800"/>
      <x:c r="AA197" s="800"/>
      <x:c r="AB197" s="804"/>
      <x:c r="AC197" s="805" t="str">
        <x:f>IF($A197="","",IF(AND(OR($T197="Closed — No Action",$T197="Closed — Incorporated"),$AB197&lt;&gt;""),MAX(0,$AB197-$B197),MAX(0,TODAY()-$B197)))</x:f>
      </x:c>
      <x:c r="AD197" s="775" t="str">
        <x:f>IF(COUNTA($A197:$F197,$H197:$AB197,$AG197)=0,"",IF(OR($A197="",$B197="",$C197="",$D197="",$F197="",$H197="",$I197="",$J197="",$K197="",$L197="",$M197="",$N197="",$O197="",$P197="",$Q197="",$R197="",$S197="",$T197="",$U197="",$V197="",$W197="",$X197="",$Y197="",$Z197="",$AA197="",AND(NOT(OR($D197="Portfolio-Level",$D197="Market / Macro",$D197="Other")),$E197="")),"INCOMPLETE",IF(COUNTIF($A$14:$A$213,$A197)&gt;1,"DUPLICATE ID","COMPLETE")))</x:f>
      </x:c>
      <x:c r="AE197" s="775" t="str">
        <x:f>IF($A197="","",IF($AD197&lt;&gt;"COMPLETE",$AD197,IF(AND($D197="Certified Holding",OR($E197="",$G197="Candidate / Non-Holding")),"HOLDING IDENTIFIER MISMATCH",IF(AND(OR($J197="Critical",$J197="High"),OR($U197="No",AND($L197="Unverified — Pending",$U197&lt;&gt;"Exception Approved"))),"VERIFY / ESCALATE",IF($X197="Unassigned","CONVICTION DECISION REQUIRED",IF(AND($S197&lt;TODAY(),$T197&lt;&gt;"Closed — No Action",$T197&lt;&gt;"Closed — Incorporated"),"OVERDUE",IF(AND(OR($T197="Closed — No Action",$T197="Closed — Incorporated"),$AB197=""),"CLOSE DATE REQUIRED",IF(AND(NOT(OR($T197="Closed — No Action",$T197="Closed — Incorporated")),$AB197&lt;&gt;""),"STATUS / CLOSE DATE MISMATCH",IF(AND($Z197&lt;&gt;"No",NOT(OR($U197="Yes",$U197="Exception Approved"))),"PEW REFERRAL BLOCKED",IF(AND($T197="Awaiting Verification",$U197="Yes"),"STATUS MISMATCH",IF(OR($T197="Closed — No Action",$T197="Closed — Incorporated"),"CLOSED","OPEN — ON TRACK")))))))))))</x:f>
      </x:c>
      <x:c r="AF197" s="775" t="str">
        <x:f>IF($A197="","",IF($AD197&lt;&gt;"COMPLETE","NOT ELIGIBLE",IF($X197="Unassigned","NOT ELIGIBLE — CONVICTION UNASSIGNED",IF(NOT(OR($U197="Yes",$U197="Exception Approved")),"NOT ELIGIBLE — UNVERIFIED",IF(OR($V197&lt;&gt;"None",AND($W197&lt;&gt;"None",$W197&lt;&gt;"Intact"),AND($X197&lt;&gt;"No Change",$X197&lt;&gt;"Not Applicable"),$Y197&lt;&gt;"None",$Z197&lt;&gt;"No"),"ELIGIBLE FOR ROUTING","NO REFERRAL REQUIRED")))))</x:f>
      </x:c>
      <x:c r="AG197" s="800"/>
    </x:row>
    <x:row r="198" ht="36" customHeight="1">
      <x:c r="A198" s="800"/>
      <x:c r="B198" s="804"/>
      <x:c r="C198" s="804"/>
      <x:c r="D198" s="800"/>
      <x:c r="E198" s="800"/>
      <x:c r="F198" s="800"/>
      <x:c r="G198" s="802" t="str">
        <x:f>IF($E198="","",IFERROR(INDEX('Certified Allocation'!$A$5:$A$51,MATCH($E198,'Certified Allocation'!$B$5:$B$51,0)),"Candidate / Non-Holding"))</x:f>
      </x:c>
      <x:c r="H198" s="800"/>
      <x:c r="I198" s="800"/>
      <x:c r="J198" s="800"/>
      <x:c r="K198" s="800"/>
      <x:c r="L198" s="800"/>
      <x:c r="M198" s="800"/>
      <x:c r="N198" s="800"/>
      <x:c r="O198" s="800"/>
      <x:c r="P198" s="800"/>
      <x:c r="Q198" s="800"/>
      <x:c r="R198" s="800"/>
      <x:c r="S198" s="804"/>
      <x:c r="T198" s="800"/>
      <x:c r="U198" s="800"/>
      <x:c r="V198" s="800"/>
      <x:c r="W198" s="800"/>
      <x:c r="X198" s="800"/>
      <x:c r="Y198" s="800"/>
      <x:c r="Z198" s="800"/>
      <x:c r="AA198" s="800"/>
      <x:c r="AB198" s="804"/>
      <x:c r="AC198" s="805" t="str">
        <x:f>IF($A198="","",IF(AND(OR($T198="Closed — No Action",$T198="Closed — Incorporated"),$AB198&lt;&gt;""),MAX(0,$AB198-$B198),MAX(0,TODAY()-$B198)))</x:f>
      </x:c>
      <x:c r="AD198" s="775" t="str">
        <x:f>IF(COUNTA($A198:$F198,$H198:$AB198,$AG198)=0,"",IF(OR($A198="",$B198="",$C198="",$D198="",$F198="",$H198="",$I198="",$J198="",$K198="",$L198="",$M198="",$N198="",$O198="",$P198="",$Q198="",$R198="",$S198="",$T198="",$U198="",$V198="",$W198="",$X198="",$Y198="",$Z198="",$AA198="",AND(NOT(OR($D198="Portfolio-Level",$D198="Market / Macro",$D198="Other")),$E198="")),"INCOMPLETE",IF(COUNTIF($A$14:$A$213,$A198)&gt;1,"DUPLICATE ID","COMPLETE")))</x:f>
      </x:c>
      <x:c r="AE198" s="775" t="str">
        <x:f>IF($A198="","",IF($AD198&lt;&gt;"COMPLETE",$AD198,IF(AND($D198="Certified Holding",OR($E198="",$G198="Candidate / Non-Holding")),"HOLDING IDENTIFIER MISMATCH",IF(AND(OR($J198="Critical",$J198="High"),OR($U198="No",AND($L198="Unverified — Pending",$U198&lt;&gt;"Exception Approved"))),"VERIFY / ESCALATE",IF($X198="Unassigned","CONVICTION DECISION REQUIRED",IF(AND($S198&lt;TODAY(),$T198&lt;&gt;"Closed — No Action",$T198&lt;&gt;"Closed — Incorporated"),"OVERDUE",IF(AND(OR($T198="Closed — No Action",$T198="Closed — Incorporated"),$AB198=""),"CLOSE DATE REQUIRED",IF(AND(NOT(OR($T198="Closed — No Action",$T198="Closed — Incorporated")),$AB198&lt;&gt;""),"STATUS / CLOSE DATE MISMATCH",IF(AND($Z198&lt;&gt;"No",NOT(OR($U198="Yes",$U198="Exception Approved"))),"PEW REFERRAL BLOCKED",IF(AND($T198="Awaiting Verification",$U198="Yes"),"STATUS MISMATCH",IF(OR($T198="Closed — No Action",$T198="Closed — Incorporated"),"CLOSED","OPEN — ON TRACK")))))))))))</x:f>
      </x:c>
      <x:c r="AF198" s="775" t="str">
        <x:f>IF($A198="","",IF($AD198&lt;&gt;"COMPLETE","NOT ELIGIBLE",IF($X198="Unassigned","NOT ELIGIBLE — CONVICTION UNASSIGNED",IF(NOT(OR($U198="Yes",$U198="Exception Approved")),"NOT ELIGIBLE — UNVERIFIED",IF(OR($V198&lt;&gt;"None",AND($W198&lt;&gt;"None",$W198&lt;&gt;"Intact"),AND($X198&lt;&gt;"No Change",$X198&lt;&gt;"Not Applicable"),$Y198&lt;&gt;"None",$Z198&lt;&gt;"No"),"ELIGIBLE FOR ROUTING","NO REFERRAL REQUIRED")))))</x:f>
      </x:c>
      <x:c r="AG198" s="800"/>
    </x:row>
    <x:row r="199" ht="36" customHeight="1">
      <x:c r="A199" s="800"/>
      <x:c r="B199" s="804"/>
      <x:c r="C199" s="804"/>
      <x:c r="D199" s="800"/>
      <x:c r="E199" s="800"/>
      <x:c r="F199" s="800"/>
      <x:c r="G199" s="802" t="str">
        <x:f>IF($E199="","",IFERROR(INDEX('Certified Allocation'!$A$5:$A$51,MATCH($E199,'Certified Allocation'!$B$5:$B$51,0)),"Candidate / Non-Holding"))</x:f>
      </x:c>
      <x:c r="H199" s="800"/>
      <x:c r="I199" s="800"/>
      <x:c r="J199" s="800"/>
      <x:c r="K199" s="800"/>
      <x:c r="L199" s="800"/>
      <x:c r="M199" s="800"/>
      <x:c r="N199" s="800"/>
      <x:c r="O199" s="800"/>
      <x:c r="P199" s="800"/>
      <x:c r="Q199" s="800"/>
      <x:c r="R199" s="800"/>
      <x:c r="S199" s="804"/>
      <x:c r="T199" s="800"/>
      <x:c r="U199" s="800"/>
      <x:c r="V199" s="800"/>
      <x:c r="W199" s="800"/>
      <x:c r="X199" s="800"/>
      <x:c r="Y199" s="800"/>
      <x:c r="Z199" s="800"/>
      <x:c r="AA199" s="800"/>
      <x:c r="AB199" s="804"/>
      <x:c r="AC199" s="805" t="str">
        <x:f>IF($A199="","",IF(AND(OR($T199="Closed — No Action",$T199="Closed — Incorporated"),$AB199&lt;&gt;""),MAX(0,$AB199-$B199),MAX(0,TODAY()-$B199)))</x:f>
      </x:c>
      <x:c r="AD199" s="775" t="str">
        <x:f>IF(COUNTA($A199:$F199,$H199:$AB199,$AG199)=0,"",IF(OR($A199="",$B199="",$C199="",$D199="",$F199="",$H199="",$I199="",$J199="",$K199="",$L199="",$M199="",$N199="",$O199="",$P199="",$Q199="",$R199="",$S199="",$T199="",$U199="",$V199="",$W199="",$X199="",$Y199="",$Z199="",$AA199="",AND(NOT(OR($D199="Portfolio-Level",$D199="Market / Macro",$D199="Other")),$E199="")),"INCOMPLETE",IF(COUNTIF($A$14:$A$213,$A199)&gt;1,"DUPLICATE ID","COMPLETE")))</x:f>
      </x:c>
      <x:c r="AE199" s="775" t="str">
        <x:f>IF($A199="","",IF($AD199&lt;&gt;"COMPLETE",$AD199,IF(AND($D199="Certified Holding",OR($E199="",$G199="Candidate / Non-Holding")),"HOLDING IDENTIFIER MISMATCH",IF(AND(OR($J199="Critical",$J199="High"),OR($U199="No",AND($L199="Unverified — Pending",$U199&lt;&gt;"Exception Approved"))),"VERIFY / ESCALATE",IF($X199="Unassigned","CONVICTION DECISION REQUIRED",IF(AND($S199&lt;TODAY(),$T199&lt;&gt;"Closed — No Action",$T199&lt;&gt;"Closed — Incorporated"),"OVERDUE",IF(AND(OR($T199="Closed — No Action",$T199="Closed — Incorporated"),$AB199=""),"CLOSE DATE REQUIRED",IF(AND(NOT(OR($T199="Closed — No Action",$T199="Closed — Incorporated")),$AB199&lt;&gt;""),"STATUS / CLOSE DATE MISMATCH",IF(AND($Z199&lt;&gt;"No",NOT(OR($U199="Yes",$U199="Exception Approved"))),"PEW REFERRAL BLOCKED",IF(AND($T199="Awaiting Verification",$U199="Yes"),"STATUS MISMATCH",IF(OR($T199="Closed — No Action",$T199="Closed — Incorporated"),"CLOSED","OPEN — ON TRACK")))))))))))</x:f>
      </x:c>
      <x:c r="AF199" s="775" t="str">
        <x:f>IF($A199="","",IF($AD199&lt;&gt;"COMPLETE","NOT ELIGIBLE",IF($X199="Unassigned","NOT ELIGIBLE — CONVICTION UNASSIGNED",IF(NOT(OR($U199="Yes",$U199="Exception Approved")),"NOT ELIGIBLE — UNVERIFIED",IF(OR($V199&lt;&gt;"None",AND($W199&lt;&gt;"None",$W199&lt;&gt;"Intact"),AND($X199&lt;&gt;"No Change",$X199&lt;&gt;"Not Applicable"),$Y199&lt;&gt;"None",$Z199&lt;&gt;"No"),"ELIGIBLE FOR ROUTING","NO REFERRAL REQUIRED")))))</x:f>
      </x:c>
      <x:c r="AG199" s="800"/>
    </x:row>
    <x:row r="200" ht="36" customHeight="1">
      <x:c r="A200" s="800"/>
      <x:c r="B200" s="804"/>
      <x:c r="C200" s="804"/>
      <x:c r="D200" s="800"/>
      <x:c r="E200" s="800"/>
      <x:c r="F200" s="800"/>
      <x:c r="G200" s="802" t="str">
        <x:f>IF($E200="","",IFERROR(INDEX('Certified Allocation'!$A$5:$A$51,MATCH($E200,'Certified Allocation'!$B$5:$B$51,0)),"Candidate / Non-Holding"))</x:f>
      </x:c>
      <x:c r="H200" s="800"/>
      <x:c r="I200" s="800"/>
      <x:c r="J200" s="800"/>
      <x:c r="K200" s="800"/>
      <x:c r="L200" s="800"/>
      <x:c r="M200" s="800"/>
      <x:c r="N200" s="800"/>
      <x:c r="O200" s="800"/>
      <x:c r="P200" s="800"/>
      <x:c r="Q200" s="800"/>
      <x:c r="R200" s="800"/>
      <x:c r="S200" s="804"/>
      <x:c r="T200" s="800"/>
      <x:c r="U200" s="800"/>
      <x:c r="V200" s="800"/>
      <x:c r="W200" s="800"/>
      <x:c r="X200" s="800"/>
      <x:c r="Y200" s="800"/>
      <x:c r="Z200" s="800"/>
      <x:c r="AA200" s="800"/>
      <x:c r="AB200" s="804"/>
      <x:c r="AC200" s="805" t="str">
        <x:f>IF($A200="","",IF(AND(OR($T200="Closed — No Action",$T200="Closed — Incorporated"),$AB200&lt;&gt;""),MAX(0,$AB200-$B200),MAX(0,TODAY()-$B200)))</x:f>
      </x:c>
      <x:c r="AD200" s="775" t="str">
        <x:f>IF(COUNTA($A200:$F200,$H200:$AB200,$AG200)=0,"",IF(OR($A200="",$B200="",$C200="",$D200="",$F200="",$H200="",$I200="",$J200="",$K200="",$L200="",$M200="",$N200="",$O200="",$P200="",$Q200="",$R200="",$S200="",$T200="",$U200="",$V200="",$W200="",$X200="",$Y200="",$Z200="",$AA200="",AND(NOT(OR($D200="Portfolio-Level",$D200="Market / Macro",$D200="Other")),$E200="")),"INCOMPLETE",IF(COUNTIF($A$14:$A$213,$A200)&gt;1,"DUPLICATE ID","COMPLETE")))</x:f>
      </x:c>
      <x:c r="AE200" s="775" t="str">
        <x:f>IF($A200="","",IF($AD200&lt;&gt;"COMPLETE",$AD200,IF(AND($D200="Certified Holding",OR($E200="",$G200="Candidate / Non-Holding")),"HOLDING IDENTIFIER MISMATCH",IF(AND(OR($J200="Critical",$J200="High"),OR($U200="No",AND($L200="Unverified — Pending",$U200&lt;&gt;"Exception Approved"))),"VERIFY / ESCALATE",IF($X200="Unassigned","CONVICTION DECISION REQUIRED",IF(AND($S200&lt;TODAY(),$T200&lt;&gt;"Closed — No Action",$T200&lt;&gt;"Closed — Incorporated"),"OVERDUE",IF(AND(OR($T200="Closed — No Action",$T200="Closed — Incorporated"),$AB200=""),"CLOSE DATE REQUIRED",IF(AND(NOT(OR($T200="Closed — No Action",$T200="Closed — Incorporated")),$AB200&lt;&gt;""),"STATUS / CLOSE DATE MISMATCH",IF(AND($Z200&lt;&gt;"No",NOT(OR($U200="Yes",$U200="Exception Approved"))),"PEW REFERRAL BLOCKED",IF(AND($T200="Awaiting Verification",$U200="Yes"),"STATUS MISMATCH",IF(OR($T200="Closed — No Action",$T200="Closed — Incorporated"),"CLOSED","OPEN — ON TRACK")))))))))))</x:f>
      </x:c>
      <x:c r="AF200" s="775" t="str">
        <x:f>IF($A200="","",IF($AD200&lt;&gt;"COMPLETE","NOT ELIGIBLE",IF($X200="Unassigned","NOT ELIGIBLE — CONVICTION UNASSIGNED",IF(NOT(OR($U200="Yes",$U200="Exception Approved")),"NOT ELIGIBLE — UNVERIFIED",IF(OR($V200&lt;&gt;"None",AND($W200&lt;&gt;"None",$W200&lt;&gt;"Intact"),AND($X200&lt;&gt;"No Change",$X200&lt;&gt;"Not Applicable"),$Y200&lt;&gt;"None",$Z200&lt;&gt;"No"),"ELIGIBLE FOR ROUTING","NO REFERRAL REQUIRED")))))</x:f>
      </x:c>
      <x:c r="AG200" s="800"/>
    </x:row>
    <x:row r="201" ht="36" customHeight="1">
      <x:c r="A201" s="800"/>
      <x:c r="B201" s="804"/>
      <x:c r="C201" s="804"/>
      <x:c r="D201" s="800"/>
      <x:c r="E201" s="800"/>
      <x:c r="F201" s="800"/>
      <x:c r="G201" s="802" t="str">
        <x:f>IF($E201="","",IFERROR(INDEX('Certified Allocation'!$A$5:$A$51,MATCH($E201,'Certified Allocation'!$B$5:$B$51,0)),"Candidate / Non-Holding"))</x:f>
      </x:c>
      <x:c r="H201" s="800"/>
      <x:c r="I201" s="800"/>
      <x:c r="J201" s="800"/>
      <x:c r="K201" s="800"/>
      <x:c r="L201" s="800"/>
      <x:c r="M201" s="800"/>
      <x:c r="N201" s="800"/>
      <x:c r="O201" s="800"/>
      <x:c r="P201" s="800"/>
      <x:c r="Q201" s="800"/>
      <x:c r="R201" s="800"/>
      <x:c r="S201" s="804"/>
      <x:c r="T201" s="800"/>
      <x:c r="U201" s="800"/>
      <x:c r="V201" s="800"/>
      <x:c r="W201" s="800"/>
      <x:c r="X201" s="800"/>
      <x:c r="Y201" s="800"/>
      <x:c r="Z201" s="800"/>
      <x:c r="AA201" s="800"/>
      <x:c r="AB201" s="804"/>
      <x:c r="AC201" s="805" t="str">
        <x:f>IF($A201="","",IF(AND(OR($T201="Closed — No Action",$T201="Closed — Incorporated"),$AB201&lt;&gt;""),MAX(0,$AB201-$B201),MAX(0,TODAY()-$B201)))</x:f>
      </x:c>
      <x:c r="AD201" s="775" t="str">
        <x:f>IF(COUNTA($A201:$F201,$H201:$AB201,$AG201)=0,"",IF(OR($A201="",$B201="",$C201="",$D201="",$F201="",$H201="",$I201="",$J201="",$K201="",$L201="",$M201="",$N201="",$O201="",$P201="",$Q201="",$R201="",$S201="",$T201="",$U201="",$V201="",$W201="",$X201="",$Y201="",$Z201="",$AA201="",AND(NOT(OR($D201="Portfolio-Level",$D201="Market / Macro",$D201="Other")),$E201="")),"INCOMPLETE",IF(COUNTIF($A$14:$A$213,$A201)&gt;1,"DUPLICATE ID","COMPLETE")))</x:f>
      </x:c>
      <x:c r="AE201" s="775" t="str">
        <x:f>IF($A201="","",IF($AD201&lt;&gt;"COMPLETE",$AD201,IF(AND($D201="Certified Holding",OR($E201="",$G201="Candidate / Non-Holding")),"HOLDING IDENTIFIER MISMATCH",IF(AND(OR($J201="Critical",$J201="High"),OR($U201="No",AND($L201="Unverified — Pending",$U201&lt;&gt;"Exception Approved"))),"VERIFY / ESCALATE",IF($X201="Unassigned","CONVICTION DECISION REQUIRED",IF(AND($S201&lt;TODAY(),$T201&lt;&gt;"Closed — No Action",$T201&lt;&gt;"Closed — Incorporated"),"OVERDUE",IF(AND(OR($T201="Closed — No Action",$T201="Closed — Incorporated"),$AB201=""),"CLOSE DATE REQUIRED",IF(AND(NOT(OR($T201="Closed — No Action",$T201="Closed — Incorporated")),$AB201&lt;&gt;""),"STATUS / CLOSE DATE MISMATCH",IF(AND($Z201&lt;&gt;"No",NOT(OR($U201="Yes",$U201="Exception Approved"))),"PEW REFERRAL BLOCKED",IF(AND($T201="Awaiting Verification",$U201="Yes"),"STATUS MISMATCH",IF(OR($T201="Closed — No Action",$T201="Closed — Incorporated"),"CLOSED","OPEN — ON TRACK")))))))))))</x:f>
      </x:c>
      <x:c r="AF201" s="775" t="str">
        <x:f>IF($A201="","",IF($AD201&lt;&gt;"COMPLETE","NOT ELIGIBLE",IF($X201="Unassigned","NOT ELIGIBLE — CONVICTION UNASSIGNED",IF(NOT(OR($U201="Yes",$U201="Exception Approved")),"NOT ELIGIBLE — UNVERIFIED",IF(OR($V201&lt;&gt;"None",AND($W201&lt;&gt;"None",$W201&lt;&gt;"Intact"),AND($X201&lt;&gt;"No Change",$X201&lt;&gt;"Not Applicable"),$Y201&lt;&gt;"None",$Z201&lt;&gt;"No"),"ELIGIBLE FOR ROUTING","NO REFERRAL REQUIRED")))))</x:f>
      </x:c>
      <x:c r="AG201" s="800"/>
    </x:row>
    <x:row r="202" ht="36" customHeight="1">
      <x:c r="A202" s="800"/>
      <x:c r="B202" s="804"/>
      <x:c r="C202" s="804"/>
      <x:c r="D202" s="800"/>
      <x:c r="E202" s="800"/>
      <x:c r="F202" s="800"/>
      <x:c r="G202" s="802" t="str">
        <x:f>IF($E202="","",IFERROR(INDEX('Certified Allocation'!$A$5:$A$51,MATCH($E202,'Certified Allocation'!$B$5:$B$51,0)),"Candidate / Non-Holding"))</x:f>
      </x:c>
      <x:c r="H202" s="800"/>
      <x:c r="I202" s="800"/>
      <x:c r="J202" s="800"/>
      <x:c r="K202" s="800"/>
      <x:c r="L202" s="800"/>
      <x:c r="M202" s="800"/>
      <x:c r="N202" s="800"/>
      <x:c r="O202" s="800"/>
      <x:c r="P202" s="800"/>
      <x:c r="Q202" s="800"/>
      <x:c r="R202" s="800"/>
      <x:c r="S202" s="804"/>
      <x:c r="T202" s="800"/>
      <x:c r="U202" s="800"/>
      <x:c r="V202" s="800"/>
      <x:c r="W202" s="800"/>
      <x:c r="X202" s="800"/>
      <x:c r="Y202" s="800"/>
      <x:c r="Z202" s="800"/>
      <x:c r="AA202" s="800"/>
      <x:c r="AB202" s="804"/>
      <x:c r="AC202" s="805" t="str">
        <x:f>IF($A202="","",IF(AND(OR($T202="Closed — No Action",$T202="Closed — Incorporated"),$AB202&lt;&gt;""),MAX(0,$AB202-$B202),MAX(0,TODAY()-$B202)))</x:f>
      </x:c>
      <x:c r="AD202" s="775" t="str">
        <x:f>IF(COUNTA($A202:$F202,$H202:$AB202,$AG202)=0,"",IF(OR($A202="",$B202="",$C202="",$D202="",$F202="",$H202="",$I202="",$J202="",$K202="",$L202="",$M202="",$N202="",$O202="",$P202="",$Q202="",$R202="",$S202="",$T202="",$U202="",$V202="",$W202="",$X202="",$Y202="",$Z202="",$AA202="",AND(NOT(OR($D202="Portfolio-Level",$D202="Market / Macro",$D202="Other")),$E202="")),"INCOMPLETE",IF(COUNTIF($A$14:$A$213,$A202)&gt;1,"DUPLICATE ID","COMPLETE")))</x:f>
      </x:c>
      <x:c r="AE202" s="775" t="str">
        <x:f>IF($A202="","",IF($AD202&lt;&gt;"COMPLETE",$AD202,IF(AND($D202="Certified Holding",OR($E202="",$G202="Candidate / Non-Holding")),"HOLDING IDENTIFIER MISMATCH",IF(AND(OR($J202="Critical",$J202="High"),OR($U202="No",AND($L202="Unverified — Pending",$U202&lt;&gt;"Exception Approved"))),"VERIFY / ESCALATE",IF($X202="Unassigned","CONVICTION DECISION REQUIRED",IF(AND($S202&lt;TODAY(),$T202&lt;&gt;"Closed — No Action",$T202&lt;&gt;"Closed — Incorporated"),"OVERDUE",IF(AND(OR($T202="Closed — No Action",$T202="Closed — Incorporated"),$AB202=""),"CLOSE DATE REQUIRED",IF(AND(NOT(OR($T202="Closed — No Action",$T202="Closed — Incorporated")),$AB202&lt;&gt;""),"STATUS / CLOSE DATE MISMATCH",IF(AND($Z202&lt;&gt;"No",NOT(OR($U202="Yes",$U202="Exception Approved"))),"PEW REFERRAL BLOCKED",IF(AND($T202="Awaiting Verification",$U202="Yes"),"STATUS MISMATCH",IF(OR($T202="Closed — No Action",$T202="Closed — Incorporated"),"CLOSED","OPEN — ON TRACK")))))))))))</x:f>
      </x:c>
      <x:c r="AF202" s="775" t="str">
        <x:f>IF($A202="","",IF($AD202&lt;&gt;"COMPLETE","NOT ELIGIBLE",IF($X202="Unassigned","NOT ELIGIBLE — CONVICTION UNASSIGNED",IF(NOT(OR($U202="Yes",$U202="Exception Approved")),"NOT ELIGIBLE — UNVERIFIED",IF(OR($V202&lt;&gt;"None",AND($W202&lt;&gt;"None",$W202&lt;&gt;"Intact"),AND($X202&lt;&gt;"No Change",$X202&lt;&gt;"Not Applicable"),$Y202&lt;&gt;"None",$Z202&lt;&gt;"No"),"ELIGIBLE FOR ROUTING","NO REFERRAL REQUIRED")))))</x:f>
      </x:c>
      <x:c r="AG202" s="800"/>
    </x:row>
    <x:row r="203" ht="36" customHeight="1">
      <x:c r="A203" s="800"/>
      <x:c r="B203" s="804"/>
      <x:c r="C203" s="804"/>
      <x:c r="D203" s="800"/>
      <x:c r="E203" s="800"/>
      <x:c r="F203" s="800"/>
      <x:c r="G203" s="802" t="str">
        <x:f>IF($E203="","",IFERROR(INDEX('Certified Allocation'!$A$5:$A$51,MATCH($E203,'Certified Allocation'!$B$5:$B$51,0)),"Candidate / Non-Holding"))</x:f>
      </x:c>
      <x:c r="H203" s="800"/>
      <x:c r="I203" s="800"/>
      <x:c r="J203" s="800"/>
      <x:c r="K203" s="800"/>
      <x:c r="L203" s="800"/>
      <x:c r="M203" s="800"/>
      <x:c r="N203" s="800"/>
      <x:c r="O203" s="800"/>
      <x:c r="P203" s="800"/>
      <x:c r="Q203" s="800"/>
      <x:c r="R203" s="800"/>
      <x:c r="S203" s="804"/>
      <x:c r="T203" s="800"/>
      <x:c r="U203" s="800"/>
      <x:c r="V203" s="800"/>
      <x:c r="W203" s="800"/>
      <x:c r="X203" s="800"/>
      <x:c r="Y203" s="800"/>
      <x:c r="Z203" s="800"/>
      <x:c r="AA203" s="800"/>
      <x:c r="AB203" s="804"/>
      <x:c r="AC203" s="805" t="str">
        <x:f>IF($A203="","",IF(AND(OR($T203="Closed — No Action",$T203="Closed — Incorporated"),$AB203&lt;&gt;""),MAX(0,$AB203-$B203),MAX(0,TODAY()-$B203)))</x:f>
      </x:c>
      <x:c r="AD203" s="775" t="str">
        <x:f>IF(COUNTA($A203:$F203,$H203:$AB203,$AG203)=0,"",IF(OR($A203="",$B203="",$C203="",$D203="",$F203="",$H203="",$I203="",$J203="",$K203="",$L203="",$M203="",$N203="",$O203="",$P203="",$Q203="",$R203="",$S203="",$T203="",$U203="",$V203="",$W203="",$X203="",$Y203="",$Z203="",$AA203="",AND(NOT(OR($D203="Portfolio-Level",$D203="Market / Macro",$D203="Other")),$E203="")),"INCOMPLETE",IF(COUNTIF($A$14:$A$213,$A203)&gt;1,"DUPLICATE ID","COMPLETE")))</x:f>
      </x:c>
      <x:c r="AE203" s="775" t="str">
        <x:f>IF($A203="","",IF($AD203&lt;&gt;"COMPLETE",$AD203,IF(AND($D203="Certified Holding",OR($E203="",$G203="Candidate / Non-Holding")),"HOLDING IDENTIFIER MISMATCH",IF(AND(OR($J203="Critical",$J203="High"),OR($U203="No",AND($L203="Unverified — Pending",$U203&lt;&gt;"Exception Approved"))),"VERIFY / ESCALATE",IF($X203="Unassigned","CONVICTION DECISION REQUIRED",IF(AND($S203&lt;TODAY(),$T203&lt;&gt;"Closed — No Action",$T203&lt;&gt;"Closed — Incorporated"),"OVERDUE",IF(AND(OR($T203="Closed — No Action",$T203="Closed — Incorporated"),$AB203=""),"CLOSE DATE REQUIRED",IF(AND(NOT(OR($T203="Closed — No Action",$T203="Closed — Incorporated")),$AB203&lt;&gt;""),"STATUS / CLOSE DATE MISMATCH",IF(AND($Z203&lt;&gt;"No",NOT(OR($U203="Yes",$U203="Exception Approved"))),"PEW REFERRAL BLOCKED",IF(AND($T203="Awaiting Verification",$U203="Yes"),"STATUS MISMATCH",IF(OR($T203="Closed — No Action",$T203="Closed — Incorporated"),"CLOSED","OPEN — ON TRACK")))))))))))</x:f>
      </x:c>
      <x:c r="AF203" s="775" t="str">
        <x:f>IF($A203="","",IF($AD203&lt;&gt;"COMPLETE","NOT ELIGIBLE",IF($X203="Unassigned","NOT ELIGIBLE — CONVICTION UNASSIGNED",IF(NOT(OR($U203="Yes",$U203="Exception Approved")),"NOT ELIGIBLE — UNVERIFIED",IF(OR($V203&lt;&gt;"None",AND($W203&lt;&gt;"None",$W203&lt;&gt;"Intact"),AND($X203&lt;&gt;"No Change",$X203&lt;&gt;"Not Applicable"),$Y203&lt;&gt;"None",$Z203&lt;&gt;"No"),"ELIGIBLE FOR ROUTING","NO REFERRAL REQUIRED")))))</x:f>
      </x:c>
      <x:c r="AG203" s="800"/>
    </x:row>
    <x:row r="204" ht="36" customHeight="1">
      <x:c r="A204" s="800"/>
      <x:c r="B204" s="804"/>
      <x:c r="C204" s="804"/>
      <x:c r="D204" s="800"/>
      <x:c r="E204" s="800"/>
      <x:c r="F204" s="800"/>
      <x:c r="G204" s="802" t="str">
        <x:f>IF($E204="","",IFERROR(INDEX('Certified Allocation'!$A$5:$A$51,MATCH($E204,'Certified Allocation'!$B$5:$B$51,0)),"Candidate / Non-Holding"))</x:f>
      </x:c>
      <x:c r="H204" s="800"/>
      <x:c r="I204" s="800"/>
      <x:c r="J204" s="800"/>
      <x:c r="K204" s="800"/>
      <x:c r="L204" s="800"/>
      <x:c r="M204" s="800"/>
      <x:c r="N204" s="800"/>
      <x:c r="O204" s="800"/>
      <x:c r="P204" s="800"/>
      <x:c r="Q204" s="800"/>
      <x:c r="R204" s="800"/>
      <x:c r="S204" s="804"/>
      <x:c r="T204" s="800"/>
      <x:c r="U204" s="800"/>
      <x:c r="V204" s="800"/>
      <x:c r="W204" s="800"/>
      <x:c r="X204" s="800"/>
      <x:c r="Y204" s="800"/>
      <x:c r="Z204" s="800"/>
      <x:c r="AA204" s="800"/>
      <x:c r="AB204" s="804"/>
      <x:c r="AC204" s="805" t="str">
        <x:f>IF($A204="","",IF(AND(OR($T204="Closed — No Action",$T204="Closed — Incorporated"),$AB204&lt;&gt;""),MAX(0,$AB204-$B204),MAX(0,TODAY()-$B204)))</x:f>
      </x:c>
      <x:c r="AD204" s="775" t="str">
        <x:f>IF(COUNTA($A204:$F204,$H204:$AB204,$AG204)=0,"",IF(OR($A204="",$B204="",$C204="",$D204="",$F204="",$H204="",$I204="",$J204="",$K204="",$L204="",$M204="",$N204="",$O204="",$P204="",$Q204="",$R204="",$S204="",$T204="",$U204="",$V204="",$W204="",$X204="",$Y204="",$Z204="",$AA204="",AND(NOT(OR($D204="Portfolio-Level",$D204="Market / Macro",$D204="Other")),$E204="")),"INCOMPLETE",IF(COUNTIF($A$14:$A$213,$A204)&gt;1,"DUPLICATE ID","COMPLETE")))</x:f>
      </x:c>
      <x:c r="AE204" s="775" t="str">
        <x:f>IF($A204="","",IF($AD204&lt;&gt;"COMPLETE",$AD204,IF(AND($D204="Certified Holding",OR($E204="",$G204="Candidate / Non-Holding")),"HOLDING IDENTIFIER MISMATCH",IF(AND(OR($J204="Critical",$J204="High"),OR($U204="No",AND($L204="Unverified — Pending",$U204&lt;&gt;"Exception Approved"))),"VERIFY / ESCALATE",IF($X204="Unassigned","CONVICTION DECISION REQUIRED",IF(AND($S204&lt;TODAY(),$T204&lt;&gt;"Closed — No Action",$T204&lt;&gt;"Closed — Incorporated"),"OVERDUE",IF(AND(OR($T204="Closed — No Action",$T204="Closed — Incorporated"),$AB204=""),"CLOSE DATE REQUIRED",IF(AND(NOT(OR($T204="Closed — No Action",$T204="Closed — Incorporated")),$AB204&lt;&gt;""),"STATUS / CLOSE DATE MISMATCH",IF(AND($Z204&lt;&gt;"No",NOT(OR($U204="Yes",$U204="Exception Approved"))),"PEW REFERRAL BLOCKED",IF(AND($T204="Awaiting Verification",$U204="Yes"),"STATUS MISMATCH",IF(OR($T204="Closed — No Action",$T204="Closed — Incorporated"),"CLOSED","OPEN — ON TRACK")))))))))))</x:f>
      </x:c>
      <x:c r="AF204" s="775" t="str">
        <x:f>IF($A204="","",IF($AD204&lt;&gt;"COMPLETE","NOT ELIGIBLE",IF($X204="Unassigned","NOT ELIGIBLE — CONVICTION UNASSIGNED",IF(NOT(OR($U204="Yes",$U204="Exception Approved")),"NOT ELIGIBLE — UNVERIFIED",IF(OR($V204&lt;&gt;"None",AND($W204&lt;&gt;"None",$W204&lt;&gt;"Intact"),AND($X204&lt;&gt;"No Change",$X204&lt;&gt;"Not Applicable"),$Y204&lt;&gt;"None",$Z204&lt;&gt;"No"),"ELIGIBLE FOR ROUTING","NO REFERRAL REQUIRED")))))</x:f>
      </x:c>
      <x:c r="AG204" s="800"/>
    </x:row>
    <x:row r="205" ht="36" customHeight="1">
      <x:c r="A205" s="800"/>
      <x:c r="B205" s="804"/>
      <x:c r="C205" s="804"/>
      <x:c r="D205" s="800"/>
      <x:c r="E205" s="800"/>
      <x:c r="F205" s="800"/>
      <x:c r="G205" s="802" t="str">
        <x:f>IF($E205="","",IFERROR(INDEX('Certified Allocation'!$A$5:$A$51,MATCH($E205,'Certified Allocation'!$B$5:$B$51,0)),"Candidate / Non-Holding"))</x:f>
      </x:c>
      <x:c r="H205" s="800"/>
      <x:c r="I205" s="800"/>
      <x:c r="J205" s="800"/>
      <x:c r="K205" s="800"/>
      <x:c r="L205" s="800"/>
      <x:c r="M205" s="800"/>
      <x:c r="N205" s="800"/>
      <x:c r="O205" s="800"/>
      <x:c r="P205" s="800"/>
      <x:c r="Q205" s="800"/>
      <x:c r="R205" s="800"/>
      <x:c r="S205" s="804"/>
      <x:c r="T205" s="800"/>
      <x:c r="U205" s="800"/>
      <x:c r="V205" s="800"/>
      <x:c r="W205" s="800"/>
      <x:c r="X205" s="800"/>
      <x:c r="Y205" s="800"/>
      <x:c r="Z205" s="800"/>
      <x:c r="AA205" s="800"/>
      <x:c r="AB205" s="804"/>
      <x:c r="AC205" s="805" t="str">
        <x:f>IF($A205="","",IF(AND(OR($T205="Closed — No Action",$T205="Closed — Incorporated"),$AB205&lt;&gt;""),MAX(0,$AB205-$B205),MAX(0,TODAY()-$B205)))</x:f>
      </x:c>
      <x:c r="AD205" s="775" t="str">
        <x:f>IF(COUNTA($A205:$F205,$H205:$AB205,$AG205)=0,"",IF(OR($A205="",$B205="",$C205="",$D205="",$F205="",$H205="",$I205="",$J205="",$K205="",$L205="",$M205="",$N205="",$O205="",$P205="",$Q205="",$R205="",$S205="",$T205="",$U205="",$V205="",$W205="",$X205="",$Y205="",$Z205="",$AA205="",AND(NOT(OR($D205="Portfolio-Level",$D205="Market / Macro",$D205="Other")),$E205="")),"INCOMPLETE",IF(COUNTIF($A$14:$A$213,$A205)&gt;1,"DUPLICATE ID","COMPLETE")))</x:f>
      </x:c>
      <x:c r="AE205" s="775" t="str">
        <x:f>IF($A205="","",IF($AD205&lt;&gt;"COMPLETE",$AD205,IF(AND($D205="Certified Holding",OR($E205="",$G205="Candidate / Non-Holding")),"HOLDING IDENTIFIER MISMATCH",IF(AND(OR($J205="Critical",$J205="High"),OR($U205="No",AND($L205="Unverified — Pending",$U205&lt;&gt;"Exception Approved"))),"VERIFY / ESCALATE",IF($X205="Unassigned","CONVICTION DECISION REQUIRED",IF(AND($S205&lt;TODAY(),$T205&lt;&gt;"Closed — No Action",$T205&lt;&gt;"Closed — Incorporated"),"OVERDUE",IF(AND(OR($T205="Closed — No Action",$T205="Closed — Incorporated"),$AB205=""),"CLOSE DATE REQUIRED",IF(AND(NOT(OR($T205="Closed — No Action",$T205="Closed — Incorporated")),$AB205&lt;&gt;""),"STATUS / CLOSE DATE MISMATCH",IF(AND($Z205&lt;&gt;"No",NOT(OR($U205="Yes",$U205="Exception Approved"))),"PEW REFERRAL BLOCKED",IF(AND($T205="Awaiting Verification",$U205="Yes"),"STATUS MISMATCH",IF(OR($T205="Closed — No Action",$T205="Closed — Incorporated"),"CLOSED","OPEN — ON TRACK")))))))))))</x:f>
      </x:c>
      <x:c r="AF205" s="775" t="str">
        <x:f>IF($A205="","",IF($AD205&lt;&gt;"COMPLETE","NOT ELIGIBLE",IF($X205="Unassigned","NOT ELIGIBLE — CONVICTION UNASSIGNED",IF(NOT(OR($U205="Yes",$U205="Exception Approved")),"NOT ELIGIBLE — UNVERIFIED",IF(OR($V205&lt;&gt;"None",AND($W205&lt;&gt;"None",$W205&lt;&gt;"Intact"),AND($X205&lt;&gt;"No Change",$X205&lt;&gt;"Not Applicable"),$Y205&lt;&gt;"None",$Z205&lt;&gt;"No"),"ELIGIBLE FOR ROUTING","NO REFERRAL REQUIRED")))))</x:f>
      </x:c>
      <x:c r="AG205" s="800"/>
    </x:row>
    <x:row r="206" ht="36" customHeight="1">
      <x:c r="A206" s="800"/>
      <x:c r="B206" s="804"/>
      <x:c r="C206" s="804"/>
      <x:c r="D206" s="800"/>
      <x:c r="E206" s="800"/>
      <x:c r="F206" s="800"/>
      <x:c r="G206" s="802" t="str">
        <x:f>IF($E206="","",IFERROR(INDEX('Certified Allocation'!$A$5:$A$51,MATCH($E206,'Certified Allocation'!$B$5:$B$51,0)),"Candidate / Non-Holding"))</x:f>
      </x:c>
      <x:c r="H206" s="800"/>
      <x:c r="I206" s="800"/>
      <x:c r="J206" s="800"/>
      <x:c r="K206" s="800"/>
      <x:c r="L206" s="800"/>
      <x:c r="M206" s="800"/>
      <x:c r="N206" s="800"/>
      <x:c r="O206" s="800"/>
      <x:c r="P206" s="800"/>
      <x:c r="Q206" s="800"/>
      <x:c r="R206" s="800"/>
      <x:c r="S206" s="804"/>
      <x:c r="T206" s="800"/>
      <x:c r="U206" s="800"/>
      <x:c r="V206" s="800"/>
      <x:c r="W206" s="800"/>
      <x:c r="X206" s="800"/>
      <x:c r="Y206" s="800"/>
      <x:c r="Z206" s="800"/>
      <x:c r="AA206" s="800"/>
      <x:c r="AB206" s="804"/>
      <x:c r="AC206" s="805" t="str">
        <x:f>IF($A206="","",IF(AND(OR($T206="Closed — No Action",$T206="Closed — Incorporated"),$AB206&lt;&gt;""),MAX(0,$AB206-$B206),MAX(0,TODAY()-$B206)))</x:f>
      </x:c>
      <x:c r="AD206" s="775" t="str">
        <x:f>IF(COUNTA($A206:$F206,$H206:$AB206,$AG206)=0,"",IF(OR($A206="",$B206="",$C206="",$D206="",$F206="",$H206="",$I206="",$J206="",$K206="",$L206="",$M206="",$N206="",$O206="",$P206="",$Q206="",$R206="",$S206="",$T206="",$U206="",$V206="",$W206="",$X206="",$Y206="",$Z206="",$AA206="",AND(NOT(OR($D206="Portfolio-Level",$D206="Market / Macro",$D206="Other")),$E206="")),"INCOMPLETE",IF(COUNTIF($A$14:$A$213,$A206)&gt;1,"DUPLICATE ID","COMPLETE")))</x:f>
      </x:c>
      <x:c r="AE206" s="775" t="str">
        <x:f>IF($A206="","",IF($AD206&lt;&gt;"COMPLETE",$AD206,IF(AND($D206="Certified Holding",OR($E206="",$G206="Candidate / Non-Holding")),"HOLDING IDENTIFIER MISMATCH",IF(AND(OR($J206="Critical",$J206="High"),OR($U206="No",AND($L206="Unverified — Pending",$U206&lt;&gt;"Exception Approved"))),"VERIFY / ESCALATE",IF($X206="Unassigned","CONVICTION DECISION REQUIRED",IF(AND($S206&lt;TODAY(),$T206&lt;&gt;"Closed — No Action",$T206&lt;&gt;"Closed — Incorporated"),"OVERDUE",IF(AND(OR($T206="Closed — No Action",$T206="Closed — Incorporated"),$AB206=""),"CLOSE DATE REQUIRED",IF(AND(NOT(OR($T206="Closed — No Action",$T206="Closed — Incorporated")),$AB206&lt;&gt;""),"STATUS / CLOSE DATE MISMATCH",IF(AND($Z206&lt;&gt;"No",NOT(OR($U206="Yes",$U206="Exception Approved"))),"PEW REFERRAL BLOCKED",IF(AND($T206="Awaiting Verification",$U206="Yes"),"STATUS MISMATCH",IF(OR($T206="Closed — No Action",$T206="Closed — Incorporated"),"CLOSED","OPEN — ON TRACK")))))))))))</x:f>
      </x:c>
      <x:c r="AF206" s="775" t="str">
        <x:f>IF($A206="","",IF($AD206&lt;&gt;"COMPLETE","NOT ELIGIBLE",IF($X206="Unassigned","NOT ELIGIBLE — CONVICTION UNASSIGNED",IF(NOT(OR($U206="Yes",$U206="Exception Approved")),"NOT ELIGIBLE — UNVERIFIED",IF(OR($V206&lt;&gt;"None",AND($W206&lt;&gt;"None",$W206&lt;&gt;"Intact"),AND($X206&lt;&gt;"No Change",$X206&lt;&gt;"Not Applicable"),$Y206&lt;&gt;"None",$Z206&lt;&gt;"No"),"ELIGIBLE FOR ROUTING","NO REFERRAL REQUIRED")))))</x:f>
      </x:c>
      <x:c r="AG206" s="800"/>
    </x:row>
    <x:row r="207" ht="36" customHeight="1">
      <x:c r="A207" s="800"/>
      <x:c r="B207" s="804"/>
      <x:c r="C207" s="804"/>
      <x:c r="D207" s="800"/>
      <x:c r="E207" s="800"/>
      <x:c r="F207" s="800"/>
      <x:c r="G207" s="802" t="str">
        <x:f>IF($E207="","",IFERROR(INDEX('Certified Allocation'!$A$5:$A$51,MATCH($E207,'Certified Allocation'!$B$5:$B$51,0)),"Candidate / Non-Holding"))</x:f>
      </x:c>
      <x:c r="H207" s="800"/>
      <x:c r="I207" s="800"/>
      <x:c r="J207" s="800"/>
      <x:c r="K207" s="800"/>
      <x:c r="L207" s="800"/>
      <x:c r="M207" s="800"/>
      <x:c r="N207" s="800"/>
      <x:c r="O207" s="800"/>
      <x:c r="P207" s="800"/>
      <x:c r="Q207" s="800"/>
      <x:c r="R207" s="800"/>
      <x:c r="S207" s="804"/>
      <x:c r="T207" s="800"/>
      <x:c r="U207" s="800"/>
      <x:c r="V207" s="800"/>
      <x:c r="W207" s="800"/>
      <x:c r="X207" s="800"/>
      <x:c r="Y207" s="800"/>
      <x:c r="Z207" s="800"/>
      <x:c r="AA207" s="800"/>
      <x:c r="AB207" s="804"/>
      <x:c r="AC207" s="805" t="str">
        <x:f>IF($A207="","",IF(AND(OR($T207="Closed — No Action",$T207="Closed — Incorporated"),$AB207&lt;&gt;""),MAX(0,$AB207-$B207),MAX(0,TODAY()-$B207)))</x:f>
      </x:c>
      <x:c r="AD207" s="775" t="str">
        <x:f>IF(COUNTA($A207:$F207,$H207:$AB207,$AG207)=0,"",IF(OR($A207="",$B207="",$C207="",$D207="",$F207="",$H207="",$I207="",$J207="",$K207="",$L207="",$M207="",$N207="",$O207="",$P207="",$Q207="",$R207="",$S207="",$T207="",$U207="",$V207="",$W207="",$X207="",$Y207="",$Z207="",$AA207="",AND(NOT(OR($D207="Portfolio-Level",$D207="Market / Macro",$D207="Other")),$E207="")),"INCOMPLETE",IF(COUNTIF($A$14:$A$213,$A207)&gt;1,"DUPLICATE ID","COMPLETE")))</x:f>
      </x:c>
      <x:c r="AE207" s="775" t="str">
        <x:f>IF($A207="","",IF($AD207&lt;&gt;"COMPLETE",$AD207,IF(AND($D207="Certified Holding",OR($E207="",$G207="Candidate / Non-Holding")),"HOLDING IDENTIFIER MISMATCH",IF(AND(OR($J207="Critical",$J207="High"),OR($U207="No",AND($L207="Unverified — Pending",$U207&lt;&gt;"Exception Approved"))),"VERIFY / ESCALATE",IF($X207="Unassigned","CONVICTION DECISION REQUIRED",IF(AND($S207&lt;TODAY(),$T207&lt;&gt;"Closed — No Action",$T207&lt;&gt;"Closed — Incorporated"),"OVERDUE",IF(AND(OR($T207="Closed — No Action",$T207="Closed — Incorporated"),$AB207=""),"CLOSE DATE REQUIRED",IF(AND(NOT(OR($T207="Closed — No Action",$T207="Closed — Incorporated")),$AB207&lt;&gt;""),"STATUS / CLOSE DATE MISMATCH",IF(AND($Z207&lt;&gt;"No",NOT(OR($U207="Yes",$U207="Exception Approved"))),"PEW REFERRAL BLOCKED",IF(AND($T207="Awaiting Verification",$U207="Yes"),"STATUS MISMATCH",IF(OR($T207="Closed — No Action",$T207="Closed — Incorporated"),"CLOSED","OPEN — ON TRACK")))))))))))</x:f>
      </x:c>
      <x:c r="AF207" s="775" t="str">
        <x:f>IF($A207="","",IF($AD207&lt;&gt;"COMPLETE","NOT ELIGIBLE",IF($X207="Unassigned","NOT ELIGIBLE — CONVICTION UNASSIGNED",IF(NOT(OR($U207="Yes",$U207="Exception Approved")),"NOT ELIGIBLE — UNVERIFIED",IF(OR($V207&lt;&gt;"None",AND($W207&lt;&gt;"None",$W207&lt;&gt;"Intact"),AND($X207&lt;&gt;"No Change",$X207&lt;&gt;"Not Applicable"),$Y207&lt;&gt;"None",$Z207&lt;&gt;"No"),"ELIGIBLE FOR ROUTING","NO REFERRAL REQUIRED")))))</x:f>
      </x:c>
      <x:c r="AG207" s="800"/>
    </x:row>
    <x:row r="208" ht="36" customHeight="1">
      <x:c r="A208" s="800"/>
      <x:c r="B208" s="804"/>
      <x:c r="C208" s="804"/>
      <x:c r="D208" s="800"/>
      <x:c r="E208" s="800"/>
      <x:c r="F208" s="800"/>
      <x:c r="G208" s="802" t="str">
        <x:f>IF($E208="","",IFERROR(INDEX('Certified Allocation'!$A$5:$A$51,MATCH($E208,'Certified Allocation'!$B$5:$B$51,0)),"Candidate / Non-Holding"))</x:f>
      </x:c>
      <x:c r="H208" s="800"/>
      <x:c r="I208" s="800"/>
      <x:c r="J208" s="800"/>
      <x:c r="K208" s="800"/>
      <x:c r="L208" s="800"/>
      <x:c r="M208" s="800"/>
      <x:c r="N208" s="800"/>
      <x:c r="O208" s="800"/>
      <x:c r="P208" s="800"/>
      <x:c r="Q208" s="800"/>
      <x:c r="R208" s="800"/>
      <x:c r="S208" s="804"/>
      <x:c r="T208" s="800"/>
      <x:c r="U208" s="800"/>
      <x:c r="V208" s="800"/>
      <x:c r="W208" s="800"/>
      <x:c r="X208" s="800"/>
      <x:c r="Y208" s="800"/>
      <x:c r="Z208" s="800"/>
      <x:c r="AA208" s="800"/>
      <x:c r="AB208" s="804"/>
      <x:c r="AC208" s="805" t="str">
        <x:f>IF($A208="","",IF(AND(OR($T208="Closed — No Action",$T208="Closed — Incorporated"),$AB208&lt;&gt;""),MAX(0,$AB208-$B208),MAX(0,TODAY()-$B208)))</x:f>
      </x:c>
      <x:c r="AD208" s="775" t="str">
        <x:f>IF(COUNTA($A208:$F208,$H208:$AB208,$AG208)=0,"",IF(OR($A208="",$B208="",$C208="",$D208="",$F208="",$H208="",$I208="",$J208="",$K208="",$L208="",$M208="",$N208="",$O208="",$P208="",$Q208="",$R208="",$S208="",$T208="",$U208="",$V208="",$W208="",$X208="",$Y208="",$Z208="",$AA208="",AND(NOT(OR($D208="Portfolio-Level",$D208="Market / Macro",$D208="Other")),$E208="")),"INCOMPLETE",IF(COUNTIF($A$14:$A$213,$A208)&gt;1,"DUPLICATE ID","COMPLETE")))</x:f>
      </x:c>
      <x:c r="AE208" s="775" t="str">
        <x:f>IF($A208="","",IF($AD208&lt;&gt;"COMPLETE",$AD208,IF(AND($D208="Certified Holding",OR($E208="",$G208="Candidate / Non-Holding")),"HOLDING IDENTIFIER MISMATCH",IF(AND(OR($J208="Critical",$J208="High"),OR($U208="No",AND($L208="Unverified — Pending",$U208&lt;&gt;"Exception Approved"))),"VERIFY / ESCALATE",IF($X208="Unassigned","CONVICTION DECISION REQUIRED",IF(AND($S208&lt;TODAY(),$T208&lt;&gt;"Closed — No Action",$T208&lt;&gt;"Closed — Incorporated"),"OVERDUE",IF(AND(OR($T208="Closed — No Action",$T208="Closed — Incorporated"),$AB208=""),"CLOSE DATE REQUIRED",IF(AND(NOT(OR($T208="Closed — No Action",$T208="Closed — Incorporated")),$AB208&lt;&gt;""),"STATUS / CLOSE DATE MISMATCH",IF(AND($Z208&lt;&gt;"No",NOT(OR($U208="Yes",$U208="Exception Approved"))),"PEW REFERRAL BLOCKED",IF(AND($T208="Awaiting Verification",$U208="Yes"),"STATUS MISMATCH",IF(OR($T208="Closed — No Action",$T208="Closed — Incorporated"),"CLOSED","OPEN — ON TRACK")))))))))))</x:f>
      </x:c>
      <x:c r="AF208" s="775" t="str">
        <x:f>IF($A208="","",IF($AD208&lt;&gt;"COMPLETE","NOT ELIGIBLE",IF($X208="Unassigned","NOT ELIGIBLE — CONVICTION UNASSIGNED",IF(NOT(OR($U208="Yes",$U208="Exception Approved")),"NOT ELIGIBLE — UNVERIFIED",IF(OR($V208&lt;&gt;"None",AND($W208&lt;&gt;"None",$W208&lt;&gt;"Intact"),AND($X208&lt;&gt;"No Change",$X208&lt;&gt;"Not Applicable"),$Y208&lt;&gt;"None",$Z208&lt;&gt;"No"),"ELIGIBLE FOR ROUTING","NO REFERRAL REQUIRED")))))</x:f>
      </x:c>
      <x:c r="AG208" s="800"/>
    </x:row>
    <x:row r="209" ht="36" customHeight="1">
      <x:c r="A209" s="800"/>
      <x:c r="B209" s="804"/>
      <x:c r="C209" s="804"/>
      <x:c r="D209" s="800"/>
      <x:c r="E209" s="800"/>
      <x:c r="F209" s="800"/>
      <x:c r="G209" s="802" t="str">
        <x:f>IF($E209="","",IFERROR(INDEX('Certified Allocation'!$A$5:$A$51,MATCH($E209,'Certified Allocation'!$B$5:$B$51,0)),"Candidate / Non-Holding"))</x:f>
      </x:c>
      <x:c r="H209" s="800"/>
      <x:c r="I209" s="800"/>
      <x:c r="J209" s="800"/>
      <x:c r="K209" s="800"/>
      <x:c r="L209" s="800"/>
      <x:c r="M209" s="800"/>
      <x:c r="N209" s="800"/>
      <x:c r="O209" s="800"/>
      <x:c r="P209" s="800"/>
      <x:c r="Q209" s="800"/>
      <x:c r="R209" s="800"/>
      <x:c r="S209" s="804"/>
      <x:c r="T209" s="800"/>
      <x:c r="U209" s="800"/>
      <x:c r="V209" s="800"/>
      <x:c r="W209" s="800"/>
      <x:c r="X209" s="800"/>
      <x:c r="Y209" s="800"/>
      <x:c r="Z209" s="800"/>
      <x:c r="AA209" s="800"/>
      <x:c r="AB209" s="804"/>
      <x:c r="AC209" s="805" t="str">
        <x:f>IF($A209="","",IF(AND(OR($T209="Closed — No Action",$T209="Closed — Incorporated"),$AB209&lt;&gt;""),MAX(0,$AB209-$B209),MAX(0,TODAY()-$B209)))</x:f>
      </x:c>
      <x:c r="AD209" s="775" t="str">
        <x:f>IF(COUNTA($A209:$F209,$H209:$AB209,$AG209)=0,"",IF(OR($A209="",$B209="",$C209="",$D209="",$F209="",$H209="",$I209="",$J209="",$K209="",$L209="",$M209="",$N209="",$O209="",$P209="",$Q209="",$R209="",$S209="",$T209="",$U209="",$V209="",$W209="",$X209="",$Y209="",$Z209="",$AA209="",AND(NOT(OR($D209="Portfolio-Level",$D209="Market / Macro",$D209="Other")),$E209="")),"INCOMPLETE",IF(COUNTIF($A$14:$A$213,$A209)&gt;1,"DUPLICATE ID","COMPLETE")))</x:f>
      </x:c>
      <x:c r="AE209" s="775" t="str">
        <x:f>IF($A209="","",IF($AD209&lt;&gt;"COMPLETE",$AD209,IF(AND($D209="Certified Holding",OR($E209="",$G209="Candidate / Non-Holding")),"HOLDING IDENTIFIER MISMATCH",IF(AND(OR($J209="Critical",$J209="High"),OR($U209="No",AND($L209="Unverified — Pending",$U209&lt;&gt;"Exception Approved"))),"VERIFY / ESCALATE",IF($X209="Unassigned","CONVICTION DECISION REQUIRED",IF(AND($S209&lt;TODAY(),$T209&lt;&gt;"Closed — No Action",$T209&lt;&gt;"Closed — Incorporated"),"OVERDUE",IF(AND(OR($T209="Closed — No Action",$T209="Closed — Incorporated"),$AB209=""),"CLOSE DATE REQUIRED",IF(AND(NOT(OR($T209="Closed — No Action",$T209="Closed — Incorporated")),$AB209&lt;&gt;""),"STATUS / CLOSE DATE MISMATCH",IF(AND($Z209&lt;&gt;"No",NOT(OR($U209="Yes",$U209="Exception Approved"))),"PEW REFERRAL BLOCKED",IF(AND($T209="Awaiting Verification",$U209="Yes"),"STATUS MISMATCH",IF(OR($T209="Closed — No Action",$T209="Closed — Incorporated"),"CLOSED","OPEN — ON TRACK")))))))))))</x:f>
      </x:c>
      <x:c r="AF209" s="775" t="str">
        <x:f>IF($A209="","",IF($AD209&lt;&gt;"COMPLETE","NOT ELIGIBLE",IF($X209="Unassigned","NOT ELIGIBLE — CONVICTION UNASSIGNED",IF(NOT(OR($U209="Yes",$U209="Exception Approved")),"NOT ELIGIBLE — UNVERIFIED",IF(OR($V209&lt;&gt;"None",AND($W209&lt;&gt;"None",$W209&lt;&gt;"Intact"),AND($X209&lt;&gt;"No Change",$X209&lt;&gt;"Not Applicable"),$Y209&lt;&gt;"None",$Z209&lt;&gt;"No"),"ELIGIBLE FOR ROUTING","NO REFERRAL REQUIRED")))))</x:f>
      </x:c>
      <x:c r="AG209" s="800"/>
    </x:row>
    <x:row r="210" ht="36" customHeight="1">
      <x:c r="A210" s="800"/>
      <x:c r="B210" s="804"/>
      <x:c r="C210" s="804"/>
      <x:c r="D210" s="800"/>
      <x:c r="E210" s="800"/>
      <x:c r="F210" s="800"/>
      <x:c r="G210" s="802" t="str">
        <x:f>IF($E210="","",IFERROR(INDEX('Certified Allocation'!$A$5:$A$51,MATCH($E210,'Certified Allocation'!$B$5:$B$51,0)),"Candidate / Non-Holding"))</x:f>
      </x:c>
      <x:c r="H210" s="800"/>
      <x:c r="I210" s="800"/>
      <x:c r="J210" s="800"/>
      <x:c r="K210" s="800"/>
      <x:c r="L210" s="800"/>
      <x:c r="M210" s="800"/>
      <x:c r="N210" s="800"/>
      <x:c r="O210" s="800"/>
      <x:c r="P210" s="800"/>
      <x:c r="Q210" s="800"/>
      <x:c r="R210" s="800"/>
      <x:c r="S210" s="804"/>
      <x:c r="T210" s="800"/>
      <x:c r="U210" s="800"/>
      <x:c r="V210" s="800"/>
      <x:c r="W210" s="800"/>
      <x:c r="X210" s="800"/>
      <x:c r="Y210" s="800"/>
      <x:c r="Z210" s="800"/>
      <x:c r="AA210" s="800"/>
      <x:c r="AB210" s="804"/>
      <x:c r="AC210" s="805" t="str">
        <x:f>IF($A210="","",IF(AND(OR($T210="Closed — No Action",$T210="Closed — Incorporated"),$AB210&lt;&gt;""),MAX(0,$AB210-$B210),MAX(0,TODAY()-$B210)))</x:f>
      </x:c>
      <x:c r="AD210" s="775" t="str">
        <x:f>IF(COUNTA($A210:$F210,$H210:$AB210,$AG210)=0,"",IF(OR($A210="",$B210="",$C210="",$D210="",$F210="",$H210="",$I210="",$J210="",$K210="",$L210="",$M210="",$N210="",$O210="",$P210="",$Q210="",$R210="",$S210="",$T210="",$U210="",$V210="",$W210="",$X210="",$Y210="",$Z210="",$AA210="",AND(NOT(OR($D210="Portfolio-Level",$D210="Market / Macro",$D210="Other")),$E210="")),"INCOMPLETE",IF(COUNTIF($A$14:$A$213,$A210)&gt;1,"DUPLICATE ID","COMPLETE")))</x:f>
      </x:c>
      <x:c r="AE210" s="775" t="str">
        <x:f>IF($A210="","",IF($AD210&lt;&gt;"COMPLETE",$AD210,IF(AND($D210="Certified Holding",OR($E210="",$G210="Candidate / Non-Holding")),"HOLDING IDENTIFIER MISMATCH",IF(AND(OR($J210="Critical",$J210="High"),OR($U210="No",AND($L210="Unverified — Pending",$U210&lt;&gt;"Exception Approved"))),"VERIFY / ESCALATE",IF($X210="Unassigned","CONVICTION DECISION REQUIRED",IF(AND($S210&lt;TODAY(),$T210&lt;&gt;"Closed — No Action",$T210&lt;&gt;"Closed — Incorporated"),"OVERDUE",IF(AND(OR($T210="Closed — No Action",$T210="Closed — Incorporated"),$AB210=""),"CLOSE DATE REQUIRED",IF(AND(NOT(OR($T210="Closed — No Action",$T210="Closed — Incorporated")),$AB210&lt;&gt;""),"STATUS / CLOSE DATE MISMATCH",IF(AND($Z210&lt;&gt;"No",NOT(OR($U210="Yes",$U210="Exception Approved"))),"PEW REFERRAL BLOCKED",IF(AND($T210="Awaiting Verification",$U210="Yes"),"STATUS MISMATCH",IF(OR($T210="Closed — No Action",$T210="Closed — Incorporated"),"CLOSED","OPEN — ON TRACK")))))))))))</x:f>
      </x:c>
      <x:c r="AF210" s="775" t="str">
        <x:f>IF($A210="","",IF($AD210&lt;&gt;"COMPLETE","NOT ELIGIBLE",IF($X210="Unassigned","NOT ELIGIBLE — CONVICTION UNASSIGNED",IF(NOT(OR($U210="Yes",$U210="Exception Approved")),"NOT ELIGIBLE — UNVERIFIED",IF(OR($V210&lt;&gt;"None",AND($W210&lt;&gt;"None",$W210&lt;&gt;"Intact"),AND($X210&lt;&gt;"No Change",$X210&lt;&gt;"Not Applicable"),$Y210&lt;&gt;"None",$Z210&lt;&gt;"No"),"ELIGIBLE FOR ROUTING","NO REFERRAL REQUIRED")))))</x:f>
      </x:c>
      <x:c r="AG210" s="800"/>
    </x:row>
    <x:row r="211" ht="36" customHeight="1">
      <x:c r="A211" s="800"/>
      <x:c r="B211" s="804"/>
      <x:c r="C211" s="804"/>
      <x:c r="D211" s="800"/>
      <x:c r="E211" s="800"/>
      <x:c r="F211" s="800"/>
      <x:c r="G211" s="802" t="str">
        <x:f>IF($E211="","",IFERROR(INDEX('Certified Allocation'!$A$5:$A$51,MATCH($E211,'Certified Allocation'!$B$5:$B$51,0)),"Candidate / Non-Holding"))</x:f>
      </x:c>
      <x:c r="H211" s="800"/>
      <x:c r="I211" s="800"/>
      <x:c r="J211" s="800"/>
      <x:c r="K211" s="800"/>
      <x:c r="L211" s="800"/>
      <x:c r="M211" s="800"/>
      <x:c r="N211" s="800"/>
      <x:c r="O211" s="800"/>
      <x:c r="P211" s="800"/>
      <x:c r="Q211" s="800"/>
      <x:c r="R211" s="800"/>
      <x:c r="S211" s="804"/>
      <x:c r="T211" s="800"/>
      <x:c r="U211" s="800"/>
      <x:c r="V211" s="800"/>
      <x:c r="W211" s="800"/>
      <x:c r="X211" s="800"/>
      <x:c r="Y211" s="800"/>
      <x:c r="Z211" s="800"/>
      <x:c r="AA211" s="800"/>
      <x:c r="AB211" s="804"/>
      <x:c r="AC211" s="805" t="str">
        <x:f>IF($A211="","",IF(AND(OR($T211="Closed — No Action",$T211="Closed — Incorporated"),$AB211&lt;&gt;""),MAX(0,$AB211-$B211),MAX(0,TODAY()-$B211)))</x:f>
      </x:c>
      <x:c r="AD211" s="775" t="str">
        <x:f>IF(COUNTA($A211:$F211,$H211:$AB211,$AG211)=0,"",IF(OR($A211="",$B211="",$C211="",$D211="",$F211="",$H211="",$I211="",$J211="",$K211="",$L211="",$M211="",$N211="",$O211="",$P211="",$Q211="",$R211="",$S211="",$T211="",$U211="",$V211="",$W211="",$X211="",$Y211="",$Z211="",$AA211="",AND(NOT(OR($D211="Portfolio-Level",$D211="Market / Macro",$D211="Other")),$E211="")),"INCOMPLETE",IF(COUNTIF($A$14:$A$213,$A211)&gt;1,"DUPLICATE ID","COMPLETE")))</x:f>
      </x:c>
      <x:c r="AE211" s="775" t="str">
        <x:f>IF($A211="","",IF($AD211&lt;&gt;"COMPLETE",$AD211,IF(AND($D211="Certified Holding",OR($E211="",$G211="Candidate / Non-Holding")),"HOLDING IDENTIFIER MISMATCH",IF(AND(OR($J211="Critical",$J211="High"),OR($U211="No",AND($L211="Unverified — Pending",$U211&lt;&gt;"Exception Approved"))),"VERIFY / ESCALATE",IF($X211="Unassigned","CONVICTION DECISION REQUIRED",IF(AND($S211&lt;TODAY(),$T211&lt;&gt;"Closed — No Action",$T211&lt;&gt;"Closed — Incorporated"),"OVERDUE",IF(AND(OR($T211="Closed — No Action",$T211="Closed — Incorporated"),$AB211=""),"CLOSE DATE REQUIRED",IF(AND(NOT(OR($T211="Closed — No Action",$T211="Closed — Incorporated")),$AB211&lt;&gt;""),"STATUS / CLOSE DATE MISMATCH",IF(AND($Z211&lt;&gt;"No",NOT(OR($U211="Yes",$U211="Exception Approved"))),"PEW REFERRAL BLOCKED",IF(AND($T211="Awaiting Verification",$U211="Yes"),"STATUS MISMATCH",IF(OR($T211="Closed — No Action",$T211="Closed — Incorporated"),"CLOSED","OPEN — ON TRACK")))))))))))</x:f>
      </x:c>
      <x:c r="AF211" s="775" t="str">
        <x:f>IF($A211="","",IF($AD211&lt;&gt;"COMPLETE","NOT ELIGIBLE",IF($X211="Unassigned","NOT ELIGIBLE — CONVICTION UNASSIGNED",IF(NOT(OR($U211="Yes",$U211="Exception Approved")),"NOT ELIGIBLE — UNVERIFIED",IF(OR($V211&lt;&gt;"None",AND($W211&lt;&gt;"None",$W211&lt;&gt;"Intact"),AND($X211&lt;&gt;"No Change",$X211&lt;&gt;"Not Applicable"),$Y211&lt;&gt;"None",$Z211&lt;&gt;"No"),"ELIGIBLE FOR ROUTING","NO REFERRAL REQUIRED")))))</x:f>
      </x:c>
      <x:c r="AG211" s="800"/>
    </x:row>
    <x:row r="212" ht="36" customHeight="1">
      <x:c r="A212" s="800"/>
      <x:c r="B212" s="804"/>
      <x:c r="C212" s="804"/>
      <x:c r="D212" s="800"/>
      <x:c r="E212" s="800"/>
      <x:c r="F212" s="800"/>
      <x:c r="G212" s="802" t="str">
        <x:f>IF($E212="","",IFERROR(INDEX('Certified Allocation'!$A$5:$A$51,MATCH($E212,'Certified Allocation'!$B$5:$B$51,0)),"Candidate / Non-Holding"))</x:f>
      </x:c>
      <x:c r="H212" s="800"/>
      <x:c r="I212" s="800"/>
      <x:c r="J212" s="800"/>
      <x:c r="K212" s="800"/>
      <x:c r="L212" s="800"/>
      <x:c r="M212" s="800"/>
      <x:c r="N212" s="800"/>
      <x:c r="O212" s="800"/>
      <x:c r="P212" s="800"/>
      <x:c r="Q212" s="800"/>
      <x:c r="R212" s="800"/>
      <x:c r="S212" s="804"/>
      <x:c r="T212" s="800"/>
      <x:c r="U212" s="800"/>
      <x:c r="V212" s="800"/>
      <x:c r="W212" s="800"/>
      <x:c r="X212" s="800"/>
      <x:c r="Y212" s="800"/>
      <x:c r="Z212" s="800"/>
      <x:c r="AA212" s="800"/>
      <x:c r="AB212" s="804"/>
      <x:c r="AC212" s="805" t="str">
        <x:f>IF($A212="","",IF(AND(OR($T212="Closed — No Action",$T212="Closed — Incorporated"),$AB212&lt;&gt;""),MAX(0,$AB212-$B212),MAX(0,TODAY()-$B212)))</x:f>
      </x:c>
      <x:c r="AD212" s="775" t="str">
        <x:f>IF(COUNTA($A212:$F212,$H212:$AB212,$AG212)=0,"",IF(OR($A212="",$B212="",$C212="",$D212="",$F212="",$H212="",$I212="",$J212="",$K212="",$L212="",$M212="",$N212="",$O212="",$P212="",$Q212="",$R212="",$S212="",$T212="",$U212="",$V212="",$W212="",$X212="",$Y212="",$Z212="",$AA212="",AND(NOT(OR($D212="Portfolio-Level",$D212="Market / Macro",$D212="Other")),$E212="")),"INCOMPLETE",IF(COUNTIF($A$14:$A$213,$A212)&gt;1,"DUPLICATE ID","COMPLETE")))</x:f>
      </x:c>
      <x:c r="AE212" s="775" t="str">
        <x:f>IF($A212="","",IF($AD212&lt;&gt;"COMPLETE",$AD212,IF(AND($D212="Certified Holding",OR($E212="",$G212="Candidate / Non-Holding")),"HOLDING IDENTIFIER MISMATCH",IF(AND(OR($J212="Critical",$J212="High"),OR($U212="No",AND($L212="Unverified — Pending",$U212&lt;&gt;"Exception Approved"))),"VERIFY / ESCALATE",IF($X212="Unassigned","CONVICTION DECISION REQUIRED",IF(AND($S212&lt;TODAY(),$T212&lt;&gt;"Closed — No Action",$T212&lt;&gt;"Closed — Incorporated"),"OVERDUE",IF(AND(OR($T212="Closed — No Action",$T212="Closed — Incorporated"),$AB212=""),"CLOSE DATE REQUIRED",IF(AND(NOT(OR($T212="Closed — No Action",$T212="Closed — Incorporated")),$AB212&lt;&gt;""),"STATUS / CLOSE DATE MISMATCH",IF(AND($Z212&lt;&gt;"No",NOT(OR($U212="Yes",$U212="Exception Approved"))),"PEW REFERRAL BLOCKED",IF(AND($T212="Awaiting Verification",$U212="Yes"),"STATUS MISMATCH",IF(OR($T212="Closed — No Action",$T212="Closed — Incorporated"),"CLOSED","OPEN — ON TRACK")))))))))))</x:f>
      </x:c>
      <x:c r="AF212" s="775" t="str">
        <x:f>IF($A212="","",IF($AD212&lt;&gt;"COMPLETE","NOT ELIGIBLE",IF($X212="Unassigned","NOT ELIGIBLE — CONVICTION UNASSIGNED",IF(NOT(OR($U212="Yes",$U212="Exception Approved")),"NOT ELIGIBLE — UNVERIFIED",IF(OR($V212&lt;&gt;"None",AND($W212&lt;&gt;"None",$W212&lt;&gt;"Intact"),AND($X212&lt;&gt;"No Change",$X212&lt;&gt;"Not Applicable"),$Y212&lt;&gt;"None",$Z212&lt;&gt;"No"),"ELIGIBLE FOR ROUTING","NO REFERRAL REQUIRED")))))</x:f>
      </x:c>
      <x:c r="AG212" s="800"/>
    </x:row>
    <x:row r="213" ht="36" customHeight="1">
      <x:c r="A213" s="800"/>
      <x:c r="B213" s="804"/>
      <x:c r="C213" s="804"/>
      <x:c r="D213" s="800"/>
      <x:c r="E213" s="800"/>
      <x:c r="F213" s="800"/>
      <x:c r="G213" s="802" t="str">
        <x:f>IF($E213="","",IFERROR(INDEX('Certified Allocation'!$A$5:$A$51,MATCH($E213,'Certified Allocation'!$B$5:$B$51,0)),"Candidate / Non-Holding"))</x:f>
      </x:c>
      <x:c r="H213" s="800"/>
      <x:c r="I213" s="800"/>
      <x:c r="J213" s="800"/>
      <x:c r="K213" s="800"/>
      <x:c r="L213" s="800"/>
      <x:c r="M213" s="800"/>
      <x:c r="N213" s="800"/>
      <x:c r="O213" s="800"/>
      <x:c r="P213" s="800"/>
      <x:c r="Q213" s="800"/>
      <x:c r="R213" s="800"/>
      <x:c r="S213" s="804"/>
      <x:c r="T213" s="800"/>
      <x:c r="U213" s="800"/>
      <x:c r="V213" s="800"/>
      <x:c r="W213" s="800"/>
      <x:c r="X213" s="800"/>
      <x:c r="Y213" s="800"/>
      <x:c r="Z213" s="800"/>
      <x:c r="AA213" s="800"/>
      <x:c r="AB213" s="804"/>
      <x:c r="AC213" s="805" t="str">
        <x:f>IF($A213="","",IF(AND(OR($T213="Closed — No Action",$T213="Closed — Incorporated"),$AB213&lt;&gt;""),MAX(0,$AB213-$B213),MAX(0,TODAY()-$B213)))</x:f>
      </x:c>
      <x:c r="AD213" s="775" t="str">
        <x:f>IF(COUNTA($A213:$F213,$H213:$AB213,$AG213)=0,"",IF(OR($A213="",$B213="",$C213="",$D213="",$F213="",$H213="",$I213="",$J213="",$K213="",$L213="",$M213="",$N213="",$O213="",$P213="",$Q213="",$R213="",$S213="",$T213="",$U213="",$V213="",$W213="",$X213="",$Y213="",$Z213="",$AA213="",AND(NOT(OR($D213="Portfolio-Level",$D213="Market / Macro",$D213="Other")),$E213="")),"INCOMPLETE",IF(COUNTIF($A$14:$A$213,$A213)&gt;1,"DUPLICATE ID","COMPLETE")))</x:f>
      </x:c>
      <x:c r="AE213" s="775" t="str">
        <x:f>IF($A213="","",IF($AD213&lt;&gt;"COMPLETE",$AD213,IF(AND($D213="Certified Holding",OR($E213="",$G213="Candidate / Non-Holding")),"HOLDING IDENTIFIER MISMATCH",IF(AND(OR($J213="Critical",$J213="High"),OR($U213="No",AND($L213="Unverified — Pending",$U213&lt;&gt;"Exception Approved"))),"VERIFY / ESCALATE",IF($X213="Unassigned","CONVICTION DECISION REQUIRED",IF(AND($S213&lt;TODAY(),$T213&lt;&gt;"Closed — No Action",$T213&lt;&gt;"Closed — Incorporated"),"OVERDUE",IF(AND(OR($T213="Closed — No Action",$T213="Closed — Incorporated"),$AB213=""),"CLOSE DATE REQUIRED",IF(AND(NOT(OR($T213="Closed — No Action",$T213="Closed — Incorporated")),$AB213&lt;&gt;""),"STATUS / CLOSE DATE MISMATCH",IF(AND($Z213&lt;&gt;"No",NOT(OR($U213="Yes",$U213="Exception Approved"))),"PEW REFERRAL BLOCKED",IF(AND($T213="Awaiting Verification",$U213="Yes"),"STATUS MISMATCH",IF(OR($T213="Closed — No Action",$T213="Closed — Incorporated"),"CLOSED","OPEN — ON TRACK")))))))))))</x:f>
      </x:c>
      <x:c r="AF213" s="775" t="str">
        <x:f>IF($A213="","",IF($AD213&lt;&gt;"COMPLETE","NOT ELIGIBLE",IF($X213="Unassigned","NOT ELIGIBLE — CONVICTION UNASSIGNED",IF(NOT(OR($U213="Yes",$U213="Exception Approved")),"NOT ELIGIBLE — UNVERIFIED",IF(OR($V213&lt;&gt;"None",AND($W213&lt;&gt;"None",$W213&lt;&gt;"Intact"),AND($X213&lt;&gt;"No Change",$X213&lt;&gt;"Not Applicable"),$Y213&lt;&gt;"None",$Z213&lt;&gt;"No"),"ELIGIBLE FOR ROUTING","NO REFERRAL REQUIRED")))))</x:f>
      </x:c>
      <x:c r="AG213" s="800"/>
    </x:row>
  </x:sheetData>
  <x:mergeCells>
    <x:mergeCell ref="A1:AG1"/>
    <x:mergeCell ref="A2:AG2"/>
    <x:mergeCell ref="A3:AG3"/>
    <x:mergeCell ref="A5:H5"/>
    <x:mergeCell ref="A6:H10"/>
    <x:mergeCell ref="J5:Q5"/>
    <x:mergeCell ref="J6:Q10"/>
    <x:mergeCell ref="S5:Z5"/>
    <x:mergeCell ref="S6:Z10"/>
    <x:mergeCell ref="AB5:AG5"/>
    <x:mergeCell ref="AC6:AG6"/>
    <x:mergeCell ref="AC7:AG7"/>
    <x:mergeCell ref="AC8:AG8"/>
    <x:mergeCell ref="AC9:AG9"/>
    <x:mergeCell ref="AC10:AG10"/>
    <x:mergeCell ref="A12:AG12"/>
  </x:mergeCells>
  <x:conditionalFormatting sqref="AD14:AD213">
    <x:cfRule type="expression" dxfId="89" priority="1">
      <x:formula>AND($A14&lt;&gt;"",$AD14&lt;&gt;"COMPLETE")</x:formula>
    </x:cfRule>
    <x:cfRule type="expression" dxfId="90" priority="2">
      <x:formula>$AD14="COMPLETE"</x:formula>
    </x:cfRule>
  </x:conditionalFormatting>
  <x:conditionalFormatting sqref="AE14:AE213">
    <x:cfRule type="expression" dxfId="91" priority="3">
      <x:formula>AND($A14&lt;&gt;"",$AE14&lt;&gt;"OPEN — ON TRACK",$AE14&lt;&gt;"CLOSED")</x:formula>
    </x:cfRule>
    <x:cfRule type="expression" dxfId="92" priority="4">
      <x:formula>OR($AE14="OPEN — ON TRACK",$AE14="CLOSED")</x:formula>
    </x:cfRule>
  </x:conditionalFormatting>
  <x:conditionalFormatting sqref="AF14:AF213">
    <x:cfRule type="expression" dxfId="93" priority="5">
      <x:formula>$AF14="ELIGIBLE FOR ROUTING"</x:formula>
    </x:cfRule>
    <x:cfRule type="expression" dxfId="94" priority="6">
      <x:formula>LEFT($AF14,12)="NOT ELIGIBLE"</x:formula>
    </x:cfRule>
  </x:conditionalFormatting>
  <x:conditionalFormatting sqref="J14:J213">
    <x:cfRule type="expression" dxfId="95" priority="7">
      <x:formula>$J14="Critical"</x:formula>
    </x:cfRule>
    <x:cfRule type="expression" dxfId="96" priority="8">
      <x:formula>$J14="High"</x:formula>
    </x:cfRule>
  </x:conditionalFormatting>
  <x:conditionalFormatting sqref="K14:K213">
    <x:cfRule type="expression" dxfId="97" priority="9">
      <x:formula>$K14="Positive"</x:formula>
    </x:cfRule>
    <x:cfRule type="expression" dxfId="98" priority="10">
      <x:formula>$K14="Negative"</x:formula>
    </x:cfRule>
  </x:conditionalFormatting>
  <x:conditionalFormatting sqref="U14:U213">
    <x:cfRule type="expression" dxfId="99" priority="11">
      <x:formula>$U14="Yes"</x:formula>
    </x:cfRule>
    <x:cfRule type="expression" dxfId="100" priority="12">
      <x:formula>$U14="No"</x:formula>
    </x:cfRule>
  </x:conditionalFormatting>
  <x:conditionalFormatting sqref="AC14:AC213">
    <x:cfRule type="expression" dxfId="101" priority="13">
      <x:formula>AND($A14&lt;&gt;"",$AC14&gt;30)</x:formula>
    </x:cfRule>
    <x:cfRule type="expression" dxfId="102" priority="14">
      <x:formula>AND($A14&lt;&gt;"",$AC14&gt;14,$AC14&lt;=30)</x:formula>
    </x:cfRule>
  </x:conditionalFormatting>
  <x:dataValidations count="16">
    <x:dataValidation type="list" sqref="D14:D213">
      <x:formula1>'97 RCC Lists'!$A$5:$A$10</x:formula1>
    </x:dataValidation>
    <x:dataValidation type="list" sqref="H14:H213">
      <x:formula1>'97 RCC Lists'!$B$5:$B$16</x:formula1>
    </x:dataValidation>
    <x:dataValidation type="list" sqref="I14:I213">
      <x:formula1>'97 RCC Lists'!$C$5:$C$20</x:formula1>
    </x:dataValidation>
    <x:dataValidation type="list" sqref="J14:J213">
      <x:formula1>'97 RCC Lists'!$D$5:$D$8</x:formula1>
    </x:dataValidation>
    <x:dataValidation type="list" sqref="K14:K213">
      <x:formula1>'97 RCC Lists'!$E$5:$E$9</x:formula1>
    </x:dataValidation>
    <x:dataValidation type="list" sqref="L14:L213">
      <x:formula1>'97 RCC Lists'!$F$5:$F$9</x:formula1>
    </x:dataValidation>
    <x:dataValidation type="list" sqref="M14:M213">
      <x:formula1>'97 RCC Lists'!$G$5:$G$16</x:formula1>
    </x:dataValidation>
    <x:dataValidation type="list" sqref="Q14:Q213">
      <x:formula1>'97 RCC Lists'!$H$5:$H$8</x:formula1>
    </x:dataValidation>
    <x:dataValidation type="list" sqref="T14:T213">
      <x:formula1>'97 RCC Lists'!$I$5:$I$14</x:formula1>
    </x:dataValidation>
    <x:dataValidation type="list" sqref="U14:U213">
      <x:formula1>'97 RCC Lists'!$J$5:$J$7</x:formula1>
    </x:dataValidation>
    <x:dataValidation type="list" sqref="V14:V213">
      <x:formula1>'97 RCC Lists'!$K$5:$K$8</x:formula1>
    </x:dataValidation>
    <x:dataValidation type="list" sqref="W14:W213">
      <x:formula1>'97 RCC Lists'!$L$5:$L$11</x:formula1>
    </x:dataValidation>
    <x:dataValidation type="list" sqref="X14:X213">
      <x:formula1>'97 RCC Lists'!$M$5:$M$11</x:formula1>
    </x:dataValidation>
    <x:dataValidation type="list" sqref="Y14:Y213">
      <x:formula1>'97 RCC Lists'!$N$5:$N$9</x:formula1>
    </x:dataValidation>
    <x:dataValidation type="list" sqref="Z14:Z213">
      <x:formula1>'97 RCC Lists'!$O$5:$O$10</x:formula1>
    </x:dataValidation>
    <x:dataValidation type="list" sqref="AA14:AA213">
      <x:formula1>'97 RCC Lists'!$P$5:$P$14</x:formula1>
    </x:dataValidation>
  </x:dataValidations>
  <x:pageMargins left="0.7" right="0.7" top="0.75" bottom="0.75" header="0.3" footer="0.3"/>
  <x:tableParts count="1">
    <x:tablePart xmlns:r="http://schemas.openxmlformats.org/officeDocument/2006/relationships" r:id="R9f0c3c81136142fa"/>
  </x:tableParts>
</x:worksheet>
</file>

<file path=xl/worksheets/sheet27.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25" hidden="0" customWidth="1"/>
    <x:col min="10" max="10" width="12" hidden="0" customWidth="1"/>
    <x:col min="11" max="11" width="16" hidden="0" customWidth="1"/>
    <x:col min="12" max="12" width="16" hidden="0" customWidth="1"/>
    <x:col min="13" max="13" width="16" hidden="0" customWidth="1"/>
    <x:col min="14" max="14" width="12" hidden="0" customWidth="1"/>
    <x:col min="15" max="15" width="16"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30" customHeight="1">
      <x:c r="A1" s="769" t="str">
        <x:v>MOPS-003 — RCC-002 RESEARCH INTAKE &amp; EVIDENCE LEDGER</x:v>
      </x:c>
      <x:c r="B1" s="769"/>
      <x:c r="C1" s="769"/>
      <x:c r="D1" s="769"/>
      <x:c r="E1" s="769"/>
      <x:c r="F1" s="769"/>
      <x:c r="G1" s="769"/>
      <x:c r="H1" s="769"/>
      <x:c r="I1" s="769"/>
      <x:c r="J1" s="769"/>
      <x:c r="K1" s="769"/>
      <x:c r="L1" s="769"/>
      <x:c r="M1" s="769"/>
      <x:c r="N1" s="769"/>
      <x:c r="O1" s="769"/>
      <x:c r="P1" s="769"/>
      <x:c r="Q1" s="769"/>
      <x:c r="R1" s="769"/>
      <x:c r="S1" s="769"/>
      <x:c r="T1" s="769"/>
      <x:c r="U1" s="769"/>
      <x:c r="V1" s="769"/>
      <x:c r="W1" s="769"/>
      <x:c r="X1" s="769"/>
    </x:row>
    <x:row r="2" ht="22" customHeight="1">
      <x:c r="A2" s="772" t="str">
        <x:v>RCC-002 CONTROL CENTER | FOUNDERS EDITION v1.0 — CONSTRUCTION CANDIDATE</x:v>
      </x:c>
      <x:c r="B2" s="772"/>
      <x:c r="C2" s="772"/>
      <x:c r="D2" s="772"/>
      <x:c r="E2" s="772"/>
      <x:c r="F2" s="772"/>
      <x:c r="G2" s="772"/>
      <x:c r="H2" s="772"/>
      <x:c r="I2" s="772"/>
      <x:c r="J2" s="772"/>
      <x:c r="K2" s="772"/>
      <x:c r="L2" s="772"/>
      <x:c r="M2" s="772"/>
      <x:c r="N2" s="772"/>
      <x:c r="O2" s="772"/>
      <x:c r="P2" s="772"/>
      <x:c r="Q2" s="772"/>
      <x:c r="R2" s="772"/>
      <x:c r="S2" s="772"/>
      <x:c r="T2" s="772"/>
      <x:c r="U2" s="772"/>
      <x:c r="V2" s="772"/>
      <x:c r="W2" s="772"/>
      <x:c r="X2" s="772"/>
    </x:row>
    <x:row r="3" ht="30" customHeight="1">
      <x:c r="A3" s="773" t="str">
        <x:v>RCC-001 through RCC-004 are installed. MOPS-003 remains in construction; RCC-005 — Zacks / Merrill Research Crosswalk is the next module. MOPS-004 has not commenced.</x:v>
      </x:c>
      <x:c r="B3" s="773"/>
      <x:c r="C3" s="773"/>
      <x:c r="D3" s="773"/>
      <x:c r="E3" s="773"/>
      <x:c r="F3" s="773"/>
      <x:c r="G3" s="773"/>
      <x:c r="H3" s="773"/>
      <x:c r="I3" s="773"/>
      <x:c r="J3" s="773"/>
      <x:c r="K3" s="773"/>
      <x:c r="L3" s="773"/>
      <x:c r="M3" s="773"/>
      <x:c r="N3" s="773"/>
      <x:c r="O3" s="773"/>
      <x:c r="P3" s="773"/>
      <x:c r="Q3" s="773"/>
      <x:c r="R3" s="773"/>
      <x:c r="S3" s="773"/>
      <x:c r="T3" s="773"/>
      <x:c r="U3" s="773"/>
      <x:c r="V3" s="773"/>
      <x:c r="W3" s="773"/>
      <x:c r="X3" s="773"/>
    </x:row>
    <x:row r="5" ht="22" customHeight="1">
      <x:c r="A5" s="791" t="str">
        <x:v>EXECUTIVE EVIDENCE STATE — RCC-002 INITIALIZED</x:v>
      </x:c>
      <x:c r="B5" s="791"/>
      <x:c r="C5" s="791"/>
      <x:c r="D5" s="791"/>
      <x:c r="E5" s="791"/>
      <x:c r="F5" s="791"/>
      <x:c r="G5" s="791"/>
      <x:c r="H5" s="791"/>
      <x:c r="I5" s="791"/>
      <x:c r="J5" s="791"/>
      <x:c r="K5" s="791"/>
      <x:c r="L5" s="791"/>
      <x:c r="M5" s="791"/>
      <x:c r="N5" s="791"/>
      <x:c r="O5" s="791"/>
      <x:c r="P5" s="791"/>
      <x:c r="Q5" s="791"/>
      <x:c r="R5" s="791"/>
      <x:c r="S5" s="791"/>
      <x:c r="T5" s="791"/>
      <x:c r="U5" s="791"/>
      <x:c r="V5" s="791"/>
      <x:c r="W5" s="791"/>
      <x:c r="X5" s="791"/>
    </x:row>
    <x:row r="6">
      <x:c r="A6" s="809" t="str">
        <x:v>TOTAL EVIDENCE RECORDS</x:v>
      </x:c>
      <x:c r="B6" s="809"/>
      <x:c r="C6" s="809"/>
      <x:c r="D6" s="809"/>
      <x:c r="E6" s="809" t="str">
        <x:v>OPEN / UNDER REVIEW</x:v>
      </x:c>
      <x:c r="F6" s="809"/>
      <x:c r="G6" s="809"/>
      <x:c r="H6" s="809"/>
      <x:c r="I6" s="809" t="str">
        <x:v>CRITICAL / HIGH</x:v>
      </x:c>
      <x:c r="J6" s="809"/>
      <x:c r="K6" s="809"/>
      <x:c r="L6" s="809"/>
      <x:c r="M6" s="809" t="str">
        <x:v>OVERDUE</x:v>
      </x:c>
      <x:c r="N6" s="809"/>
      <x:c r="O6" s="809"/>
      <x:c r="P6" s="809"/>
      <x:c r="Q6" s="809" t="str">
        <x:v>UNVERIFIED</x:v>
      </x:c>
      <x:c r="R6" s="809"/>
      <x:c r="S6" s="809"/>
      <x:c r="T6" s="809"/>
      <x:c r="U6" s="809" t="str">
        <x:v>REFERRALS READY</x:v>
      </x:c>
      <x:c r="V6" s="809"/>
      <x:c r="W6" s="809"/>
      <x:c r="X6" s="809"/>
    </x:row>
    <x:row r="7">
      <x:c r="A7" s="813" t="n">
        <x:f>COUNTA('18 RCC-002 Evidence Ledger'!$A$14:$A$213)</x:f>
        <x:v>0</x:v>
      </x:c>
      <x:c r="B7" s="813"/>
      <x:c r="C7" s="813"/>
      <x:c r="D7" s="813"/>
      <x:c r="E7" s="813" t="n">
        <x:f>COUNTIFS('18 RCC-002 Evidence Ledger'!$A$14:$A$213,"&lt;&gt;",'18 RCC-002 Evidence Ledger'!$T$14:$T$213,"&lt;&gt;Closed — No Action",'18 RCC-002 Evidence Ledger'!$T$14:$T$213,"&lt;&gt;Closed — Incorporated")</x:f>
        <x:v>0</x:v>
      </x:c>
      <x:c r="F7" s="813"/>
      <x:c r="G7" s="813"/>
      <x:c r="H7" s="813"/>
      <x:c r="I7" s="813" t="n">
        <x:f>COUNTIF('18 RCC-002 Evidence Ledger'!$J$14:$J$213,"Critical")+COUNTIF('18 RCC-002 Evidence Ledger'!$J$14:$J$213,"High")</x:f>
        <x:v>0</x:v>
      </x:c>
      <x:c r="J7" s="813"/>
      <x:c r="K7" s="813"/>
      <x:c r="L7" s="813"/>
      <x:c r="M7" s="813" t="n">
        <x:f>COUNTIF('18 RCC-002 Evidence Ledger'!$AE$14:$AE$213,"OVERDUE")</x:f>
        <x:v>0</x:v>
      </x:c>
      <x:c r="N7" s="813"/>
      <x:c r="O7" s="813"/>
      <x:c r="P7" s="813"/>
      <x:c r="Q7" s="813" t="n">
        <x:f>COUNTIF('18 RCC-002 Evidence Ledger'!$U$14:$U$213,"No")+COUNTIF('18 RCC-002 Evidence Ledger'!$L$14:$L$213,"Unverified — Pending")</x:f>
        <x:v>0</x:v>
      </x:c>
      <x:c r="R7" s="813"/>
      <x:c r="S7" s="813"/>
      <x:c r="T7" s="813"/>
      <x:c r="U7" s="813" t="n">
        <x:f>COUNTIF('18 RCC-002 Evidence Ledger'!$AF$14:$AF$213,"ELIGIBLE FOR ROUTING")</x:f>
        <x:v>0</x:v>
      </x:c>
      <x:c r="V7" s="813"/>
      <x:c r="W7" s="813"/>
      <x:c r="X7" s="813"/>
    </x:row>
    <x:row r="8">
      <x:c r="A8" s="813"/>
      <x:c r="B8" s="813"/>
      <x:c r="C8" s="813"/>
      <x:c r="D8" s="813"/>
      <x:c r="E8" s="813"/>
      <x:c r="F8" s="813"/>
      <x:c r="G8" s="813"/>
      <x:c r="H8" s="813"/>
      <x:c r="I8" s="813"/>
      <x:c r="J8" s="813"/>
      <x:c r="K8" s="813"/>
      <x:c r="L8" s="813"/>
      <x:c r="M8" s="813"/>
      <x:c r="N8" s="813"/>
      <x:c r="O8" s="813"/>
      <x:c r="P8" s="813"/>
      <x:c r="Q8" s="813"/>
      <x:c r="R8" s="813"/>
      <x:c r="S8" s="813"/>
      <x:c r="T8" s="813"/>
      <x:c r="U8" s="813"/>
      <x:c r="V8" s="813"/>
      <x:c r="W8" s="813"/>
      <x:c r="X8" s="813"/>
    </x:row>
    <x:row r="9">
      <x:c r="A9" s="813"/>
      <x:c r="B9" s="813"/>
      <x:c r="C9" s="813"/>
      <x:c r="D9" s="813"/>
      <x:c r="E9" s="813"/>
      <x:c r="F9" s="813"/>
      <x:c r="G9" s="813"/>
      <x:c r="H9" s="813"/>
      <x:c r="I9" s="813"/>
      <x:c r="J9" s="813"/>
      <x:c r="K9" s="813"/>
      <x:c r="L9" s="813"/>
      <x:c r="M9" s="813"/>
      <x:c r="N9" s="813"/>
      <x:c r="O9" s="813"/>
      <x:c r="P9" s="813"/>
      <x:c r="Q9" s="813"/>
      <x:c r="R9" s="813"/>
      <x:c r="S9" s="813"/>
      <x:c r="T9" s="813"/>
      <x:c r="U9" s="813"/>
      <x:c r="V9" s="813"/>
      <x:c r="W9" s="813"/>
      <x:c r="X9" s="813"/>
    </x:row>
    <x:row r="11">
      <x:c r="A11" s="774" t="str">
        <x:v>ROUTING AND CONTROL STATE</x:v>
      </x:c>
      <x:c r="B11" s="774"/>
      <x:c r="C11" s="774"/>
      <x:c r="D11" s="774"/>
      <x:c r="E11" s="774"/>
      <x:c r="F11" s="774"/>
      <x:c r="G11" s="774"/>
      <x:c r="H11" s="774"/>
      <x:c r="I11" s="774"/>
      <x:c r="J11" s="774"/>
      <x:c r="K11" s="774"/>
      <x:c r="L11" s="774"/>
      <x:c r="M11" s="774"/>
      <x:c r="N11" s="774"/>
      <x:c r="O11" s="774"/>
      <x:c r="P11" s="774"/>
      <x:c r="Q11" s="774"/>
      <x:c r="R11" s="774"/>
      <x:c r="S11" s="774"/>
      <x:c r="T11" s="774"/>
      <x:c r="U11" s="774"/>
      <x:c r="V11" s="774"/>
      <x:c r="W11" s="774"/>
      <x:c r="X11" s="774"/>
    </x:row>
    <x:row r="12">
      <x:c r="A12" s="809" t="str">
        <x:v>RCC-002 READINESS</x:v>
      </x:c>
      <x:c r="B12" s="809"/>
      <x:c r="C12" s="809"/>
      <x:c r="D12" s="809"/>
      <x:c r="E12" s="809"/>
      <x:c r="F12" s="809"/>
      <x:c r="G12" s="809" t="str">
        <x:v>MIAR ACTIONS</x:v>
      </x:c>
      <x:c r="H12" s="809"/>
      <x:c r="I12" s="809"/>
      <x:c r="J12" s="809"/>
      <x:c r="K12" s="809"/>
      <x:c r="L12" s="809"/>
      <x:c r="M12" s="809" t="str">
        <x:v>THESIS / CONVICTION ACTIONS</x:v>
      </x:c>
      <x:c r="N12" s="809"/>
      <x:c r="O12" s="809"/>
      <x:c r="P12" s="809"/>
      <x:c r="Q12" s="809"/>
      <x:c r="R12" s="809"/>
      <x:c r="S12" s="809" t="str">
        <x:v>PORTFOLIO ENGINEERING REFERRALS</x:v>
      </x:c>
      <x:c r="T12" s="809"/>
      <x:c r="U12" s="809"/>
      <x:c r="V12" s="809"/>
      <x:c r="W12" s="809"/>
      <x:c r="X12" s="809"/>
    </x:row>
    <x:row r="13">
      <x:c r="A13" s="817" t="str">
        <x:f>IF(A7=0,"READY — NO RECORDS LOADED",IF(COUNTIFS('18 RCC-002 Evidence Ledger'!$A$14:$A$213,"&lt;&gt;",'18 RCC-002 Evidence Ledger'!$AE$14:$AE$213,"&lt;&gt;OPEN — ON TRACK",'18 RCC-002 Evidence Ledger'!$AE$14:$AE$213,"&lt;&gt;CLOSED",'18 RCC-002 Evidence Ledger'!$AE$14:$AE$213,"&lt;&gt;")&gt;0,"CONTROL EXCEPTIONS OPEN","ACTIVE — CONTROLS CLEAR"))</x:f>
        <x:v>READY — NO RECORDS LOADED</x:v>
      </x:c>
      <x:c r="B13" s="817"/>
      <x:c r="C13" s="817"/>
      <x:c r="D13" s="817"/>
      <x:c r="E13" s="817"/>
      <x:c r="F13" s="817"/>
      <x:c r="G13" s="822" t="n">
        <x:f>COUNTIFS('18 RCC-002 Evidence Ledger'!$A$14:$A$213,"&lt;&gt;",'18 RCC-002 Evidence Ledger'!$V$14:$V$213,"&lt;&gt;None",'18 RCC-002 Evidence Ledger'!$V$14:$V$213,"&lt;&gt;")</x:f>
        <x:v>0</x:v>
      </x:c>
      <x:c r="H13" s="822"/>
      <x:c r="I13" s="822"/>
      <x:c r="J13" s="822"/>
      <x:c r="K13" s="822"/>
      <x:c r="L13" s="822"/>
      <x:c r="M13" s="822" t="n">
        <x:f>COUNTIFS('18 RCC-002 Evidence Ledger'!$A$14:$A$213,"&lt;&gt;",'18 RCC-002 Evidence Ledger'!$W$14:$W$213,"&lt;&gt;None",'18 RCC-002 Evidence Ledger'!$W$14:$W$213,"&lt;&gt;Intact",'18 RCC-002 Evidence Ledger'!$W$14:$W$213,"&lt;&gt;")+COUNTIFS('18 RCC-002 Evidence Ledger'!$A$14:$A$213,"&lt;&gt;",'18 RCC-002 Evidence Ledger'!$X$14:$X$213,"&lt;&gt;No Change",'18 RCC-002 Evidence Ledger'!$X$14:$X$213,"&lt;&gt;Not Applicable",'18 RCC-002 Evidence Ledger'!$X$14:$X$213,"&lt;&gt;")</x:f>
        <x:v>0</x:v>
      </x:c>
      <x:c r="N13" s="822"/>
      <x:c r="O13" s="822"/>
      <x:c r="P13" s="822"/>
      <x:c r="Q13" s="822"/>
      <x:c r="R13" s="822"/>
      <x:c r="S13" s="822" t="n">
        <x:f>COUNTIFS('18 RCC-002 Evidence Ledger'!$A$14:$A$213,"&lt;&gt;",'18 RCC-002 Evidence Ledger'!$Z$14:$Z$213,"&lt;&gt;No",'18 RCC-002 Evidence Ledger'!$Z$14:$Z$213,"&lt;&gt;")</x:f>
        <x:v>0</x:v>
      </x:c>
      <x:c r="T13" s="822"/>
      <x:c r="U13" s="822"/>
      <x:c r="V13" s="822"/>
      <x:c r="W13" s="822"/>
      <x:c r="X13" s="822"/>
    </x:row>
    <x:row r="14">
      <x:c r="A14" s="817"/>
      <x:c r="B14" s="817"/>
      <x:c r="C14" s="817"/>
      <x:c r="D14" s="817"/>
      <x:c r="E14" s="817"/>
      <x:c r="F14" s="817"/>
      <x:c r="G14" s="822"/>
      <x:c r="H14" s="822"/>
      <x:c r="I14" s="822"/>
      <x:c r="J14" s="822"/>
      <x:c r="K14" s="822"/>
      <x:c r="L14" s="822"/>
      <x:c r="M14" s="822"/>
      <x:c r="N14" s="822"/>
      <x:c r="O14" s="822"/>
      <x:c r="P14" s="822"/>
      <x:c r="Q14" s="822"/>
      <x:c r="R14" s="822"/>
      <x:c r="S14" s="822"/>
      <x:c r="T14" s="822"/>
      <x:c r="U14" s="822"/>
      <x:c r="V14" s="822"/>
      <x:c r="W14" s="822"/>
      <x:c r="X14" s="822"/>
    </x:row>
    <x:row r="16">
      <x:c r="A16" s="774" t="str">
        <x:v>EVIDENCE ACTIVITY SUMMARY</x:v>
      </x:c>
      <x:c r="B16" s="774"/>
      <x:c r="C16" s="774"/>
      <x:c r="D16" s="774"/>
      <x:c r="E16" s="774"/>
      <x:c r="F16" s="774"/>
      <x:c r="G16" s="774"/>
      <x:c r="I16" s="774" t="str">
        <x:v>ROUTING SUMMARY</x:v>
      </x:c>
      <x:c r="J16" s="774"/>
      <x:c r="K16" s="774"/>
      <x:c r="L16" s="774"/>
      <x:c r="M16" s="774"/>
      <x:c r="O16" s="774" t="str">
        <x:v>MATERIALITY PROFILE</x:v>
      </x:c>
      <x:c r="P16" s="774"/>
      <x:c r="Q16" s="774"/>
      <x:c r="R16" s="774"/>
      <x:c r="S16" s="774"/>
      <x:c r="T16" s="774"/>
      <x:c r="U16" s="774"/>
      <x:c r="V16" s="774"/>
      <x:c r="W16" s="774"/>
      <x:c r="X16" s="774"/>
    </x:row>
    <x:row r="17" ht="24" customHeight="1">
      <x:c r="A17" s="796" t="str">
        <x:v>Activity Type</x:v>
      </x:c>
      <x:c r="B17" s="796" t="str">
        <x:v>Total</x:v>
      </x:c>
      <x:c r="C17" s="796" t="str">
        <x:v>Open</x:v>
      </x:c>
      <x:c r="D17" s="796" t="str">
        <x:v>Critical / High</x:v>
      </x:c>
      <x:c r="E17" s="796" t="str">
        <x:v>Unverified</x:v>
      </x:c>
      <x:c r="F17" s="796" t="str">
        <x:v>Overdue</x:v>
      </x:c>
      <x:c r="G17" s="796" t="str">
        <x:v>Referral Ready</x:v>
      </x:c>
      <x:c r="I17" s="796" t="str">
        <x:v>Control</x:v>
      </x:c>
      <x:c r="J17" s="796" t="str">
        <x:v>Count</x:v>
      </x:c>
      <x:c r="K17" s="796" t="str">
        <x:v>Operating Meaning</x:v>
      </x:c>
      <x:c r="L17" s="796"/>
      <x:c r="M17" s="796"/>
      <x:c r="O17" s="842" t="str">
        <x:v>Materiality</x:v>
      </x:c>
      <x:c r="P17" s="842" t="str">
        <x:v>Records</x:v>
      </x:c>
    </x:row>
    <x:row r="18" ht="24" customHeight="1">
      <x:c r="A18" s="826" t="str">
        <x:v>Company Review</x:v>
      </x:c>
      <x:c r="B18" s="830" t="n">
        <x:f>COUNTIF('18 RCC-002 Evidence Ledger'!$H$14:$H$213,$A18)</x:f>
        <x:v>0</x:v>
      </x:c>
      <x:c r="C18" s="830" t="n">
        <x:f>COUNTIFS('18 RCC-002 Evidence Ledger'!$H$14:$H$213,$A18,'18 RCC-002 Evidence Ledger'!$T$14:$T$213,"&lt;&gt;Closed — No Action",'18 RCC-002 Evidence Ledger'!$T$14:$T$213,"&lt;&gt;Closed — Incorporated")</x:f>
        <x:v>0</x:v>
      </x:c>
      <x:c r="D18" s="830" t="n">
        <x:f>COUNTIFS('18 RCC-002 Evidence Ledger'!$H$14:$H$213,$A18,'18 RCC-002 Evidence Ledger'!$J$14:$J$213,"Critical")+COUNTIFS('18 RCC-002 Evidence Ledger'!$H$14:$H$213,$A18,'18 RCC-002 Evidence Ledger'!$J$14:$J$213,"High")</x:f>
        <x:v>0</x:v>
      </x:c>
      <x:c r="E18" s="830" t="n">
        <x:f>COUNTIFS('18 RCC-002 Evidence Ledger'!$H$14:$H$213,$A18,'18 RCC-002 Evidence Ledger'!$U$14:$U$213,"No")+COUNTIFS('18 RCC-002 Evidence Ledger'!$H$14:$H$213,$A18,'18 RCC-002 Evidence Ledger'!$L$14:$L$213,"Unverified — Pending")</x:f>
        <x:v>0</x:v>
      </x:c>
      <x:c r="F18" s="830" t="n">
        <x:f>COUNTIFS('18 RCC-002 Evidence Ledger'!$H$14:$H$213,$A18,'18 RCC-002 Evidence Ledger'!$AE$14:$AE$213,"OVERDUE")</x:f>
        <x:v>0</x:v>
      </x:c>
      <x:c r="G18" s="830" t="n">
        <x:f>COUNTIFS('18 RCC-002 Evidence Ledger'!$H$14:$H$213,$A18,'18 RCC-002 Evidence Ledger'!$AF$14:$AF$213,"ELIGIBLE FOR ROUTING")</x:f>
        <x:v>0</x:v>
      </x:c>
      <x:c r="I18" s="826" t="str">
        <x:v>MIAR action required</x:v>
      </x:c>
      <x:c r="J18" s="836" t="n">
        <x:f>COUNTIFS('18 RCC-002 Evidence Ledger'!$A$14:$A$213,"&lt;&gt;",'18 RCC-002 Evidence Ledger'!$V$14:$V$213,"&lt;&gt;None",'18 RCC-002 Evidence Ledger'!$V$14:$V$213,"&lt;&gt;")</x:f>
        <x:v>0</x:v>
      </x:c>
      <x:c r="K18" s="826" t="str">
        <x:v>Update or review the asset record</x:v>
      </x:c>
      <x:c r="L18" s="826"/>
      <x:c r="M18" s="826"/>
      <x:c r="O18" s="843" t="str">
        <x:v>Critical</x:v>
      </x:c>
      <x:c r="P18" s="845" t="n">
        <x:f>COUNTIF('18 RCC-002 Evidence Ledger'!$J$14:$J$213,$O18)</x:f>
        <x:v>0</x:v>
      </x:c>
    </x:row>
    <x:row r="19" ht="24" customHeight="1">
      <x:c r="A19" s="827" t="str">
        <x:v>Earnings / Guidance</x:v>
      </x:c>
      <x:c r="B19" s="831" t="n">
        <x:f>COUNTIF('18 RCC-002 Evidence Ledger'!$H$14:$H$213,$A19)</x:f>
        <x:v>0</x:v>
      </x:c>
      <x:c r="C19" s="831" t="n">
        <x:f>COUNTIFS('18 RCC-002 Evidence Ledger'!$H$14:$H$213,$A19,'18 RCC-002 Evidence Ledger'!$T$14:$T$213,"&lt;&gt;Closed — No Action",'18 RCC-002 Evidence Ledger'!$T$14:$T$213,"&lt;&gt;Closed — Incorporated")</x:f>
        <x:v>0</x:v>
      </x:c>
      <x:c r="D19" s="831" t="n">
        <x:f>COUNTIFS('18 RCC-002 Evidence Ledger'!$H$14:$H$213,$A19,'18 RCC-002 Evidence Ledger'!$J$14:$J$213,"Critical")+COUNTIFS('18 RCC-002 Evidence Ledger'!$H$14:$H$213,$A19,'18 RCC-002 Evidence Ledger'!$J$14:$J$213,"High")</x:f>
        <x:v>0</x:v>
      </x:c>
      <x:c r="E19" s="831" t="n">
        <x:f>COUNTIFS('18 RCC-002 Evidence Ledger'!$H$14:$H$213,$A19,'18 RCC-002 Evidence Ledger'!$U$14:$U$213,"No")+COUNTIFS('18 RCC-002 Evidence Ledger'!$H$14:$H$213,$A19,'18 RCC-002 Evidence Ledger'!$L$14:$L$213,"Unverified — Pending")</x:f>
        <x:v>0</x:v>
      </x:c>
      <x:c r="F19" s="831" t="n">
        <x:f>COUNTIFS('18 RCC-002 Evidence Ledger'!$H$14:$H$213,$A19,'18 RCC-002 Evidence Ledger'!$AE$14:$AE$213,"OVERDUE")</x:f>
        <x:v>0</x:v>
      </x:c>
      <x:c r="G19" s="831" t="n">
        <x:f>COUNTIFS('18 RCC-002 Evidence Ledger'!$H$14:$H$213,$A19,'18 RCC-002 Evidence Ledger'!$AF$14:$AF$213,"ELIGIBLE FOR ROUTING")</x:f>
        <x:v>0</x:v>
      </x:c>
      <x:c r="I19" s="827" t="str">
        <x:v>Thesis impact actionable</x:v>
      </x:c>
      <x:c r="J19" s="841" t="n">
        <x:f>COUNTIFS('18 RCC-002 Evidence Ledger'!$A$14:$A$213,"&lt;&gt;",'18 RCC-002 Evidence Ledger'!$W$14:$W$213,"&lt;&gt;None",'18 RCC-002 Evidence Ledger'!$W$14:$W$213,"&lt;&gt;Intact",'18 RCC-002 Evidence Ledger'!$W$14:$W$213,"&lt;&gt;")</x:f>
        <x:v>0</x:v>
      </x:c>
      <x:c r="K19" s="827" t="str">
        <x:v>Route to thesis review</x:v>
      </x:c>
      <x:c r="L19" s="827"/>
      <x:c r="M19" s="827"/>
      <x:c r="O19" s="765" t="str">
        <x:v>High</x:v>
      </x:c>
      <x:c r="P19" s="847" t="n">
        <x:f>COUNTIF('18 RCC-002 Evidence Ledger'!$J$14:$J$213,$O19)</x:f>
        <x:v>0</x:v>
      </x:c>
    </x:row>
    <x:row r="20" ht="24" customHeight="1">
      <x:c r="A20" s="826" t="str">
        <x:v>Material Corporate Event</x:v>
      </x:c>
      <x:c r="B20" s="830" t="n">
        <x:f>COUNTIF('18 RCC-002 Evidence Ledger'!$H$14:$H$213,$A20)</x:f>
        <x:v>0</x:v>
      </x:c>
      <x:c r="C20" s="830" t="n">
        <x:f>COUNTIFS('18 RCC-002 Evidence Ledger'!$H$14:$H$213,$A20,'18 RCC-002 Evidence Ledger'!$T$14:$T$213,"&lt;&gt;Closed — No Action",'18 RCC-002 Evidence Ledger'!$T$14:$T$213,"&lt;&gt;Closed — Incorporated")</x:f>
        <x:v>0</x:v>
      </x:c>
      <x:c r="D20" s="830" t="n">
        <x:f>COUNTIFS('18 RCC-002 Evidence Ledger'!$H$14:$H$213,$A20,'18 RCC-002 Evidence Ledger'!$J$14:$J$213,"Critical")+COUNTIFS('18 RCC-002 Evidence Ledger'!$H$14:$H$213,$A20,'18 RCC-002 Evidence Ledger'!$J$14:$J$213,"High")</x:f>
        <x:v>0</x:v>
      </x:c>
      <x:c r="E20" s="830" t="n">
        <x:f>COUNTIFS('18 RCC-002 Evidence Ledger'!$H$14:$H$213,$A20,'18 RCC-002 Evidence Ledger'!$U$14:$U$213,"No")+COUNTIFS('18 RCC-002 Evidence Ledger'!$H$14:$H$213,$A20,'18 RCC-002 Evidence Ledger'!$L$14:$L$213,"Unverified — Pending")</x:f>
        <x:v>0</x:v>
      </x:c>
      <x:c r="F20" s="830" t="n">
        <x:f>COUNTIFS('18 RCC-002 Evidence Ledger'!$H$14:$H$213,$A20,'18 RCC-002 Evidence Ledger'!$AE$14:$AE$213,"OVERDUE")</x:f>
        <x:v>0</x:v>
      </x:c>
      <x:c r="G20" s="830" t="n">
        <x:f>COUNTIFS('18 RCC-002 Evidence Ledger'!$H$14:$H$213,$A20,'18 RCC-002 Evidence Ledger'!$AF$14:$AF$213,"ELIGIBLE FOR ROUTING")</x:f>
        <x:v>0</x:v>
      </x:c>
      <x:c r="I20" s="826" t="str">
        <x:v>Conviction change proposed</x:v>
      </x:c>
      <x:c r="J20" s="836" t="n">
        <x:f>COUNTIFS('18 RCC-002 Evidence Ledger'!$A$14:$A$213,"&lt;&gt;",'18 RCC-002 Evidence Ledger'!$X$14:$X$213,"&lt;&gt;No Change",'18 RCC-002 Evidence Ledger'!$X$14:$X$213,"&lt;&gt;Not Applicable",'18 RCC-002 Evidence Ledger'!$X$14:$X$213,"&lt;&gt;Unassigned",'18 RCC-002 Evidence Ledger'!$X$14:$X$213,"&lt;&gt;")</x:f>
        <x:v>0</x:v>
      </x:c>
      <x:c r="K20" s="826" t="str">
        <x:v>Route to conviction control</x:v>
      </x:c>
      <x:c r="L20" s="826"/>
      <x:c r="M20" s="826"/>
      <x:c r="O20" s="843" t="str">
        <x:v>Moderate</x:v>
      </x:c>
      <x:c r="P20" s="845" t="n">
        <x:f>COUNTIF('18 RCC-002 Evidence Ledger'!$J$14:$J$213,$O20)</x:f>
        <x:v>0</x:v>
      </x:c>
    </x:row>
    <x:row r="21" ht="24" customHeight="1">
      <x:c r="A21" s="827" t="str">
        <x:v>Zacks Rank Change</x:v>
      </x:c>
      <x:c r="B21" s="831" t="n">
        <x:f>COUNTIF('18 RCC-002 Evidence Ledger'!$H$14:$H$213,$A21)</x:f>
        <x:v>0</x:v>
      </x:c>
      <x:c r="C21" s="831" t="n">
        <x:f>COUNTIFS('18 RCC-002 Evidence Ledger'!$H$14:$H$213,$A21,'18 RCC-002 Evidence Ledger'!$T$14:$T$213,"&lt;&gt;Closed — No Action",'18 RCC-002 Evidence Ledger'!$T$14:$T$213,"&lt;&gt;Closed — Incorporated")</x:f>
        <x:v>0</x:v>
      </x:c>
      <x:c r="D21" s="831" t="n">
        <x:f>COUNTIFS('18 RCC-002 Evidence Ledger'!$H$14:$H$213,$A21,'18 RCC-002 Evidence Ledger'!$J$14:$J$213,"Critical")+COUNTIFS('18 RCC-002 Evidence Ledger'!$H$14:$H$213,$A21,'18 RCC-002 Evidence Ledger'!$J$14:$J$213,"High")</x:f>
        <x:v>0</x:v>
      </x:c>
      <x:c r="E21" s="831" t="n">
        <x:f>COUNTIFS('18 RCC-002 Evidence Ledger'!$H$14:$H$213,$A21,'18 RCC-002 Evidence Ledger'!$U$14:$U$213,"No")+COUNTIFS('18 RCC-002 Evidence Ledger'!$H$14:$H$213,$A21,'18 RCC-002 Evidence Ledger'!$L$14:$L$213,"Unverified — Pending")</x:f>
        <x:v>0</x:v>
      </x:c>
      <x:c r="F21" s="831" t="n">
        <x:f>COUNTIFS('18 RCC-002 Evidence Ledger'!$H$14:$H$213,$A21,'18 RCC-002 Evidence Ledger'!$AE$14:$AE$213,"OVERDUE")</x:f>
        <x:v>0</x:v>
      </x:c>
      <x:c r="G21" s="831" t="n">
        <x:f>COUNTIFS('18 RCC-002 Evidence Ledger'!$H$14:$H$213,$A21,'18 RCC-002 Evidence Ledger'!$AF$14:$AF$213,"ELIGIBLE FOR ROUTING")</x:f>
        <x:v>0</x:v>
      </x:c>
      <x:c r="I21" s="827" t="str">
        <x:v>Candidate / replacement</x:v>
      </x:c>
      <x:c r="J21" s="841" t="n">
        <x:f>COUNTIFS('18 RCC-002 Evidence Ledger'!$A$14:$A$213,"&lt;&gt;",'18 RCC-002 Evidence Ledger'!$Y$14:$Y$213,"&lt;&gt;None",'18 RCC-002 Evidence Ledger'!$Y$14:$Y$213,"&lt;&gt;")</x:f>
        <x:v>0</x:v>
      </x:c>
      <x:c r="K21" s="827" t="str">
        <x:v>Route to candidate comparison</x:v>
      </x:c>
      <x:c r="L21" s="827"/>
      <x:c r="M21" s="827"/>
      <x:c r="O21" s="765" t="str">
        <x:v>Low</x:v>
      </x:c>
      <x:c r="P21" s="847" t="n">
        <x:f>COUNTIF('18 RCC-002 Evidence Ledger'!$J$14:$J$213,$O21)</x:f>
        <x:v>0</x:v>
      </x:c>
    </x:row>
    <x:row r="22" ht="24" customHeight="1">
      <x:c r="A22" s="826" t="str">
        <x:v>Merrill Research Update</x:v>
      </x:c>
      <x:c r="B22" s="830" t="n">
        <x:f>COUNTIF('18 RCC-002 Evidence Ledger'!$H$14:$H$213,$A22)</x:f>
        <x:v>0</x:v>
      </x:c>
      <x:c r="C22" s="830" t="n">
        <x:f>COUNTIFS('18 RCC-002 Evidence Ledger'!$H$14:$H$213,$A22,'18 RCC-002 Evidence Ledger'!$T$14:$T$213,"&lt;&gt;Closed — No Action",'18 RCC-002 Evidence Ledger'!$T$14:$T$213,"&lt;&gt;Closed — Incorporated")</x:f>
        <x:v>0</x:v>
      </x:c>
      <x:c r="D22" s="830" t="n">
        <x:f>COUNTIFS('18 RCC-002 Evidence Ledger'!$H$14:$H$213,$A22,'18 RCC-002 Evidence Ledger'!$J$14:$J$213,"Critical")+COUNTIFS('18 RCC-002 Evidence Ledger'!$H$14:$H$213,$A22,'18 RCC-002 Evidence Ledger'!$J$14:$J$213,"High")</x:f>
        <x:v>0</x:v>
      </x:c>
      <x:c r="E22" s="830" t="n">
        <x:f>COUNTIFS('18 RCC-002 Evidence Ledger'!$H$14:$H$213,$A22,'18 RCC-002 Evidence Ledger'!$U$14:$U$213,"No")+COUNTIFS('18 RCC-002 Evidence Ledger'!$H$14:$H$213,$A22,'18 RCC-002 Evidence Ledger'!$L$14:$L$213,"Unverified — Pending")</x:f>
        <x:v>0</x:v>
      </x:c>
      <x:c r="F22" s="830" t="n">
        <x:f>COUNTIFS('18 RCC-002 Evidence Ledger'!$H$14:$H$213,$A22,'18 RCC-002 Evidence Ledger'!$AE$14:$AE$213,"OVERDUE")</x:f>
        <x:v>0</x:v>
      </x:c>
      <x:c r="G22" s="830" t="n">
        <x:f>COUNTIFS('18 RCC-002 Evidence Ledger'!$H$14:$H$213,$A22,'18 RCC-002 Evidence Ledger'!$AF$14:$AF$213,"ELIGIBLE FOR ROUTING")</x:f>
        <x:v>0</x:v>
      </x:c>
      <x:c r="I22" s="826" t="str">
        <x:v>PEW referrals</x:v>
      </x:c>
      <x:c r="J22" s="836" t="n">
        <x:f>COUNTIFS('18 RCC-002 Evidence Ledger'!$A$14:$A$213,"&lt;&gt;",'18 RCC-002 Evidence Ledger'!$Z$14:$Z$213,"&lt;&gt;No",'18 RCC-002 Evidence Ledger'!$Z$14:$Z$213,"&lt;&gt;")</x:f>
        <x:v>0</x:v>
      </x:c>
      <x:c r="K22" s="826" t="str">
        <x:v>Engineering review requested</x:v>
      </x:c>
      <x:c r="L22" s="826"/>
      <x:c r="M22" s="826"/>
    </x:row>
    <x:row r="23" ht="24" customHeight="1">
      <x:c r="A23" s="827" t="str">
        <x:v>MIAR Update</x:v>
      </x:c>
      <x:c r="B23" s="831" t="n">
        <x:f>COUNTIF('18 RCC-002 Evidence Ledger'!$H$14:$H$213,$A23)</x:f>
        <x:v>0</x:v>
      </x:c>
      <x:c r="C23" s="831" t="n">
        <x:f>COUNTIFS('18 RCC-002 Evidence Ledger'!$H$14:$H$213,$A23,'18 RCC-002 Evidence Ledger'!$T$14:$T$213,"&lt;&gt;Closed — No Action",'18 RCC-002 Evidence Ledger'!$T$14:$T$213,"&lt;&gt;Closed — Incorporated")</x:f>
        <x:v>0</x:v>
      </x:c>
      <x:c r="D23" s="831" t="n">
        <x:f>COUNTIFS('18 RCC-002 Evidence Ledger'!$H$14:$H$213,$A23,'18 RCC-002 Evidence Ledger'!$J$14:$J$213,"Critical")+COUNTIFS('18 RCC-002 Evidence Ledger'!$H$14:$H$213,$A23,'18 RCC-002 Evidence Ledger'!$J$14:$J$213,"High")</x:f>
        <x:v>0</x:v>
      </x:c>
      <x:c r="E23" s="831" t="n">
        <x:f>COUNTIFS('18 RCC-002 Evidence Ledger'!$H$14:$H$213,$A23,'18 RCC-002 Evidence Ledger'!$U$14:$U$213,"No")+COUNTIFS('18 RCC-002 Evidence Ledger'!$H$14:$H$213,$A23,'18 RCC-002 Evidence Ledger'!$L$14:$L$213,"Unverified — Pending")</x:f>
        <x:v>0</x:v>
      </x:c>
      <x:c r="F23" s="831" t="n">
        <x:f>COUNTIFS('18 RCC-002 Evidence Ledger'!$H$14:$H$213,$A23,'18 RCC-002 Evidence Ledger'!$AE$14:$AE$213,"OVERDUE")</x:f>
        <x:v>0</x:v>
      </x:c>
      <x:c r="G23" s="831" t="n">
        <x:f>COUNTIFS('18 RCC-002 Evidence Ledger'!$H$14:$H$213,$A23,'18 RCC-002 Evidence Ledger'!$AF$14:$AF$213,"ELIGIBLE FOR ROUTING")</x:f>
        <x:v>0</x:v>
      </x:c>
      <x:c r="I23" s="827" t="str">
        <x:v>Verification exceptions</x:v>
      </x:c>
      <x:c r="J23" s="841" t="n">
        <x:f>COUNTIF('18 RCC-002 Evidence Ledger'!$U$14:$U$213,"Exception Approved")</x:f>
        <x:v>0</x:v>
      </x:c>
      <x:c r="K23" s="827" t="str">
        <x:v>Documented exception retained</x:v>
      </x:c>
      <x:c r="L23" s="827"/>
      <x:c r="M23" s="827"/>
      <x:c r="O23" s="842" t="str">
        <x:v>Direction</x:v>
      </x:c>
      <x:c r="P23" s="842" t="str">
        <x:v>Records</x:v>
      </x:c>
    </x:row>
    <x:row r="24" ht="24" customHeight="1">
      <x:c r="A24" s="826" t="str">
        <x:v>Thesis / Conviction Review</x:v>
      </x:c>
      <x:c r="B24" s="830" t="n">
        <x:f>COUNTIF('18 RCC-002 Evidence Ledger'!$H$14:$H$213,$A24)</x:f>
        <x:v>0</x:v>
      </x:c>
      <x:c r="C24" s="830" t="n">
        <x:f>COUNTIFS('18 RCC-002 Evidence Ledger'!$H$14:$H$213,$A24,'18 RCC-002 Evidence Ledger'!$T$14:$T$213,"&lt;&gt;Closed — No Action",'18 RCC-002 Evidence Ledger'!$T$14:$T$213,"&lt;&gt;Closed — Incorporated")</x:f>
        <x:v>0</x:v>
      </x:c>
      <x:c r="D24" s="830" t="n">
        <x:f>COUNTIFS('18 RCC-002 Evidence Ledger'!$H$14:$H$213,$A24,'18 RCC-002 Evidence Ledger'!$J$14:$J$213,"Critical")+COUNTIFS('18 RCC-002 Evidence Ledger'!$H$14:$H$213,$A24,'18 RCC-002 Evidence Ledger'!$J$14:$J$213,"High")</x:f>
        <x:v>0</x:v>
      </x:c>
      <x:c r="E24" s="830" t="n">
        <x:f>COUNTIFS('18 RCC-002 Evidence Ledger'!$H$14:$H$213,$A24,'18 RCC-002 Evidence Ledger'!$U$14:$U$213,"No")+COUNTIFS('18 RCC-002 Evidence Ledger'!$H$14:$H$213,$A24,'18 RCC-002 Evidence Ledger'!$L$14:$L$213,"Unverified — Pending")</x:f>
        <x:v>0</x:v>
      </x:c>
      <x:c r="F24" s="830" t="n">
        <x:f>COUNTIFS('18 RCC-002 Evidence Ledger'!$H$14:$H$213,$A24,'18 RCC-002 Evidence Ledger'!$AE$14:$AE$213,"OVERDUE")</x:f>
        <x:v>0</x:v>
      </x:c>
      <x:c r="G24" s="830" t="n">
        <x:f>COUNTIFS('18 RCC-002 Evidence Ledger'!$H$14:$H$213,$A24,'18 RCC-002 Evidence Ledger'!$AF$14:$AF$213,"ELIGIBLE FOR ROUTING")</x:f>
        <x:v>0</x:v>
      </x:c>
      <x:c r="I24" s="826" t="str">
        <x:v>Closed records</x:v>
      </x:c>
      <x:c r="J24" s="836" t="n">
        <x:f>COUNTIF('18 RCC-002 Evidence Ledger'!$T$14:$T$213,"Closed — No Action")+COUNTIF('18 RCC-002 Evidence Ledger'!$T$14:$T$213,"Closed — Incorporated")</x:f>
        <x:v>0</x:v>
      </x:c>
      <x:c r="K24" s="826" t="str">
        <x:v>Evidence cycle completed</x:v>
      </x:c>
      <x:c r="L24" s="826"/>
      <x:c r="M24" s="826"/>
      <x:c r="O24" s="843" t="str">
        <x:v>Positive</x:v>
      </x:c>
      <x:c r="P24" s="845" t="n">
        <x:f>COUNTIF('18 RCC-002 Evidence Ledger'!$K$14:$K$213,$O24)</x:f>
        <x:v>0</x:v>
      </x:c>
    </x:row>
    <x:row r="25" ht="24" customHeight="1">
      <x:c r="A25" s="827" t="str">
        <x:v>MASR Candidate</x:v>
      </x:c>
      <x:c r="B25" s="831" t="n">
        <x:f>COUNTIF('18 RCC-002 Evidence Ledger'!$H$14:$H$213,$A25)</x:f>
        <x:v>0</x:v>
      </x:c>
      <x:c r="C25" s="831" t="n">
        <x:f>COUNTIFS('18 RCC-002 Evidence Ledger'!$H$14:$H$213,$A25,'18 RCC-002 Evidence Ledger'!$T$14:$T$213,"&lt;&gt;Closed — No Action",'18 RCC-002 Evidence Ledger'!$T$14:$T$213,"&lt;&gt;Closed — Incorporated")</x:f>
        <x:v>0</x:v>
      </x:c>
      <x:c r="D25" s="831" t="n">
        <x:f>COUNTIFS('18 RCC-002 Evidence Ledger'!$H$14:$H$213,$A25,'18 RCC-002 Evidence Ledger'!$J$14:$J$213,"Critical")+COUNTIFS('18 RCC-002 Evidence Ledger'!$H$14:$H$213,$A25,'18 RCC-002 Evidence Ledger'!$J$14:$J$213,"High")</x:f>
        <x:v>0</x:v>
      </x:c>
      <x:c r="E25" s="831" t="n">
        <x:f>COUNTIFS('18 RCC-002 Evidence Ledger'!$H$14:$H$213,$A25,'18 RCC-002 Evidence Ledger'!$U$14:$U$213,"No")+COUNTIFS('18 RCC-002 Evidence Ledger'!$H$14:$H$213,$A25,'18 RCC-002 Evidence Ledger'!$L$14:$L$213,"Unverified — Pending")</x:f>
        <x:v>0</x:v>
      </x:c>
      <x:c r="F25" s="831" t="n">
        <x:f>COUNTIFS('18 RCC-002 Evidence Ledger'!$H$14:$H$213,$A25,'18 RCC-002 Evidence Ledger'!$AE$14:$AE$213,"OVERDUE")</x:f>
        <x:v>0</x:v>
      </x:c>
      <x:c r="G25" s="831" t="n">
        <x:f>COUNTIFS('18 RCC-002 Evidence Ledger'!$H$14:$H$213,$A25,'18 RCC-002 Evidence Ledger'!$AF$14:$AF$213,"ELIGIBLE FOR ROUTING")</x:f>
        <x:v>0</x:v>
      </x:c>
      <x:c r="I25" s="827" t="str">
        <x:v>Open control exceptions</x:v>
      </x:c>
      <x:c r="J25" s="841" t="n">
        <x:f>COUNTIFS('18 RCC-002 Evidence Ledger'!$A$14:$A$213,"&lt;&gt;",'18 RCC-002 Evidence Ledger'!$AE$14:$AE$213,"&lt;&gt;OPEN — ON TRACK",'18 RCC-002 Evidence Ledger'!$AE$14:$AE$213,"&lt;&gt;CLOSED",'18 RCC-002 Evidence Ledger'!$AE$14:$AE$213,"&lt;&gt;")</x:f>
        <x:v>0</x:v>
      </x:c>
      <x:c r="K25" s="827" t="str">
        <x:v>Must be resolved or exception-approved</x:v>
      </x:c>
      <x:c r="L25" s="827"/>
      <x:c r="M25" s="827"/>
      <x:c r="O25" s="765" t="str">
        <x:v>Neutral</x:v>
      </x:c>
      <x:c r="P25" s="847" t="n">
        <x:f>COUNTIF('18 RCC-002 Evidence Ledger'!$K$14:$K$213,$O25)</x:f>
        <x:v>0</x:v>
      </x:c>
    </x:row>
    <x:row r="26" ht="22" customHeight="1">
      <x:c r="A26" s="826" t="str">
        <x:v>Replacement Candidate</x:v>
      </x:c>
      <x:c r="B26" s="830" t="n">
        <x:f>COUNTIF('18 RCC-002 Evidence Ledger'!$H$14:$H$213,$A26)</x:f>
        <x:v>0</x:v>
      </x:c>
      <x:c r="C26" s="830" t="n">
        <x:f>COUNTIFS('18 RCC-002 Evidence Ledger'!$H$14:$H$213,$A26,'18 RCC-002 Evidence Ledger'!$T$14:$T$213,"&lt;&gt;Closed — No Action",'18 RCC-002 Evidence Ledger'!$T$14:$T$213,"&lt;&gt;Closed — Incorporated")</x:f>
        <x:v>0</x:v>
      </x:c>
      <x:c r="D26" s="830" t="n">
        <x:f>COUNTIFS('18 RCC-002 Evidence Ledger'!$H$14:$H$213,$A26,'18 RCC-002 Evidence Ledger'!$J$14:$J$213,"Critical")+COUNTIFS('18 RCC-002 Evidence Ledger'!$H$14:$H$213,$A26,'18 RCC-002 Evidence Ledger'!$J$14:$J$213,"High")</x:f>
        <x:v>0</x:v>
      </x:c>
      <x:c r="E26" s="830" t="n">
        <x:f>COUNTIFS('18 RCC-002 Evidence Ledger'!$H$14:$H$213,$A26,'18 RCC-002 Evidence Ledger'!$U$14:$U$213,"No")+COUNTIFS('18 RCC-002 Evidence Ledger'!$H$14:$H$213,$A26,'18 RCC-002 Evidence Ledger'!$L$14:$L$213,"Unverified — Pending")</x:f>
        <x:v>0</x:v>
      </x:c>
      <x:c r="F26" s="830" t="n">
        <x:f>COUNTIFS('18 RCC-002 Evidence Ledger'!$H$14:$H$213,$A26,'18 RCC-002 Evidence Ledger'!$AE$14:$AE$213,"OVERDUE")</x:f>
        <x:v>0</x:v>
      </x:c>
      <x:c r="G26" s="830" t="n">
        <x:f>COUNTIFS('18 RCC-002 Evidence Ledger'!$H$14:$H$213,$A26,'18 RCC-002 Evidence Ledger'!$AF$14:$AF$213,"ELIGIBLE FOR ROUTING")</x:f>
        <x:v>0</x:v>
      </x:c>
      <x:c r="O26" s="843" t="str">
        <x:v>Negative</x:v>
      </x:c>
      <x:c r="P26" s="845" t="n">
        <x:f>COUNTIF('18 RCC-002 Evidence Ledger'!$K$14:$K$213,$O26)</x:f>
        <x:v>0</x:v>
      </x:c>
    </x:row>
    <x:row r="27" ht="22" customHeight="1">
      <x:c r="A27" s="827" t="str">
        <x:v>Regulatory / Legal</x:v>
      </x:c>
      <x:c r="B27" s="831" t="n">
        <x:f>COUNTIF('18 RCC-002 Evidence Ledger'!$H$14:$H$213,$A27)</x:f>
        <x:v>0</x:v>
      </x:c>
      <x:c r="C27" s="831" t="n">
        <x:f>COUNTIFS('18 RCC-002 Evidence Ledger'!$H$14:$H$213,$A27,'18 RCC-002 Evidence Ledger'!$T$14:$T$213,"&lt;&gt;Closed — No Action",'18 RCC-002 Evidence Ledger'!$T$14:$T$213,"&lt;&gt;Closed — Incorporated")</x:f>
        <x:v>0</x:v>
      </x:c>
      <x:c r="D27" s="831" t="n">
        <x:f>COUNTIFS('18 RCC-002 Evidence Ledger'!$H$14:$H$213,$A27,'18 RCC-002 Evidence Ledger'!$J$14:$J$213,"Critical")+COUNTIFS('18 RCC-002 Evidence Ledger'!$H$14:$H$213,$A27,'18 RCC-002 Evidence Ledger'!$J$14:$J$213,"High")</x:f>
        <x:v>0</x:v>
      </x:c>
      <x:c r="E27" s="831" t="n">
        <x:f>COUNTIFS('18 RCC-002 Evidence Ledger'!$H$14:$H$213,$A27,'18 RCC-002 Evidence Ledger'!$U$14:$U$213,"No")+COUNTIFS('18 RCC-002 Evidence Ledger'!$H$14:$H$213,$A27,'18 RCC-002 Evidence Ledger'!$L$14:$L$213,"Unverified — Pending")</x:f>
        <x:v>0</x:v>
      </x:c>
      <x:c r="F27" s="831" t="n">
        <x:f>COUNTIFS('18 RCC-002 Evidence Ledger'!$H$14:$H$213,$A27,'18 RCC-002 Evidence Ledger'!$AE$14:$AE$213,"OVERDUE")</x:f>
        <x:v>0</x:v>
      </x:c>
      <x:c r="G27" s="831" t="n">
        <x:f>COUNTIFS('18 RCC-002 Evidence Ledger'!$H$14:$H$213,$A27,'18 RCC-002 Evidence Ledger'!$AF$14:$AF$213,"ELIGIBLE FOR ROUTING")</x:f>
        <x:v>0</x:v>
      </x:c>
      <x:c r="O27" s="765" t="str">
        <x:v>Mixed</x:v>
      </x:c>
      <x:c r="P27" s="847" t="n">
        <x:f>COUNTIF('18 RCC-002 Evidence Ledger'!$K$14:$K$213,$O27)</x:f>
        <x:v>0</x:v>
      </x:c>
    </x:row>
    <x:row r="28" ht="22" customHeight="1">
      <x:c r="A28" s="826" t="str">
        <x:v>Capital Allocation / Dividend</x:v>
      </x:c>
      <x:c r="B28" s="830" t="n">
        <x:f>COUNTIF('18 RCC-002 Evidence Ledger'!$H$14:$H$213,$A28)</x:f>
        <x:v>0</x:v>
      </x:c>
      <x:c r="C28" s="830" t="n">
        <x:f>COUNTIFS('18 RCC-002 Evidence Ledger'!$H$14:$H$213,$A28,'18 RCC-002 Evidence Ledger'!$T$14:$T$213,"&lt;&gt;Closed — No Action",'18 RCC-002 Evidence Ledger'!$T$14:$T$213,"&lt;&gt;Closed — Incorporated")</x:f>
        <x:v>0</x:v>
      </x:c>
      <x:c r="D28" s="830" t="n">
        <x:f>COUNTIFS('18 RCC-002 Evidence Ledger'!$H$14:$H$213,$A28,'18 RCC-002 Evidence Ledger'!$J$14:$J$213,"Critical")+COUNTIFS('18 RCC-002 Evidence Ledger'!$H$14:$H$213,$A28,'18 RCC-002 Evidence Ledger'!$J$14:$J$213,"High")</x:f>
        <x:v>0</x:v>
      </x:c>
      <x:c r="E28" s="830" t="n">
        <x:f>COUNTIFS('18 RCC-002 Evidence Ledger'!$H$14:$H$213,$A28,'18 RCC-002 Evidence Ledger'!$U$14:$U$213,"No")+COUNTIFS('18 RCC-002 Evidence Ledger'!$H$14:$H$213,$A28,'18 RCC-002 Evidence Ledger'!$L$14:$L$213,"Unverified — Pending")</x:f>
        <x:v>0</x:v>
      </x:c>
      <x:c r="F28" s="830" t="n">
        <x:f>COUNTIFS('18 RCC-002 Evidence Ledger'!$H$14:$H$213,$A28,'18 RCC-002 Evidence Ledger'!$AE$14:$AE$213,"OVERDUE")</x:f>
        <x:v>0</x:v>
      </x:c>
      <x:c r="G28" s="830" t="n">
        <x:f>COUNTIFS('18 RCC-002 Evidence Ledger'!$H$14:$H$213,$A28,'18 RCC-002 Evidence Ledger'!$AF$14:$AF$213,"ELIGIBLE FOR ROUTING")</x:f>
        <x:v>0</x:v>
      </x:c>
      <x:c r="O28" s="843" t="str">
        <x:v>Unclear</x:v>
      </x:c>
      <x:c r="P28" s="845" t="n">
        <x:f>COUNTIF('18 RCC-002 Evidence Ledger'!$K$14:$K$213,$O28)</x:f>
        <x:v>0</x:v>
      </x:c>
    </x:row>
    <x:row r="29" ht="22" customHeight="1">
      <x:c r="A29" s="827" t="str">
        <x:v>Other Research Signal</x:v>
      </x:c>
      <x:c r="B29" s="831" t="n">
        <x:f>COUNTIF('18 RCC-002 Evidence Ledger'!$H$14:$H$213,$A29)</x:f>
        <x:v>0</x:v>
      </x:c>
      <x:c r="C29" s="831" t="n">
        <x:f>COUNTIFS('18 RCC-002 Evidence Ledger'!$H$14:$H$213,$A29,'18 RCC-002 Evidence Ledger'!$T$14:$T$213,"&lt;&gt;Closed — No Action",'18 RCC-002 Evidence Ledger'!$T$14:$T$213,"&lt;&gt;Closed — Incorporated")</x:f>
        <x:v>0</x:v>
      </x:c>
      <x:c r="D29" s="831" t="n">
        <x:f>COUNTIFS('18 RCC-002 Evidence Ledger'!$H$14:$H$213,$A29,'18 RCC-002 Evidence Ledger'!$J$14:$J$213,"Critical")+COUNTIFS('18 RCC-002 Evidence Ledger'!$H$14:$H$213,$A29,'18 RCC-002 Evidence Ledger'!$J$14:$J$213,"High")</x:f>
        <x:v>0</x:v>
      </x:c>
      <x:c r="E29" s="831" t="n">
        <x:f>COUNTIFS('18 RCC-002 Evidence Ledger'!$H$14:$H$213,$A29,'18 RCC-002 Evidence Ledger'!$U$14:$U$213,"No")+COUNTIFS('18 RCC-002 Evidence Ledger'!$H$14:$H$213,$A29,'18 RCC-002 Evidence Ledger'!$L$14:$L$213,"Unverified — Pending")</x:f>
        <x:v>0</x:v>
      </x:c>
      <x:c r="F29" s="831" t="n">
        <x:f>COUNTIFS('18 RCC-002 Evidence Ledger'!$H$14:$H$213,$A29,'18 RCC-002 Evidence Ledger'!$AE$14:$AE$213,"OVERDUE")</x:f>
        <x:v>0</x:v>
      </x:c>
      <x:c r="G29" s="831" t="n">
        <x:f>COUNTIFS('18 RCC-002 Evidence Ledger'!$H$14:$H$213,$A29,'18 RCC-002 Evidence Ledger'!$AF$14:$AF$213,"ELIGIBLE FOR ROUTING")</x:f>
        <x:v>0</x:v>
      </x:c>
    </x:row>
    <x:row r="32">
      <x:c r="A32" s="774" t="str">
        <x:v>RCC-002 OPERATING STANDARD</x:v>
      </x:c>
      <x:c r="B32" s="774"/>
      <x:c r="C32" s="774"/>
      <x:c r="D32" s="774"/>
      <x:c r="E32" s="774"/>
      <x:c r="F32" s="774"/>
      <x:c r="G32" s="774"/>
      <x:c r="H32" s="774"/>
      <x:c r="I32" s="774"/>
      <x:c r="J32" s="774"/>
      <x:c r="K32" s="774"/>
      <x:c r="L32" s="774"/>
      <x:c r="M32" s="774"/>
      <x:c r="N32" s="774"/>
      <x:c r="O32" s="774"/>
      <x:c r="P32" s="774"/>
      <x:c r="Q32" s="774"/>
      <x:c r="R32" s="774"/>
      <x:c r="S32" s="774"/>
      <x:c r="T32" s="774"/>
      <x:c r="U32" s="774"/>
      <x:c r="V32" s="774"/>
      <x:c r="W32" s="774"/>
      <x:c r="X32" s="774"/>
    </x:row>
    <x:row r="33">
      <x:c r="A33" s="795" t="str">
        <x:v>Workflow</x:v>
      </x:c>
      <x:c r="B33" s="795" t="str">
        <x:v>Required Action</x:v>
      </x:c>
      <x:c r="C33" s="795" t="str">
        <x:v>Authority</x:v>
      </x:c>
      <x:c r="D33" s="795" t="str">
        <x:v>Controlled Output</x:v>
      </x:c>
      <x:c r="E33" s="795"/>
      <x:c r="F33" s="795"/>
      <x:c r="G33" s="795"/>
      <x:c r="H33" s="795"/>
      <x:c r="I33" s="795"/>
      <x:c r="J33" s="795"/>
      <x:c r="K33" s="795"/>
      <x:c r="L33" s="795"/>
      <x:c r="N33" s="842" t="str">
        <x:v>HARD CONTROLS</x:v>
      </x:c>
      <x:c r="O33" s="842"/>
      <x:c r="P33" s="842"/>
      <x:c r="Q33" s="842"/>
      <x:c r="R33" s="842"/>
      <x:c r="S33" s="842"/>
      <x:c r="T33" s="842"/>
      <x:c r="U33" s="842"/>
      <x:c r="V33" s="842"/>
      <x:c r="W33" s="842"/>
      <x:c r="X33" s="842"/>
    </x:row>
    <x:row r="34">
      <x:c r="A34" s="826" t="str">
        <x:v>1 — Intake</x:v>
      </x:c>
      <x:c r="B34" s="826" t="str">
        <x:v>Create one record per verified or pending signal</x:v>
      </x:c>
      <x:c r="C34" s="826" t="str">
        <x:v>Research Operations</x:v>
      </x:c>
      <x:c r="D34" s="826" t="str">
        <x:v>Unique evidence record</x:v>
      </x:c>
      <x:c r="E34" s="826"/>
      <x:c r="F34" s="826"/>
      <x:c r="G34" s="826"/>
      <x:c r="H34" s="826"/>
      <x:c r="I34" s="826"/>
      <x:c r="J34" s="826"/>
      <x:c r="K34" s="826"/>
      <x:c r="L34" s="826"/>
      <x:c r="N34" s="783" t="str">
        <x:v>• One immutable Evidence ID per signal
• Verified source or explicit pending-verification state required
• High / critical unverified evidence escalates
• Duplicate Evidence IDs are blocked
• PEW referrals require verified evidence
• No direct allocation, trading or MFPDF authority
• Every closed record requires a disposition and close date</x:v>
      </x:c>
      <x:c r="O34" s="783"/>
      <x:c r="P34" s="783"/>
      <x:c r="Q34" s="783"/>
      <x:c r="R34" s="783"/>
      <x:c r="S34" s="783"/>
      <x:c r="T34" s="783"/>
      <x:c r="U34" s="783"/>
      <x:c r="V34" s="783"/>
      <x:c r="W34" s="783"/>
      <x:c r="X34" s="783"/>
    </x:row>
    <x:row r="35">
      <x:c r="A35" s="827" t="str">
        <x:v>2 — Verify</x:v>
      </x:c>
      <x:c r="B35" s="827" t="str">
        <x:v>Confirm source, reliability and materiality</x:v>
      </x:c>
      <x:c r="C35" s="827" t="str">
        <x:v>Assigned Reviewer</x:v>
      </x:c>
      <x:c r="D35" s="827" t="str">
        <x:v>Verified evidence state</x:v>
      </x:c>
      <x:c r="E35" s="827"/>
      <x:c r="F35" s="827"/>
      <x:c r="G35" s="827"/>
      <x:c r="H35" s="827"/>
      <x:c r="I35" s="827"/>
      <x:c r="J35" s="827"/>
      <x:c r="K35" s="827"/>
      <x:c r="L35" s="827"/>
      <x:c r="N35" s="783"/>
      <x:c r="O35" s="783"/>
      <x:c r="P35" s="783"/>
      <x:c r="Q35" s="783"/>
      <x:c r="R35" s="783"/>
      <x:c r="S35" s="783"/>
      <x:c r="T35" s="783"/>
      <x:c r="U35" s="783"/>
      <x:c r="V35" s="783"/>
      <x:c r="W35" s="783"/>
      <x:c r="X35" s="783"/>
    </x:row>
    <x:row r="36">
      <x:c r="A36" s="826" t="str">
        <x:v>3 — Assess</x:v>
      </x:c>
      <x:c r="B36" s="826" t="str">
        <x:v>Determine MIAR, thesis, conviction and candidate implications</x:v>
      </x:c>
      <x:c r="C36" s="826" t="str">
        <x:v>Research Committee</x:v>
      </x:c>
      <x:c r="D36" s="826" t="str">
        <x:v>Impact routing</x:v>
      </x:c>
      <x:c r="E36" s="826"/>
      <x:c r="F36" s="826"/>
      <x:c r="G36" s="826"/>
      <x:c r="H36" s="826"/>
      <x:c r="I36" s="826"/>
      <x:c r="J36" s="826"/>
      <x:c r="K36" s="826"/>
      <x:c r="L36" s="826"/>
      <x:c r="N36" s="783"/>
      <x:c r="O36" s="783"/>
      <x:c r="P36" s="783"/>
      <x:c r="Q36" s="783"/>
      <x:c r="R36" s="783"/>
      <x:c r="S36" s="783"/>
      <x:c r="T36" s="783"/>
      <x:c r="U36" s="783"/>
      <x:c r="V36" s="783"/>
      <x:c r="W36" s="783"/>
      <x:c r="X36" s="783"/>
    </x:row>
    <x:row r="37">
      <x:c r="A37" s="827" t="str">
        <x:v>4 — Refer</x:v>
      </x:c>
      <x:c r="B37" s="827" t="str">
        <x:v>Send eligible matters to MIAR, thesis/conviction or PEW</x:v>
      </x:c>
      <x:c r="C37" s="827" t="str">
        <x:v>Research Committee</x:v>
      </x:c>
      <x:c r="D37" s="827" t="str">
        <x:v>Controlled referral</x:v>
      </x:c>
      <x:c r="E37" s="827"/>
      <x:c r="F37" s="827"/>
      <x:c r="G37" s="827"/>
      <x:c r="H37" s="827"/>
      <x:c r="I37" s="827"/>
      <x:c r="J37" s="827"/>
      <x:c r="K37" s="827"/>
      <x:c r="L37" s="827"/>
      <x:c r="N37" s="783"/>
      <x:c r="O37" s="783"/>
      <x:c r="P37" s="783"/>
      <x:c r="Q37" s="783"/>
      <x:c r="R37" s="783"/>
      <x:c r="S37" s="783"/>
      <x:c r="T37" s="783"/>
      <x:c r="U37" s="783"/>
      <x:c r="V37" s="783"/>
      <x:c r="W37" s="783"/>
      <x:c r="X37" s="783"/>
    </x:row>
    <x:row r="38">
      <x:c r="A38" s="826" t="str">
        <x:v>5 — Close</x:v>
      </x:c>
      <x:c r="B38" s="826" t="str">
        <x:v>Document disposition, close date and exception rationale</x:v>
      </x:c>
      <x:c r="C38" s="826" t="str">
        <x:v>Research Operations</x:v>
      </x:c>
      <x:c r="D38" s="826" t="str">
        <x:v>Auditable final record</x:v>
      </x:c>
      <x:c r="E38" s="826"/>
      <x:c r="F38" s="826"/>
      <x:c r="G38" s="826"/>
      <x:c r="H38" s="826"/>
      <x:c r="I38" s="826"/>
      <x:c r="J38" s="826"/>
      <x:c r="K38" s="826"/>
      <x:c r="L38" s="826"/>
      <x:c r="N38" s="783"/>
      <x:c r="O38" s="783"/>
      <x:c r="P38" s="783"/>
      <x:c r="Q38" s="783"/>
      <x:c r="R38" s="783"/>
      <x:c r="S38" s="783"/>
      <x:c r="T38" s="783"/>
      <x:c r="U38" s="783"/>
      <x:c r="V38" s="783"/>
      <x:c r="W38" s="783"/>
      <x:c r="X38" s="783"/>
    </x:row>
    <x:row r="41">
      <x:c r="A41" s="774" t="str">
        <x:v>DOWNSTREAM MODULE — RCC-004 MASR REGISTRY &amp; CANDIDATE PIPELINE INSTALLED</x:v>
      </x:c>
      <x:c r="B41" s="774"/>
      <x:c r="C41" s="774"/>
      <x:c r="D41" s="774"/>
      <x:c r="E41" s="774"/>
      <x:c r="F41" s="774"/>
      <x:c r="G41" s="774"/>
      <x:c r="H41" s="774"/>
      <x:c r="I41" s="774"/>
      <x:c r="J41" s="774"/>
      <x:c r="K41" s="774"/>
      <x:c r="L41" s="774"/>
      <x:c r="M41" s="774"/>
      <x:c r="N41" s="774"/>
      <x:c r="O41" s="774"/>
      <x:c r="P41" s="774"/>
      <x:c r="Q41" s="774"/>
      <x:c r="R41" s="774"/>
      <x:c r="S41" s="774"/>
      <x:c r="T41" s="774"/>
      <x:c r="U41" s="774"/>
      <x:c r="V41" s="774"/>
      <x:c r="W41" s="774"/>
      <x:c r="X41" s="774"/>
    </x:row>
    <x:row r="42">
      <x:c r="A42" s="848" t="str">
        <x:v>RCC-004 now receives verified evidence and MIAR-controlled research state, preserves canonical MASR identity, administers approved non-holdings and candidates, applies eligibility and exception gates, records committee dispositions and routes qualified securities to PEW-004 Candidate Comparison. RCC-005 will formalize the verified Zacks / Merrill crosswalk.</x:v>
      </x:c>
      <x:c r="B42" s="848"/>
      <x:c r="C42" s="848"/>
      <x:c r="D42" s="848"/>
      <x:c r="E42" s="848"/>
      <x:c r="F42" s="848"/>
      <x:c r="G42" s="848"/>
      <x:c r="H42" s="848"/>
      <x:c r="I42" s="848"/>
      <x:c r="J42" s="848"/>
      <x:c r="K42" s="848"/>
      <x:c r="L42" s="848"/>
      <x:c r="M42" s="848"/>
      <x:c r="N42" s="848"/>
      <x:c r="O42" s="848"/>
      <x:c r="P42" s="848"/>
      <x:c r="Q42" s="848"/>
      <x:c r="R42" s="848"/>
      <x:c r="S42" s="848"/>
      <x:c r="T42" s="848"/>
      <x:c r="U42" s="848"/>
      <x:c r="V42" s="848"/>
      <x:c r="W42" s="848"/>
      <x:c r="X42" s="848"/>
    </x:row>
    <x:row r="43">
      <x:c r="A43" s="848"/>
      <x:c r="B43" s="848"/>
      <x:c r="C43" s="848"/>
      <x:c r="D43" s="848"/>
      <x:c r="E43" s="848"/>
      <x:c r="F43" s="848"/>
      <x:c r="G43" s="848"/>
      <x:c r="H43" s="848"/>
      <x:c r="I43" s="848"/>
      <x:c r="J43" s="848"/>
      <x:c r="K43" s="848"/>
      <x:c r="L43" s="848"/>
      <x:c r="M43" s="848"/>
      <x:c r="N43" s="848"/>
      <x:c r="O43" s="848"/>
      <x:c r="P43" s="848"/>
      <x:c r="Q43" s="848"/>
      <x:c r="R43" s="848"/>
      <x:c r="S43" s="848"/>
      <x:c r="T43" s="848"/>
      <x:c r="U43" s="848"/>
      <x:c r="V43" s="848"/>
      <x:c r="W43" s="848"/>
      <x:c r="X43" s="848"/>
    </x:row>
    <x:row r="44">
      <x:c r="A44" s="848"/>
      <x:c r="B44" s="848"/>
      <x:c r="C44" s="848"/>
      <x:c r="D44" s="848"/>
      <x:c r="E44" s="848"/>
      <x:c r="F44" s="848"/>
      <x:c r="G44" s="848"/>
      <x:c r="H44" s="848"/>
      <x:c r="I44" s="848"/>
      <x:c r="J44" s="848"/>
      <x:c r="K44" s="848"/>
      <x:c r="L44" s="848"/>
      <x:c r="M44" s="848"/>
      <x:c r="N44" s="848"/>
      <x:c r="O44" s="848"/>
      <x:c r="P44" s="848"/>
      <x:c r="Q44" s="848"/>
      <x:c r="R44" s="848"/>
      <x:c r="S44" s="848"/>
      <x:c r="T44" s="848"/>
      <x:c r="U44" s="848"/>
      <x:c r="V44" s="848"/>
      <x:c r="W44" s="848"/>
      <x:c r="X44" s="848"/>
    </x:row>
    <x:row r="46" ht="28" customHeight="1">
      <x:c r="A46" s="849" t="str">
        <x:v>MOPS-003 CONTROL PRINCIPLE — Research identifies and evaluates change. Portfolio Engineering designs the response. Committee governance authorizes the response. The certified MFPDF remains the sole portfolio system of record.</x:v>
      </x:c>
      <x:c r="B46" s="849"/>
      <x:c r="C46" s="849"/>
      <x:c r="D46" s="849"/>
      <x:c r="E46" s="849"/>
      <x:c r="F46" s="849"/>
      <x:c r="G46" s="849"/>
      <x:c r="H46" s="849"/>
      <x:c r="I46" s="849"/>
      <x:c r="J46" s="849"/>
      <x:c r="K46" s="849"/>
      <x:c r="L46" s="849"/>
      <x:c r="M46" s="849"/>
      <x:c r="N46" s="849"/>
      <x:c r="O46" s="849"/>
      <x:c r="P46" s="849"/>
      <x:c r="Q46" s="849"/>
      <x:c r="R46" s="849"/>
      <x:c r="S46" s="849"/>
      <x:c r="T46" s="849"/>
      <x:c r="U46" s="849"/>
      <x:c r="V46" s="849"/>
      <x:c r="W46" s="849"/>
      <x:c r="X46" s="849"/>
    </x:row>
  </x:sheetData>
  <x:mergeCells>
    <x:mergeCell ref="A1:X1"/>
    <x:mergeCell ref="A2:X2"/>
    <x:mergeCell ref="A3:X3"/>
    <x:mergeCell ref="A5:X5"/>
    <x:mergeCell ref="A6:D6"/>
    <x:mergeCell ref="A7:D9"/>
    <x:mergeCell ref="E6:H6"/>
    <x:mergeCell ref="E7:H9"/>
    <x:mergeCell ref="I6:L6"/>
    <x:mergeCell ref="I7:L9"/>
    <x:mergeCell ref="M6:P6"/>
    <x:mergeCell ref="M7:P9"/>
    <x:mergeCell ref="Q6:T6"/>
    <x:mergeCell ref="Q7:T9"/>
    <x:mergeCell ref="U6:X6"/>
    <x:mergeCell ref="U7:X9"/>
    <x:mergeCell ref="A11:X11"/>
    <x:mergeCell ref="A12:F12"/>
    <x:mergeCell ref="A13:F14"/>
    <x:mergeCell ref="G12:L12"/>
    <x:mergeCell ref="G13:L14"/>
    <x:mergeCell ref="M12:R12"/>
    <x:mergeCell ref="M13:R14"/>
    <x:mergeCell ref="S12:X12"/>
    <x:mergeCell ref="S13:X14"/>
    <x:mergeCell ref="A16:G16"/>
    <x:mergeCell ref="I16:M16"/>
    <x:mergeCell ref="K18:M18"/>
    <x:mergeCell ref="K19:M19"/>
    <x:mergeCell ref="K20:M20"/>
    <x:mergeCell ref="K21:M21"/>
    <x:mergeCell ref="K22:M22"/>
    <x:mergeCell ref="K23:M23"/>
    <x:mergeCell ref="K24:M24"/>
    <x:mergeCell ref="K25:M25"/>
    <x:mergeCell ref="O16:X16"/>
    <x:mergeCell ref="A32:X32"/>
    <x:mergeCell ref="D34:L34"/>
    <x:mergeCell ref="D35:L35"/>
    <x:mergeCell ref="D36:L36"/>
    <x:mergeCell ref="D37:L37"/>
    <x:mergeCell ref="D38:L38"/>
    <x:mergeCell ref="N33:X33"/>
    <x:mergeCell ref="N34:X38"/>
    <x:mergeCell ref="A41:X41"/>
    <x:mergeCell ref="A42:X44"/>
    <x:mergeCell ref="A46:X46"/>
  </x:mergeCells>
  <x:conditionalFormatting sqref="M7:P9">
    <x:cfRule type="expression" dxfId="103" priority="1">
      <x:formula>M7&gt;0</x:formula>
    </x:cfRule>
  </x:conditionalFormatting>
  <x:conditionalFormatting sqref="Q7:T9">
    <x:cfRule type="expression" dxfId="104" priority="2">
      <x:formula>Q7&gt;0</x:formula>
    </x:cfRule>
  </x:conditionalFormatting>
  <x:conditionalFormatting sqref="A13:F14">
    <x:cfRule type="expression" dxfId="105" priority="3">
      <x:formula>A13="CONTROL EXCEPTIONS OPEN"</x:formula>
    </x:cfRule>
    <x:cfRule type="expression" dxfId="106" priority="4">
      <x:formula>OR(A13="ACTIVE — CONTROLS CLEAR",A13="READY — NO RECORDS LOADED")</x:formula>
    </x:cfRule>
  </x:conditionalFormatting>
  <x:pageMargins left="0.7" right="0.7" top="0.75" bottom="0.75" header="0.3" footer="0.3"/>
  <x:drawing xmlns:r="http://schemas.openxmlformats.org/officeDocument/2006/relationships" r:id="Rfda98570caad410b"/>
</x:worksheet>
</file>

<file path=xl/worksheets/sheet28.xml><?xml version="1.0" encoding="utf-8"?>
<x:worksheet xmlns:x="http://schemas.openxmlformats.org/spreadsheetml/2006/main">
  <x:sheetFormatPr defaultRowHeight="15"/>
  <x:cols>
    <x:col min="1" max="1" width="7" hidden="0" customWidth="1"/>
    <x:col min="2" max="2" width="14" hidden="0" customWidth="1"/>
    <x:col min="3" max="3" width="14" hidden="0" customWidth="1"/>
    <x:col min="4" max="4" width="9" hidden="0" customWidth="1"/>
    <x:col min="5" max="5" width="12" hidden="0" customWidth="1"/>
    <x:col min="6" max="6" width="12" hidden="0" customWidth="1"/>
    <x:col min="7" max="7" width="13" hidden="0" customWidth="1"/>
    <x:col min="8" max="8" width="13" hidden="0" customWidth="1"/>
    <x:col min="9" max="9" width="13" hidden="0" customWidth="1"/>
    <x:col min="10" max="10" width="12" hidden="0" customWidth="1"/>
    <x:col min="11" max="11" width="12" hidden="0" customWidth="1"/>
    <x:col min="12" max="12" width="12" hidden="0" customWidth="1"/>
    <x:col min="13" max="13" width="18" hidden="0" customWidth="1"/>
    <x:col min="14" max="14" width="25" hidden="0" customWidth="1"/>
    <x:col min="15" max="15" width="9" hidden="0" customWidth="1"/>
    <x:col min="16" max="16" width="9" hidden="0" customWidth="1"/>
    <x:col min="17" max="17" width="9" hidden="0" customWidth="1"/>
    <x:col min="18" max="18" width="10" hidden="0" customWidth="1"/>
    <x:col min="19" max="19" width="10" hidden="0" customWidth="1"/>
    <x:col min="20" max="20" width="9" hidden="0" customWidth="1"/>
    <x:col min="21" max="21" width="11" hidden="0" customWidth="1"/>
    <x:col min="22" max="22" width="12" hidden="0" customWidth="1"/>
    <x:col min="23" max="23" width="11" hidden="0" customWidth="1"/>
    <x:col min="24" max="24" width="18" hidden="0" customWidth="1"/>
  </x:cols>
  <x:sheetData>
    <x:row r="1" ht="28" customHeight="1">
      <x:c r="A1" s="964" t="str">
        <x:v>MOPS-003 — RCC-003 MIAR DOSSIER CONTROL</x:v>
      </x:c>
      <x:c r="B1" s="964"/>
      <x:c r="C1" s="964"/>
      <x:c r="D1" s="964"/>
      <x:c r="E1" s="964"/>
      <x:c r="F1" s="964"/>
      <x:c r="G1" s="964"/>
      <x:c r="H1" s="964"/>
      <x:c r="I1" s="964"/>
      <x:c r="J1" s="964"/>
      <x:c r="K1" s="964"/>
      <x:c r="L1" s="964"/>
      <x:c r="M1" s="964"/>
      <x:c r="N1" s="964"/>
      <x:c r="O1" s="964"/>
      <x:c r="P1" s="964"/>
      <x:c r="Q1" s="964"/>
      <x:c r="R1" s="964"/>
      <x:c r="S1" s="964"/>
      <x:c r="T1" s="964"/>
      <x:c r="U1" s="964"/>
      <x:c r="V1" s="964"/>
      <x:c r="W1" s="964"/>
      <x:c r="X1" s="964"/>
    </x:row>
    <x:row r="2" ht="21" customHeight="1">
      <x:c r="A2" s="968" t="str">
        <x:v>RCC-003 CONTROL CENTER | FOUNDERS EDITION v1.0 — CONSTRUCTION CANDIDATE</x:v>
      </x:c>
      <x:c r="B2" s="968"/>
      <x:c r="C2" s="968"/>
      <x:c r="D2" s="968"/>
      <x:c r="E2" s="968"/>
      <x:c r="F2" s="968"/>
      <x:c r="G2" s="968"/>
      <x:c r="H2" s="968"/>
      <x:c r="I2" s="968"/>
      <x:c r="J2" s="968"/>
      <x:c r="K2" s="968"/>
      <x:c r="L2" s="968"/>
      <x:c r="M2" s="968"/>
      <x:c r="N2" s="968"/>
      <x:c r="O2" s="968"/>
      <x:c r="P2" s="968"/>
      <x:c r="Q2" s="968"/>
      <x:c r="R2" s="968"/>
      <x:c r="S2" s="968"/>
      <x:c r="T2" s="968"/>
      <x:c r="U2" s="968"/>
      <x:c r="V2" s="968"/>
      <x:c r="W2" s="968"/>
      <x:c r="X2" s="968"/>
    </x:row>
    <x:row r="3" ht="34" customHeight="1">
      <x:c r="A3" s="972" t="str">
        <x:v>RCC-001 through RCC-004 are installed. RCC-003 continues to govern MIAR identity, dossier completeness, research freshness, review cadence, material-event escalation and controlled referral. RCC-005 — Zacks / Merrill Research Crosswalk is next.</x:v>
      </x:c>
      <x:c r="B3" s="972"/>
      <x:c r="C3" s="972"/>
      <x:c r="D3" s="972"/>
      <x:c r="E3" s="972"/>
      <x:c r="F3" s="972"/>
      <x:c r="G3" s="972"/>
      <x:c r="H3" s="972"/>
      <x:c r="I3" s="972"/>
      <x:c r="J3" s="972"/>
      <x:c r="K3" s="972"/>
      <x:c r="L3" s="972"/>
      <x:c r="M3" s="972"/>
      <x:c r="N3" s="972"/>
      <x:c r="O3" s="972"/>
      <x:c r="P3" s="972"/>
      <x:c r="Q3" s="972"/>
      <x:c r="R3" s="972"/>
      <x:c r="S3" s="972"/>
      <x:c r="T3" s="972"/>
      <x:c r="U3" s="972"/>
      <x:c r="V3" s="972"/>
      <x:c r="W3" s="972"/>
      <x:c r="X3" s="972"/>
    </x:row>
    <x:row r="5">
      <x:c r="A5" s="975" t="str">
        <x:v>EXECUTIVE MIAR STATE — RCC-003 INITIALIZED</x:v>
      </x:c>
      <x:c r="B5" s="975"/>
      <x:c r="C5" s="975"/>
      <x:c r="D5" s="975"/>
      <x:c r="E5" s="975"/>
      <x:c r="F5" s="975"/>
      <x:c r="G5" s="975"/>
      <x:c r="H5" s="975"/>
      <x:c r="I5" s="975"/>
      <x:c r="J5" s="975"/>
      <x:c r="K5" s="975"/>
      <x:c r="L5" s="975"/>
      <x:c r="M5" s="975"/>
      <x:c r="N5" s="975"/>
      <x:c r="O5" s="975"/>
      <x:c r="P5" s="975"/>
      <x:c r="Q5" s="975"/>
      <x:c r="R5" s="975"/>
      <x:c r="S5" s="975"/>
      <x:c r="T5" s="975"/>
      <x:c r="U5" s="975"/>
      <x:c r="V5" s="975"/>
      <x:c r="W5" s="975"/>
      <x:c r="X5" s="975"/>
    </x:row>
    <x:row r="6">
      <x:c r="A6" s="958" t="str">
        <x:v>TOTAL MIAR RECORDS</x:v>
      </x:c>
      <x:c r="B6" s="958"/>
      <x:c r="C6" s="958"/>
      <x:c r="D6" s="958"/>
      <x:c r="E6" s="958" t="str">
        <x:v>DOSSIERS COMPLETE</x:v>
      </x:c>
      <x:c r="F6" s="958"/>
      <x:c r="G6" s="958"/>
      <x:c r="H6" s="958"/>
      <x:c r="I6" s="958" t="str">
        <x:v>CURRENT</x:v>
      </x:c>
      <x:c r="J6" s="958"/>
      <x:c r="K6" s="958"/>
      <x:c r="L6" s="958"/>
      <x:c r="M6" s="958" t="str">
        <x:v>DUE / OVERDUE</x:v>
      </x:c>
      <x:c r="N6" s="958"/>
      <x:c r="O6" s="958"/>
      <x:c r="P6" s="958"/>
      <x:c r="Q6" s="958" t="str">
        <x:v>MATERIAL EVENTS</x:v>
      </x:c>
      <x:c r="R6" s="958"/>
      <x:c r="S6" s="958"/>
      <x:c r="T6" s="958"/>
      <x:c r="U6" s="958" t="str">
        <x:v>CONTROL EXCEPTIONS</x:v>
      </x:c>
      <x:c r="V6" s="958"/>
      <x:c r="W6" s="958"/>
      <x:c r="X6" s="958"/>
    </x:row>
    <x:row r="7">
      <x:c r="A7" s="981" t="n">
        <x:f>COUNTA('20 RCC-003 MIAR Registry'!$B$14:$B$60)</x:f>
        <x:v>47</x:v>
      </x:c>
      <x:c r="B7" s="981"/>
      <x:c r="C7" s="981"/>
      <x:c r="D7" s="981"/>
      <x:c r="E7" s="981" t="n">
        <x:f>COUNTIF('20 RCC-003 MIAR Registry'!$AA$14:$AA$60,"COMPLETE")</x:f>
        <x:v>0</x:v>
      </x:c>
      <x:c r="F7" s="981"/>
      <x:c r="G7" s="981"/>
      <x:c r="H7" s="981"/>
      <x:c r="I7" s="981" t="n">
        <x:f>COUNTIF('20 RCC-003 MIAR Registry'!$Z$14:$Z$60,"CURRENT")</x:f>
        <x:v>0</x:v>
      </x:c>
      <x:c r="J7" s="981"/>
      <x:c r="K7" s="981"/>
      <x:c r="L7" s="981"/>
      <x:c r="M7" s="982" t="n">
        <x:f>COUNTIF('20 RCC-003 MIAR Registry'!$Z$14:$Z$60,"UPDATE DUE")+COUNTIF('20 RCC-003 MIAR Registry'!$Z$14:$Z$60,"REVIEW DUE")+COUNTIF('20 RCC-003 MIAR Registry'!$Z$14:$Z$60,"OVERDUE")</x:f>
        <x:v>0</x:v>
      </x:c>
      <x:c r="N7" s="982"/>
      <x:c r="O7" s="982"/>
      <x:c r="P7" s="982"/>
      <x:c r="Q7" s="983" t="n">
        <x:f>COUNTIF('20 RCC-003 MIAR Registry'!$Z$14:$Z$60,"MATERIAL EVENT REVIEW")</x:f>
        <x:v>0</x:v>
      </x:c>
      <x:c r="R7" s="983"/>
      <x:c r="S7" s="983"/>
      <x:c r="T7" s="983"/>
      <x:c r="U7" s="983" t="n">
        <x:f>COUNTIFS('20 RCC-003 MIAR Registry'!$B$14:$B$60,"&lt;&gt;",'20 RCC-003 MIAR Registry'!$AB$14:$AB$60,"&lt;&gt;CONTROL CLEAR")</x:f>
        <x:v>47</x:v>
      </x:c>
      <x:c r="V7" s="983"/>
      <x:c r="W7" s="983"/>
      <x:c r="X7" s="983"/>
    </x:row>
    <x:row r="8">
      <x:c r="A8" s="981"/>
      <x:c r="B8" s="981"/>
      <x:c r="C8" s="981"/>
      <x:c r="D8" s="981"/>
      <x:c r="E8" s="981"/>
      <x:c r="F8" s="981"/>
      <x:c r="G8" s="981"/>
      <x:c r="H8" s="981"/>
      <x:c r="I8" s="981"/>
      <x:c r="J8" s="981"/>
      <x:c r="K8" s="981"/>
      <x:c r="L8" s="981"/>
      <x:c r="M8" s="982"/>
      <x:c r="N8" s="982"/>
      <x:c r="O8" s="982"/>
      <x:c r="P8" s="982"/>
      <x:c r="Q8" s="983"/>
      <x:c r="R8" s="983"/>
      <x:c r="S8" s="983"/>
      <x:c r="T8" s="983"/>
      <x:c r="U8" s="983"/>
      <x:c r="V8" s="983"/>
      <x:c r="W8" s="983"/>
      <x:c r="X8" s="983"/>
    </x:row>
    <x:row r="9">
      <x:c r="A9" s="981"/>
      <x:c r="B9" s="981"/>
      <x:c r="C9" s="981"/>
      <x:c r="D9" s="981"/>
      <x:c r="E9" s="981"/>
      <x:c r="F9" s="981"/>
      <x:c r="G9" s="981"/>
      <x:c r="H9" s="981"/>
      <x:c r="I9" s="981"/>
      <x:c r="J9" s="981"/>
      <x:c r="K9" s="981"/>
      <x:c r="L9" s="981"/>
      <x:c r="M9" s="982"/>
      <x:c r="N9" s="982"/>
      <x:c r="O9" s="982"/>
      <x:c r="P9" s="982"/>
      <x:c r="Q9" s="983"/>
      <x:c r="R9" s="983"/>
      <x:c r="S9" s="983"/>
      <x:c r="T9" s="983"/>
      <x:c r="U9" s="983"/>
      <x:c r="V9" s="983"/>
      <x:c r="W9" s="983"/>
      <x:c r="X9" s="983"/>
    </x:row>
    <x:row r="11">
      <x:c r="A11" s="975" t="str">
        <x:v>READINESS AND ROUTING STATE</x:v>
      </x:c>
      <x:c r="B11" s="975"/>
      <x:c r="C11" s="975"/>
      <x:c r="D11" s="975"/>
      <x:c r="E11" s="975"/>
      <x:c r="F11" s="975"/>
      <x:c r="G11" s="975"/>
      <x:c r="H11" s="975"/>
      <x:c r="I11" s="975"/>
      <x:c r="J11" s="975"/>
      <x:c r="K11" s="975"/>
      <x:c r="L11" s="975"/>
      <x:c r="M11" s="975"/>
      <x:c r="N11" s="975"/>
      <x:c r="O11" s="975"/>
      <x:c r="P11" s="975"/>
      <x:c r="Q11" s="975"/>
      <x:c r="R11" s="975"/>
      <x:c r="S11" s="975"/>
      <x:c r="T11" s="975"/>
      <x:c r="U11" s="975"/>
      <x:c r="V11" s="975"/>
      <x:c r="W11" s="975"/>
      <x:c r="X11" s="975"/>
    </x:row>
    <x:row r="12">
      <x:c r="A12" s="958" t="str">
        <x:v>RCC-003 READINESS</x:v>
      </x:c>
      <x:c r="B12" s="958"/>
      <x:c r="C12" s="958"/>
      <x:c r="D12" s="958"/>
      <x:c r="E12" s="958"/>
      <x:c r="F12" s="958"/>
      <x:c r="G12" s="958" t="str">
        <x:v>DOSSIER COVERAGE</x:v>
      </x:c>
      <x:c r="H12" s="958"/>
      <x:c r="I12" s="958"/>
      <x:c r="J12" s="958"/>
      <x:c r="K12" s="958"/>
      <x:c r="L12" s="958"/>
      <x:c r="M12" s="958" t="str">
        <x:v>EVIDENCE / MIAR ACTIONS</x:v>
      </x:c>
      <x:c r="N12" s="958"/>
      <x:c r="O12" s="958"/>
      <x:c r="P12" s="958"/>
      <x:c r="Q12" s="958"/>
      <x:c r="R12" s="958"/>
      <x:c r="S12" s="958" t="str">
        <x:v>RCC-007 REFERRALS</x:v>
      </x:c>
      <x:c r="T12" s="958"/>
      <x:c r="U12" s="958"/>
      <x:c r="V12" s="958"/>
      <x:c r="W12" s="958"/>
      <x:c r="X12" s="958"/>
    </x:row>
    <x:row r="13">
      <x:c r="A13" s="988" t="str">
        <x:f>IF(A7=0,"NOT INITIALIZED",IF(U7&gt;0,"SETUP / CONTROL EXCEPTIONS OPEN","ACTIVE — CONTROLS CLEAR"))</x:f>
        <x:v>SETUP / CONTROL EXCEPTIONS OPEN</x:v>
      </x:c>
      <x:c r="B13" s="988"/>
      <x:c r="C13" s="988"/>
      <x:c r="D13" s="988"/>
      <x:c r="E13" s="988"/>
      <x:c r="F13" s="988"/>
      <x:c r="G13" s="987" t="str">
        <x:f>E7&amp;" OF "&amp;A7&amp;" COMPLETE"</x:f>
        <x:v>0 OF 47 COMPLETE</x:v>
      </x:c>
      <x:c r="H13" s="987"/>
      <x:c r="I13" s="987"/>
      <x:c r="J13" s="987"/>
      <x:c r="K13" s="987"/>
      <x:c r="L13" s="987"/>
      <x:c r="M13" s="988" t="n">
        <x:f>SUM('20 RCC-003 MIAR Registry'!$X$14:$X$60)</x:f>
        <x:v>0</x:v>
      </x:c>
      <x:c r="N13" s="988"/>
      <x:c r="O13" s="988"/>
      <x:c r="P13" s="988"/>
      <x:c r="Q13" s="988"/>
      <x:c r="R13" s="988"/>
      <x:c r="S13" s="989" t="n">
        <x:f>COUNTIF('20 RCC-003 MIAR Registry'!$AD$14:$AD$60,"REFER TO RCC-007")</x:f>
        <x:v>0</x:v>
      </x:c>
      <x:c r="T13" s="989"/>
      <x:c r="U13" s="989"/>
      <x:c r="V13" s="989"/>
      <x:c r="W13" s="989"/>
      <x:c r="X13" s="989"/>
    </x:row>
    <x:row r="14">
      <x:c r="A14" s="988"/>
      <x:c r="B14" s="988"/>
      <x:c r="C14" s="988"/>
      <x:c r="D14" s="988"/>
      <x:c r="E14" s="988"/>
      <x:c r="F14" s="988"/>
      <x:c r="G14" s="987"/>
      <x:c r="H14" s="987"/>
      <x:c r="I14" s="987"/>
      <x:c r="J14" s="987"/>
      <x:c r="K14" s="987"/>
      <x:c r="L14" s="987"/>
      <x:c r="M14" s="988"/>
      <x:c r="N14" s="988"/>
      <x:c r="O14" s="988"/>
      <x:c r="P14" s="988"/>
      <x:c r="Q14" s="988"/>
      <x:c r="R14" s="988"/>
      <x:c r="S14" s="989"/>
      <x:c r="T14" s="989"/>
      <x:c r="U14" s="989"/>
      <x:c r="V14" s="989"/>
      <x:c r="W14" s="989"/>
      <x:c r="X14" s="989"/>
    </x:row>
    <x:row r="16">
      <x:c r="A16" s="975" t="str">
        <x:v>MIAR CONTROL EXCEPTIONS</x:v>
      </x:c>
      <x:c r="B16" s="975"/>
      <x:c r="C16" s="975"/>
      <x:c r="D16" s="975"/>
      <x:c r="E16" s="975"/>
      <x:c r="F16" s="975"/>
      <x:c r="G16" s="975"/>
      <x:c r="H16" s="975"/>
      <x:c r="I16" s="975"/>
      <x:c r="J16" s="975"/>
      <x:c r="K16" s="975"/>
      <x:c r="L16" s="975"/>
      <x:c r="M16" s="975"/>
      <x:c r="N16" s="975" t="str">
        <x:v>SLEEVE MIAR COVERAGE</x:v>
      </x:c>
      <x:c r="O16" s="975"/>
      <x:c r="P16" s="975"/>
      <x:c r="Q16" s="975"/>
      <x:c r="R16" s="975"/>
      <x:c r="S16" s="975"/>
      <x:c r="T16" s="975"/>
      <x:c r="U16" s="975"/>
      <x:c r="V16" s="975"/>
      <x:c r="W16" s="975"/>
      <x:c r="X16" s="975"/>
    </x:row>
    <x:row r="17" ht="34" customHeight="1">
      <x:c r="A17" s="958" t="str">
        <x:v>Priority</x:v>
      </x:c>
      <x:c r="B17" s="958" t="str">
        <x:v>Control / Trigger</x:v>
      </x:c>
      <x:c r="C17" s="958"/>
      <x:c r="D17" s="958" t="str">
        <x:v>Count</x:v>
      </x:c>
      <x:c r="E17" s="958" t="str">
        <x:v>Current State</x:v>
      </x:c>
      <x:c r="F17" s="958"/>
      <x:c r="G17" s="958" t="str">
        <x:v>Required Action</x:v>
      </x:c>
      <x:c r="H17" s="958"/>
      <x:c r="I17" s="958"/>
      <x:c r="J17" s="958" t="str">
        <x:v>Authority</x:v>
      </x:c>
      <x:c r="K17" s="958"/>
      <x:c r="L17" s="958" t="str">
        <x:v>Destination</x:v>
      </x:c>
      <x:c r="M17" s="958" t="str">
        <x:v>Governance Impact</x:v>
      </x:c>
      <x:c r="N17" s="958" t="str">
        <x:v>Sleeve</x:v>
      </x:c>
      <x:c r="O17" s="958" t="str">
        <x:v>Records</x:v>
      </x:c>
      <x:c r="P17" s="958" t="str">
        <x:v>Complete</x:v>
      </x:c>
      <x:c r="Q17" s="958" t="str">
        <x:v>Current</x:v>
      </x:c>
      <x:c r="R17" s="958" t="str">
        <x:v>Update Due</x:v>
      </x:c>
      <x:c r="S17" s="958" t="str">
        <x:v>Review Due</x:v>
      </x:c>
      <x:c r="T17" s="958" t="str">
        <x:v>Overdue</x:v>
      </x:c>
      <x:c r="U17" s="958" t="str">
        <x:v>Material Event</x:v>
      </x:c>
      <x:c r="V17" s="958" t="str">
        <x:v>Setup Required</x:v>
      </x:c>
      <x:c r="W17" s="958" t="str">
        <x:v>Coverage %</x:v>
      </x:c>
      <x:c r="X17" s="958" t="str">
        <x:v>Primary Control State</x:v>
      </x:c>
    </x:row>
    <x:row r="18" ht="30" customHeight="1">
      <x:c r="A18" s="990" t="n">
        <x:v>1</x:v>
      </x:c>
      <x:c r="B18" s="962" t="str">
        <x:v>Canonical MIAR IDs missing</x:v>
      </x:c>
      <x:c r="C18" s="962"/>
      <x:c r="D18" s="991" t="n">
        <x:f>SUMPRODUCT(--('20 RCC-003 MIAR Registry'!$B$14:$B$60&lt;&gt;""),--('20 RCC-003 MIAR Registry'!$A$14:$A$60=""))</x:f>
        <x:v>47</x:v>
      </x:c>
      <x:c r="E18" s="990" t="str">
        <x:f>IF(D18=0,"PASS","ACTION REQUIRED")</x:f>
        <x:v>ACTION REQUIRED</x:v>
      </x:c>
      <x:c r="F18" s="962"/>
      <x:c r="G18" s="962" t="str">
        <x:v>Assign the existing canonical MIAR identifier to every certified holding</x:v>
      </x:c>
      <x:c r="H18" s="962"/>
      <x:c r="I18" s="962"/>
      <x:c r="J18" s="962" t="str">
        <x:v>Research Operations</x:v>
      </x:c>
      <x:c r="K18" s="962"/>
      <x:c r="L18" s="962" t="str">
        <x:v>20 MIAR Registry</x:v>
      </x:c>
      <x:c r="M18" s="962" t="str">
        <x:v>Blocks dossier certification</x:v>
      </x:c>
      <x:c r="N18" s="962" t="str">
        <x:v>Strategic Anchors</x:v>
      </x:c>
      <x:c r="O18" s="990" t="n">
        <x:f>COUNTIF('20 RCC-003 MIAR Registry'!$D$14:$D$60,N18)</x:f>
        <x:v>9</x:v>
      </x:c>
      <x:c r="P18" s="990" t="n">
        <x:f>COUNTIFS('20 RCC-003 MIAR Registry'!$D$14:$D$60,N18,'20 RCC-003 MIAR Registry'!$AA$14:$AA$60,"COMPLETE")</x:f>
        <x:v>0</x:v>
      </x:c>
      <x:c r="Q18" s="990" t="n">
        <x:f>COUNTIFS('20 RCC-003 MIAR Registry'!$D$14:$D$60,N18,'20 RCC-003 MIAR Registry'!$Z$14:$Z$60,"CURRENT")</x:f>
        <x:v>0</x:v>
      </x:c>
      <x:c r="R18" s="990" t="n">
        <x:f>COUNTIFS('20 RCC-003 MIAR Registry'!$D$14:$D$60,N18,'20 RCC-003 MIAR Registry'!$Z$14:$Z$60,"UPDATE DUE")</x:f>
        <x:v>0</x:v>
      </x:c>
      <x:c r="S18" s="990" t="n">
        <x:f>COUNTIFS('20 RCC-003 MIAR Registry'!$D$14:$D$60,N18,'20 RCC-003 MIAR Registry'!$Z$14:$Z$60,"REVIEW DUE")</x:f>
        <x:v>0</x:v>
      </x:c>
      <x:c r="T18" s="990" t="n">
        <x:f>COUNTIFS('20 RCC-003 MIAR Registry'!$D$14:$D$60,N18,'20 RCC-003 MIAR Registry'!$Z$14:$Z$60,"OVERDUE")</x:f>
        <x:v>0</x:v>
      </x:c>
      <x:c r="U18" s="990" t="n">
        <x:f>COUNTIFS('20 RCC-003 MIAR Registry'!$D$14:$D$60,N18,'20 RCC-003 MIAR Registry'!$Z$14:$Z$60,"MATERIAL EVENT REVIEW")</x:f>
        <x:v>0</x:v>
      </x:c>
      <x:c r="V18" s="990" t="n">
        <x:f>COUNTIFS('20 RCC-003 MIAR Registry'!$D$14:$D$60,N18,'20 RCC-003 MIAR Registry'!$AB$14:$AB$60,"&lt;&gt;CONTROL CLEAR")</x:f>
        <x:v>9</x:v>
      </x:c>
      <x:c r="W18" s="997" t="n">
        <x:f>IF(O18=0,0,P18/O18)</x:f>
        <x:v>0</x:v>
      </x:c>
      <x:c r="X18" s="962" t="str">
        <x:f>IF(U18&gt;0,"MATERIAL EVENT",IF(T18&gt;0,"OVERDUE",IF(S18&gt;0,"REVIEW DUE",IF(V18&gt;0,"SETUP REQUIRED","CONTROL CLEAR"))))</x:f>
        <x:v>SETUP REQUIRED</x:v>
      </x:c>
    </x:row>
    <x:row r="19" ht="30" customHeight="1">
      <x:c r="A19" s="995" t="n">
        <x:v>2</x:v>
      </x:c>
      <x:c r="B19" s="994" t="str">
        <x:v>Record status missing</x:v>
      </x:c>
      <x:c r="C19" s="994"/>
      <x:c r="D19" s="996" t="n">
        <x:f>SUMPRODUCT(--('20 RCC-003 MIAR Registry'!$B$14:$B$60&lt;&gt;""),--('20 RCC-003 MIAR Registry'!$M$14:$M$60=""))</x:f>
        <x:v>47</x:v>
      </x:c>
      <x:c r="E19" s="995" t="str">
        <x:f>IF(D19=0,"PASS","ACTION REQUIRED")</x:f>
        <x:v>ACTION REQUIRED</x:v>
      </x:c>
      <x:c r="F19" s="994"/>
      <x:c r="G19" s="994" t="str">
        <x:v>Assign dossier state and certification posture</x:v>
      </x:c>
      <x:c r="H19" s="994"/>
      <x:c r="I19" s="994"/>
      <x:c r="J19" s="994" t="str">
        <x:v>Research Committee</x:v>
      </x:c>
      <x:c r="K19" s="994"/>
      <x:c r="L19" s="994" t="str">
        <x:v>20 MIAR Registry</x:v>
      </x:c>
      <x:c r="M19" s="994" t="str">
        <x:v>Controls record lifecycle</x:v>
      </x:c>
      <x:c r="N19" s="994" t="str">
        <x:v>Growth Compounders</x:v>
      </x:c>
      <x:c r="O19" s="995" t="n">
        <x:f>COUNTIF('20 RCC-003 MIAR Registry'!$D$14:$D$60,N19)</x:f>
        <x:v>6</x:v>
      </x:c>
      <x:c r="P19" s="995" t="n">
        <x:f>COUNTIFS('20 RCC-003 MIAR Registry'!$D$14:$D$60,N19,'20 RCC-003 MIAR Registry'!$AA$14:$AA$60,"COMPLETE")</x:f>
        <x:v>0</x:v>
      </x:c>
      <x:c r="Q19" s="995" t="n">
        <x:f>COUNTIFS('20 RCC-003 MIAR Registry'!$D$14:$D$60,N19,'20 RCC-003 MIAR Registry'!$Z$14:$Z$60,"CURRENT")</x:f>
        <x:v>0</x:v>
      </x:c>
      <x:c r="R19" s="995" t="n">
        <x:f>COUNTIFS('20 RCC-003 MIAR Registry'!$D$14:$D$60,N19,'20 RCC-003 MIAR Registry'!$Z$14:$Z$60,"UPDATE DUE")</x:f>
        <x:v>0</x:v>
      </x:c>
      <x:c r="S19" s="995" t="n">
        <x:f>COUNTIFS('20 RCC-003 MIAR Registry'!$D$14:$D$60,N19,'20 RCC-003 MIAR Registry'!$Z$14:$Z$60,"REVIEW DUE")</x:f>
        <x:v>0</x:v>
      </x:c>
      <x:c r="T19" s="995" t="n">
        <x:f>COUNTIFS('20 RCC-003 MIAR Registry'!$D$14:$D$60,N19,'20 RCC-003 MIAR Registry'!$Z$14:$Z$60,"OVERDUE")</x:f>
        <x:v>0</x:v>
      </x:c>
      <x:c r="U19" s="995" t="n">
        <x:f>COUNTIFS('20 RCC-003 MIAR Registry'!$D$14:$D$60,N19,'20 RCC-003 MIAR Registry'!$Z$14:$Z$60,"MATERIAL EVENT REVIEW")</x:f>
        <x:v>0</x:v>
      </x:c>
      <x:c r="V19" s="995" t="n">
        <x:f>COUNTIFS('20 RCC-003 MIAR Registry'!$D$14:$D$60,N19,'20 RCC-003 MIAR Registry'!$AB$14:$AB$60,"&lt;&gt;CONTROL CLEAR")</x:f>
        <x:v>6</x:v>
      </x:c>
      <x:c r="W19" s="998" t="n">
        <x:f>IF(O19=0,0,P19/O19)</x:f>
        <x:v>0</x:v>
      </x:c>
      <x:c r="X19" s="994" t="str">
        <x:f>IF(U19&gt;0,"MATERIAL EVENT",IF(T19&gt;0,"OVERDUE",IF(S19&gt;0,"REVIEW DUE",IF(V19&gt;0,"SETUP REQUIRED","CONTROL CLEAR"))))</x:f>
        <x:v>SETUP REQUIRED</x:v>
      </x:c>
    </x:row>
    <x:row r="20" ht="30" customHeight="1">
      <x:c r="A20" s="990" t="n">
        <x:v>3</x:v>
      </x:c>
      <x:c r="B20" s="962" t="str">
        <x:v>Research owners missing</x:v>
      </x:c>
      <x:c r="C20" s="962"/>
      <x:c r="D20" s="991" t="n">
        <x:f>SUMPRODUCT(--('20 RCC-003 MIAR Registry'!$B$14:$B$60&lt;&gt;""),--('20 RCC-003 MIAR Registry'!$N$14:$N$60=""))</x:f>
        <x:v>47</x:v>
      </x:c>
      <x:c r="E20" s="990" t="str">
        <x:f>IF(D20=0,"PASS","ACTION REQUIRED")</x:f>
        <x:v>ACTION REQUIRED</x:v>
      </x:c>
      <x:c r="F20" s="962"/>
      <x:c r="G20" s="962" t="str">
        <x:v>Assign accountable research owner</x:v>
      </x:c>
      <x:c r="H20" s="962"/>
      <x:c r="I20" s="962"/>
      <x:c r="J20" s="962" t="str">
        <x:v>Research Operations</x:v>
      </x:c>
      <x:c r="K20" s="962"/>
      <x:c r="L20" s="962" t="str">
        <x:v>20 MIAR Registry</x:v>
      </x:c>
      <x:c r="M20" s="962" t="str">
        <x:v>Controls ownership and due dates</x:v>
      </x:c>
      <x:c r="N20" s="962" t="str">
        <x:v>Digital Infrastructure &amp; AI</x:v>
      </x:c>
      <x:c r="O20" s="990" t="n">
        <x:f>COUNTIF('20 RCC-003 MIAR Registry'!$D$14:$D$60,N20)</x:f>
        <x:v>8</x:v>
      </x:c>
      <x:c r="P20" s="990" t="n">
        <x:f>COUNTIFS('20 RCC-003 MIAR Registry'!$D$14:$D$60,N20,'20 RCC-003 MIAR Registry'!$AA$14:$AA$60,"COMPLETE")</x:f>
        <x:v>0</x:v>
      </x:c>
      <x:c r="Q20" s="990" t="n">
        <x:f>COUNTIFS('20 RCC-003 MIAR Registry'!$D$14:$D$60,N20,'20 RCC-003 MIAR Registry'!$Z$14:$Z$60,"CURRENT")</x:f>
        <x:v>0</x:v>
      </x:c>
      <x:c r="R20" s="990" t="n">
        <x:f>COUNTIFS('20 RCC-003 MIAR Registry'!$D$14:$D$60,N20,'20 RCC-003 MIAR Registry'!$Z$14:$Z$60,"UPDATE DUE")</x:f>
        <x:v>0</x:v>
      </x:c>
      <x:c r="S20" s="990" t="n">
        <x:f>COUNTIFS('20 RCC-003 MIAR Registry'!$D$14:$D$60,N20,'20 RCC-003 MIAR Registry'!$Z$14:$Z$60,"REVIEW DUE")</x:f>
        <x:v>0</x:v>
      </x:c>
      <x:c r="T20" s="990" t="n">
        <x:f>COUNTIFS('20 RCC-003 MIAR Registry'!$D$14:$D$60,N20,'20 RCC-003 MIAR Registry'!$Z$14:$Z$60,"OVERDUE")</x:f>
        <x:v>0</x:v>
      </x:c>
      <x:c r="U20" s="990" t="n">
        <x:f>COUNTIFS('20 RCC-003 MIAR Registry'!$D$14:$D$60,N20,'20 RCC-003 MIAR Registry'!$Z$14:$Z$60,"MATERIAL EVENT REVIEW")</x:f>
        <x:v>0</x:v>
      </x:c>
      <x:c r="V20" s="990" t="n">
        <x:f>COUNTIFS('20 RCC-003 MIAR Registry'!$D$14:$D$60,N20,'20 RCC-003 MIAR Registry'!$AB$14:$AB$60,"&lt;&gt;CONTROL CLEAR")</x:f>
        <x:v>8</x:v>
      </x:c>
      <x:c r="W20" s="997" t="n">
        <x:f>IF(O20=0,0,P20/O20)</x:f>
        <x:v>0</x:v>
      </x:c>
      <x:c r="X20" s="962" t="str">
        <x:f>IF(U20&gt;0,"MATERIAL EVENT",IF(T20&gt;0,"OVERDUE",IF(S20&gt;0,"REVIEW DUE",IF(V20&gt;0,"SETUP REQUIRED","CONTROL CLEAR"))))</x:f>
        <x:v>SETUP REQUIRED</x:v>
      </x:c>
    </x:row>
    <x:row r="21" ht="30" customHeight="1">
      <x:c r="A21" s="995" t="n">
        <x:v>4</x:v>
      </x:c>
      <x:c r="B21" s="994" t="str">
        <x:v>Review cadence missing</x:v>
      </x:c>
      <x:c r="C21" s="994"/>
      <x:c r="D21" s="996" t="n">
        <x:f>SUMPRODUCT(--('20 RCC-003 MIAR Registry'!$B$14:$B$60&lt;&gt;""),--('20 RCC-003 MIAR Registry'!$O$14:$O$60=""))</x:f>
        <x:v>47</x:v>
      </x:c>
      <x:c r="E21" s="995" t="str">
        <x:f>IF(D21=0,"PASS","ACTION REQUIRED")</x:f>
        <x:v>ACTION REQUIRED</x:v>
      </x:c>
      <x:c r="F21" s="994"/>
      <x:c r="G21" s="994" t="str">
        <x:v>Assign annual, semiannual, quarterly or event-driven cadence</x:v>
      </x:c>
      <x:c r="H21" s="994"/>
      <x:c r="I21" s="994"/>
      <x:c r="J21" s="994" t="str">
        <x:v>Research Committee</x:v>
      </x:c>
      <x:c r="K21" s="994"/>
      <x:c r="L21" s="994" t="str">
        <x:v>20 MIAR Registry</x:v>
      </x:c>
      <x:c r="M21" s="994" t="str">
        <x:v>Controls freshness logic</x:v>
      </x:c>
      <x:c r="N21" s="994" t="str">
        <x:v>Industrials &amp; Infrastructure</x:v>
      </x:c>
      <x:c r="O21" s="995" t="n">
        <x:f>COUNTIF('20 RCC-003 MIAR Registry'!$D$14:$D$60,N21)</x:f>
        <x:v>9</x:v>
      </x:c>
      <x:c r="P21" s="995" t="n">
        <x:f>COUNTIFS('20 RCC-003 MIAR Registry'!$D$14:$D$60,N21,'20 RCC-003 MIAR Registry'!$AA$14:$AA$60,"COMPLETE")</x:f>
        <x:v>0</x:v>
      </x:c>
      <x:c r="Q21" s="995" t="n">
        <x:f>COUNTIFS('20 RCC-003 MIAR Registry'!$D$14:$D$60,N21,'20 RCC-003 MIAR Registry'!$Z$14:$Z$60,"CURRENT")</x:f>
        <x:v>0</x:v>
      </x:c>
      <x:c r="R21" s="995" t="n">
        <x:f>COUNTIFS('20 RCC-003 MIAR Registry'!$D$14:$D$60,N21,'20 RCC-003 MIAR Registry'!$Z$14:$Z$60,"UPDATE DUE")</x:f>
        <x:v>0</x:v>
      </x:c>
      <x:c r="S21" s="995" t="n">
        <x:f>COUNTIFS('20 RCC-003 MIAR Registry'!$D$14:$D$60,N21,'20 RCC-003 MIAR Registry'!$Z$14:$Z$60,"REVIEW DUE")</x:f>
        <x:v>0</x:v>
      </x:c>
      <x:c r="T21" s="995" t="n">
        <x:f>COUNTIFS('20 RCC-003 MIAR Registry'!$D$14:$D$60,N21,'20 RCC-003 MIAR Registry'!$Z$14:$Z$60,"OVERDUE")</x:f>
        <x:v>0</x:v>
      </x:c>
      <x:c r="U21" s="995" t="n">
        <x:f>COUNTIFS('20 RCC-003 MIAR Registry'!$D$14:$D$60,N21,'20 RCC-003 MIAR Registry'!$Z$14:$Z$60,"MATERIAL EVENT REVIEW")</x:f>
        <x:v>0</x:v>
      </x:c>
      <x:c r="V21" s="995" t="n">
        <x:f>COUNTIFS('20 RCC-003 MIAR Registry'!$D$14:$D$60,N21,'20 RCC-003 MIAR Registry'!$AB$14:$AB$60,"&lt;&gt;CONTROL CLEAR")</x:f>
        <x:v>9</x:v>
      </x:c>
      <x:c r="W21" s="998" t="n">
        <x:f>IF(O21=0,0,P21/O21)</x:f>
        <x:v>0</x:v>
      </x:c>
      <x:c r="X21" s="994" t="str">
        <x:f>IF(U21&gt;0,"MATERIAL EVENT",IF(T21&gt;0,"OVERDUE",IF(S21&gt;0,"REVIEW DUE",IF(V21&gt;0,"SETUP REQUIRED","CONTROL CLEAR"))))</x:f>
        <x:v>SETUP REQUIRED</x:v>
      </x:c>
    </x:row>
    <x:row r="22" ht="30" customHeight="1">
      <x:c r="A22" s="990" t="n">
        <x:v>5</x:v>
      </x:c>
      <x:c r="B22" s="962" t="str">
        <x:v>Full-review dates missing</x:v>
      </x:c>
      <x:c r="C22" s="962"/>
      <x:c r="D22" s="991" t="n">
        <x:f>SUMPRODUCT(--('20 RCC-003 MIAR Registry'!$B$14:$B$60&lt;&gt;""),--('20 RCC-003 MIAR Registry'!$Q$14:$Q$60=""))</x:f>
        <x:v>47</x:v>
      </x:c>
      <x:c r="E22" s="990" t="str">
        <x:f>IF(D22=0,"PASS","ACTION REQUIRED")</x:f>
        <x:v>ACTION REQUIRED</x:v>
      </x:c>
      <x:c r="F22" s="962"/>
      <x:c r="G22" s="962" t="str">
        <x:v>Enter last certified full-review date</x:v>
      </x:c>
      <x:c r="H22" s="962"/>
      <x:c r="I22" s="962"/>
      <x:c r="J22" s="962" t="str">
        <x:v>Research Operations</x:v>
      </x:c>
      <x:c r="K22" s="962"/>
      <x:c r="L22" s="962" t="str">
        <x:v>20 MIAR Registry</x:v>
      </x:c>
      <x:c r="M22" s="962" t="str">
        <x:v>Required for scheduled review</x:v>
      </x:c>
      <x:c r="N22" s="962" t="str">
        <x:v>Financial Infrastructure</x:v>
      </x:c>
      <x:c r="O22" s="990" t="n">
        <x:f>COUNTIF('20 RCC-003 MIAR Registry'!$D$14:$D$60,N22)</x:f>
        <x:v>5</x:v>
      </x:c>
      <x:c r="P22" s="990" t="n">
        <x:f>COUNTIFS('20 RCC-003 MIAR Registry'!$D$14:$D$60,N22,'20 RCC-003 MIAR Registry'!$AA$14:$AA$60,"COMPLETE")</x:f>
        <x:v>0</x:v>
      </x:c>
      <x:c r="Q22" s="990" t="n">
        <x:f>COUNTIFS('20 RCC-003 MIAR Registry'!$D$14:$D$60,N22,'20 RCC-003 MIAR Registry'!$Z$14:$Z$60,"CURRENT")</x:f>
        <x:v>0</x:v>
      </x:c>
      <x:c r="R22" s="990" t="n">
        <x:f>COUNTIFS('20 RCC-003 MIAR Registry'!$D$14:$D$60,N22,'20 RCC-003 MIAR Registry'!$Z$14:$Z$60,"UPDATE DUE")</x:f>
        <x:v>0</x:v>
      </x:c>
      <x:c r="S22" s="990" t="n">
        <x:f>COUNTIFS('20 RCC-003 MIAR Registry'!$D$14:$D$60,N22,'20 RCC-003 MIAR Registry'!$Z$14:$Z$60,"REVIEW DUE")</x:f>
        <x:v>0</x:v>
      </x:c>
      <x:c r="T22" s="990" t="n">
        <x:f>COUNTIFS('20 RCC-003 MIAR Registry'!$D$14:$D$60,N22,'20 RCC-003 MIAR Registry'!$Z$14:$Z$60,"OVERDUE")</x:f>
        <x:v>0</x:v>
      </x:c>
      <x:c r="U22" s="990" t="n">
        <x:f>COUNTIFS('20 RCC-003 MIAR Registry'!$D$14:$D$60,N22,'20 RCC-003 MIAR Registry'!$Z$14:$Z$60,"MATERIAL EVENT REVIEW")</x:f>
        <x:v>0</x:v>
      </x:c>
      <x:c r="V22" s="990" t="n">
        <x:f>COUNTIFS('20 RCC-003 MIAR Registry'!$D$14:$D$60,N22,'20 RCC-003 MIAR Registry'!$AB$14:$AB$60,"&lt;&gt;CONTROL CLEAR")</x:f>
        <x:v>5</x:v>
      </x:c>
      <x:c r="W22" s="997" t="n">
        <x:f>IF(O22=0,0,P22/O22)</x:f>
        <x:v>0</x:v>
      </x:c>
      <x:c r="X22" s="962" t="str">
        <x:f>IF(U22&gt;0,"MATERIAL EVENT",IF(T22&gt;0,"OVERDUE",IF(S22&gt;0,"REVIEW DUE",IF(V22&gt;0,"SETUP REQUIRED","CONTROL CLEAR"))))</x:f>
        <x:v>SETUP REQUIRED</x:v>
      </x:c>
    </x:row>
    <x:row r="23" ht="30" customHeight="1">
      <x:c r="A23" s="995" t="n">
        <x:v>6</x:v>
      </x:c>
      <x:c r="B23" s="994" t="str">
        <x:v>Integrity / MICS fields missing</x:v>
      </x:c>
      <x:c r="C23" s="994"/>
      <x:c r="D23" s="996" t="n">
        <x:f>SUMPRODUCT(--('20 RCC-003 MIAR Registry'!$B$14:$B$60&lt;&gt;""),--('20 RCC-003 MIAR Registry'!$K$14:$K$60=""))+SUMPRODUCT(--('20 RCC-003 MIAR Registry'!$B$14:$B$60&lt;&gt;""),--('20 RCC-003 MIAR Registry'!$L$14:$L$60=""))</x:f>
        <x:v>94</x:v>
      </x:c>
      <x:c r="E23" s="995" t="str">
        <x:f>IF(D23=0,"PASS","ACTION REQUIRED")</x:f>
        <x:v>ACTION REQUIRED</x:v>
      </x:c>
      <x:c r="F23" s="994"/>
      <x:c r="G23" s="994" t="str">
        <x:v>Complete the dual research-quality measures</x:v>
      </x:c>
      <x:c r="H23" s="994"/>
      <x:c r="I23" s="994"/>
      <x:c r="J23" s="994" t="str">
        <x:v>Research Committee</x:v>
      </x:c>
      <x:c r="K23" s="994"/>
      <x:c r="L23" s="994" t="str">
        <x:v>20 MIAR Registry</x:v>
      </x:c>
      <x:c r="M23" s="994" t="str">
        <x:v>Blocks complete dossier state</x:v>
      </x:c>
      <x:c r="N23" s="994" t="str">
        <x:v>Healthcare Leadership</x:v>
      </x:c>
      <x:c r="O23" s="995" t="n">
        <x:f>COUNTIF('20 RCC-003 MIAR Registry'!$D$14:$D$60,N23)</x:f>
        <x:v>2</x:v>
      </x:c>
      <x:c r="P23" s="995" t="n">
        <x:f>COUNTIFS('20 RCC-003 MIAR Registry'!$D$14:$D$60,N23,'20 RCC-003 MIAR Registry'!$AA$14:$AA$60,"COMPLETE")</x:f>
        <x:v>0</x:v>
      </x:c>
      <x:c r="Q23" s="995" t="n">
        <x:f>COUNTIFS('20 RCC-003 MIAR Registry'!$D$14:$D$60,N23,'20 RCC-003 MIAR Registry'!$Z$14:$Z$60,"CURRENT")</x:f>
        <x:v>0</x:v>
      </x:c>
      <x:c r="R23" s="995" t="n">
        <x:f>COUNTIFS('20 RCC-003 MIAR Registry'!$D$14:$D$60,N23,'20 RCC-003 MIAR Registry'!$Z$14:$Z$60,"UPDATE DUE")</x:f>
        <x:v>0</x:v>
      </x:c>
      <x:c r="S23" s="995" t="n">
        <x:f>COUNTIFS('20 RCC-003 MIAR Registry'!$D$14:$D$60,N23,'20 RCC-003 MIAR Registry'!$Z$14:$Z$60,"REVIEW DUE")</x:f>
        <x:v>0</x:v>
      </x:c>
      <x:c r="T23" s="995" t="n">
        <x:f>COUNTIFS('20 RCC-003 MIAR Registry'!$D$14:$D$60,N23,'20 RCC-003 MIAR Registry'!$Z$14:$Z$60,"OVERDUE")</x:f>
        <x:v>0</x:v>
      </x:c>
      <x:c r="U23" s="995" t="n">
        <x:f>COUNTIFS('20 RCC-003 MIAR Registry'!$D$14:$D$60,N23,'20 RCC-003 MIAR Registry'!$Z$14:$Z$60,"MATERIAL EVENT REVIEW")</x:f>
        <x:v>0</x:v>
      </x:c>
      <x:c r="V23" s="995" t="n">
        <x:f>COUNTIFS('20 RCC-003 MIAR Registry'!$D$14:$D$60,N23,'20 RCC-003 MIAR Registry'!$AB$14:$AB$60,"&lt;&gt;CONTROL CLEAR")</x:f>
        <x:v>2</x:v>
      </x:c>
      <x:c r="W23" s="998" t="n">
        <x:f>IF(O23=0,0,P23/O23)</x:f>
        <x:v>0</x:v>
      </x:c>
      <x:c r="X23" s="994" t="str">
        <x:f>IF(U23&gt;0,"MATERIAL EVENT",IF(T23&gt;0,"OVERDUE",IF(S23&gt;0,"REVIEW DUE",IF(V23&gt;0,"SETUP REQUIRED","CONTROL CLEAR"))))</x:f>
        <x:v>SETUP REQUIRED</x:v>
      </x:c>
    </x:row>
    <x:row r="24" ht="30" customHeight="1">
      <x:c r="A24" s="990" t="n">
        <x:v>7</x:v>
      </x:c>
      <x:c r="B24" s="962" t="str">
        <x:v>Freshness due or overdue</x:v>
      </x:c>
      <x:c r="C24" s="962"/>
      <x:c r="D24" s="991" t="n">
        <x:f>COUNTIF('20 RCC-003 MIAR Registry'!$Z$14:$Z$60,"UPDATE DUE")+COUNTIF('20 RCC-003 MIAR Registry'!$Z$14:$Z$60,"REVIEW DUE")+COUNTIF('20 RCC-003 MIAR Registry'!$Z$14:$Z$60,"OVERDUE")</x:f>
        <x:v>0</x:v>
      </x:c>
      <x:c r="E24" s="990" t="str">
        <x:f>IF(D24=0,"PASS","ACTION REQUIRED")</x:f>
        <x:v>PASS</x:v>
      </x:c>
      <x:c r="F24" s="962"/>
      <x:c r="G24" s="962" t="str">
        <x:v>Complete incremental or full review as indicated</x:v>
      </x:c>
      <x:c r="H24" s="962"/>
      <x:c r="I24" s="962"/>
      <x:c r="J24" s="962" t="str">
        <x:v>Research Operations</x:v>
      </x:c>
      <x:c r="K24" s="962"/>
      <x:c r="L24" s="962" t="str">
        <x:v>21 MIAR Review Log</x:v>
      </x:c>
      <x:c r="M24" s="962" t="str">
        <x:v>Controls research currency</x:v>
      </x:c>
      <x:c r="N24" s="962" t="str">
        <x:v>Energy &amp; Natural Resources</x:v>
      </x:c>
      <x:c r="O24" s="990" t="n">
        <x:f>COUNTIF('20 RCC-003 MIAR Registry'!$D$14:$D$60,N24)</x:f>
        <x:v>5</x:v>
      </x:c>
      <x:c r="P24" s="990" t="n">
        <x:f>COUNTIFS('20 RCC-003 MIAR Registry'!$D$14:$D$60,N24,'20 RCC-003 MIAR Registry'!$AA$14:$AA$60,"COMPLETE")</x:f>
        <x:v>0</x:v>
      </x:c>
      <x:c r="Q24" s="990" t="n">
        <x:f>COUNTIFS('20 RCC-003 MIAR Registry'!$D$14:$D$60,N24,'20 RCC-003 MIAR Registry'!$Z$14:$Z$60,"CURRENT")</x:f>
        <x:v>0</x:v>
      </x:c>
      <x:c r="R24" s="990" t="n">
        <x:f>COUNTIFS('20 RCC-003 MIAR Registry'!$D$14:$D$60,N24,'20 RCC-003 MIAR Registry'!$Z$14:$Z$60,"UPDATE DUE")</x:f>
        <x:v>0</x:v>
      </x:c>
      <x:c r="S24" s="990" t="n">
        <x:f>COUNTIFS('20 RCC-003 MIAR Registry'!$D$14:$D$60,N24,'20 RCC-003 MIAR Registry'!$Z$14:$Z$60,"REVIEW DUE")</x:f>
        <x:v>0</x:v>
      </x:c>
      <x:c r="T24" s="990" t="n">
        <x:f>COUNTIFS('20 RCC-003 MIAR Registry'!$D$14:$D$60,N24,'20 RCC-003 MIAR Registry'!$Z$14:$Z$60,"OVERDUE")</x:f>
        <x:v>0</x:v>
      </x:c>
      <x:c r="U24" s="990" t="n">
        <x:f>COUNTIFS('20 RCC-003 MIAR Registry'!$D$14:$D$60,N24,'20 RCC-003 MIAR Registry'!$Z$14:$Z$60,"MATERIAL EVENT REVIEW")</x:f>
        <x:v>0</x:v>
      </x:c>
      <x:c r="V24" s="990" t="n">
        <x:f>COUNTIFS('20 RCC-003 MIAR Registry'!$D$14:$D$60,N24,'20 RCC-003 MIAR Registry'!$AB$14:$AB$60,"&lt;&gt;CONTROL CLEAR")</x:f>
        <x:v>5</x:v>
      </x:c>
      <x:c r="W24" s="997" t="n">
        <x:f>IF(O24=0,0,P24/O24)</x:f>
        <x:v>0</x:v>
      </x:c>
      <x:c r="X24" s="962" t="str">
        <x:f>IF(U24&gt;0,"MATERIAL EVENT",IF(T24&gt;0,"OVERDUE",IF(S24&gt;0,"REVIEW DUE",IF(V24&gt;0,"SETUP REQUIRED","CONTROL CLEAR"))))</x:f>
        <x:v>SETUP REQUIRED</x:v>
      </x:c>
    </x:row>
    <x:row r="25" ht="30" customHeight="1">
      <x:c r="A25" s="995" t="n">
        <x:v>8</x:v>
      </x:c>
      <x:c r="B25" s="994" t="str">
        <x:v>Material-event / MIAR actions</x:v>
      </x:c>
      <x:c r="C25" s="994"/>
      <x:c r="D25" s="996" t="n">
        <x:f>COUNTIF('20 RCC-003 MIAR Registry'!$Z$14:$Z$60,"MATERIAL EVENT REVIEW")+SUM('20 RCC-003 MIAR Registry'!$X$14:$X$60)</x:f>
        <x:v>0</x:v>
      </x:c>
      <x:c r="E25" s="995" t="str">
        <x:f>IF(D25=0,"PASS","ACTION REQUIRED")</x:f>
        <x:v>PASS</x:v>
      </x:c>
      <x:c r="F25" s="994"/>
      <x:c r="G25" s="994" t="str">
        <x:v>Resolve evidence-driven MIAR action and determine RCC-007 referral</x:v>
      </x:c>
      <x:c r="H25" s="994"/>
      <x:c r="I25" s="994"/>
      <x:c r="J25" s="994" t="str">
        <x:v>Research Committee</x:v>
      </x:c>
      <x:c r="K25" s="994"/>
      <x:c r="L25" s="994" t="str">
        <x:v>18 Evidence / 20 MIAR</x:v>
      </x:c>
      <x:c r="M25" s="994" t="str">
        <x:v>May affect thesis or conviction</x:v>
      </x:c>
      <x:c r="N25" s="994" t="str">
        <x:v>Income &amp; Risk Management</x:v>
      </x:c>
      <x:c r="O25" s="995" t="n">
        <x:f>COUNTIF('20 RCC-003 MIAR Registry'!$D$14:$D$60,N25)</x:f>
        <x:v>3</x:v>
      </x:c>
      <x:c r="P25" s="995" t="n">
        <x:f>COUNTIFS('20 RCC-003 MIAR Registry'!$D$14:$D$60,N25,'20 RCC-003 MIAR Registry'!$AA$14:$AA$60,"COMPLETE")</x:f>
        <x:v>0</x:v>
      </x:c>
      <x:c r="Q25" s="995" t="n">
        <x:f>COUNTIFS('20 RCC-003 MIAR Registry'!$D$14:$D$60,N25,'20 RCC-003 MIAR Registry'!$Z$14:$Z$60,"CURRENT")</x:f>
        <x:v>0</x:v>
      </x:c>
      <x:c r="R25" s="995" t="n">
        <x:f>COUNTIFS('20 RCC-003 MIAR Registry'!$D$14:$D$60,N25,'20 RCC-003 MIAR Registry'!$Z$14:$Z$60,"UPDATE DUE")</x:f>
        <x:v>0</x:v>
      </x:c>
      <x:c r="S25" s="995" t="n">
        <x:f>COUNTIFS('20 RCC-003 MIAR Registry'!$D$14:$D$60,N25,'20 RCC-003 MIAR Registry'!$Z$14:$Z$60,"REVIEW DUE")</x:f>
        <x:v>0</x:v>
      </x:c>
      <x:c r="T25" s="995" t="n">
        <x:f>COUNTIFS('20 RCC-003 MIAR Registry'!$D$14:$D$60,N25,'20 RCC-003 MIAR Registry'!$Z$14:$Z$60,"OVERDUE")</x:f>
        <x:v>0</x:v>
      </x:c>
      <x:c r="U25" s="995" t="n">
        <x:f>COUNTIFS('20 RCC-003 MIAR Registry'!$D$14:$D$60,N25,'20 RCC-003 MIAR Registry'!$Z$14:$Z$60,"MATERIAL EVENT REVIEW")</x:f>
        <x:v>0</x:v>
      </x:c>
      <x:c r="V25" s="995" t="n">
        <x:f>COUNTIFS('20 RCC-003 MIAR Registry'!$D$14:$D$60,N25,'20 RCC-003 MIAR Registry'!$AB$14:$AB$60,"&lt;&gt;CONTROL CLEAR")</x:f>
        <x:v>3</x:v>
      </x:c>
      <x:c r="W25" s="998" t="n">
        <x:f>IF(O25=0,0,P25/O25)</x:f>
        <x:v>0</x:v>
      </x:c>
      <x:c r="X25" s="994" t="str">
        <x:f>IF(U25&gt;0,"MATERIAL EVENT",IF(T25&gt;0,"OVERDUE",IF(S25&gt;0,"REVIEW DUE",IF(V25&gt;0,"SETUP REQUIRED","CONTROL CLEAR"))))</x:f>
        <x:v>SETUP REQUIRED</x:v>
      </x:c>
    </x:row>
    <x:row r="28">
      <x:c r="A28" s="975" t="str">
        <x:v>RCC-003 OPERATING STANDARD</x:v>
      </x:c>
      <x:c r="B28" s="975"/>
      <x:c r="C28" s="975"/>
      <x:c r="D28" s="975"/>
      <x:c r="E28" s="975"/>
      <x:c r="F28" s="975"/>
      <x:c r="G28" s="975"/>
      <x:c r="H28" s="975"/>
      <x:c r="I28" s="975"/>
      <x:c r="J28" s="975"/>
      <x:c r="K28" s="975"/>
      <x:c r="L28" s="975"/>
      <x:c r="M28" s="975"/>
      <x:c r="N28" s="975" t="str">
        <x:v>HARD CONTROLS &amp; CERTIFIED OUTPUT</x:v>
      </x:c>
      <x:c r="O28" s="975"/>
      <x:c r="P28" s="975"/>
      <x:c r="Q28" s="975"/>
      <x:c r="R28" s="975"/>
      <x:c r="S28" s="975"/>
      <x:c r="T28" s="975"/>
      <x:c r="U28" s="975"/>
      <x:c r="V28" s="975"/>
      <x:c r="W28" s="975"/>
      <x:c r="X28" s="975"/>
    </x:row>
    <x:row r="29" ht="34" customHeight="1">
      <x:c r="A29" s="958" t="str">
        <x:v>Step</x:v>
      </x:c>
      <x:c r="B29" s="958" t="str">
        <x:v>Required Action</x:v>
      </x:c>
      <x:c r="C29" s="958" t="str">
        <x:v>Authority</x:v>
      </x:c>
      <x:c r="D29" s="958" t="str">
        <x:v>Controlled Output</x:v>
      </x:c>
      <x:c r="E29" s="958" t="str">
        <x:v>Authority</x:v>
      </x:c>
      <x:c r="F29" s="958"/>
      <x:c r="G29" s="958"/>
      <x:c r="H29" s="958" t="str">
        <x:v>Controlled Output</x:v>
      </x:c>
      <x:c r="I29" s="958"/>
      <x:c r="J29" s="958"/>
      <x:c r="K29" s="958" t="str">
        <x:v>Operating Effect</x:v>
      </x:c>
      <x:c r="L29" s="958"/>
      <x:c r="M29" s="958"/>
      <x:c r="N29" s="1002" t="str">
        <x:v>HARD CONTROLS
• Canonical MIAR identifier required
• One active record per certified holding
• Research owner and review cadence required
• Full-review date and dual quality scores required
• Material events override scheduled cadence
• Evidence-driven MIAR actions remain open until disposition
• No dossier record may alter allocation or authorize trading</x:v>
      </x:c>
      <x:c r="O29" s="1002"/>
      <x:c r="P29" s="1002"/>
      <x:c r="Q29" s="1002"/>
      <x:c r="R29" s="1002"/>
      <x:c r="S29" s="1006" t="str">
        <x:v>CERTIFIED OUTPUT
• Controlled MIAR registry
• Research-freshness state
• Full and incremental review history
• Integrity and MICS score record
• Thesis / conviction prerequisite status
• Material-event escalation
• RCC-007 referral state
• Auditable certification record</x:v>
      </x:c>
      <x:c r="T29" s="1006"/>
      <x:c r="U29" s="1006"/>
      <x:c r="V29" s="1006"/>
      <x:c r="W29" s="1006"/>
      <x:c r="X29" s="1006"/>
    </x:row>
    <x:row r="30" ht="34" customHeight="1">
      <x:c r="A30" s="962" t="str">
        <x:v>1 — Initialize</x:v>
      </x:c>
      <x:c r="B30" s="962" t="str">
        <x:v>Assign canonical MIAR ID, status, owner, cadence and last-review dates</x:v>
      </x:c>
      <x:c r="C30" s="962"/>
      <x:c r="D30" s="962"/>
      <x:c r="E30" s="962" t="str">
        <x:v>Research Operations</x:v>
      </x:c>
      <x:c r="F30" s="962"/>
      <x:c r="G30" s="962"/>
      <x:c r="H30" s="962" t="str">
        <x:v>Controlled dossier identity</x:v>
      </x:c>
      <x:c r="I30" s="962"/>
      <x:c r="J30" s="962"/>
      <x:c r="K30" s="962" t="str">
        <x:v>Establishes auditable asset-record control</x:v>
      </x:c>
      <x:c r="L30" s="962"/>
      <x:c r="M30" s="962"/>
      <x:c r="N30" s="1002"/>
      <x:c r="O30" s="1002"/>
      <x:c r="P30" s="1002"/>
      <x:c r="Q30" s="1002"/>
      <x:c r="R30" s="1002"/>
      <x:c r="S30" s="1006"/>
      <x:c r="T30" s="1006"/>
      <x:c r="U30" s="1006"/>
      <x:c r="V30" s="1006"/>
      <x:c r="W30" s="1006"/>
      <x:c r="X30" s="1006"/>
    </x:row>
    <x:row r="31" ht="34" customHeight="1">
      <x:c r="A31" s="994" t="str">
        <x:v>2 — Maintain</x:v>
      </x:c>
      <x:c r="B31" s="994" t="str">
        <x:v>Record full, incremental and material-event reviews</x:v>
      </x:c>
      <x:c r="C31" s="994"/>
      <x:c r="D31" s="994"/>
      <x:c r="E31" s="994" t="str">
        <x:v>Assigned Reviewer</x:v>
      </x:c>
      <x:c r="F31" s="994"/>
      <x:c r="G31" s="994"/>
      <x:c r="H31" s="994" t="str">
        <x:v>Research-freshness record</x:v>
      </x:c>
      <x:c r="I31" s="994"/>
      <x:c r="J31" s="994"/>
      <x:c r="K31" s="994" t="str">
        <x:v>Prevents stale or undocumented dossiers</x:v>
      </x:c>
      <x:c r="L31" s="994"/>
      <x:c r="M31" s="994"/>
      <x:c r="N31" s="1002"/>
      <x:c r="O31" s="1002"/>
      <x:c r="P31" s="1002"/>
      <x:c r="Q31" s="1002"/>
      <x:c r="R31" s="1002"/>
      <x:c r="S31" s="1006"/>
      <x:c r="T31" s="1006"/>
      <x:c r="U31" s="1006"/>
      <x:c r="V31" s="1006"/>
      <x:c r="W31" s="1006"/>
      <x:c r="X31" s="1006"/>
    </x:row>
    <x:row r="32" ht="34" customHeight="1">
      <x:c r="A32" s="962" t="str">
        <x:v>3 — Reconcile</x:v>
      </x:c>
      <x:c r="B32" s="962" t="str">
        <x:v>Link evidence records, scores, thesis and conviction state</x:v>
      </x:c>
      <x:c r="C32" s="962"/>
      <x:c r="D32" s="962"/>
      <x:c r="E32" s="962" t="str">
        <x:v>Research Committee</x:v>
      </x:c>
      <x:c r="F32" s="962"/>
      <x:c r="G32" s="962"/>
      <x:c r="H32" s="962" t="str">
        <x:v>Complete MIAR control state</x:v>
      </x:c>
      <x:c r="I32" s="962"/>
      <x:c r="J32" s="962"/>
      <x:c r="K32" s="962" t="str">
        <x:v>Creates chain from evidence to institutional judgment</x:v>
      </x:c>
      <x:c r="L32" s="962"/>
      <x:c r="M32" s="962"/>
      <x:c r="N32" s="1002"/>
      <x:c r="O32" s="1002"/>
      <x:c r="P32" s="1002"/>
      <x:c r="Q32" s="1002"/>
      <x:c r="R32" s="1002"/>
      <x:c r="S32" s="1006"/>
      <x:c r="T32" s="1006"/>
      <x:c r="U32" s="1006"/>
      <x:c r="V32" s="1006"/>
      <x:c r="W32" s="1006"/>
      <x:c r="X32" s="1006"/>
    </x:row>
    <x:row r="33" ht="34" customHeight="1">
      <x:c r="A33" s="994" t="str">
        <x:v>4 — Escalate</x:v>
      </x:c>
      <x:c r="B33" s="994" t="str">
        <x:v>Route material events, thesis changes or conviction changes</x:v>
      </x:c>
      <x:c r="C33" s="994"/>
      <x:c r="D33" s="994"/>
      <x:c r="E33" s="994" t="str">
        <x:v>Research Committee</x:v>
      </x:c>
      <x:c r="F33" s="994"/>
      <x:c r="G33" s="994"/>
      <x:c r="H33" s="994" t="str">
        <x:v>RCC-007 referral package</x:v>
      </x:c>
      <x:c r="I33" s="994"/>
      <x:c r="J33" s="994"/>
      <x:c r="K33" s="994" t="str">
        <x:v>Research may recommend; it may not implement</x:v>
      </x:c>
      <x:c r="L33" s="994"/>
      <x:c r="M33" s="994"/>
      <x:c r="N33" s="1002"/>
      <x:c r="O33" s="1002"/>
      <x:c r="P33" s="1002"/>
      <x:c r="Q33" s="1002"/>
      <x:c r="R33" s="1002"/>
      <x:c r="S33" s="1006"/>
      <x:c r="T33" s="1006"/>
      <x:c r="U33" s="1006"/>
      <x:c r="V33" s="1006"/>
      <x:c r="W33" s="1006"/>
      <x:c r="X33" s="1006"/>
    </x:row>
    <x:row r="34" ht="34" customHeight="1">
      <x:c r="A34" s="962" t="str">
        <x:v>5 — Certify</x:v>
      </x:c>
      <x:c r="B34" s="962" t="str">
        <x:v>Document reviewer, certification date and exception rationale</x:v>
      </x:c>
      <x:c r="C34" s="962"/>
      <x:c r="D34" s="962"/>
      <x:c r="E34" s="962" t="str">
        <x:v>Chief Investment Steward</x:v>
      </x:c>
      <x:c r="F34" s="962"/>
      <x:c r="G34" s="962"/>
      <x:c r="H34" s="962" t="str">
        <x:v>Certified MIAR status</x:v>
      </x:c>
      <x:c r="I34" s="962"/>
      <x:c r="J34" s="962"/>
      <x:c r="K34" s="962" t="str">
        <x:v>Supports later portfolio-engineering review</x:v>
      </x:c>
      <x:c r="L34" s="962"/>
      <x:c r="M34" s="962"/>
      <x:c r="N34" s="1002"/>
      <x:c r="O34" s="1002"/>
      <x:c r="P34" s="1002"/>
      <x:c r="Q34" s="1002"/>
      <x:c r="R34" s="1002"/>
      <x:c r="S34" s="1006"/>
      <x:c r="T34" s="1006"/>
      <x:c r="U34" s="1006"/>
      <x:c r="V34" s="1006"/>
      <x:c r="W34" s="1006"/>
      <x:c r="X34" s="1006"/>
    </x:row>
    <x:row r="35" ht="34" customHeight="1">
      <x:c r="A35" s="994" t="str">
        <x:v>6 — Monitor</x:v>
      </x:c>
      <x:c r="B35" s="994" t="str">
        <x:v>Operate weekly exception and sleeve-coverage dashboard</x:v>
      </x:c>
      <x:c r="C35" s="994"/>
      <x:c r="D35" s="994"/>
      <x:c r="E35" s="994" t="str">
        <x:v>Research Operations</x:v>
      </x:c>
      <x:c r="F35" s="994"/>
      <x:c r="G35" s="994"/>
      <x:c r="H35" s="994" t="str">
        <x:v>Current research-control view</x:v>
      </x:c>
      <x:c r="I35" s="994"/>
      <x:c r="J35" s="994"/>
      <x:c r="K35" s="994" t="str">
        <x:v>Surfaces due, overdue and material-event records</x:v>
      </x:c>
      <x:c r="L35" s="994"/>
      <x:c r="M35" s="994"/>
      <x:c r="N35" s="1002"/>
      <x:c r="O35" s="1002"/>
      <x:c r="P35" s="1002"/>
      <x:c r="Q35" s="1002"/>
      <x:c r="R35" s="1002"/>
      <x:c r="S35" s="1006"/>
      <x:c r="T35" s="1006"/>
      <x:c r="U35" s="1006"/>
      <x:c r="V35" s="1006"/>
      <x:c r="W35" s="1006"/>
      <x:c r="X35" s="1006"/>
    </x:row>
    <x:row r="38">
      <x:c r="A38" s="975" t="str">
        <x:v>DOWNSTREAM MODULE — RCC-004 MASR REGISTRY &amp; CANDIDATE PIPELINE INSTALLED</x:v>
      </x:c>
      <x:c r="B38" s="975"/>
      <x:c r="C38" s="975"/>
      <x:c r="D38" s="975"/>
      <x:c r="E38" s="975"/>
      <x:c r="F38" s="975"/>
      <x:c r="G38" s="975"/>
      <x:c r="H38" s="975"/>
      <x:c r="I38" s="975"/>
      <x:c r="J38" s="975"/>
      <x:c r="K38" s="975"/>
      <x:c r="L38" s="975"/>
      <x:c r="M38" s="975"/>
      <x:c r="N38" s="975"/>
      <x:c r="O38" s="975"/>
      <x:c r="P38" s="975"/>
      <x:c r="Q38" s="975"/>
      <x:c r="R38" s="975"/>
      <x:c r="S38" s="975"/>
      <x:c r="T38" s="975"/>
      <x:c r="U38" s="975"/>
      <x:c r="V38" s="975"/>
      <x:c r="W38" s="975"/>
      <x:c r="X38" s="975"/>
    </x:row>
    <x:row r="39">
      <x:c r="A39" s="994" t="str">
        <x:v>RCC-004 now administers certified holdings, approved non-holdings, research, conditional and replacement candidates, rejected candidates and removed securities. It applies canonical MASR identity, MIAR / score / empirical eligibility, market-cap and external-research exception controls, committee disposition and controlled referral before a candidate reaches PEW-004.</x:v>
      </x:c>
      <x:c r="B39" s="994"/>
      <x:c r="C39" s="994"/>
      <x:c r="D39" s="994"/>
      <x:c r="E39" s="994"/>
      <x:c r="F39" s="994"/>
      <x:c r="G39" s="994"/>
      <x:c r="H39" s="994"/>
      <x:c r="I39" s="994"/>
      <x:c r="J39" s="994"/>
      <x:c r="K39" s="994"/>
      <x:c r="L39" s="994"/>
      <x:c r="M39" s="994"/>
      <x:c r="N39" s="994"/>
      <x:c r="O39" s="994"/>
      <x:c r="P39" s="994"/>
      <x:c r="Q39" s="994"/>
      <x:c r="R39" s="994"/>
      <x:c r="S39" s="994"/>
      <x:c r="T39" s="994"/>
      <x:c r="U39" s="994"/>
      <x:c r="V39" s="994"/>
      <x:c r="W39" s="994"/>
      <x:c r="X39" s="994"/>
    </x:row>
    <x:row r="40">
      <x:c r="A40" s="994"/>
      <x:c r="B40" s="994"/>
      <x:c r="C40" s="994"/>
      <x:c r="D40" s="994"/>
      <x:c r="E40" s="994"/>
      <x:c r="F40" s="994"/>
      <x:c r="G40" s="994"/>
      <x:c r="H40" s="994"/>
      <x:c r="I40" s="994"/>
      <x:c r="J40" s="994"/>
      <x:c r="K40" s="994"/>
      <x:c r="L40" s="994"/>
      <x:c r="M40" s="994"/>
      <x:c r="N40" s="994"/>
      <x:c r="O40" s="994"/>
      <x:c r="P40" s="994"/>
      <x:c r="Q40" s="994"/>
      <x:c r="R40" s="994"/>
      <x:c r="S40" s="994"/>
      <x:c r="T40" s="994"/>
      <x:c r="U40" s="994"/>
      <x:c r="V40" s="994"/>
      <x:c r="W40" s="994"/>
      <x:c r="X40" s="994"/>
    </x:row>
    <x:row r="41">
      <x:c r="A41" s="994"/>
      <x:c r="B41" s="994"/>
      <x:c r="C41" s="994"/>
      <x:c r="D41" s="994"/>
      <x:c r="E41" s="994"/>
      <x:c r="F41" s="994"/>
      <x:c r="G41" s="994"/>
      <x:c r="H41" s="994"/>
      <x:c r="I41" s="994"/>
      <x:c r="J41" s="994"/>
      <x:c r="K41" s="994"/>
      <x:c r="L41" s="994"/>
      <x:c r="M41" s="994"/>
      <x:c r="N41" s="994"/>
      <x:c r="O41" s="994"/>
      <x:c r="P41" s="994"/>
      <x:c r="Q41" s="994"/>
      <x:c r="R41" s="994"/>
      <x:c r="S41" s="994"/>
      <x:c r="T41" s="994"/>
      <x:c r="U41" s="994"/>
      <x:c r="V41" s="994"/>
      <x:c r="W41" s="994"/>
      <x:c r="X41" s="994"/>
    </x:row>
    <x:row r="42">
      <x:c r="A42" s="994"/>
      <x:c r="B42" s="994"/>
      <x:c r="C42" s="994"/>
      <x:c r="D42" s="994"/>
      <x:c r="E42" s="994"/>
      <x:c r="F42" s="994"/>
      <x:c r="G42" s="994"/>
      <x:c r="H42" s="994"/>
      <x:c r="I42" s="994"/>
      <x:c r="J42" s="994"/>
      <x:c r="K42" s="994"/>
      <x:c r="L42" s="994"/>
      <x:c r="M42" s="994"/>
      <x:c r="N42" s="994"/>
      <x:c r="O42" s="994"/>
      <x:c r="P42" s="994"/>
      <x:c r="Q42" s="994"/>
      <x:c r="R42" s="994"/>
      <x:c r="S42" s="994"/>
      <x:c r="T42" s="994"/>
      <x:c r="U42" s="994"/>
      <x:c r="V42" s="994"/>
      <x:c r="W42" s="994"/>
      <x:c r="X42" s="994"/>
    </x:row>
    <x:row r="43">
      <x:c r="A43" s="994"/>
      <x:c r="B43" s="994"/>
      <x:c r="C43" s="994"/>
      <x:c r="D43" s="994"/>
      <x:c r="E43" s="994"/>
      <x:c r="F43" s="994"/>
      <x:c r="G43" s="994"/>
      <x:c r="H43" s="994"/>
      <x:c r="I43" s="994"/>
      <x:c r="J43" s="994"/>
      <x:c r="K43" s="994"/>
      <x:c r="L43" s="994"/>
      <x:c r="M43" s="994"/>
      <x:c r="N43" s="994"/>
      <x:c r="O43" s="994"/>
      <x:c r="P43" s="994"/>
      <x:c r="Q43" s="994"/>
      <x:c r="R43" s="994"/>
      <x:c r="S43" s="994"/>
      <x:c r="T43" s="994"/>
      <x:c r="U43" s="994"/>
      <x:c r="V43" s="994"/>
      <x:c r="W43" s="994"/>
      <x:c r="X43" s="994"/>
    </x:row>
    <x:row r="46">
      <x:c r="A46" s="1007" t="str">
        <x:v>MOPS-003 CONTROL PRINCIPLE — Research identifies and evaluates change. Portfolio Engineering designs the response. Committee governance authorizes the response. The certified MFPDF remains the sole portfolio system of record. RCC-003 controls dossier evidence, freshness and referral; it does not change allocations or authorize implementation.</x:v>
      </x:c>
      <x:c r="B46" s="1007"/>
      <x:c r="C46" s="1007"/>
      <x:c r="D46" s="1007"/>
      <x:c r="E46" s="1007"/>
      <x:c r="F46" s="1007"/>
      <x:c r="G46" s="1007"/>
      <x:c r="H46" s="1007"/>
      <x:c r="I46" s="1007"/>
      <x:c r="J46" s="1007"/>
      <x:c r="K46" s="1007"/>
      <x:c r="L46" s="1007"/>
      <x:c r="M46" s="1007"/>
      <x:c r="N46" s="1007"/>
      <x:c r="O46" s="1007"/>
      <x:c r="P46" s="1007"/>
      <x:c r="Q46" s="1007"/>
      <x:c r="R46" s="1007"/>
      <x:c r="S46" s="1007"/>
      <x:c r="T46" s="1007"/>
      <x:c r="U46" s="1007"/>
      <x:c r="V46" s="1007"/>
      <x:c r="W46" s="1007"/>
      <x:c r="X46" s="1007"/>
    </x:row>
    <x:row r="47">
      <x:c r="A47" s="1007"/>
      <x:c r="B47" s="1007"/>
      <x:c r="C47" s="1007"/>
      <x:c r="D47" s="1007"/>
      <x:c r="E47" s="1007"/>
      <x:c r="F47" s="1007"/>
      <x:c r="G47" s="1007"/>
      <x:c r="H47" s="1007"/>
      <x:c r="I47" s="1007"/>
      <x:c r="J47" s="1007"/>
      <x:c r="K47" s="1007"/>
      <x:c r="L47" s="1007"/>
      <x:c r="M47" s="1007"/>
      <x:c r="N47" s="1007"/>
      <x:c r="O47" s="1007"/>
      <x:c r="P47" s="1007"/>
      <x:c r="Q47" s="1007"/>
      <x:c r="R47" s="1007"/>
      <x:c r="S47" s="1007"/>
      <x:c r="T47" s="1007"/>
      <x:c r="U47" s="1007"/>
      <x:c r="V47" s="1007"/>
      <x:c r="W47" s="1007"/>
      <x:c r="X47" s="1007"/>
    </x:row>
    <x:row r="48">
      <x:c r="A48" s="1007"/>
      <x:c r="B48" s="1007"/>
      <x:c r="C48" s="1007"/>
      <x:c r="D48" s="1007"/>
      <x:c r="E48" s="1007"/>
      <x:c r="F48" s="1007"/>
      <x:c r="G48" s="1007"/>
      <x:c r="H48" s="1007"/>
      <x:c r="I48" s="1007"/>
      <x:c r="J48" s="1007"/>
      <x:c r="K48" s="1007"/>
      <x:c r="L48" s="1007"/>
      <x:c r="M48" s="1007"/>
      <x:c r="N48" s="1007"/>
      <x:c r="O48" s="1007"/>
      <x:c r="P48" s="1007"/>
      <x:c r="Q48" s="1007"/>
      <x:c r="R48" s="1007"/>
      <x:c r="S48" s="1007"/>
      <x:c r="T48" s="1007"/>
      <x:c r="U48" s="1007"/>
      <x:c r="V48" s="1007"/>
      <x:c r="W48" s="1007"/>
      <x:c r="X48" s="1007"/>
    </x:row>
  </x:sheetData>
  <x:mergeCells>
    <x:mergeCell ref="A1:X1"/>
    <x:mergeCell ref="A2:X2"/>
    <x:mergeCell ref="A3:X3"/>
    <x:mergeCell ref="A5:X5"/>
    <x:mergeCell ref="A6:D6"/>
    <x:mergeCell ref="A7:D9"/>
    <x:mergeCell ref="E6:H6"/>
    <x:mergeCell ref="E7:H9"/>
    <x:mergeCell ref="I6:L6"/>
    <x:mergeCell ref="I7:L9"/>
    <x:mergeCell ref="M6:P6"/>
    <x:mergeCell ref="M7:P9"/>
    <x:mergeCell ref="Q6:T6"/>
    <x:mergeCell ref="Q7:T9"/>
    <x:mergeCell ref="U6:X6"/>
    <x:mergeCell ref="U7:X9"/>
    <x:mergeCell ref="A11:X11"/>
    <x:mergeCell ref="A12:F12"/>
    <x:mergeCell ref="A13:F14"/>
    <x:mergeCell ref="G12:L12"/>
    <x:mergeCell ref="G13:L14"/>
    <x:mergeCell ref="M12:R12"/>
    <x:mergeCell ref="M13:R14"/>
    <x:mergeCell ref="S12:X12"/>
    <x:mergeCell ref="S13:X14"/>
    <x:mergeCell ref="A16:M16"/>
    <x:mergeCell ref="N16:X16"/>
    <x:mergeCell ref="B17:C17"/>
    <x:mergeCell ref="E17:F17"/>
    <x:mergeCell ref="G17:I17"/>
    <x:mergeCell ref="J17:K17"/>
    <x:mergeCell ref="B18:C18"/>
    <x:mergeCell ref="E18:F18"/>
    <x:mergeCell ref="G18:I18"/>
    <x:mergeCell ref="J18:K18"/>
    <x:mergeCell ref="B19:C19"/>
    <x:mergeCell ref="E19:F19"/>
    <x:mergeCell ref="G19:I19"/>
    <x:mergeCell ref="J19:K19"/>
    <x:mergeCell ref="B20:C20"/>
    <x:mergeCell ref="E20:F20"/>
    <x:mergeCell ref="G20:I20"/>
    <x:mergeCell ref="J20:K20"/>
    <x:mergeCell ref="B21:C21"/>
    <x:mergeCell ref="E21:F21"/>
    <x:mergeCell ref="G21:I21"/>
    <x:mergeCell ref="J21:K21"/>
    <x:mergeCell ref="B22:C22"/>
    <x:mergeCell ref="E22:F22"/>
    <x:mergeCell ref="G22:I22"/>
    <x:mergeCell ref="J22:K22"/>
    <x:mergeCell ref="B23:C23"/>
    <x:mergeCell ref="E23:F23"/>
    <x:mergeCell ref="G23:I23"/>
    <x:mergeCell ref="J23:K23"/>
    <x:mergeCell ref="B24:C24"/>
    <x:mergeCell ref="E24:F24"/>
    <x:mergeCell ref="G24:I24"/>
    <x:mergeCell ref="J24:K24"/>
    <x:mergeCell ref="B25:C25"/>
    <x:mergeCell ref="E25:F25"/>
    <x:mergeCell ref="G25:I25"/>
    <x:mergeCell ref="J25:K25"/>
    <x:mergeCell ref="A28:M28"/>
    <x:mergeCell ref="N28:X28"/>
    <x:mergeCell ref="B29:D29"/>
    <x:mergeCell ref="E29:G29"/>
    <x:mergeCell ref="H29:J29"/>
    <x:mergeCell ref="K29:M29"/>
    <x:mergeCell ref="B30:D30"/>
    <x:mergeCell ref="E30:G30"/>
    <x:mergeCell ref="H30:J30"/>
    <x:mergeCell ref="K30:M30"/>
    <x:mergeCell ref="B31:D31"/>
    <x:mergeCell ref="E31:G31"/>
    <x:mergeCell ref="H31:J31"/>
    <x:mergeCell ref="K31:M31"/>
    <x:mergeCell ref="B32:D32"/>
    <x:mergeCell ref="E32:G32"/>
    <x:mergeCell ref="H32:J32"/>
    <x:mergeCell ref="K32:M32"/>
    <x:mergeCell ref="B33:D33"/>
    <x:mergeCell ref="E33:G33"/>
    <x:mergeCell ref="H33:J33"/>
    <x:mergeCell ref="K33:M33"/>
    <x:mergeCell ref="B34:D34"/>
    <x:mergeCell ref="E34:G34"/>
    <x:mergeCell ref="H34:J34"/>
    <x:mergeCell ref="K34:M34"/>
    <x:mergeCell ref="B35:D35"/>
    <x:mergeCell ref="E35:G35"/>
    <x:mergeCell ref="H35:J35"/>
    <x:mergeCell ref="K35:M35"/>
    <x:mergeCell ref="N29:R35"/>
    <x:mergeCell ref="S29:X35"/>
    <x:mergeCell ref="A38:X38"/>
    <x:mergeCell ref="A39:X43"/>
    <x:mergeCell ref="A46:X48"/>
  </x:mergeCells>
  <x:conditionalFormatting sqref="E18:F25">
    <x:cfRule type="expression" dxfId="107" priority="1">
      <x:formula>E18="PASS"</x:formula>
    </x:cfRule>
    <x:cfRule type="expression" dxfId="108" priority="2">
      <x:formula>E18="ACTION REQUIRED"</x:formula>
    </x:cfRule>
  </x:conditionalFormatting>
  <x:conditionalFormatting sqref="X18:X25">
    <x:cfRule type="expression" dxfId="109" priority="3">
      <x:formula>X18="CONTROL CLEAR"</x:formula>
    </x:cfRule>
    <x:cfRule type="expression" dxfId="110" priority="4">
      <x:formula>X18="SETUP REQUIRED"</x:formula>
    </x:cfRule>
    <x:cfRule type="expression" dxfId="111" priority="5">
      <x:formula>OR(X18="OVERDUE",X18="MATERIAL EVENT")</x:formula>
    </x:cfRule>
  </x:conditionalFormatting>
  <x:conditionalFormatting sqref="W18:W25">
    <x:cfRule type="dataBar" priority="6">
      <x:dataBar>
        <x:cfvo type="min"/>
        <x:cfvo type="max"/>
        <x:color rgb="FFA02B93"/>
      </x:dataBar>
      <x:extLst>
        <x:ext xmlns:x14="http://schemas.microsoft.com/office/spreadsheetml/2009/9/main" uri="{B025F937-C7B1-47D3-B67F-A62EFF666E3E}">
          <x14:id>{FEB8F76D-5C31-3842-180B-216270402D21}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FEB8F76D-5C31-3842-180B-216270402D21}">
            <x14:dataBar gradient="1">
              <x14:cfvo type="min"/>
              <x14:cfvo type="max"/>
              <x14:fillColor rgb="FFA02B93"/>
            </x14:dataBar>
          </x14:cfRule>
          <xm:sqref>W18:W25</xm:sqref>
        </x14:conditionalFormatting>
      </x14:conditionalFormattings>
    </x:ext>
  </x:extLst>
</x:worksheet>
</file>

<file path=xl/worksheets/sheet29.xml><?xml version="1.0" encoding="utf-8"?>
<x:worksheet xmlns:x="http://schemas.openxmlformats.org/spreadsheetml/2006/main">
  <x:sheetFormatPr defaultRowHeight="15"/>
  <x:cols>
    <x:col min="1" max="1" width="18" hidden="0" customWidth="1"/>
    <x:col min="2" max="2" width="9" hidden="0" customWidth="1"/>
    <x:col min="3" max="3" width="28" hidden="0" customWidth="1"/>
    <x:col min="4" max="4" width="24" hidden="0" customWidth="1"/>
    <x:col min="5" max="5" width="12" hidden="0" customWidth="1"/>
    <x:col min="6" max="6" width="34" hidden="0" customWidth="1"/>
    <x:col min="7" max="7" width="12" hidden="0" customWidth="1"/>
    <x:col min="8" max="8" width="15" hidden="0" customWidth="1"/>
    <x:col min="9" max="9" width="16" hidden="0" customWidth="1"/>
    <x:col min="10" max="10" width="16" hidden="0" customWidth="1"/>
    <x:col min="11" max="11" width="12" hidden="0" customWidth="1"/>
    <x:col min="12" max="12" width="12" hidden="0" customWidth="1"/>
    <x:col min="13" max="13" width="18" hidden="0" customWidth="1"/>
    <x:col min="14" max="14" width="20" hidden="0" customWidth="1"/>
    <x:col min="15" max="15" width="22" hidden="0" customWidth="1"/>
    <x:col min="16" max="16" width="11" hidden="0" customWidth="1"/>
    <x:col min="17" max="17" width="14" hidden="0" customWidth="1"/>
    <x:col min="18" max="18" width="16" hidden="0" customWidth="1"/>
    <x:col min="19" max="19" width="15" hidden="0" customWidth="1"/>
    <x:col min="20" max="20" width="16" hidden="0" customWidth="1"/>
    <x:col min="21" max="21" width="11" hidden="0" customWidth="1"/>
    <x:col min="22" max="22" width="10" hidden="0" customWidth="1"/>
    <x:col min="23" max="23" width="12" hidden="0" customWidth="1"/>
    <x:col min="24" max="24" width="13" hidden="0" customWidth="1"/>
    <x:col min="25" max="25" width="14" hidden="0" customWidth="1"/>
    <x:col min="26" max="26" width="20" hidden="0" customWidth="1"/>
    <x:col min="27" max="27" width="18" hidden="0" customWidth="1"/>
    <x:col min="28" max="28" width="22" hidden="0" customWidth="1"/>
    <x:col min="29" max="29" width="34" hidden="0" customWidth="1"/>
    <x:col min="30" max="30" width="22" hidden="0" customWidth="1"/>
    <x:col min="31" max="31" width="22" hidden="0" customWidth="1"/>
    <x:col min="32" max="32" width="16" hidden="0" customWidth="1"/>
    <x:col min="33" max="33" width="34" hidden="0" customWidth="1"/>
  </x:cols>
  <x:sheetData>
    <x:row r="1" ht="28" customHeight="1">
      <x:c r="A1" s="964" t="str">
        <x:v>MOPS-003 — RCC-003 MIAR DOSSIER REGISTRY</x:v>
      </x:c>
      <x:c r="B1" s="964"/>
      <x:c r="C1" s="964"/>
      <x:c r="D1" s="964"/>
      <x:c r="E1" s="964"/>
      <x:c r="F1" s="964"/>
      <x:c r="G1" s="964"/>
      <x:c r="H1" s="964"/>
      <x:c r="I1" s="964"/>
      <x:c r="J1" s="964"/>
      <x:c r="K1" s="964"/>
      <x:c r="L1" s="964"/>
      <x:c r="M1" s="964"/>
      <x:c r="N1" s="964"/>
      <x:c r="O1" s="964"/>
      <x:c r="P1" s="964"/>
      <x:c r="Q1" s="964"/>
      <x:c r="R1" s="964"/>
      <x:c r="S1" s="964"/>
      <x:c r="T1" s="964"/>
      <x:c r="U1" s="964"/>
      <x:c r="V1" s="964"/>
      <x:c r="W1" s="964"/>
      <x:c r="X1" s="964"/>
      <x:c r="Y1" s="964"/>
      <x:c r="Z1" s="964"/>
      <x:c r="AA1" s="964"/>
      <x:c r="AB1" s="964"/>
      <x:c r="AC1" s="964"/>
      <x:c r="AD1" s="964"/>
      <x:c r="AE1" s="964"/>
      <x:c r="AF1" s="964"/>
      <x:c r="AG1" s="964"/>
    </x:row>
    <x:row r="2" ht="21" customHeight="1">
      <x:c r="A2" s="968" t="str">
        <x:v>FOUNDERS EDITION v1.0 — CONSTRUCTION CANDIDATE | 47 certified holdings preloaded from the MFPDF</x:v>
      </x:c>
      <x:c r="B2" s="968"/>
      <x:c r="C2" s="968"/>
      <x:c r="D2" s="968"/>
      <x:c r="E2" s="968"/>
      <x:c r="F2" s="968"/>
      <x:c r="G2" s="968"/>
      <x:c r="H2" s="968"/>
      <x:c r="I2" s="968"/>
      <x:c r="J2" s="968"/>
      <x:c r="K2" s="968"/>
      <x:c r="L2" s="968"/>
      <x:c r="M2" s="968"/>
      <x:c r="N2" s="968"/>
      <x:c r="O2" s="968"/>
      <x:c r="P2" s="968"/>
      <x:c r="Q2" s="968"/>
      <x:c r="R2" s="968"/>
      <x:c r="S2" s="968"/>
      <x:c r="T2" s="968"/>
      <x:c r="U2" s="968"/>
      <x:c r="V2" s="968"/>
      <x:c r="W2" s="968"/>
      <x:c r="X2" s="968"/>
      <x:c r="Y2" s="968"/>
      <x:c r="Z2" s="968"/>
      <x:c r="AA2" s="968"/>
      <x:c r="AB2" s="968"/>
      <x:c r="AC2" s="968"/>
      <x:c r="AD2" s="968"/>
      <x:c r="AE2" s="968"/>
      <x:c r="AF2" s="968"/>
      <x:c r="AG2" s="968"/>
    </x:row>
    <x:row r="3" ht="34" customHeight="1">
      <x:c r="A3" s="972" t="str">
        <x:v>Enter only canonical MIAR identifiers and verified research-control data. Yellow cells are operating inputs; green text links to the certified MFPDF or other Manifest worksheets; black text is formula-driven. This registry does not authorize trades or allocation changes.</x:v>
      </x:c>
      <x:c r="B3" s="972"/>
      <x:c r="C3" s="972"/>
      <x:c r="D3" s="972"/>
      <x:c r="E3" s="972"/>
      <x:c r="F3" s="972"/>
      <x:c r="G3" s="972"/>
      <x:c r="H3" s="972"/>
      <x:c r="I3" s="972"/>
      <x:c r="J3" s="972"/>
      <x:c r="K3" s="972"/>
      <x:c r="L3" s="972"/>
      <x:c r="M3" s="972"/>
      <x:c r="N3" s="972"/>
      <x:c r="O3" s="972"/>
      <x:c r="P3" s="972"/>
      <x:c r="Q3" s="972"/>
      <x:c r="R3" s="972"/>
      <x:c r="S3" s="972"/>
      <x:c r="T3" s="972"/>
      <x:c r="U3" s="972"/>
      <x:c r="V3" s="972"/>
      <x:c r="W3" s="972"/>
      <x:c r="X3" s="972"/>
      <x:c r="Y3" s="972"/>
      <x:c r="Z3" s="972"/>
      <x:c r="AA3" s="972"/>
      <x:c r="AB3" s="972"/>
      <x:c r="AC3" s="972"/>
      <x:c r="AD3" s="972"/>
      <x:c r="AE3" s="972"/>
      <x:c r="AF3" s="972"/>
      <x:c r="AG3" s="972"/>
    </x:row>
    <x:row r="5">
      <x:c r="A5" s="975" t="str">
        <x:v>DOSSIER ENTRY STANDARD</x:v>
      </x:c>
      <x:c r="B5" s="975"/>
      <x:c r="C5" s="975"/>
      <x:c r="D5" s="975"/>
      <x:c r="E5" s="975"/>
      <x:c r="F5" s="975"/>
      <x:c r="G5" s="975"/>
      <x:c r="H5" s="975"/>
      <x:c r="I5" s="975"/>
      <x:c r="J5" s="975"/>
      <x:c r="K5" s="975" t="str">
        <x:v>AUTOMATED CONTROL FIELDS</x:v>
      </x:c>
      <x:c r="L5" s="975"/>
      <x:c r="M5" s="975"/>
      <x:c r="N5" s="975"/>
      <x:c r="O5" s="975"/>
      <x:c r="P5" s="975"/>
      <x:c r="Q5" s="975"/>
      <x:c r="R5" s="975"/>
      <x:c r="S5" s="975"/>
      <x:c r="T5" s="975"/>
      <x:c r="U5" s="975"/>
      <x:c r="V5" s="975"/>
      <x:c r="W5" s="975" t="str">
        <x:v>CURRENT REGISTER STATE</x:v>
      </x:c>
      <x:c r="X5" s="975"/>
      <x:c r="Y5" s="975"/>
      <x:c r="Z5" s="975"/>
      <x:c r="AA5" s="975"/>
      <x:c r="AB5" s="975"/>
      <x:c r="AC5" s="975"/>
      <x:c r="AD5" s="975"/>
      <x:c r="AE5" s="975"/>
      <x:c r="AF5" s="975"/>
      <x:c r="AG5" s="975"/>
    </x:row>
    <x:row r="6">
      <x:c r="A6" s="1008" t="str">
        <x:v>• Enter the existing canonical MIAR ID; do not create a substitute number.
• Assign record status, research owner and review cadence.
• Enter verified Integrity and MICS scores.
• Enter last full and incremental review dates.
• Record reviewer / certification data only when supported by the review log.</x:v>
      </x:c>
      <x:c r="B6" s="1008"/>
      <x:c r="C6" s="1008"/>
      <x:c r="D6" s="1008"/>
      <x:c r="E6" s="1008"/>
      <x:c r="F6" s="1008"/>
      <x:c r="G6" s="1008"/>
      <x:c r="H6" s="1008"/>
      <x:c r="I6" s="1008"/>
      <x:c r="J6" s="1008"/>
      <x:c r="K6" s="1011" t="str">
        <x:v>The registry automatically calculates cadence days, next scheduled review, review-log entries, evidence counts, open MIAR actions, material-event reviews, research freshness, dossier completeness, required action and RCC-007 referral state.</x:v>
      </x:c>
      <x:c r="L6" s="1011"/>
      <x:c r="M6" s="1011"/>
      <x:c r="N6" s="1011"/>
      <x:c r="O6" s="1011"/>
      <x:c r="P6" s="1011"/>
      <x:c r="Q6" s="1011"/>
      <x:c r="R6" s="1011"/>
      <x:c r="S6" s="1011"/>
      <x:c r="T6" s="1011"/>
      <x:c r="U6" s="1011"/>
      <x:c r="V6" s="1011"/>
      <x:c r="W6" s="1012" t="str">
        <x:v>Records</x:v>
      </x:c>
      <x:c r="X6" s="1015" t="n">
        <x:f>COUNTA($B$14:$B$60)</x:f>
        <x:v>47</x:v>
      </x:c>
      <x:c r="Y6" s="994" t="str">
        <x:v>INITIAL OPERATING STATE
The 47 certified holdings are installed, but canonical MIAR IDs, scores, owners, cadence and review dates remain user-controlled inputs. Until those records are completed, RCC-003 correctly reports setup exceptions rather than inventing research data.</x:v>
      </x:c>
      <x:c r="Z6" s="994"/>
      <x:c r="AA6" s="994"/>
      <x:c r="AB6" s="994"/>
      <x:c r="AC6" s="994"/>
      <x:c r="AD6" s="994"/>
      <x:c r="AE6" s="994"/>
      <x:c r="AF6" s="994"/>
      <x:c r="AG6" s="994"/>
    </x:row>
    <x:row r="7">
      <x:c r="A7" s="1008"/>
      <x:c r="B7" s="1008"/>
      <x:c r="C7" s="1008"/>
      <x:c r="D7" s="1008"/>
      <x:c r="E7" s="1008"/>
      <x:c r="F7" s="1008"/>
      <x:c r="G7" s="1008"/>
      <x:c r="H7" s="1008"/>
      <x:c r="I7" s="1008"/>
      <x:c r="J7" s="1008"/>
      <x:c r="K7" s="1011"/>
      <x:c r="L7" s="1011"/>
      <x:c r="M7" s="1011"/>
      <x:c r="N7" s="1011"/>
      <x:c r="O7" s="1011"/>
      <x:c r="P7" s="1011"/>
      <x:c r="Q7" s="1011"/>
      <x:c r="R7" s="1011"/>
      <x:c r="S7" s="1011"/>
      <x:c r="T7" s="1011"/>
      <x:c r="U7" s="1011"/>
      <x:c r="V7" s="1011"/>
      <x:c r="W7" s="1012" t="str">
        <x:v>Complete</x:v>
      </x:c>
      <x:c r="X7" s="1015" t="n">
        <x:f>COUNTIF($AA$14:$AA$60,"COMPLETE")</x:f>
        <x:v>0</x:v>
      </x:c>
      <x:c r="Y7" s="994"/>
      <x:c r="Z7" s="994"/>
      <x:c r="AA7" s="994"/>
      <x:c r="AB7" s="994"/>
      <x:c r="AC7" s="994"/>
      <x:c r="AD7" s="994"/>
      <x:c r="AE7" s="994"/>
      <x:c r="AF7" s="994"/>
      <x:c r="AG7" s="994"/>
    </x:row>
    <x:row r="8">
      <x:c r="A8" s="1008"/>
      <x:c r="B8" s="1008"/>
      <x:c r="C8" s="1008"/>
      <x:c r="D8" s="1008"/>
      <x:c r="E8" s="1008"/>
      <x:c r="F8" s="1008"/>
      <x:c r="G8" s="1008"/>
      <x:c r="H8" s="1008"/>
      <x:c r="I8" s="1008"/>
      <x:c r="J8" s="1008"/>
      <x:c r="K8" s="1011"/>
      <x:c r="L8" s="1011"/>
      <x:c r="M8" s="1011"/>
      <x:c r="N8" s="1011"/>
      <x:c r="O8" s="1011"/>
      <x:c r="P8" s="1011"/>
      <x:c r="Q8" s="1011"/>
      <x:c r="R8" s="1011"/>
      <x:c r="S8" s="1011"/>
      <x:c r="T8" s="1011"/>
      <x:c r="U8" s="1011"/>
      <x:c r="V8" s="1011"/>
      <x:c r="W8" s="1012" t="str">
        <x:v>Control Exceptions</x:v>
      </x:c>
      <x:c r="X8" s="1015" t="n">
        <x:f>COUNTIFS($B$14:$B$60,"&lt;&gt;",$AB$14:$AB$60,"&lt;&gt;CONTROL CLEAR")</x:f>
        <x:v>47</x:v>
      </x:c>
      <x:c r="Y8" s="994"/>
      <x:c r="Z8" s="994"/>
      <x:c r="AA8" s="994"/>
      <x:c r="AB8" s="994"/>
      <x:c r="AC8" s="994"/>
      <x:c r="AD8" s="994"/>
      <x:c r="AE8" s="994"/>
      <x:c r="AF8" s="994"/>
      <x:c r="AG8" s="994"/>
    </x:row>
    <x:row r="9">
      <x:c r="A9" s="1008"/>
      <x:c r="B9" s="1008"/>
      <x:c r="C9" s="1008"/>
      <x:c r="D9" s="1008"/>
      <x:c r="E9" s="1008"/>
      <x:c r="F9" s="1008"/>
      <x:c r="G9" s="1008"/>
      <x:c r="H9" s="1008"/>
      <x:c r="I9" s="1008"/>
      <x:c r="J9" s="1008"/>
      <x:c r="K9" s="1011"/>
      <x:c r="L9" s="1011"/>
      <x:c r="M9" s="1011"/>
      <x:c r="N9" s="1011"/>
      <x:c r="O9" s="1011"/>
      <x:c r="P9" s="1011"/>
      <x:c r="Q9" s="1011"/>
      <x:c r="R9" s="1011"/>
      <x:c r="S9" s="1011"/>
      <x:c r="T9" s="1011"/>
      <x:c r="U9" s="1011"/>
      <x:c r="V9" s="1011"/>
      <x:c r="W9" s="1012" t="str">
        <x:v>Review Log Entries</x:v>
      </x:c>
      <x:c r="X9" s="1015" t="n">
        <x:f>COUNTIF('21 RCC-003 MIAR Review Log'!$A$14:$A$213,"&lt;&gt;")</x:f>
        <x:v>0</x:v>
      </x:c>
      <x:c r="Y9" s="994"/>
      <x:c r="Z9" s="994"/>
      <x:c r="AA9" s="994"/>
      <x:c r="AB9" s="994"/>
      <x:c r="AC9" s="994"/>
      <x:c r="AD9" s="994"/>
      <x:c r="AE9" s="994"/>
      <x:c r="AF9" s="994"/>
      <x:c r="AG9" s="994"/>
    </x:row>
    <x:row r="10">
      <x:c r="A10" s="1008"/>
      <x:c r="B10" s="1008"/>
      <x:c r="C10" s="1008"/>
      <x:c r="D10" s="1008"/>
      <x:c r="E10" s="1008"/>
      <x:c r="F10" s="1008"/>
      <x:c r="G10" s="1008"/>
      <x:c r="H10" s="1008"/>
      <x:c r="I10" s="1008"/>
      <x:c r="J10" s="1008"/>
      <x:c r="K10" s="1011"/>
      <x:c r="L10" s="1011"/>
      <x:c r="M10" s="1011"/>
      <x:c r="N10" s="1011"/>
      <x:c r="O10" s="1011"/>
      <x:c r="P10" s="1011"/>
      <x:c r="Q10" s="1011"/>
      <x:c r="R10" s="1011"/>
      <x:c r="S10" s="1011"/>
      <x:c r="T10" s="1011"/>
      <x:c r="U10" s="1011"/>
      <x:c r="V10" s="1011"/>
      <x:c r="W10" s="1012" t="str">
        <x:v>Evidence MIAR Actions</x:v>
      </x:c>
      <x:c r="X10" s="1015" t="n">
        <x:f>SUM($X$14:$X$60)</x:f>
        <x:v>0</x:v>
      </x:c>
      <x:c r="Y10" s="994"/>
      <x:c r="Z10" s="994"/>
      <x:c r="AA10" s="994"/>
      <x:c r="AB10" s="994"/>
      <x:c r="AC10" s="994"/>
      <x:c r="AD10" s="994"/>
      <x:c r="AE10" s="994"/>
      <x:c r="AF10" s="994"/>
      <x:c r="AG10" s="994"/>
    </x:row>
    <x:row r="12">
      <x:c r="A12" s="975" t="str">
        <x:v>RCC-003 CONTROLLED MIAR REGISTER — EDIT YELLOW CELLS ONLY</x:v>
      </x:c>
      <x:c r="B12" s="975"/>
      <x:c r="C12" s="975"/>
      <x:c r="D12" s="975"/>
      <x:c r="E12" s="975"/>
      <x:c r="F12" s="975"/>
      <x:c r="G12" s="975"/>
      <x:c r="H12" s="975"/>
      <x:c r="I12" s="975"/>
      <x:c r="J12" s="975"/>
      <x:c r="K12" s="975"/>
      <x:c r="L12" s="975"/>
      <x:c r="M12" s="975"/>
      <x:c r="N12" s="975"/>
      <x:c r="O12" s="975"/>
      <x:c r="P12" s="975"/>
      <x:c r="Q12" s="975"/>
      <x:c r="R12" s="975"/>
      <x:c r="S12" s="975"/>
      <x:c r="T12" s="975"/>
      <x:c r="U12" s="975"/>
      <x:c r="V12" s="975"/>
      <x:c r="W12" s="975"/>
      <x:c r="X12" s="975"/>
      <x:c r="Y12" s="975"/>
      <x:c r="Z12" s="975"/>
      <x:c r="AA12" s="975"/>
      <x:c r="AB12" s="975"/>
      <x:c r="AC12" s="975"/>
      <x:c r="AD12" s="975"/>
      <x:c r="AE12" s="975"/>
      <x:c r="AF12" s="975"/>
      <x:c r="AG12" s="975"/>
    </x:row>
    <x:row r="13" ht="48" customHeight="1">
      <x:c r="A13" s="958" t="str">
        <x:v>Canonical MIAR ID (Input)</x:v>
      </x:c>
      <x:c r="B13" s="958" t="str">
        <x:v>Ticker</x:v>
      </x:c>
      <x:c r="C13" s="958" t="str">
        <x:v>Security</x:v>
      </x:c>
      <x:c r="D13" s="958" t="str">
        <x:v>Production Sleeve</x:v>
      </x:c>
      <x:c r="E13" s="958" t="str">
        <x:v>Security Type</x:v>
      </x:c>
      <x:c r="F13" s="958" t="str">
        <x:v>Portfolio Role</x:v>
      </x:c>
      <x:c r="G13" s="958" t="str">
        <x:v>Certified Weight</x:v>
      </x:c>
      <x:c r="H13" s="958" t="str">
        <x:v>MFPDF Research Status</x:v>
      </x:c>
      <x:c r="I13" s="958" t="str">
        <x:v>Effective Conviction</x:v>
      </x:c>
      <x:c r="J13" s="958" t="str">
        <x:v>Thesis Status</x:v>
      </x:c>
      <x:c r="K13" s="958" t="str">
        <x:v>Integrity Score (Input)</x:v>
      </x:c>
      <x:c r="L13" s="958" t="str">
        <x:v>MICS Score (Input)</x:v>
      </x:c>
      <x:c r="M13" s="958" t="str">
        <x:v>Record Status (Input)</x:v>
      </x:c>
      <x:c r="N13" s="958" t="str">
        <x:v>Research Owner (Input)</x:v>
      </x:c>
      <x:c r="O13" s="958" t="str">
        <x:v>Review Cadence (Input)</x:v>
      </x:c>
      <x:c r="P13" s="958" t="str">
        <x:v>Cadence Days</x:v>
      </x:c>
      <x:c r="Q13" s="958" t="str">
        <x:v>Last Full Review (Input)</x:v>
      </x:c>
      <x:c r="R13" s="958" t="str">
        <x:v>Last Incremental Update (Input)</x:v>
      </x:c>
      <x:c r="S13" s="958" t="str">
        <x:v>Latest Dossier Date</x:v>
      </x:c>
      <x:c r="T13" s="958" t="str">
        <x:v>Next Scheduled Review</x:v>
      </x:c>
      <x:c r="U13" s="958" t="str">
        <x:v>Review Log Entries</x:v>
      </x:c>
      <x:c r="V13" s="958" t="str">
        <x:v>Evidence Records</x:v>
      </x:c>
      <x:c r="W13" s="958" t="str">
        <x:v>Open Evidence Records</x:v>
      </x:c>
      <x:c r="X13" s="958" t="str">
        <x:v>MIAR Actions Pending</x:v>
      </x:c>
      <x:c r="Y13" s="958" t="str">
        <x:v>Material-Event Reviews</x:v>
      </x:c>
      <x:c r="Z13" s="958" t="str">
        <x:v>Research Freshness</x:v>
      </x:c>
      <x:c r="AA13" s="958" t="str">
        <x:v>Dossier Completeness</x:v>
      </x:c>
      <x:c r="AB13" s="958" t="str">
        <x:v>Control Status</x:v>
      </x:c>
      <x:c r="AC13" s="958" t="str">
        <x:v>Required Action</x:v>
      </x:c>
      <x:c r="AD13" s="958" t="str">
        <x:v>RCC-007 Referral</x:v>
      </x:c>
      <x:c r="AE13" s="958" t="str">
        <x:v>Last Certified / Reviewed By (Input)</x:v>
      </x:c>
      <x:c r="AF13" s="958" t="str">
        <x:v>Certification Date (Input)</x:v>
      </x:c>
      <x:c r="AG13" s="958" t="str">
        <x:v>Notes / Exception Rationale (Input)</x:v>
      </x:c>
    </x:row>
    <x:row r="14" ht="30" customHeight="1">
      <x:c r="A14" s="1018"/>
      <x:c r="B14" s="1021" t="str">
        <x:f>'Certified Allocation'!B5</x:f>
        <x:v>BRK.B</x:v>
      </x:c>
      <x:c r="C14" s="1021" t="str">
        <x:f>'Certified Allocation'!C5</x:f>
        <x:v>Berkshire Hathaway Inc. Class B</x:v>
      </x:c>
      <x:c r="D14" s="1021" t="str">
        <x:f>'Certified Allocation'!A5</x:f>
        <x:v>Strategic Anchors</x:v>
      </x:c>
      <x:c r="E14" s="1021" t="str">
        <x:f>'Certified Allocation'!D5</x:f>
        <x:v>Equity</x:v>
      </x:c>
      <x:c r="F14" s="1021" t="str">
        <x:f>'Certified Allocation'!E5</x:f>
        <x:v>Diversified capital-allocation anchor</x:v>
      </x:c>
      <x:c r="G14" s="1022" t="n">
        <x:f>'Certified Allocation'!F5</x:f>
        <x:v>0.0302</x:v>
      </x:c>
      <x:c r="H14" s="1021" t="str">
        <x:f>'Certified Allocation'!N5</x:f>
        <x:v>Current</x:v>
      </x:c>
      <x:c r="I14" s="1021" t="str">
        <x:f>IFERROR(INDEX('11 Conviction'!$H$5:$H$51,MATCH($B14,'11 Conviction'!$B$5:$B$51,0)),"Unassigned")</x:f>
        <x:v>Unassigned</x:v>
      </x:c>
      <x:c r="J14" s="1021" t="str">
        <x:f>IFERROR(INDEX('11 Conviction'!$J$5:$J$51,MATCH($B14,'11 Conviction'!$B$5:$B$51,0)),"")</x:f>
      </x:c>
      <x:c r="K14" s="1023"/>
      <x:c r="L14" s="1023"/>
      <x:c r="M14" s="1018"/>
      <x:c r="N14" s="1018"/>
      <x:c r="O14" s="1018"/>
      <x:c r="P14" s="1024" t="str">
        <x:f>IF($O14="","",IF($O14="Quarterly — 90 Days",90,IF($O14="Semiannual — 180 Days",180,IF($O14="Annual — 365 Days",365,IF($O14="Event-Driven",0,"")))))</x:f>
      </x:c>
      <x:c r="Q14" s="1025"/>
      <x:c r="R14" s="1025"/>
      <x:c r="S14" s="1026" t="str">
        <x:f>IF(COUNTA($Q14:$R14)=0,"",MAX($Q14:$R14))</x:f>
      </x:c>
      <x:c r="T14" s="1026" t="str">
        <x:f>IF(OR($S14="",$P14="",$P14=0),"",$S14+$P14)</x:f>
      </x:c>
      <x:c r="U14" s="1024" t="n">
        <x:f>COUNTIF('21 RCC-003 MIAR Review Log'!$C$14:$C$213,$B14)</x:f>
        <x:v>0</x:v>
      </x:c>
      <x:c r="V14" s="1024" t="n">
        <x:f>COUNTIF('18 RCC-002 Evidence Ledger'!$E$14:$E$213,$B14)</x:f>
        <x:v>0</x:v>
      </x:c>
      <x:c r="W14" s="1024" t="n">
        <x:f>COUNTIFS('18 RCC-002 Evidence Ledger'!$E$14:$E$213,$B14,'18 RCC-002 Evidence Ledger'!$T$14:$T$213,"&lt;&gt;Closed — No Action",'18 RCC-002 Evidence Ledger'!$T$14:$T$213,"&lt;&gt;Closed — Incorporated")</x:f>
        <x:v>0</x:v>
      </x:c>
      <x:c r="X14" s="1024" t="n">
        <x:f>COUNTIFS('18 RCC-002 Evidence Ledger'!$E$14:$E$213,$B14,'18 RCC-002 Evidence Ledger'!$V$14:$V$213,"&lt;&gt;None",'18 RCC-002 Evidence Ledger'!$V$14:$V$213,"&lt;&gt;",'18 RCC-002 Evidence Ledger'!$T$14:$T$213,"&lt;&gt;Closed — No Action",'18 RCC-002 Evidence Ledger'!$T$14:$T$213,"&lt;&gt;Closed — Incorporated")</x:f>
        <x:v>0</x:v>
      </x:c>
      <x:c r="Y14" s="1024" t="n">
        <x:f>COUNTIFS('18 RCC-002 Evidence Ledger'!$E$14:$E$213,$B14,'18 RCC-002 Evidence Ledger'!$V$14:$V$213,"Material Event Review",'18 RCC-002 Evidence Ledger'!$T$14:$T$213,"&lt;&gt;Closed — No Action",'18 RCC-002 Evidence Ledger'!$T$14:$T$213,"&lt;&gt;Closed — Incorporated")</x:f>
        <x:v>0</x:v>
      </x:c>
      <x:c r="Z14" s="962" t="str">
        <x:f>IF($B14="","",IF($Y14&gt;0,"MATERIAL EVENT REVIEW",IF(OR($A14="",$M14="",$N14="",$O14="",$S14=""),"NOT INITIALIZED",IF(OR($M14="Suspended",$M14="Archived"),"INACTIVE",IF($O14="Event-Driven","CURRENT",IF($T14&lt;TODAY(),"OVERDUE",IF($T14-TODAY()&lt;=30,"REVIEW DUE",IF($T14-TODAY()&lt;=60,"UPDATE DUE","CURRENT"))))))))</x:f>
        <x:v>NOT INITIALIZED</x:v>
      </x:c>
      <x:c r="AA14" s="962" t="str">
        <x:f>IF($B14="","",IF(OR($A14="",$K14="",$L14="",$M14="",$N14="",$O14="",$Q14=""),"INCOMPLETE",IF(COUNTIF($A$14:$A$60,$A14)&gt;1,"DUPLICATE MIAR ID","COMPLETE")))</x:f>
        <x:v>INCOMPLETE</x:v>
      </x:c>
      <x:c r="AB14" s="962" t="str">
        <x:f>IF($B14="","",IF($AA14&lt;&gt;"COMPLETE",$AA14,IF($Y14&gt;0,"MATERIAL EVENT REVIEW",IF($Z14="OVERDUE","OVERDUE",IF($Z14="REVIEW DUE","REVIEW DUE",IF($X14&gt;0,"MIAR ACTION PENDING",IF(OR($I14="Unassigned",$J14=""),"THESIS / CONVICTION SETUP",IF($M14="Draft","DRAFT — NOT CERTIFIED",IF(AND($M14="Active",OR($AE14="",$AF14="")),"CERTIFICATION REQUIRED","CONTROL CLEAR")))))))))</x:f>
        <x:v>INCOMPLETE</x:v>
      </x:c>
      <x:c r="AC14" s="962" t="str">
        <x:f>IF($B14="","",IFERROR(INDEX('97 RCC Lists'!$Y$5:$Y$14,MATCH($AB14,'97 RCC Lists'!$W$5:$W$14,0)),"Review exception"))</x:f>
        <x:v>Complete MIAR setup</x:v>
      </x:c>
      <x:c r="AD14" s="962" t="str">
        <x:f>IF($B14="","",IF(OR($AB14="MATERIAL EVENT REVIEW",$AB14="MIAR ACTION PENDING",$AB14="THESIS / CONVICTION SETUP"),"REFER TO RCC-007",IF($AB14="CONTROL CLEAR","NO REFERRAL","HOLD PENDING MIAR UPDATE")))</x:f>
        <x:v>HOLD PENDING MIAR UPDATE</x:v>
      </x:c>
      <x:c r="AE14" s="1018"/>
      <x:c r="AF14" s="1025"/>
      <x:c r="AG14" s="1018"/>
    </x:row>
    <x:row r="15" ht="30" customHeight="1">
      <x:c r="A15" s="1018"/>
      <x:c r="B15" s="1021" t="str">
        <x:f>'Certified Allocation'!B6</x:f>
        <x:v>COST</x:v>
      </x:c>
      <x:c r="C15" s="1021" t="str">
        <x:f>'Certified Allocation'!C6</x:f>
        <x:v>Costco Wholesale Corporation</x:v>
      </x:c>
      <x:c r="D15" s="1021" t="str">
        <x:f>'Certified Allocation'!A6</x:f>
        <x:v>Strategic Anchors</x:v>
      </x:c>
      <x:c r="E15" s="1021" t="str">
        <x:f>'Certified Allocation'!D6</x:f>
        <x:v>Equity</x:v>
      </x:c>
      <x:c r="F15" s="1021" t="str">
        <x:f>'Certified Allocation'!E6</x:f>
        <x:v>Consumer-resilience anchor</x:v>
      </x:c>
      <x:c r="G15" s="1022" t="n">
        <x:f>'Certified Allocation'!F6</x:f>
        <x:v>0.0302</x:v>
      </x:c>
      <x:c r="H15" s="1021" t="str">
        <x:f>'Certified Allocation'!N6</x:f>
        <x:v>Current</x:v>
      </x:c>
      <x:c r="I15" s="1021" t="str">
        <x:f>IFERROR(INDEX('11 Conviction'!$H$5:$H$51,MATCH($B15,'11 Conviction'!$B$5:$B$51,0)),"Unassigned")</x:f>
        <x:v>Unassigned</x:v>
      </x:c>
      <x:c r="J15" s="1021" t="str">
        <x:f>IFERROR(INDEX('11 Conviction'!$J$5:$J$51,MATCH($B15,'11 Conviction'!$B$5:$B$51,0)),"")</x:f>
      </x:c>
      <x:c r="K15" s="1023"/>
      <x:c r="L15" s="1023"/>
      <x:c r="M15" s="1018"/>
      <x:c r="N15" s="1018"/>
      <x:c r="O15" s="1018"/>
      <x:c r="P15" s="1024" t="str">
        <x:f>IF($O15="","",IF($O15="Quarterly — 90 Days",90,IF($O15="Semiannual — 180 Days",180,IF($O15="Annual — 365 Days",365,IF($O15="Event-Driven",0,"")))))</x:f>
      </x:c>
      <x:c r="Q15" s="1025"/>
      <x:c r="R15" s="1025"/>
      <x:c r="S15" s="1026" t="str">
        <x:f>IF(COUNTA($Q15:$R15)=0,"",MAX($Q15:$R15))</x:f>
      </x:c>
      <x:c r="T15" s="1026" t="str">
        <x:f>IF(OR($S15="",$P15="",$P15=0),"",$S15+$P15)</x:f>
      </x:c>
      <x:c r="U15" s="1024" t="n">
        <x:f>COUNTIF('21 RCC-003 MIAR Review Log'!$C$14:$C$213,$B15)</x:f>
        <x:v>0</x:v>
      </x:c>
      <x:c r="V15" s="1024" t="n">
        <x:f>COUNTIF('18 RCC-002 Evidence Ledger'!$E$14:$E$213,$B15)</x:f>
        <x:v>0</x:v>
      </x:c>
      <x:c r="W15" s="1024" t="n">
        <x:f>COUNTIFS('18 RCC-002 Evidence Ledger'!$E$14:$E$213,$B15,'18 RCC-002 Evidence Ledger'!$T$14:$T$213,"&lt;&gt;Closed — No Action",'18 RCC-002 Evidence Ledger'!$T$14:$T$213,"&lt;&gt;Closed — Incorporated")</x:f>
        <x:v>0</x:v>
      </x:c>
      <x:c r="X15" s="1024" t="n">
        <x:f>COUNTIFS('18 RCC-002 Evidence Ledger'!$E$14:$E$213,$B15,'18 RCC-002 Evidence Ledger'!$V$14:$V$213,"&lt;&gt;None",'18 RCC-002 Evidence Ledger'!$V$14:$V$213,"&lt;&gt;",'18 RCC-002 Evidence Ledger'!$T$14:$T$213,"&lt;&gt;Closed — No Action",'18 RCC-002 Evidence Ledger'!$T$14:$T$213,"&lt;&gt;Closed — Incorporated")</x:f>
        <x:v>0</x:v>
      </x:c>
      <x:c r="Y15" s="1024" t="n">
        <x:f>COUNTIFS('18 RCC-002 Evidence Ledger'!$E$14:$E$213,$B15,'18 RCC-002 Evidence Ledger'!$V$14:$V$213,"Material Event Review",'18 RCC-002 Evidence Ledger'!$T$14:$T$213,"&lt;&gt;Closed — No Action",'18 RCC-002 Evidence Ledger'!$T$14:$T$213,"&lt;&gt;Closed — Incorporated")</x:f>
        <x:v>0</x:v>
      </x:c>
      <x:c r="Z15" s="962" t="str">
        <x:f>IF($B15="","",IF($Y15&gt;0,"MATERIAL EVENT REVIEW",IF(OR($A15="",$M15="",$N15="",$O15="",$S15=""),"NOT INITIALIZED",IF(OR($M15="Suspended",$M15="Archived"),"INACTIVE",IF($O15="Event-Driven","CURRENT",IF($T15&lt;TODAY(),"OVERDUE",IF($T15-TODAY()&lt;=30,"REVIEW DUE",IF($T15-TODAY()&lt;=60,"UPDATE DUE","CURRENT"))))))))</x:f>
        <x:v>NOT INITIALIZED</x:v>
      </x:c>
      <x:c r="AA15" s="962" t="str">
        <x:f>IF($B15="","",IF(OR($A15="",$K15="",$L15="",$M15="",$N15="",$O15="",$Q15=""),"INCOMPLETE",IF(COUNTIF($A$14:$A$60,$A15)&gt;1,"DUPLICATE MIAR ID","COMPLETE")))</x:f>
        <x:v>INCOMPLETE</x:v>
      </x:c>
      <x:c r="AB15" s="962" t="str">
        <x:f>IF($B15="","",IF($AA15&lt;&gt;"COMPLETE",$AA15,IF($Y15&gt;0,"MATERIAL EVENT REVIEW",IF($Z15="OVERDUE","OVERDUE",IF($Z15="REVIEW DUE","REVIEW DUE",IF($X15&gt;0,"MIAR ACTION PENDING",IF(OR($I15="Unassigned",$J15=""),"THESIS / CONVICTION SETUP",IF($M15="Draft","DRAFT — NOT CERTIFIED",IF(AND($M15="Active",OR($AE15="",$AF15="")),"CERTIFICATION REQUIRED","CONTROL CLEAR")))))))))</x:f>
        <x:v>INCOMPLETE</x:v>
      </x:c>
      <x:c r="AC15" s="962" t="str">
        <x:f>IF($B15="","",IFERROR(INDEX('97 RCC Lists'!$Y$5:$Y$14,MATCH($AB15,'97 RCC Lists'!$W$5:$W$14,0)),"Review exception"))</x:f>
        <x:v>Complete MIAR setup</x:v>
      </x:c>
      <x:c r="AD15" s="962" t="str">
        <x:f>IF($B15="","",IF(OR($AB15="MATERIAL EVENT REVIEW",$AB15="MIAR ACTION PENDING",$AB15="THESIS / CONVICTION SETUP"),"REFER TO RCC-007",IF($AB15="CONTROL CLEAR","NO REFERRAL","HOLD PENDING MIAR UPDATE")))</x:f>
        <x:v>HOLD PENDING MIAR UPDATE</x:v>
      </x:c>
      <x:c r="AE15" s="1018"/>
      <x:c r="AF15" s="1025"/>
      <x:c r="AG15" s="1018"/>
    </x:row>
    <x:row r="16" ht="30" customHeight="1">
      <x:c r="A16" s="1018"/>
      <x:c r="B16" s="1021" t="str">
        <x:f>'Certified Allocation'!B7</x:f>
        <x:v>JNJ</x:v>
      </x:c>
      <x:c r="C16" s="1021" t="str">
        <x:f>'Certified Allocation'!C7</x:f>
        <x:v>Johnson &amp; Johnson</x:v>
      </x:c>
      <x:c r="D16" s="1021" t="str">
        <x:f>'Certified Allocation'!A7</x:f>
        <x:v>Strategic Anchors</x:v>
      </x:c>
      <x:c r="E16" s="1021" t="str">
        <x:f>'Certified Allocation'!D7</x:f>
        <x:v>Equity</x:v>
      </x:c>
      <x:c r="F16" s="1021" t="str">
        <x:f>'Certified Allocation'!E7</x:f>
        <x:v>Healthcare and life-sciences resilience anchor</x:v>
      </x:c>
      <x:c r="G16" s="1022" t="n">
        <x:f>'Certified Allocation'!F7</x:f>
        <x:v>0.0302</x:v>
      </x:c>
      <x:c r="H16" s="1021" t="str">
        <x:f>'Certified Allocation'!N7</x:f>
        <x:v>Current</x:v>
      </x:c>
      <x:c r="I16" s="1021" t="str">
        <x:f>IFERROR(INDEX('11 Conviction'!$H$5:$H$51,MATCH($B16,'11 Conviction'!$B$5:$B$51,0)),"Unassigned")</x:f>
        <x:v>Unassigned</x:v>
      </x:c>
      <x:c r="J16" s="1021" t="str">
        <x:f>IFERROR(INDEX('11 Conviction'!$J$5:$J$51,MATCH($B16,'11 Conviction'!$B$5:$B$51,0)),"")</x:f>
      </x:c>
      <x:c r="K16" s="1023"/>
      <x:c r="L16" s="1023"/>
      <x:c r="M16" s="1018"/>
      <x:c r="N16" s="1018"/>
      <x:c r="O16" s="1018"/>
      <x:c r="P16" s="1024" t="str">
        <x:f>IF($O16="","",IF($O16="Quarterly — 90 Days",90,IF($O16="Semiannual — 180 Days",180,IF($O16="Annual — 365 Days",365,IF($O16="Event-Driven",0,"")))))</x:f>
      </x:c>
      <x:c r="Q16" s="1025"/>
      <x:c r="R16" s="1025"/>
      <x:c r="S16" s="1026" t="str">
        <x:f>IF(COUNTA($Q16:$R16)=0,"",MAX($Q16:$R16))</x:f>
      </x:c>
      <x:c r="T16" s="1026" t="str">
        <x:f>IF(OR($S16="",$P16="",$P16=0),"",$S16+$P16)</x:f>
      </x:c>
      <x:c r="U16" s="1024" t="n">
        <x:f>COUNTIF('21 RCC-003 MIAR Review Log'!$C$14:$C$213,$B16)</x:f>
        <x:v>0</x:v>
      </x:c>
      <x:c r="V16" s="1024" t="n">
        <x:f>COUNTIF('18 RCC-002 Evidence Ledger'!$E$14:$E$213,$B16)</x:f>
        <x:v>0</x:v>
      </x:c>
      <x:c r="W16" s="1024" t="n">
        <x:f>COUNTIFS('18 RCC-002 Evidence Ledger'!$E$14:$E$213,$B16,'18 RCC-002 Evidence Ledger'!$T$14:$T$213,"&lt;&gt;Closed — No Action",'18 RCC-002 Evidence Ledger'!$T$14:$T$213,"&lt;&gt;Closed — Incorporated")</x:f>
        <x:v>0</x:v>
      </x:c>
      <x:c r="X16" s="1024" t="n">
        <x:f>COUNTIFS('18 RCC-002 Evidence Ledger'!$E$14:$E$213,$B16,'18 RCC-002 Evidence Ledger'!$V$14:$V$213,"&lt;&gt;None",'18 RCC-002 Evidence Ledger'!$V$14:$V$213,"&lt;&gt;",'18 RCC-002 Evidence Ledger'!$T$14:$T$213,"&lt;&gt;Closed — No Action",'18 RCC-002 Evidence Ledger'!$T$14:$T$213,"&lt;&gt;Closed — Incorporated")</x:f>
        <x:v>0</x:v>
      </x:c>
      <x:c r="Y16" s="1024" t="n">
        <x:f>COUNTIFS('18 RCC-002 Evidence Ledger'!$E$14:$E$213,$B16,'18 RCC-002 Evidence Ledger'!$V$14:$V$213,"Material Event Review",'18 RCC-002 Evidence Ledger'!$T$14:$T$213,"&lt;&gt;Closed — No Action",'18 RCC-002 Evidence Ledger'!$T$14:$T$213,"&lt;&gt;Closed — Incorporated")</x:f>
        <x:v>0</x:v>
      </x:c>
      <x:c r="Z16" s="962" t="str">
        <x:f>IF($B16="","",IF($Y16&gt;0,"MATERIAL EVENT REVIEW",IF(OR($A16="",$M16="",$N16="",$O16="",$S16=""),"NOT INITIALIZED",IF(OR($M16="Suspended",$M16="Archived"),"INACTIVE",IF($O16="Event-Driven","CURRENT",IF($T16&lt;TODAY(),"OVERDUE",IF($T16-TODAY()&lt;=30,"REVIEW DUE",IF($T16-TODAY()&lt;=60,"UPDATE DUE","CURRENT"))))))))</x:f>
        <x:v>NOT INITIALIZED</x:v>
      </x:c>
      <x:c r="AA16" s="962" t="str">
        <x:f>IF($B16="","",IF(OR($A16="",$K16="",$L16="",$M16="",$N16="",$O16="",$Q16=""),"INCOMPLETE",IF(COUNTIF($A$14:$A$60,$A16)&gt;1,"DUPLICATE MIAR ID","COMPLETE")))</x:f>
        <x:v>INCOMPLETE</x:v>
      </x:c>
      <x:c r="AB16" s="962" t="str">
        <x:f>IF($B16="","",IF($AA16&lt;&gt;"COMPLETE",$AA16,IF($Y16&gt;0,"MATERIAL EVENT REVIEW",IF($Z16="OVERDUE","OVERDUE",IF($Z16="REVIEW DUE","REVIEW DUE",IF($X16&gt;0,"MIAR ACTION PENDING",IF(OR($I16="Unassigned",$J16=""),"THESIS / CONVICTION SETUP",IF($M16="Draft","DRAFT — NOT CERTIFIED",IF(AND($M16="Active",OR($AE16="",$AF16="")),"CERTIFICATION REQUIRED","CONTROL CLEAR")))))))))</x:f>
        <x:v>INCOMPLETE</x:v>
      </x:c>
      <x:c r="AC16" s="962" t="str">
        <x:f>IF($B16="","",IFERROR(INDEX('97 RCC Lists'!$Y$5:$Y$14,MATCH($AB16,'97 RCC Lists'!$W$5:$W$14,0)),"Review exception"))</x:f>
        <x:v>Complete MIAR setup</x:v>
      </x:c>
      <x:c r="AD16" s="962" t="str">
        <x:f>IF($B16="","",IF(OR($AB16="MATERIAL EVENT REVIEW",$AB16="MIAR ACTION PENDING",$AB16="THESIS / CONVICTION SETUP"),"REFER TO RCC-007",IF($AB16="CONTROL CLEAR","NO REFERRAL","HOLD PENDING MIAR UPDATE")))</x:f>
        <x:v>HOLD PENDING MIAR UPDATE</x:v>
      </x:c>
      <x:c r="AE16" s="1018"/>
      <x:c r="AF16" s="1025"/>
      <x:c r="AG16" s="1018"/>
    </x:row>
    <x:row r="17" ht="30" customHeight="1">
      <x:c r="A17" s="1018"/>
      <x:c r="B17" s="1021" t="str">
        <x:f>'Certified Allocation'!B8</x:f>
        <x:v>MSFT</x:v>
      </x:c>
      <x:c r="C17" s="1021" t="str">
        <x:f>'Certified Allocation'!C8</x:f>
        <x:v>Microsoft Corporation</x:v>
      </x:c>
      <x:c r="D17" s="1021" t="str">
        <x:f>'Certified Allocation'!A8</x:f>
        <x:v>Strategic Anchors</x:v>
      </x:c>
      <x:c r="E17" s="1021" t="str">
        <x:f>'Certified Allocation'!D8</x:f>
        <x:v>Equity</x:v>
      </x:c>
      <x:c r="F17" s="1021" t="str">
        <x:f>'Certified Allocation'!E8</x:f>
        <x:v>Enterprise technology and AI platform anchor</x:v>
      </x:c>
      <x:c r="G17" s="1022" t="n">
        <x:f>'Certified Allocation'!F8</x:f>
        <x:v>0.0302</x:v>
      </x:c>
      <x:c r="H17" s="1021" t="str">
        <x:f>'Certified Allocation'!N8</x:f>
        <x:v>Current</x:v>
      </x:c>
      <x:c r="I17" s="1021" t="str">
        <x:f>IFERROR(INDEX('11 Conviction'!$H$5:$H$51,MATCH($B17,'11 Conviction'!$B$5:$B$51,0)),"Unassigned")</x:f>
        <x:v>Unassigned</x:v>
      </x:c>
      <x:c r="J17" s="1021" t="str">
        <x:f>IFERROR(INDEX('11 Conviction'!$J$5:$J$51,MATCH($B17,'11 Conviction'!$B$5:$B$51,0)),"")</x:f>
      </x:c>
      <x:c r="K17" s="1023"/>
      <x:c r="L17" s="1023"/>
      <x:c r="M17" s="1018"/>
      <x:c r="N17" s="1018"/>
      <x:c r="O17" s="1018"/>
      <x:c r="P17" s="1024" t="str">
        <x:f>IF($O17="","",IF($O17="Quarterly — 90 Days",90,IF($O17="Semiannual — 180 Days",180,IF($O17="Annual — 365 Days",365,IF($O17="Event-Driven",0,"")))))</x:f>
      </x:c>
      <x:c r="Q17" s="1025"/>
      <x:c r="R17" s="1025"/>
      <x:c r="S17" s="1026" t="str">
        <x:f>IF(COUNTA($Q17:$R17)=0,"",MAX($Q17:$R17))</x:f>
      </x:c>
      <x:c r="T17" s="1026" t="str">
        <x:f>IF(OR($S17="",$P17="",$P17=0),"",$S17+$P17)</x:f>
      </x:c>
      <x:c r="U17" s="1024" t="n">
        <x:f>COUNTIF('21 RCC-003 MIAR Review Log'!$C$14:$C$213,$B17)</x:f>
        <x:v>0</x:v>
      </x:c>
      <x:c r="V17" s="1024" t="n">
        <x:f>COUNTIF('18 RCC-002 Evidence Ledger'!$E$14:$E$213,$B17)</x:f>
        <x:v>0</x:v>
      </x:c>
      <x:c r="W17" s="1024" t="n">
        <x:f>COUNTIFS('18 RCC-002 Evidence Ledger'!$E$14:$E$213,$B17,'18 RCC-002 Evidence Ledger'!$T$14:$T$213,"&lt;&gt;Closed — No Action",'18 RCC-002 Evidence Ledger'!$T$14:$T$213,"&lt;&gt;Closed — Incorporated")</x:f>
        <x:v>0</x:v>
      </x:c>
      <x:c r="X17" s="1024" t="n">
        <x:f>COUNTIFS('18 RCC-002 Evidence Ledger'!$E$14:$E$213,$B17,'18 RCC-002 Evidence Ledger'!$V$14:$V$213,"&lt;&gt;None",'18 RCC-002 Evidence Ledger'!$V$14:$V$213,"&lt;&gt;",'18 RCC-002 Evidence Ledger'!$T$14:$T$213,"&lt;&gt;Closed — No Action",'18 RCC-002 Evidence Ledger'!$T$14:$T$213,"&lt;&gt;Closed — Incorporated")</x:f>
        <x:v>0</x:v>
      </x:c>
      <x:c r="Y17" s="1024" t="n">
        <x:f>COUNTIFS('18 RCC-002 Evidence Ledger'!$E$14:$E$213,$B17,'18 RCC-002 Evidence Ledger'!$V$14:$V$213,"Material Event Review",'18 RCC-002 Evidence Ledger'!$T$14:$T$213,"&lt;&gt;Closed — No Action",'18 RCC-002 Evidence Ledger'!$T$14:$T$213,"&lt;&gt;Closed — Incorporated")</x:f>
        <x:v>0</x:v>
      </x:c>
      <x:c r="Z17" s="962" t="str">
        <x:f>IF($B17="","",IF($Y17&gt;0,"MATERIAL EVENT REVIEW",IF(OR($A17="",$M17="",$N17="",$O17="",$S17=""),"NOT INITIALIZED",IF(OR($M17="Suspended",$M17="Archived"),"INACTIVE",IF($O17="Event-Driven","CURRENT",IF($T17&lt;TODAY(),"OVERDUE",IF($T17-TODAY()&lt;=30,"REVIEW DUE",IF($T17-TODAY()&lt;=60,"UPDATE DUE","CURRENT"))))))))</x:f>
        <x:v>NOT INITIALIZED</x:v>
      </x:c>
      <x:c r="AA17" s="962" t="str">
        <x:f>IF($B17="","",IF(OR($A17="",$K17="",$L17="",$M17="",$N17="",$O17="",$Q17=""),"INCOMPLETE",IF(COUNTIF($A$14:$A$60,$A17)&gt;1,"DUPLICATE MIAR ID","COMPLETE")))</x:f>
        <x:v>INCOMPLETE</x:v>
      </x:c>
      <x:c r="AB17" s="962" t="str">
        <x:f>IF($B17="","",IF($AA17&lt;&gt;"COMPLETE",$AA17,IF($Y17&gt;0,"MATERIAL EVENT REVIEW",IF($Z17="OVERDUE","OVERDUE",IF($Z17="REVIEW DUE","REVIEW DUE",IF($X17&gt;0,"MIAR ACTION PENDING",IF(OR($I17="Unassigned",$J17=""),"THESIS / CONVICTION SETUP",IF($M17="Draft","DRAFT — NOT CERTIFIED",IF(AND($M17="Active",OR($AE17="",$AF17="")),"CERTIFICATION REQUIRED","CONTROL CLEAR")))))))))</x:f>
        <x:v>INCOMPLETE</x:v>
      </x:c>
      <x:c r="AC17" s="962" t="str">
        <x:f>IF($B17="","",IFERROR(INDEX('97 RCC Lists'!$Y$5:$Y$14,MATCH($AB17,'97 RCC Lists'!$W$5:$W$14,0)),"Review exception"))</x:f>
        <x:v>Complete MIAR setup</x:v>
      </x:c>
      <x:c r="AD17" s="962" t="str">
        <x:f>IF($B17="","",IF(OR($AB17="MATERIAL EVENT REVIEW",$AB17="MIAR ACTION PENDING",$AB17="THESIS / CONVICTION SETUP"),"REFER TO RCC-007",IF($AB17="CONTROL CLEAR","NO REFERRAL","HOLD PENDING MIAR UPDATE")))</x:f>
        <x:v>HOLD PENDING MIAR UPDATE</x:v>
      </x:c>
      <x:c r="AE17" s="1018"/>
      <x:c r="AF17" s="1025"/>
      <x:c r="AG17" s="1018"/>
    </x:row>
    <x:row r="18" ht="30" customHeight="1">
      <x:c r="A18" s="1018"/>
      <x:c r="B18" s="1021" t="str">
        <x:f>'Certified Allocation'!B9</x:f>
        <x:v>V</x:v>
      </x:c>
      <x:c r="C18" s="1021" t="str">
        <x:f>'Certified Allocation'!C9</x:f>
        <x:v>Visa Inc.</x:v>
      </x:c>
      <x:c r="D18" s="1021" t="str">
        <x:f>'Certified Allocation'!A9</x:f>
        <x:v>Strategic Anchors</x:v>
      </x:c>
      <x:c r="E18" s="1021" t="str">
        <x:f>'Certified Allocation'!D9</x:f>
        <x:v>Equity</x:v>
      </x:c>
      <x:c r="F18" s="1021" t="str">
        <x:f>'Certified Allocation'!E9</x:f>
        <x:v>Global payments infrastructure anchor</x:v>
      </x:c>
      <x:c r="G18" s="1022" t="n">
        <x:f>'Certified Allocation'!F9</x:f>
        <x:v>0.0288</x:v>
      </x:c>
      <x:c r="H18" s="1021" t="str">
        <x:f>'Certified Allocation'!N9</x:f>
        <x:v>Current</x:v>
      </x:c>
      <x:c r="I18" s="1021" t="str">
        <x:f>IFERROR(INDEX('11 Conviction'!$H$5:$H$51,MATCH($B18,'11 Conviction'!$B$5:$B$51,0)),"Unassigned")</x:f>
        <x:v>Unassigned</x:v>
      </x:c>
      <x:c r="J18" s="1021" t="str">
        <x:f>IFERROR(INDEX('11 Conviction'!$J$5:$J$51,MATCH($B18,'11 Conviction'!$B$5:$B$51,0)),"")</x:f>
      </x:c>
      <x:c r="K18" s="1023"/>
      <x:c r="L18" s="1023"/>
      <x:c r="M18" s="1018"/>
      <x:c r="N18" s="1018"/>
      <x:c r="O18" s="1018"/>
      <x:c r="P18" s="1024" t="str">
        <x:f>IF($O18="","",IF($O18="Quarterly — 90 Days",90,IF($O18="Semiannual — 180 Days",180,IF($O18="Annual — 365 Days",365,IF($O18="Event-Driven",0,"")))))</x:f>
      </x:c>
      <x:c r="Q18" s="1025"/>
      <x:c r="R18" s="1025"/>
      <x:c r="S18" s="1026" t="str">
        <x:f>IF(COUNTA($Q18:$R18)=0,"",MAX($Q18:$R18))</x:f>
      </x:c>
      <x:c r="T18" s="1026" t="str">
        <x:f>IF(OR($S18="",$P18="",$P18=0),"",$S18+$P18)</x:f>
      </x:c>
      <x:c r="U18" s="1024" t="n">
        <x:f>COUNTIF('21 RCC-003 MIAR Review Log'!$C$14:$C$213,$B18)</x:f>
        <x:v>0</x:v>
      </x:c>
      <x:c r="V18" s="1024" t="n">
        <x:f>COUNTIF('18 RCC-002 Evidence Ledger'!$E$14:$E$213,$B18)</x:f>
        <x:v>0</x:v>
      </x:c>
      <x:c r="W18" s="1024" t="n">
        <x:f>COUNTIFS('18 RCC-002 Evidence Ledger'!$E$14:$E$213,$B18,'18 RCC-002 Evidence Ledger'!$T$14:$T$213,"&lt;&gt;Closed — No Action",'18 RCC-002 Evidence Ledger'!$T$14:$T$213,"&lt;&gt;Closed — Incorporated")</x:f>
        <x:v>0</x:v>
      </x:c>
      <x:c r="X18" s="1024" t="n">
        <x:f>COUNTIFS('18 RCC-002 Evidence Ledger'!$E$14:$E$213,$B18,'18 RCC-002 Evidence Ledger'!$V$14:$V$213,"&lt;&gt;None",'18 RCC-002 Evidence Ledger'!$V$14:$V$213,"&lt;&gt;",'18 RCC-002 Evidence Ledger'!$T$14:$T$213,"&lt;&gt;Closed — No Action",'18 RCC-002 Evidence Ledger'!$T$14:$T$213,"&lt;&gt;Closed — Incorporated")</x:f>
        <x:v>0</x:v>
      </x:c>
      <x:c r="Y18" s="1024" t="n">
        <x:f>COUNTIFS('18 RCC-002 Evidence Ledger'!$E$14:$E$213,$B18,'18 RCC-002 Evidence Ledger'!$V$14:$V$213,"Material Event Review",'18 RCC-002 Evidence Ledger'!$T$14:$T$213,"&lt;&gt;Closed — No Action",'18 RCC-002 Evidence Ledger'!$T$14:$T$213,"&lt;&gt;Closed — Incorporated")</x:f>
        <x:v>0</x:v>
      </x:c>
      <x:c r="Z18" s="962" t="str">
        <x:f>IF($B18="","",IF($Y18&gt;0,"MATERIAL EVENT REVIEW",IF(OR($A18="",$M18="",$N18="",$O18="",$S18=""),"NOT INITIALIZED",IF(OR($M18="Suspended",$M18="Archived"),"INACTIVE",IF($O18="Event-Driven","CURRENT",IF($T18&lt;TODAY(),"OVERDUE",IF($T18-TODAY()&lt;=30,"REVIEW DUE",IF($T18-TODAY()&lt;=60,"UPDATE DUE","CURRENT"))))))))</x:f>
        <x:v>NOT INITIALIZED</x:v>
      </x:c>
      <x:c r="AA18" s="962" t="str">
        <x:f>IF($B18="","",IF(OR($A18="",$K18="",$L18="",$M18="",$N18="",$O18="",$Q18=""),"INCOMPLETE",IF(COUNTIF($A$14:$A$60,$A18)&gt;1,"DUPLICATE MIAR ID","COMPLETE")))</x:f>
        <x:v>INCOMPLETE</x:v>
      </x:c>
      <x:c r="AB18" s="962" t="str">
        <x:f>IF($B18="","",IF($AA18&lt;&gt;"COMPLETE",$AA18,IF($Y18&gt;0,"MATERIAL EVENT REVIEW",IF($Z18="OVERDUE","OVERDUE",IF($Z18="REVIEW DUE","REVIEW DUE",IF($X18&gt;0,"MIAR ACTION PENDING",IF(OR($I18="Unassigned",$J18=""),"THESIS / CONVICTION SETUP",IF($M18="Draft","DRAFT — NOT CERTIFIED",IF(AND($M18="Active",OR($AE18="",$AF18="")),"CERTIFICATION REQUIRED","CONTROL CLEAR")))))))))</x:f>
        <x:v>INCOMPLETE</x:v>
      </x:c>
      <x:c r="AC18" s="962" t="str">
        <x:f>IF($B18="","",IFERROR(INDEX('97 RCC Lists'!$Y$5:$Y$14,MATCH($AB18,'97 RCC Lists'!$W$5:$W$14,0)),"Review exception"))</x:f>
        <x:v>Complete MIAR setup</x:v>
      </x:c>
      <x:c r="AD18" s="962" t="str">
        <x:f>IF($B18="","",IF(OR($AB18="MATERIAL EVENT REVIEW",$AB18="MIAR ACTION PENDING",$AB18="THESIS / CONVICTION SETUP"),"REFER TO RCC-007",IF($AB18="CONTROL CLEAR","NO REFERRAL","HOLD PENDING MIAR UPDATE")))</x:f>
        <x:v>HOLD PENDING MIAR UPDATE</x:v>
      </x:c>
      <x:c r="AE18" s="1018"/>
      <x:c r="AF18" s="1025"/>
      <x:c r="AG18" s="1018"/>
    </x:row>
    <x:row r="19" ht="30" customHeight="1">
      <x:c r="A19" s="1018"/>
      <x:c r="B19" s="1021" t="str">
        <x:f>'Certified Allocation'!B10</x:f>
        <x:v>GOOGL</x:v>
      </x:c>
      <x:c r="C19" s="1021" t="str">
        <x:f>'Certified Allocation'!C10</x:f>
        <x:v>Alphabet Inc. Class A</x:v>
      </x:c>
      <x:c r="D19" s="1021" t="str">
        <x:f>'Certified Allocation'!A10</x:f>
        <x:v>Strategic Anchors</x:v>
      </x:c>
      <x:c r="E19" s="1021" t="str">
        <x:f>'Certified Allocation'!D10</x:f>
        <x:v>Equity</x:v>
      </x:c>
      <x:c r="F19" s="1021" t="str">
        <x:f>'Certified Allocation'!E10</x:f>
        <x:v>Digital platform and AI anchor</x:v>
      </x:c>
      <x:c r="G19" s="1022" t="n">
        <x:f>'Certified Allocation'!F10</x:f>
        <x:v>0.0284</x:v>
      </x:c>
      <x:c r="H19" s="1021" t="str">
        <x:f>'Certified Allocation'!N10</x:f>
        <x:v>Current</x:v>
      </x:c>
      <x:c r="I19" s="1021" t="str">
        <x:f>IFERROR(INDEX('11 Conviction'!$H$5:$H$51,MATCH($B19,'11 Conviction'!$B$5:$B$51,0)),"Unassigned")</x:f>
        <x:v>Unassigned</x:v>
      </x:c>
      <x:c r="J19" s="1021" t="str">
        <x:f>IFERROR(INDEX('11 Conviction'!$J$5:$J$51,MATCH($B19,'11 Conviction'!$B$5:$B$51,0)),"")</x:f>
      </x:c>
      <x:c r="K19" s="1023"/>
      <x:c r="L19" s="1023"/>
      <x:c r="M19" s="1018"/>
      <x:c r="N19" s="1018"/>
      <x:c r="O19" s="1018"/>
      <x:c r="P19" s="1024" t="str">
        <x:f>IF($O19="","",IF($O19="Quarterly — 90 Days",90,IF($O19="Semiannual — 180 Days",180,IF($O19="Annual — 365 Days",365,IF($O19="Event-Driven",0,"")))))</x:f>
      </x:c>
      <x:c r="Q19" s="1025"/>
      <x:c r="R19" s="1025"/>
      <x:c r="S19" s="1026" t="str">
        <x:f>IF(COUNTA($Q19:$R19)=0,"",MAX($Q19:$R19))</x:f>
      </x:c>
      <x:c r="T19" s="1026" t="str">
        <x:f>IF(OR($S19="",$P19="",$P19=0),"",$S19+$P19)</x:f>
      </x:c>
      <x:c r="U19" s="1024" t="n">
        <x:f>COUNTIF('21 RCC-003 MIAR Review Log'!$C$14:$C$213,$B19)</x:f>
        <x:v>0</x:v>
      </x:c>
      <x:c r="V19" s="1024" t="n">
        <x:f>COUNTIF('18 RCC-002 Evidence Ledger'!$E$14:$E$213,$B19)</x:f>
        <x:v>0</x:v>
      </x:c>
      <x:c r="W19" s="1024" t="n">
        <x:f>COUNTIFS('18 RCC-002 Evidence Ledger'!$E$14:$E$213,$B19,'18 RCC-002 Evidence Ledger'!$T$14:$T$213,"&lt;&gt;Closed — No Action",'18 RCC-002 Evidence Ledger'!$T$14:$T$213,"&lt;&gt;Closed — Incorporated")</x:f>
        <x:v>0</x:v>
      </x:c>
      <x:c r="X19" s="1024" t="n">
        <x:f>COUNTIFS('18 RCC-002 Evidence Ledger'!$E$14:$E$213,$B19,'18 RCC-002 Evidence Ledger'!$V$14:$V$213,"&lt;&gt;None",'18 RCC-002 Evidence Ledger'!$V$14:$V$213,"&lt;&gt;",'18 RCC-002 Evidence Ledger'!$T$14:$T$213,"&lt;&gt;Closed — No Action",'18 RCC-002 Evidence Ledger'!$T$14:$T$213,"&lt;&gt;Closed — Incorporated")</x:f>
        <x:v>0</x:v>
      </x:c>
      <x:c r="Y19" s="1024" t="n">
        <x:f>COUNTIFS('18 RCC-002 Evidence Ledger'!$E$14:$E$213,$B19,'18 RCC-002 Evidence Ledger'!$V$14:$V$213,"Material Event Review",'18 RCC-002 Evidence Ledger'!$T$14:$T$213,"&lt;&gt;Closed — No Action",'18 RCC-002 Evidence Ledger'!$T$14:$T$213,"&lt;&gt;Closed — Incorporated")</x:f>
        <x:v>0</x:v>
      </x:c>
      <x:c r="Z19" s="962" t="str">
        <x:f>IF($B19="","",IF($Y19&gt;0,"MATERIAL EVENT REVIEW",IF(OR($A19="",$M19="",$N19="",$O19="",$S19=""),"NOT INITIALIZED",IF(OR($M19="Suspended",$M19="Archived"),"INACTIVE",IF($O19="Event-Driven","CURRENT",IF($T19&lt;TODAY(),"OVERDUE",IF($T19-TODAY()&lt;=30,"REVIEW DUE",IF($T19-TODAY()&lt;=60,"UPDATE DUE","CURRENT"))))))))</x:f>
        <x:v>NOT INITIALIZED</x:v>
      </x:c>
      <x:c r="AA19" s="962" t="str">
        <x:f>IF($B19="","",IF(OR($A19="",$K19="",$L19="",$M19="",$N19="",$O19="",$Q19=""),"INCOMPLETE",IF(COUNTIF($A$14:$A$60,$A19)&gt;1,"DUPLICATE MIAR ID","COMPLETE")))</x:f>
        <x:v>INCOMPLETE</x:v>
      </x:c>
      <x:c r="AB19" s="962" t="str">
        <x:f>IF($B19="","",IF($AA19&lt;&gt;"COMPLETE",$AA19,IF($Y19&gt;0,"MATERIAL EVENT REVIEW",IF($Z19="OVERDUE","OVERDUE",IF($Z19="REVIEW DUE","REVIEW DUE",IF($X19&gt;0,"MIAR ACTION PENDING",IF(OR($I19="Unassigned",$J19=""),"THESIS / CONVICTION SETUP",IF($M19="Draft","DRAFT — NOT CERTIFIED",IF(AND($M19="Active",OR($AE19="",$AF19="")),"CERTIFICATION REQUIRED","CONTROL CLEAR")))))))))</x:f>
        <x:v>INCOMPLETE</x:v>
      </x:c>
      <x:c r="AC19" s="962" t="str">
        <x:f>IF($B19="","",IFERROR(INDEX('97 RCC Lists'!$Y$5:$Y$14,MATCH($AB19,'97 RCC Lists'!$W$5:$W$14,0)),"Review exception"))</x:f>
        <x:v>Complete MIAR setup</x:v>
      </x:c>
      <x:c r="AD19" s="962" t="str">
        <x:f>IF($B19="","",IF(OR($AB19="MATERIAL EVENT REVIEW",$AB19="MIAR ACTION PENDING",$AB19="THESIS / CONVICTION SETUP"),"REFER TO RCC-007",IF($AB19="CONTROL CLEAR","NO REFERRAL","HOLD PENDING MIAR UPDATE")))</x:f>
        <x:v>HOLD PENDING MIAR UPDATE</x:v>
      </x:c>
      <x:c r="AE19" s="1018"/>
      <x:c r="AF19" s="1025"/>
      <x:c r="AG19" s="1018"/>
    </x:row>
    <x:row r="20" ht="30" customHeight="1">
      <x:c r="A20" s="1018"/>
      <x:c r="B20" s="1021" t="str">
        <x:f>'Certified Allocation'!B11</x:f>
        <x:v>MA</x:v>
      </x:c>
      <x:c r="C20" s="1021" t="str">
        <x:f>'Certified Allocation'!C11</x:f>
        <x:v>Mastercard Incorporated</x:v>
      </x:c>
      <x:c r="D20" s="1021" t="str">
        <x:f>'Certified Allocation'!A11</x:f>
        <x:v>Strategic Anchors</x:v>
      </x:c>
      <x:c r="E20" s="1021" t="str">
        <x:f>'Certified Allocation'!D11</x:f>
        <x:v>Equity</x:v>
      </x:c>
      <x:c r="F20" s="1021" t="str">
        <x:f>'Certified Allocation'!E11</x:f>
        <x:v>Global payments infrastructure anchor</x:v>
      </x:c>
      <x:c r="G20" s="1022" t="n">
        <x:f>'Certified Allocation'!F11</x:f>
        <x:v>0.016</x:v>
      </x:c>
      <x:c r="H20" s="1021" t="str">
        <x:f>'Certified Allocation'!N11</x:f>
        <x:v>Current</x:v>
      </x:c>
      <x:c r="I20" s="1021" t="str">
        <x:f>IFERROR(INDEX('11 Conviction'!$H$5:$H$51,MATCH($B20,'11 Conviction'!$B$5:$B$51,0)),"Unassigned")</x:f>
        <x:v>Unassigned</x:v>
      </x:c>
      <x:c r="J20" s="1021" t="str">
        <x:f>IFERROR(INDEX('11 Conviction'!$J$5:$J$51,MATCH($B20,'11 Conviction'!$B$5:$B$51,0)),"")</x:f>
      </x:c>
      <x:c r="K20" s="1023"/>
      <x:c r="L20" s="1023"/>
      <x:c r="M20" s="1018"/>
      <x:c r="N20" s="1018"/>
      <x:c r="O20" s="1018"/>
      <x:c r="P20" s="1024" t="str">
        <x:f>IF($O20="","",IF($O20="Quarterly — 90 Days",90,IF($O20="Semiannual — 180 Days",180,IF($O20="Annual — 365 Days",365,IF($O20="Event-Driven",0,"")))))</x:f>
      </x:c>
      <x:c r="Q20" s="1025"/>
      <x:c r="R20" s="1025"/>
      <x:c r="S20" s="1026" t="str">
        <x:f>IF(COUNTA($Q20:$R20)=0,"",MAX($Q20:$R20))</x:f>
      </x:c>
      <x:c r="T20" s="1026" t="str">
        <x:f>IF(OR($S20="",$P20="",$P20=0),"",$S20+$P20)</x:f>
      </x:c>
      <x:c r="U20" s="1024" t="n">
        <x:f>COUNTIF('21 RCC-003 MIAR Review Log'!$C$14:$C$213,$B20)</x:f>
        <x:v>0</x:v>
      </x:c>
      <x:c r="V20" s="1024" t="n">
        <x:f>COUNTIF('18 RCC-002 Evidence Ledger'!$E$14:$E$213,$B20)</x:f>
        <x:v>0</x:v>
      </x:c>
      <x:c r="W20" s="1024" t="n">
        <x:f>COUNTIFS('18 RCC-002 Evidence Ledger'!$E$14:$E$213,$B20,'18 RCC-002 Evidence Ledger'!$T$14:$T$213,"&lt;&gt;Closed — No Action",'18 RCC-002 Evidence Ledger'!$T$14:$T$213,"&lt;&gt;Closed — Incorporated")</x:f>
        <x:v>0</x:v>
      </x:c>
      <x:c r="X20" s="1024" t="n">
        <x:f>COUNTIFS('18 RCC-002 Evidence Ledger'!$E$14:$E$213,$B20,'18 RCC-002 Evidence Ledger'!$V$14:$V$213,"&lt;&gt;None",'18 RCC-002 Evidence Ledger'!$V$14:$V$213,"&lt;&gt;",'18 RCC-002 Evidence Ledger'!$T$14:$T$213,"&lt;&gt;Closed — No Action",'18 RCC-002 Evidence Ledger'!$T$14:$T$213,"&lt;&gt;Closed — Incorporated")</x:f>
        <x:v>0</x:v>
      </x:c>
      <x:c r="Y20" s="1024" t="n">
        <x:f>COUNTIFS('18 RCC-002 Evidence Ledger'!$E$14:$E$213,$B20,'18 RCC-002 Evidence Ledger'!$V$14:$V$213,"Material Event Review",'18 RCC-002 Evidence Ledger'!$T$14:$T$213,"&lt;&gt;Closed — No Action",'18 RCC-002 Evidence Ledger'!$T$14:$T$213,"&lt;&gt;Closed — Incorporated")</x:f>
        <x:v>0</x:v>
      </x:c>
      <x:c r="Z20" s="962" t="str">
        <x:f>IF($B20="","",IF($Y20&gt;0,"MATERIAL EVENT REVIEW",IF(OR($A20="",$M20="",$N20="",$O20="",$S20=""),"NOT INITIALIZED",IF(OR($M20="Suspended",$M20="Archived"),"INACTIVE",IF($O20="Event-Driven","CURRENT",IF($T20&lt;TODAY(),"OVERDUE",IF($T20-TODAY()&lt;=30,"REVIEW DUE",IF($T20-TODAY()&lt;=60,"UPDATE DUE","CURRENT"))))))))</x:f>
        <x:v>NOT INITIALIZED</x:v>
      </x:c>
      <x:c r="AA20" s="962" t="str">
        <x:f>IF($B20="","",IF(OR($A20="",$K20="",$L20="",$M20="",$N20="",$O20="",$Q20=""),"INCOMPLETE",IF(COUNTIF($A$14:$A$60,$A20)&gt;1,"DUPLICATE MIAR ID","COMPLETE")))</x:f>
        <x:v>INCOMPLETE</x:v>
      </x:c>
      <x:c r="AB20" s="962" t="str">
        <x:f>IF($B20="","",IF($AA20&lt;&gt;"COMPLETE",$AA20,IF($Y20&gt;0,"MATERIAL EVENT REVIEW",IF($Z20="OVERDUE","OVERDUE",IF($Z20="REVIEW DUE","REVIEW DUE",IF($X20&gt;0,"MIAR ACTION PENDING",IF(OR($I20="Unassigned",$J20=""),"THESIS / CONVICTION SETUP",IF($M20="Draft","DRAFT — NOT CERTIFIED",IF(AND($M20="Active",OR($AE20="",$AF20="")),"CERTIFICATION REQUIRED","CONTROL CLEAR")))))))))</x:f>
        <x:v>INCOMPLETE</x:v>
      </x:c>
      <x:c r="AC20" s="962" t="str">
        <x:f>IF($B20="","",IFERROR(INDEX('97 RCC Lists'!$Y$5:$Y$14,MATCH($AB20,'97 RCC Lists'!$W$5:$W$14,0)),"Review exception"))</x:f>
        <x:v>Complete MIAR setup</x:v>
      </x:c>
      <x:c r="AD20" s="962" t="str">
        <x:f>IF($B20="","",IF(OR($AB20="MATERIAL EVENT REVIEW",$AB20="MIAR ACTION PENDING",$AB20="THESIS / CONVICTION SETUP"),"REFER TO RCC-007",IF($AB20="CONTROL CLEAR","NO REFERRAL","HOLD PENDING MIAR UPDATE")))</x:f>
        <x:v>HOLD PENDING MIAR UPDATE</x:v>
      </x:c>
      <x:c r="AE20" s="1018"/>
      <x:c r="AF20" s="1025"/>
      <x:c r="AG20" s="1018"/>
    </x:row>
    <x:row r="21" ht="30" customHeight="1">
      <x:c r="A21" s="1018"/>
      <x:c r="B21" s="1021" t="str">
        <x:f>'Certified Allocation'!B12</x:f>
        <x:v>AAPL</x:v>
      </x:c>
      <x:c r="C21" s="1021" t="str">
        <x:f>'Certified Allocation'!C12</x:f>
        <x:v>Apple Inc.</x:v>
      </x:c>
      <x:c r="D21" s="1021" t="str">
        <x:f>'Certified Allocation'!A12</x:f>
        <x:v>Strategic Anchors</x:v>
      </x:c>
      <x:c r="E21" s="1021" t="str">
        <x:f>'Certified Allocation'!D12</x:f>
        <x:v>Equity</x:v>
      </x:c>
      <x:c r="F21" s="1021" t="str">
        <x:f>'Certified Allocation'!E12</x:f>
        <x:v>Consumer technology ecosystem anchor</x:v>
      </x:c>
      <x:c r="G21" s="1022" t="n">
        <x:f>'Certified Allocation'!F12</x:f>
        <x:v>0.0156</x:v>
      </x:c>
      <x:c r="H21" s="1021" t="str">
        <x:f>'Certified Allocation'!N12</x:f>
        <x:v>Current</x:v>
      </x:c>
      <x:c r="I21" s="1021" t="str">
        <x:f>IFERROR(INDEX('11 Conviction'!$H$5:$H$51,MATCH($B21,'11 Conviction'!$B$5:$B$51,0)),"Unassigned")</x:f>
        <x:v>Unassigned</x:v>
      </x:c>
      <x:c r="J21" s="1021" t="str">
        <x:f>IFERROR(INDEX('11 Conviction'!$J$5:$J$51,MATCH($B21,'11 Conviction'!$B$5:$B$51,0)),"")</x:f>
      </x:c>
      <x:c r="K21" s="1023"/>
      <x:c r="L21" s="1023"/>
      <x:c r="M21" s="1018"/>
      <x:c r="N21" s="1018"/>
      <x:c r="O21" s="1018"/>
      <x:c r="P21" s="1024" t="str">
        <x:f>IF($O21="","",IF($O21="Quarterly — 90 Days",90,IF($O21="Semiannual — 180 Days",180,IF($O21="Annual — 365 Days",365,IF($O21="Event-Driven",0,"")))))</x:f>
      </x:c>
      <x:c r="Q21" s="1025"/>
      <x:c r="R21" s="1025"/>
      <x:c r="S21" s="1026" t="str">
        <x:f>IF(COUNTA($Q21:$R21)=0,"",MAX($Q21:$R21))</x:f>
      </x:c>
      <x:c r="T21" s="1026" t="str">
        <x:f>IF(OR($S21="",$P21="",$P21=0),"",$S21+$P21)</x:f>
      </x:c>
      <x:c r="U21" s="1024" t="n">
        <x:f>COUNTIF('21 RCC-003 MIAR Review Log'!$C$14:$C$213,$B21)</x:f>
        <x:v>0</x:v>
      </x:c>
      <x:c r="V21" s="1024" t="n">
        <x:f>COUNTIF('18 RCC-002 Evidence Ledger'!$E$14:$E$213,$B21)</x:f>
        <x:v>0</x:v>
      </x:c>
      <x:c r="W21" s="1024" t="n">
        <x:f>COUNTIFS('18 RCC-002 Evidence Ledger'!$E$14:$E$213,$B21,'18 RCC-002 Evidence Ledger'!$T$14:$T$213,"&lt;&gt;Closed — No Action",'18 RCC-002 Evidence Ledger'!$T$14:$T$213,"&lt;&gt;Closed — Incorporated")</x:f>
        <x:v>0</x:v>
      </x:c>
      <x:c r="X21" s="1024" t="n">
        <x:f>COUNTIFS('18 RCC-002 Evidence Ledger'!$E$14:$E$213,$B21,'18 RCC-002 Evidence Ledger'!$V$14:$V$213,"&lt;&gt;None",'18 RCC-002 Evidence Ledger'!$V$14:$V$213,"&lt;&gt;",'18 RCC-002 Evidence Ledger'!$T$14:$T$213,"&lt;&gt;Closed — No Action",'18 RCC-002 Evidence Ledger'!$T$14:$T$213,"&lt;&gt;Closed — Incorporated")</x:f>
        <x:v>0</x:v>
      </x:c>
      <x:c r="Y21" s="1024" t="n">
        <x:f>COUNTIFS('18 RCC-002 Evidence Ledger'!$E$14:$E$213,$B21,'18 RCC-002 Evidence Ledger'!$V$14:$V$213,"Material Event Review",'18 RCC-002 Evidence Ledger'!$T$14:$T$213,"&lt;&gt;Closed — No Action",'18 RCC-002 Evidence Ledger'!$T$14:$T$213,"&lt;&gt;Closed — Incorporated")</x:f>
        <x:v>0</x:v>
      </x:c>
      <x:c r="Z21" s="962" t="str">
        <x:f>IF($B21="","",IF($Y21&gt;0,"MATERIAL EVENT REVIEW",IF(OR($A21="",$M21="",$N21="",$O21="",$S21=""),"NOT INITIALIZED",IF(OR($M21="Suspended",$M21="Archived"),"INACTIVE",IF($O21="Event-Driven","CURRENT",IF($T21&lt;TODAY(),"OVERDUE",IF($T21-TODAY()&lt;=30,"REVIEW DUE",IF($T21-TODAY()&lt;=60,"UPDATE DUE","CURRENT"))))))))</x:f>
        <x:v>NOT INITIALIZED</x:v>
      </x:c>
      <x:c r="AA21" s="962" t="str">
        <x:f>IF($B21="","",IF(OR($A21="",$K21="",$L21="",$M21="",$N21="",$O21="",$Q21=""),"INCOMPLETE",IF(COUNTIF($A$14:$A$60,$A21)&gt;1,"DUPLICATE MIAR ID","COMPLETE")))</x:f>
        <x:v>INCOMPLETE</x:v>
      </x:c>
      <x:c r="AB21" s="962" t="str">
        <x:f>IF($B21="","",IF($AA21&lt;&gt;"COMPLETE",$AA21,IF($Y21&gt;0,"MATERIAL EVENT REVIEW",IF($Z21="OVERDUE","OVERDUE",IF($Z21="REVIEW DUE","REVIEW DUE",IF($X21&gt;0,"MIAR ACTION PENDING",IF(OR($I21="Unassigned",$J21=""),"THESIS / CONVICTION SETUP",IF($M21="Draft","DRAFT — NOT CERTIFIED",IF(AND($M21="Active",OR($AE21="",$AF21="")),"CERTIFICATION REQUIRED","CONTROL CLEAR")))))))))</x:f>
        <x:v>INCOMPLETE</x:v>
      </x:c>
      <x:c r="AC21" s="962" t="str">
        <x:f>IF($B21="","",IFERROR(INDEX('97 RCC Lists'!$Y$5:$Y$14,MATCH($AB21,'97 RCC Lists'!$W$5:$W$14,0)),"Review exception"))</x:f>
        <x:v>Complete MIAR setup</x:v>
      </x:c>
      <x:c r="AD21" s="962" t="str">
        <x:f>IF($B21="","",IF(OR($AB21="MATERIAL EVENT REVIEW",$AB21="MIAR ACTION PENDING",$AB21="THESIS / CONVICTION SETUP"),"REFER TO RCC-007",IF($AB21="CONTROL CLEAR","NO REFERRAL","HOLD PENDING MIAR UPDATE")))</x:f>
        <x:v>HOLD PENDING MIAR UPDATE</x:v>
      </x:c>
      <x:c r="AE21" s="1018"/>
      <x:c r="AF21" s="1025"/>
      <x:c r="AG21" s="1018"/>
    </x:row>
    <x:row r="22" ht="30" customHeight="1">
      <x:c r="A22" s="1018"/>
      <x:c r="B22" s="1021" t="str">
        <x:f>'Certified Allocation'!B13</x:f>
        <x:v>AMZN</x:v>
      </x:c>
      <x:c r="C22" s="1021" t="str">
        <x:f>'Certified Allocation'!C13</x:f>
        <x:v>Amazon.com, Inc.</x:v>
      </x:c>
      <x:c r="D22" s="1021" t="str">
        <x:f>'Certified Allocation'!A13</x:f>
        <x:v>Strategic Anchors</x:v>
      </x:c>
      <x:c r="E22" s="1021" t="str">
        <x:f>'Certified Allocation'!D13</x:f>
        <x:v>Equity</x:v>
      </x:c>
      <x:c r="F22" s="1021" t="str">
        <x:f>'Certified Allocation'!E13</x:f>
        <x:v>Cloud, commerce and logistics anchor</x:v>
      </x:c>
      <x:c r="G22" s="1022" t="n">
        <x:f>'Certified Allocation'!F13</x:f>
        <x:v>0.0155</x:v>
      </x:c>
      <x:c r="H22" s="1021" t="str">
        <x:f>'Certified Allocation'!N13</x:f>
        <x:v>Current</x:v>
      </x:c>
      <x:c r="I22" s="1021" t="str">
        <x:f>IFERROR(INDEX('11 Conviction'!$H$5:$H$51,MATCH($B22,'11 Conviction'!$B$5:$B$51,0)),"Unassigned")</x:f>
        <x:v>Unassigned</x:v>
      </x:c>
      <x:c r="J22" s="1021" t="str">
        <x:f>IFERROR(INDEX('11 Conviction'!$J$5:$J$51,MATCH($B22,'11 Conviction'!$B$5:$B$51,0)),"")</x:f>
      </x:c>
      <x:c r="K22" s="1023"/>
      <x:c r="L22" s="1023"/>
      <x:c r="M22" s="1018"/>
      <x:c r="N22" s="1018"/>
      <x:c r="O22" s="1018"/>
      <x:c r="P22" s="1024" t="str">
        <x:f>IF($O22="","",IF($O22="Quarterly — 90 Days",90,IF($O22="Semiannual — 180 Days",180,IF($O22="Annual — 365 Days",365,IF($O22="Event-Driven",0,"")))))</x:f>
      </x:c>
      <x:c r="Q22" s="1025"/>
      <x:c r="R22" s="1025"/>
      <x:c r="S22" s="1026" t="str">
        <x:f>IF(COUNTA($Q22:$R22)=0,"",MAX($Q22:$R22))</x:f>
      </x:c>
      <x:c r="T22" s="1026" t="str">
        <x:f>IF(OR($S22="",$P22="",$P22=0),"",$S22+$P22)</x:f>
      </x:c>
      <x:c r="U22" s="1024" t="n">
        <x:f>COUNTIF('21 RCC-003 MIAR Review Log'!$C$14:$C$213,$B22)</x:f>
        <x:v>0</x:v>
      </x:c>
      <x:c r="V22" s="1024" t="n">
        <x:f>COUNTIF('18 RCC-002 Evidence Ledger'!$E$14:$E$213,$B22)</x:f>
        <x:v>0</x:v>
      </x:c>
      <x:c r="W22" s="1024" t="n">
        <x:f>COUNTIFS('18 RCC-002 Evidence Ledger'!$E$14:$E$213,$B22,'18 RCC-002 Evidence Ledger'!$T$14:$T$213,"&lt;&gt;Closed — No Action",'18 RCC-002 Evidence Ledger'!$T$14:$T$213,"&lt;&gt;Closed — Incorporated")</x:f>
        <x:v>0</x:v>
      </x:c>
      <x:c r="X22" s="1024" t="n">
        <x:f>COUNTIFS('18 RCC-002 Evidence Ledger'!$E$14:$E$213,$B22,'18 RCC-002 Evidence Ledger'!$V$14:$V$213,"&lt;&gt;None",'18 RCC-002 Evidence Ledger'!$V$14:$V$213,"&lt;&gt;",'18 RCC-002 Evidence Ledger'!$T$14:$T$213,"&lt;&gt;Closed — No Action",'18 RCC-002 Evidence Ledger'!$T$14:$T$213,"&lt;&gt;Closed — Incorporated")</x:f>
        <x:v>0</x:v>
      </x:c>
      <x:c r="Y22" s="1024" t="n">
        <x:f>COUNTIFS('18 RCC-002 Evidence Ledger'!$E$14:$E$213,$B22,'18 RCC-002 Evidence Ledger'!$V$14:$V$213,"Material Event Review",'18 RCC-002 Evidence Ledger'!$T$14:$T$213,"&lt;&gt;Closed — No Action",'18 RCC-002 Evidence Ledger'!$T$14:$T$213,"&lt;&gt;Closed — Incorporated")</x:f>
        <x:v>0</x:v>
      </x:c>
      <x:c r="Z22" s="962" t="str">
        <x:f>IF($B22="","",IF($Y22&gt;0,"MATERIAL EVENT REVIEW",IF(OR($A22="",$M22="",$N22="",$O22="",$S22=""),"NOT INITIALIZED",IF(OR($M22="Suspended",$M22="Archived"),"INACTIVE",IF($O22="Event-Driven","CURRENT",IF($T22&lt;TODAY(),"OVERDUE",IF($T22-TODAY()&lt;=30,"REVIEW DUE",IF($T22-TODAY()&lt;=60,"UPDATE DUE","CURRENT"))))))))</x:f>
        <x:v>NOT INITIALIZED</x:v>
      </x:c>
      <x:c r="AA22" s="962" t="str">
        <x:f>IF($B22="","",IF(OR($A22="",$K22="",$L22="",$M22="",$N22="",$O22="",$Q22=""),"INCOMPLETE",IF(COUNTIF($A$14:$A$60,$A22)&gt;1,"DUPLICATE MIAR ID","COMPLETE")))</x:f>
        <x:v>INCOMPLETE</x:v>
      </x:c>
      <x:c r="AB22" s="962" t="str">
        <x:f>IF($B22="","",IF($AA22&lt;&gt;"COMPLETE",$AA22,IF($Y22&gt;0,"MATERIAL EVENT REVIEW",IF($Z22="OVERDUE","OVERDUE",IF($Z22="REVIEW DUE","REVIEW DUE",IF($X22&gt;0,"MIAR ACTION PENDING",IF(OR($I22="Unassigned",$J22=""),"THESIS / CONVICTION SETUP",IF($M22="Draft","DRAFT — NOT CERTIFIED",IF(AND($M22="Active",OR($AE22="",$AF22="")),"CERTIFICATION REQUIRED","CONTROL CLEAR")))))))))</x:f>
        <x:v>INCOMPLETE</x:v>
      </x:c>
      <x:c r="AC22" s="962" t="str">
        <x:f>IF($B22="","",IFERROR(INDEX('97 RCC Lists'!$Y$5:$Y$14,MATCH($AB22,'97 RCC Lists'!$W$5:$W$14,0)),"Review exception"))</x:f>
        <x:v>Complete MIAR setup</x:v>
      </x:c>
      <x:c r="AD22" s="962" t="str">
        <x:f>IF($B22="","",IF(OR($AB22="MATERIAL EVENT REVIEW",$AB22="MIAR ACTION PENDING",$AB22="THESIS / CONVICTION SETUP"),"REFER TO RCC-007",IF($AB22="CONTROL CLEAR","NO REFERRAL","HOLD PENDING MIAR UPDATE")))</x:f>
        <x:v>HOLD PENDING MIAR UPDATE</x:v>
      </x:c>
      <x:c r="AE22" s="1018"/>
      <x:c r="AF22" s="1025"/>
      <x:c r="AG22" s="1018"/>
    </x:row>
    <x:row r="23" ht="30" customHeight="1">
      <x:c r="A23" s="1018"/>
      <x:c r="B23" s="1021" t="str">
        <x:f>'Certified Allocation'!B14</x:f>
        <x:v>AVGO</x:v>
      </x:c>
      <x:c r="C23" s="1021" t="str">
        <x:f>'Certified Allocation'!C14</x:f>
        <x:v>Broadcom Inc.</x:v>
      </x:c>
      <x:c r="D23" s="1021" t="str">
        <x:f>'Certified Allocation'!A14</x:f>
        <x:v>Growth Compounders</x:v>
      </x:c>
      <x:c r="E23" s="1021" t="str">
        <x:f>'Certified Allocation'!D14</x:f>
        <x:v>Equity</x:v>
      </x:c>
      <x:c r="F23" s="1021" t="str">
        <x:f>'Certified Allocation'!E14</x:f>
        <x:v>Semiconductor and infrastructure-software compounder</x:v>
      </x:c>
      <x:c r="G23" s="1022" t="n">
        <x:f>'Certified Allocation'!F14</x:f>
        <x:v>0.0302</x:v>
      </x:c>
      <x:c r="H23" s="1021" t="str">
        <x:f>'Certified Allocation'!N14</x:f>
        <x:v>Current</x:v>
      </x:c>
      <x:c r="I23" s="1021" t="str">
        <x:f>IFERROR(INDEX('11 Conviction'!$H$5:$H$51,MATCH($B23,'11 Conviction'!$B$5:$B$51,0)),"Unassigned")</x:f>
        <x:v>Unassigned</x:v>
      </x:c>
      <x:c r="J23" s="1021" t="str">
        <x:f>IFERROR(INDEX('11 Conviction'!$J$5:$J$51,MATCH($B23,'11 Conviction'!$B$5:$B$51,0)),"")</x:f>
      </x:c>
      <x:c r="K23" s="1023"/>
      <x:c r="L23" s="1023"/>
      <x:c r="M23" s="1018"/>
      <x:c r="N23" s="1018"/>
      <x:c r="O23" s="1018"/>
      <x:c r="P23" s="1024" t="str">
        <x:f>IF($O23="","",IF($O23="Quarterly — 90 Days",90,IF($O23="Semiannual — 180 Days",180,IF($O23="Annual — 365 Days",365,IF($O23="Event-Driven",0,"")))))</x:f>
      </x:c>
      <x:c r="Q23" s="1025"/>
      <x:c r="R23" s="1025"/>
      <x:c r="S23" s="1026" t="str">
        <x:f>IF(COUNTA($Q23:$R23)=0,"",MAX($Q23:$R23))</x:f>
      </x:c>
      <x:c r="T23" s="1026" t="str">
        <x:f>IF(OR($S23="",$P23="",$P23=0),"",$S23+$P23)</x:f>
      </x:c>
      <x:c r="U23" s="1024" t="n">
        <x:f>COUNTIF('21 RCC-003 MIAR Review Log'!$C$14:$C$213,$B23)</x:f>
        <x:v>0</x:v>
      </x:c>
      <x:c r="V23" s="1024" t="n">
        <x:f>COUNTIF('18 RCC-002 Evidence Ledger'!$E$14:$E$213,$B23)</x:f>
        <x:v>0</x:v>
      </x:c>
      <x:c r="W23" s="1024" t="n">
        <x:f>COUNTIFS('18 RCC-002 Evidence Ledger'!$E$14:$E$213,$B23,'18 RCC-002 Evidence Ledger'!$T$14:$T$213,"&lt;&gt;Closed — No Action",'18 RCC-002 Evidence Ledger'!$T$14:$T$213,"&lt;&gt;Closed — Incorporated")</x:f>
        <x:v>0</x:v>
      </x:c>
      <x:c r="X23" s="1024" t="n">
        <x:f>COUNTIFS('18 RCC-002 Evidence Ledger'!$E$14:$E$213,$B23,'18 RCC-002 Evidence Ledger'!$V$14:$V$213,"&lt;&gt;None",'18 RCC-002 Evidence Ledger'!$V$14:$V$213,"&lt;&gt;",'18 RCC-002 Evidence Ledger'!$T$14:$T$213,"&lt;&gt;Closed — No Action",'18 RCC-002 Evidence Ledger'!$T$14:$T$213,"&lt;&gt;Closed — Incorporated")</x:f>
        <x:v>0</x:v>
      </x:c>
      <x:c r="Y23" s="1024" t="n">
        <x:f>COUNTIFS('18 RCC-002 Evidence Ledger'!$E$14:$E$213,$B23,'18 RCC-002 Evidence Ledger'!$V$14:$V$213,"Material Event Review",'18 RCC-002 Evidence Ledger'!$T$14:$T$213,"&lt;&gt;Closed — No Action",'18 RCC-002 Evidence Ledger'!$T$14:$T$213,"&lt;&gt;Closed — Incorporated")</x:f>
        <x:v>0</x:v>
      </x:c>
      <x:c r="Z23" s="962" t="str">
        <x:f>IF($B23="","",IF($Y23&gt;0,"MATERIAL EVENT REVIEW",IF(OR($A23="",$M23="",$N23="",$O23="",$S23=""),"NOT INITIALIZED",IF(OR($M23="Suspended",$M23="Archived"),"INACTIVE",IF($O23="Event-Driven","CURRENT",IF($T23&lt;TODAY(),"OVERDUE",IF($T23-TODAY()&lt;=30,"REVIEW DUE",IF($T23-TODAY()&lt;=60,"UPDATE DUE","CURRENT"))))))))</x:f>
        <x:v>NOT INITIALIZED</x:v>
      </x:c>
      <x:c r="AA23" s="962" t="str">
        <x:f>IF($B23="","",IF(OR($A23="",$K23="",$L23="",$M23="",$N23="",$O23="",$Q23=""),"INCOMPLETE",IF(COUNTIF($A$14:$A$60,$A23)&gt;1,"DUPLICATE MIAR ID","COMPLETE")))</x:f>
        <x:v>INCOMPLETE</x:v>
      </x:c>
      <x:c r="AB23" s="962" t="str">
        <x:f>IF($B23="","",IF($AA23&lt;&gt;"COMPLETE",$AA23,IF($Y23&gt;0,"MATERIAL EVENT REVIEW",IF($Z23="OVERDUE","OVERDUE",IF($Z23="REVIEW DUE","REVIEW DUE",IF($X23&gt;0,"MIAR ACTION PENDING",IF(OR($I23="Unassigned",$J23=""),"THESIS / CONVICTION SETUP",IF($M23="Draft","DRAFT — NOT CERTIFIED",IF(AND($M23="Active",OR($AE23="",$AF23="")),"CERTIFICATION REQUIRED","CONTROL CLEAR")))))))))</x:f>
        <x:v>INCOMPLETE</x:v>
      </x:c>
      <x:c r="AC23" s="962" t="str">
        <x:f>IF($B23="","",IFERROR(INDEX('97 RCC Lists'!$Y$5:$Y$14,MATCH($AB23,'97 RCC Lists'!$W$5:$W$14,0)),"Review exception"))</x:f>
        <x:v>Complete MIAR setup</x:v>
      </x:c>
      <x:c r="AD23" s="962" t="str">
        <x:f>IF($B23="","",IF(OR($AB23="MATERIAL EVENT REVIEW",$AB23="MIAR ACTION PENDING",$AB23="THESIS / CONVICTION SETUP"),"REFER TO RCC-007",IF($AB23="CONTROL CLEAR","NO REFERRAL","HOLD PENDING MIAR UPDATE")))</x:f>
        <x:v>HOLD PENDING MIAR UPDATE</x:v>
      </x:c>
      <x:c r="AE23" s="1018"/>
      <x:c r="AF23" s="1025"/>
      <x:c r="AG23" s="1018"/>
    </x:row>
    <x:row r="24" ht="30" customHeight="1">
      <x:c r="A24" s="1018"/>
      <x:c r="B24" s="1021" t="str">
        <x:f>'Certified Allocation'!B15</x:f>
        <x:v>LLY</x:v>
      </x:c>
      <x:c r="C24" s="1021" t="str">
        <x:f>'Certified Allocation'!C15</x:f>
        <x:v>Eli Lilly and Company</x:v>
      </x:c>
      <x:c r="D24" s="1021" t="str">
        <x:f>'Certified Allocation'!A15</x:f>
        <x:v>Growth Compounders</x:v>
      </x:c>
      <x:c r="E24" s="1021" t="str">
        <x:f>'Certified Allocation'!D15</x:f>
        <x:v>Equity</x:v>
      </x:c>
      <x:c r="F24" s="1021" t="str">
        <x:f>'Certified Allocation'!E15</x:f>
        <x:v>Healthcare innovation compounder</x:v>
      </x:c>
      <x:c r="G24" s="1022" t="n">
        <x:f>'Certified Allocation'!F15</x:f>
        <x:v>0.0302</x:v>
      </x:c>
      <x:c r="H24" s="1021" t="str">
        <x:f>'Certified Allocation'!N15</x:f>
        <x:v>Current</x:v>
      </x:c>
      <x:c r="I24" s="1021" t="str">
        <x:f>IFERROR(INDEX('11 Conviction'!$H$5:$H$51,MATCH($B24,'11 Conviction'!$B$5:$B$51,0)),"Unassigned")</x:f>
        <x:v>Unassigned</x:v>
      </x:c>
      <x:c r="J24" s="1021" t="str">
        <x:f>IFERROR(INDEX('11 Conviction'!$J$5:$J$51,MATCH($B24,'11 Conviction'!$B$5:$B$51,0)),"")</x:f>
      </x:c>
      <x:c r="K24" s="1023"/>
      <x:c r="L24" s="1023"/>
      <x:c r="M24" s="1018"/>
      <x:c r="N24" s="1018"/>
      <x:c r="O24" s="1018"/>
      <x:c r="P24" s="1024" t="str">
        <x:f>IF($O24="","",IF($O24="Quarterly — 90 Days",90,IF($O24="Semiannual — 180 Days",180,IF($O24="Annual — 365 Days",365,IF($O24="Event-Driven",0,"")))))</x:f>
      </x:c>
      <x:c r="Q24" s="1025"/>
      <x:c r="R24" s="1025"/>
      <x:c r="S24" s="1026" t="str">
        <x:f>IF(COUNTA($Q24:$R24)=0,"",MAX($Q24:$R24))</x:f>
      </x:c>
      <x:c r="T24" s="1026" t="str">
        <x:f>IF(OR($S24="",$P24="",$P24=0),"",$S24+$P24)</x:f>
      </x:c>
      <x:c r="U24" s="1024" t="n">
        <x:f>COUNTIF('21 RCC-003 MIAR Review Log'!$C$14:$C$213,$B24)</x:f>
        <x:v>0</x:v>
      </x:c>
      <x:c r="V24" s="1024" t="n">
        <x:f>COUNTIF('18 RCC-002 Evidence Ledger'!$E$14:$E$213,$B24)</x:f>
        <x:v>0</x:v>
      </x:c>
      <x:c r="W24" s="1024" t="n">
        <x:f>COUNTIFS('18 RCC-002 Evidence Ledger'!$E$14:$E$213,$B24,'18 RCC-002 Evidence Ledger'!$T$14:$T$213,"&lt;&gt;Closed — No Action",'18 RCC-002 Evidence Ledger'!$T$14:$T$213,"&lt;&gt;Closed — Incorporated")</x:f>
        <x:v>0</x:v>
      </x:c>
      <x:c r="X24" s="1024" t="n">
        <x:f>COUNTIFS('18 RCC-002 Evidence Ledger'!$E$14:$E$213,$B24,'18 RCC-002 Evidence Ledger'!$V$14:$V$213,"&lt;&gt;None",'18 RCC-002 Evidence Ledger'!$V$14:$V$213,"&lt;&gt;",'18 RCC-002 Evidence Ledger'!$T$14:$T$213,"&lt;&gt;Closed — No Action",'18 RCC-002 Evidence Ledger'!$T$14:$T$213,"&lt;&gt;Closed — Incorporated")</x:f>
        <x:v>0</x:v>
      </x:c>
      <x:c r="Y24" s="1024" t="n">
        <x:f>COUNTIFS('18 RCC-002 Evidence Ledger'!$E$14:$E$213,$B24,'18 RCC-002 Evidence Ledger'!$V$14:$V$213,"Material Event Review",'18 RCC-002 Evidence Ledger'!$T$14:$T$213,"&lt;&gt;Closed — No Action",'18 RCC-002 Evidence Ledger'!$T$14:$T$213,"&lt;&gt;Closed — Incorporated")</x:f>
        <x:v>0</x:v>
      </x:c>
      <x:c r="Z24" s="962" t="str">
        <x:f>IF($B24="","",IF($Y24&gt;0,"MATERIAL EVENT REVIEW",IF(OR($A24="",$M24="",$N24="",$O24="",$S24=""),"NOT INITIALIZED",IF(OR($M24="Suspended",$M24="Archived"),"INACTIVE",IF($O24="Event-Driven","CURRENT",IF($T24&lt;TODAY(),"OVERDUE",IF($T24-TODAY()&lt;=30,"REVIEW DUE",IF($T24-TODAY()&lt;=60,"UPDATE DUE","CURRENT"))))))))</x:f>
        <x:v>NOT INITIALIZED</x:v>
      </x:c>
      <x:c r="AA24" s="962" t="str">
        <x:f>IF($B24="","",IF(OR($A24="",$K24="",$L24="",$M24="",$N24="",$O24="",$Q24=""),"INCOMPLETE",IF(COUNTIF($A$14:$A$60,$A24)&gt;1,"DUPLICATE MIAR ID","COMPLETE")))</x:f>
        <x:v>INCOMPLETE</x:v>
      </x:c>
      <x:c r="AB24" s="962" t="str">
        <x:f>IF($B24="","",IF($AA24&lt;&gt;"COMPLETE",$AA24,IF($Y24&gt;0,"MATERIAL EVENT REVIEW",IF($Z24="OVERDUE","OVERDUE",IF($Z24="REVIEW DUE","REVIEW DUE",IF($X24&gt;0,"MIAR ACTION PENDING",IF(OR($I24="Unassigned",$J24=""),"THESIS / CONVICTION SETUP",IF($M24="Draft","DRAFT — NOT CERTIFIED",IF(AND($M24="Active",OR($AE24="",$AF24="")),"CERTIFICATION REQUIRED","CONTROL CLEAR")))))))))</x:f>
        <x:v>INCOMPLETE</x:v>
      </x:c>
      <x:c r="AC24" s="962" t="str">
        <x:f>IF($B24="","",IFERROR(INDEX('97 RCC Lists'!$Y$5:$Y$14,MATCH($AB24,'97 RCC Lists'!$W$5:$W$14,0)),"Review exception"))</x:f>
        <x:v>Complete MIAR setup</x:v>
      </x:c>
      <x:c r="AD24" s="962" t="str">
        <x:f>IF($B24="","",IF(OR($AB24="MATERIAL EVENT REVIEW",$AB24="MIAR ACTION PENDING",$AB24="THESIS / CONVICTION SETUP"),"REFER TO RCC-007",IF($AB24="CONTROL CLEAR","NO REFERRAL","HOLD PENDING MIAR UPDATE")))</x:f>
        <x:v>HOLD PENDING MIAR UPDATE</x:v>
      </x:c>
      <x:c r="AE24" s="1018"/>
      <x:c r="AF24" s="1025"/>
      <x:c r="AG24" s="1018"/>
    </x:row>
    <x:row r="25" ht="30" customHeight="1">
      <x:c r="A25" s="1018"/>
      <x:c r="B25" s="1021" t="str">
        <x:f>'Certified Allocation'!B16</x:f>
        <x:v>NVDA</x:v>
      </x:c>
      <x:c r="C25" s="1021" t="str">
        <x:f>'Certified Allocation'!C16</x:f>
        <x:v>NVIDIA Corporation</x:v>
      </x:c>
      <x:c r="D25" s="1021" t="str">
        <x:f>'Certified Allocation'!A16</x:f>
        <x:v>Growth Compounders</x:v>
      </x:c>
      <x:c r="E25" s="1021" t="str">
        <x:f>'Certified Allocation'!D16</x:f>
        <x:v>Equity</x:v>
      </x:c>
      <x:c r="F25" s="1021" t="str">
        <x:f>'Certified Allocation'!E16</x:f>
        <x:v>AI compute growth engine</x:v>
      </x:c>
      <x:c r="G25" s="1022" t="n">
        <x:f>'Certified Allocation'!F16</x:f>
        <x:v>0.0268</x:v>
      </x:c>
      <x:c r="H25" s="1021" t="str">
        <x:f>'Certified Allocation'!N16</x:f>
        <x:v>Current</x:v>
      </x:c>
      <x:c r="I25" s="1021" t="str">
        <x:f>IFERROR(INDEX('11 Conviction'!$H$5:$H$51,MATCH($B25,'11 Conviction'!$B$5:$B$51,0)),"Unassigned")</x:f>
        <x:v>Unassigned</x:v>
      </x:c>
      <x:c r="J25" s="1021" t="str">
        <x:f>IFERROR(INDEX('11 Conviction'!$J$5:$J$51,MATCH($B25,'11 Conviction'!$B$5:$B$51,0)),"")</x:f>
      </x:c>
      <x:c r="K25" s="1023"/>
      <x:c r="L25" s="1023"/>
      <x:c r="M25" s="1018"/>
      <x:c r="N25" s="1018"/>
      <x:c r="O25" s="1018"/>
      <x:c r="P25" s="1024" t="str">
        <x:f>IF($O25="","",IF($O25="Quarterly — 90 Days",90,IF($O25="Semiannual — 180 Days",180,IF($O25="Annual — 365 Days",365,IF($O25="Event-Driven",0,"")))))</x:f>
      </x:c>
      <x:c r="Q25" s="1025"/>
      <x:c r="R25" s="1025"/>
      <x:c r="S25" s="1026" t="str">
        <x:f>IF(COUNTA($Q25:$R25)=0,"",MAX($Q25:$R25))</x:f>
      </x:c>
      <x:c r="T25" s="1026" t="str">
        <x:f>IF(OR($S25="",$P25="",$P25=0),"",$S25+$P25)</x:f>
      </x:c>
      <x:c r="U25" s="1024" t="n">
        <x:f>COUNTIF('21 RCC-003 MIAR Review Log'!$C$14:$C$213,$B25)</x:f>
        <x:v>0</x:v>
      </x:c>
      <x:c r="V25" s="1024" t="n">
        <x:f>COUNTIF('18 RCC-002 Evidence Ledger'!$E$14:$E$213,$B25)</x:f>
        <x:v>0</x:v>
      </x:c>
      <x:c r="W25" s="1024" t="n">
        <x:f>COUNTIFS('18 RCC-002 Evidence Ledger'!$E$14:$E$213,$B25,'18 RCC-002 Evidence Ledger'!$T$14:$T$213,"&lt;&gt;Closed — No Action",'18 RCC-002 Evidence Ledger'!$T$14:$T$213,"&lt;&gt;Closed — Incorporated")</x:f>
        <x:v>0</x:v>
      </x:c>
      <x:c r="X25" s="1024" t="n">
        <x:f>COUNTIFS('18 RCC-002 Evidence Ledger'!$E$14:$E$213,$B25,'18 RCC-002 Evidence Ledger'!$V$14:$V$213,"&lt;&gt;None",'18 RCC-002 Evidence Ledger'!$V$14:$V$213,"&lt;&gt;",'18 RCC-002 Evidence Ledger'!$T$14:$T$213,"&lt;&gt;Closed — No Action",'18 RCC-002 Evidence Ledger'!$T$14:$T$213,"&lt;&gt;Closed — Incorporated")</x:f>
        <x:v>0</x:v>
      </x:c>
      <x:c r="Y25" s="1024" t="n">
        <x:f>COUNTIFS('18 RCC-002 Evidence Ledger'!$E$14:$E$213,$B25,'18 RCC-002 Evidence Ledger'!$V$14:$V$213,"Material Event Review",'18 RCC-002 Evidence Ledger'!$T$14:$T$213,"&lt;&gt;Closed — No Action",'18 RCC-002 Evidence Ledger'!$T$14:$T$213,"&lt;&gt;Closed — Incorporated")</x:f>
        <x:v>0</x:v>
      </x:c>
      <x:c r="Z25" s="962" t="str">
        <x:f>IF($B25="","",IF($Y25&gt;0,"MATERIAL EVENT REVIEW",IF(OR($A25="",$M25="",$N25="",$O25="",$S25=""),"NOT INITIALIZED",IF(OR($M25="Suspended",$M25="Archived"),"INACTIVE",IF($O25="Event-Driven","CURRENT",IF($T25&lt;TODAY(),"OVERDUE",IF($T25-TODAY()&lt;=30,"REVIEW DUE",IF($T25-TODAY()&lt;=60,"UPDATE DUE","CURRENT"))))))))</x:f>
        <x:v>NOT INITIALIZED</x:v>
      </x:c>
      <x:c r="AA25" s="962" t="str">
        <x:f>IF($B25="","",IF(OR($A25="",$K25="",$L25="",$M25="",$N25="",$O25="",$Q25=""),"INCOMPLETE",IF(COUNTIF($A$14:$A$60,$A25)&gt;1,"DUPLICATE MIAR ID","COMPLETE")))</x:f>
        <x:v>INCOMPLETE</x:v>
      </x:c>
      <x:c r="AB25" s="962" t="str">
        <x:f>IF($B25="","",IF($AA25&lt;&gt;"COMPLETE",$AA25,IF($Y25&gt;0,"MATERIAL EVENT REVIEW",IF($Z25="OVERDUE","OVERDUE",IF($Z25="REVIEW DUE","REVIEW DUE",IF($X25&gt;0,"MIAR ACTION PENDING",IF(OR($I25="Unassigned",$J25=""),"THESIS / CONVICTION SETUP",IF($M25="Draft","DRAFT — NOT CERTIFIED",IF(AND($M25="Active",OR($AE25="",$AF25="")),"CERTIFICATION REQUIRED","CONTROL CLEAR")))))))))</x:f>
        <x:v>INCOMPLETE</x:v>
      </x:c>
      <x:c r="AC25" s="962" t="str">
        <x:f>IF($B25="","",IFERROR(INDEX('97 RCC Lists'!$Y$5:$Y$14,MATCH($AB25,'97 RCC Lists'!$W$5:$W$14,0)),"Review exception"))</x:f>
        <x:v>Complete MIAR setup</x:v>
      </x:c>
      <x:c r="AD25" s="962" t="str">
        <x:f>IF($B25="","",IF(OR($AB25="MATERIAL EVENT REVIEW",$AB25="MIAR ACTION PENDING",$AB25="THESIS / CONVICTION SETUP"),"REFER TO RCC-007",IF($AB25="CONTROL CLEAR","NO REFERRAL","HOLD PENDING MIAR UPDATE")))</x:f>
        <x:v>HOLD PENDING MIAR UPDATE</x:v>
      </x:c>
      <x:c r="AE25" s="1018"/>
      <x:c r="AF25" s="1025"/>
      <x:c r="AG25" s="1018"/>
    </x:row>
    <x:row r="26" ht="30" customHeight="1">
      <x:c r="A26" s="1018"/>
      <x:c r="B26" s="1021" t="str">
        <x:f>'Certified Allocation'!B17</x:f>
        <x:v>HD</x:v>
      </x:c>
      <x:c r="C26" s="1021" t="str">
        <x:f>'Certified Allocation'!C17</x:f>
        <x:v>The Home Depot, Inc.</x:v>
      </x:c>
      <x:c r="D26" s="1021" t="str">
        <x:f>'Certified Allocation'!A17</x:f>
        <x:v>Growth Compounders</x:v>
      </x:c>
      <x:c r="E26" s="1021" t="str">
        <x:f>'Certified Allocation'!D17</x:f>
        <x:v>Equity</x:v>
      </x:c>
      <x:c r="F26" s="1021" t="str">
        <x:f>'Certified Allocation'!E17</x:f>
        <x:v>Housing and professional distribution compounder</x:v>
      </x:c>
      <x:c r="G26" s="1022" t="n">
        <x:f>'Certified Allocation'!F17</x:f>
        <x:v>0.0156</x:v>
      </x:c>
      <x:c r="H26" s="1021" t="str">
        <x:f>'Certified Allocation'!N17</x:f>
        <x:v>Current</x:v>
      </x:c>
      <x:c r="I26" s="1021" t="str">
        <x:f>IFERROR(INDEX('11 Conviction'!$H$5:$H$51,MATCH($B26,'11 Conviction'!$B$5:$B$51,0)),"Unassigned")</x:f>
        <x:v>Unassigned</x:v>
      </x:c>
      <x:c r="J26" s="1021" t="str">
        <x:f>IFERROR(INDEX('11 Conviction'!$J$5:$J$51,MATCH($B26,'11 Conviction'!$B$5:$B$51,0)),"")</x:f>
      </x:c>
      <x:c r="K26" s="1023"/>
      <x:c r="L26" s="1023"/>
      <x:c r="M26" s="1018"/>
      <x:c r="N26" s="1018"/>
      <x:c r="O26" s="1018"/>
      <x:c r="P26" s="1024" t="str">
        <x:f>IF($O26="","",IF($O26="Quarterly — 90 Days",90,IF($O26="Semiannual — 180 Days",180,IF($O26="Annual — 365 Days",365,IF($O26="Event-Driven",0,"")))))</x:f>
      </x:c>
      <x:c r="Q26" s="1025"/>
      <x:c r="R26" s="1025"/>
      <x:c r="S26" s="1026" t="str">
        <x:f>IF(COUNTA($Q26:$R26)=0,"",MAX($Q26:$R26))</x:f>
      </x:c>
      <x:c r="T26" s="1026" t="str">
        <x:f>IF(OR($S26="",$P26="",$P26=0),"",$S26+$P26)</x:f>
      </x:c>
      <x:c r="U26" s="1024" t="n">
        <x:f>COUNTIF('21 RCC-003 MIAR Review Log'!$C$14:$C$213,$B26)</x:f>
        <x:v>0</x:v>
      </x:c>
      <x:c r="V26" s="1024" t="n">
        <x:f>COUNTIF('18 RCC-002 Evidence Ledger'!$E$14:$E$213,$B26)</x:f>
        <x:v>0</x:v>
      </x:c>
      <x:c r="W26" s="1024" t="n">
        <x:f>COUNTIFS('18 RCC-002 Evidence Ledger'!$E$14:$E$213,$B26,'18 RCC-002 Evidence Ledger'!$T$14:$T$213,"&lt;&gt;Closed — No Action",'18 RCC-002 Evidence Ledger'!$T$14:$T$213,"&lt;&gt;Closed — Incorporated")</x:f>
        <x:v>0</x:v>
      </x:c>
      <x:c r="X26" s="1024" t="n">
        <x:f>COUNTIFS('18 RCC-002 Evidence Ledger'!$E$14:$E$213,$B26,'18 RCC-002 Evidence Ledger'!$V$14:$V$213,"&lt;&gt;None",'18 RCC-002 Evidence Ledger'!$V$14:$V$213,"&lt;&gt;",'18 RCC-002 Evidence Ledger'!$T$14:$T$213,"&lt;&gt;Closed — No Action",'18 RCC-002 Evidence Ledger'!$T$14:$T$213,"&lt;&gt;Closed — Incorporated")</x:f>
        <x:v>0</x:v>
      </x:c>
      <x:c r="Y26" s="1024" t="n">
        <x:f>COUNTIFS('18 RCC-002 Evidence Ledger'!$E$14:$E$213,$B26,'18 RCC-002 Evidence Ledger'!$V$14:$V$213,"Material Event Review",'18 RCC-002 Evidence Ledger'!$T$14:$T$213,"&lt;&gt;Closed — No Action",'18 RCC-002 Evidence Ledger'!$T$14:$T$213,"&lt;&gt;Closed — Incorporated")</x:f>
        <x:v>0</x:v>
      </x:c>
      <x:c r="Z26" s="962" t="str">
        <x:f>IF($B26="","",IF($Y26&gt;0,"MATERIAL EVENT REVIEW",IF(OR($A26="",$M26="",$N26="",$O26="",$S26=""),"NOT INITIALIZED",IF(OR($M26="Suspended",$M26="Archived"),"INACTIVE",IF($O26="Event-Driven","CURRENT",IF($T26&lt;TODAY(),"OVERDUE",IF($T26-TODAY()&lt;=30,"REVIEW DUE",IF($T26-TODAY()&lt;=60,"UPDATE DUE","CURRENT"))))))))</x:f>
        <x:v>NOT INITIALIZED</x:v>
      </x:c>
      <x:c r="AA26" s="962" t="str">
        <x:f>IF($B26="","",IF(OR($A26="",$K26="",$L26="",$M26="",$N26="",$O26="",$Q26=""),"INCOMPLETE",IF(COUNTIF($A$14:$A$60,$A26)&gt;1,"DUPLICATE MIAR ID","COMPLETE")))</x:f>
        <x:v>INCOMPLETE</x:v>
      </x:c>
      <x:c r="AB26" s="962" t="str">
        <x:f>IF($B26="","",IF($AA26&lt;&gt;"COMPLETE",$AA26,IF($Y26&gt;0,"MATERIAL EVENT REVIEW",IF($Z26="OVERDUE","OVERDUE",IF($Z26="REVIEW DUE","REVIEW DUE",IF($X26&gt;0,"MIAR ACTION PENDING",IF(OR($I26="Unassigned",$J26=""),"THESIS / CONVICTION SETUP",IF($M26="Draft","DRAFT — NOT CERTIFIED",IF(AND($M26="Active",OR($AE26="",$AF26="")),"CERTIFICATION REQUIRED","CONTROL CLEAR")))))))))</x:f>
        <x:v>INCOMPLETE</x:v>
      </x:c>
      <x:c r="AC26" s="962" t="str">
        <x:f>IF($B26="","",IFERROR(INDEX('97 RCC Lists'!$Y$5:$Y$14,MATCH($AB26,'97 RCC Lists'!$W$5:$W$14,0)),"Review exception"))</x:f>
        <x:v>Complete MIAR setup</x:v>
      </x:c>
      <x:c r="AD26" s="962" t="str">
        <x:f>IF($B26="","",IF(OR($AB26="MATERIAL EVENT REVIEW",$AB26="MIAR ACTION PENDING",$AB26="THESIS / CONVICTION SETUP"),"REFER TO RCC-007",IF($AB26="CONTROL CLEAR","NO REFERRAL","HOLD PENDING MIAR UPDATE")))</x:f>
        <x:v>HOLD PENDING MIAR UPDATE</x:v>
      </x:c>
      <x:c r="AE26" s="1018"/>
      <x:c r="AF26" s="1025"/>
      <x:c r="AG26" s="1018"/>
    </x:row>
    <x:row r="27" ht="30" customHeight="1">
      <x:c r="A27" s="1018"/>
      <x:c r="B27" s="1021" t="str">
        <x:f>'Certified Allocation'!B18</x:f>
        <x:v>META</x:v>
      </x:c>
      <x:c r="C27" s="1021" t="str">
        <x:f>'Certified Allocation'!C18</x:f>
        <x:v>Meta Platforms, Inc.</x:v>
      </x:c>
      <x:c r="D27" s="1021" t="str">
        <x:f>'Certified Allocation'!A18</x:f>
        <x:v>Growth Compounders</x:v>
      </x:c>
      <x:c r="E27" s="1021" t="str">
        <x:f>'Certified Allocation'!D18</x:f>
        <x:v>Equity</x:v>
      </x:c>
      <x:c r="F27" s="1021" t="str">
        <x:f>'Certified Allocation'!E18</x:f>
        <x:v>Digital platform and AI compounder</x:v>
      </x:c>
      <x:c r="G27" s="1022" t="n">
        <x:f>'Certified Allocation'!F18</x:f>
        <x:v>0.0156</x:v>
      </x:c>
      <x:c r="H27" s="1021" t="str">
        <x:f>'Certified Allocation'!N18</x:f>
        <x:v>Current</x:v>
      </x:c>
      <x:c r="I27" s="1021" t="str">
        <x:f>IFERROR(INDEX('11 Conviction'!$H$5:$H$51,MATCH($B27,'11 Conviction'!$B$5:$B$51,0)),"Unassigned")</x:f>
        <x:v>Unassigned</x:v>
      </x:c>
      <x:c r="J27" s="1021" t="str">
        <x:f>IFERROR(INDEX('11 Conviction'!$J$5:$J$51,MATCH($B27,'11 Conviction'!$B$5:$B$51,0)),"")</x:f>
      </x:c>
      <x:c r="K27" s="1023"/>
      <x:c r="L27" s="1023"/>
      <x:c r="M27" s="1018"/>
      <x:c r="N27" s="1018"/>
      <x:c r="O27" s="1018"/>
      <x:c r="P27" s="1024" t="str">
        <x:f>IF($O27="","",IF($O27="Quarterly — 90 Days",90,IF($O27="Semiannual — 180 Days",180,IF($O27="Annual — 365 Days",365,IF($O27="Event-Driven",0,"")))))</x:f>
      </x:c>
      <x:c r="Q27" s="1025"/>
      <x:c r="R27" s="1025"/>
      <x:c r="S27" s="1026" t="str">
        <x:f>IF(COUNTA($Q27:$R27)=0,"",MAX($Q27:$R27))</x:f>
      </x:c>
      <x:c r="T27" s="1026" t="str">
        <x:f>IF(OR($S27="",$P27="",$P27=0),"",$S27+$P27)</x:f>
      </x:c>
      <x:c r="U27" s="1024" t="n">
        <x:f>COUNTIF('21 RCC-003 MIAR Review Log'!$C$14:$C$213,$B27)</x:f>
        <x:v>0</x:v>
      </x:c>
      <x:c r="V27" s="1024" t="n">
        <x:f>COUNTIF('18 RCC-002 Evidence Ledger'!$E$14:$E$213,$B27)</x:f>
        <x:v>0</x:v>
      </x:c>
      <x:c r="W27" s="1024" t="n">
        <x:f>COUNTIFS('18 RCC-002 Evidence Ledger'!$E$14:$E$213,$B27,'18 RCC-002 Evidence Ledger'!$T$14:$T$213,"&lt;&gt;Closed — No Action",'18 RCC-002 Evidence Ledger'!$T$14:$T$213,"&lt;&gt;Closed — Incorporated")</x:f>
        <x:v>0</x:v>
      </x:c>
      <x:c r="X27" s="1024" t="n">
        <x:f>COUNTIFS('18 RCC-002 Evidence Ledger'!$E$14:$E$213,$B27,'18 RCC-002 Evidence Ledger'!$V$14:$V$213,"&lt;&gt;None",'18 RCC-002 Evidence Ledger'!$V$14:$V$213,"&lt;&gt;",'18 RCC-002 Evidence Ledger'!$T$14:$T$213,"&lt;&gt;Closed — No Action",'18 RCC-002 Evidence Ledger'!$T$14:$T$213,"&lt;&gt;Closed — Incorporated")</x:f>
        <x:v>0</x:v>
      </x:c>
      <x:c r="Y27" s="1024" t="n">
        <x:f>COUNTIFS('18 RCC-002 Evidence Ledger'!$E$14:$E$213,$B27,'18 RCC-002 Evidence Ledger'!$V$14:$V$213,"Material Event Review",'18 RCC-002 Evidence Ledger'!$T$14:$T$213,"&lt;&gt;Closed — No Action",'18 RCC-002 Evidence Ledger'!$T$14:$T$213,"&lt;&gt;Closed — Incorporated")</x:f>
        <x:v>0</x:v>
      </x:c>
      <x:c r="Z27" s="962" t="str">
        <x:f>IF($B27="","",IF($Y27&gt;0,"MATERIAL EVENT REVIEW",IF(OR($A27="",$M27="",$N27="",$O27="",$S27=""),"NOT INITIALIZED",IF(OR($M27="Suspended",$M27="Archived"),"INACTIVE",IF($O27="Event-Driven","CURRENT",IF($T27&lt;TODAY(),"OVERDUE",IF($T27-TODAY()&lt;=30,"REVIEW DUE",IF($T27-TODAY()&lt;=60,"UPDATE DUE","CURRENT"))))))))</x:f>
        <x:v>NOT INITIALIZED</x:v>
      </x:c>
      <x:c r="AA27" s="962" t="str">
        <x:f>IF($B27="","",IF(OR($A27="",$K27="",$L27="",$M27="",$N27="",$O27="",$Q27=""),"INCOMPLETE",IF(COUNTIF($A$14:$A$60,$A27)&gt;1,"DUPLICATE MIAR ID","COMPLETE")))</x:f>
        <x:v>INCOMPLETE</x:v>
      </x:c>
      <x:c r="AB27" s="962" t="str">
        <x:f>IF($B27="","",IF($AA27&lt;&gt;"COMPLETE",$AA27,IF($Y27&gt;0,"MATERIAL EVENT REVIEW",IF($Z27="OVERDUE","OVERDUE",IF($Z27="REVIEW DUE","REVIEW DUE",IF($X27&gt;0,"MIAR ACTION PENDING",IF(OR($I27="Unassigned",$J27=""),"THESIS / CONVICTION SETUP",IF($M27="Draft","DRAFT — NOT CERTIFIED",IF(AND($M27="Active",OR($AE27="",$AF27="")),"CERTIFICATION REQUIRED","CONTROL CLEAR")))))))))</x:f>
        <x:v>INCOMPLETE</x:v>
      </x:c>
      <x:c r="AC27" s="962" t="str">
        <x:f>IF($B27="","",IFERROR(INDEX('97 RCC Lists'!$Y$5:$Y$14,MATCH($AB27,'97 RCC Lists'!$W$5:$W$14,0)),"Review exception"))</x:f>
        <x:v>Complete MIAR setup</x:v>
      </x:c>
      <x:c r="AD27" s="962" t="str">
        <x:f>IF($B27="","",IF(OR($AB27="MATERIAL EVENT REVIEW",$AB27="MIAR ACTION PENDING",$AB27="THESIS / CONVICTION SETUP"),"REFER TO RCC-007",IF($AB27="CONTROL CLEAR","NO REFERRAL","HOLD PENDING MIAR UPDATE")))</x:f>
        <x:v>HOLD PENDING MIAR UPDATE</x:v>
      </x:c>
      <x:c r="AE27" s="1018"/>
      <x:c r="AF27" s="1025"/>
      <x:c r="AG27" s="1018"/>
    </x:row>
    <x:row r="28" ht="30" customHeight="1">
      <x:c r="A28" s="1018"/>
      <x:c r="B28" s="1021" t="str">
        <x:f>'Certified Allocation'!B19</x:f>
        <x:v>ANET</x:v>
      </x:c>
      <x:c r="C28" s="1021" t="str">
        <x:f>'Certified Allocation'!C19</x:f>
        <x:v>Arista Networks, Inc.</x:v>
      </x:c>
      <x:c r="D28" s="1021" t="str">
        <x:f>'Certified Allocation'!A19</x:f>
        <x:v>Growth Compounders</x:v>
      </x:c>
      <x:c r="E28" s="1021" t="str">
        <x:f>'Certified Allocation'!D19</x:f>
        <x:v>Equity</x:v>
      </x:c>
      <x:c r="F28" s="1021" t="str">
        <x:f>'Certified Allocation'!E19</x:f>
        <x:v>AI networking compounder</x:v>
      </x:c>
      <x:c r="G28" s="1022" t="n">
        <x:f>'Certified Allocation'!F19</x:f>
        <x:v>0.0155</x:v>
      </x:c>
      <x:c r="H28" s="1021" t="str">
        <x:f>'Certified Allocation'!N19</x:f>
        <x:v>Current</x:v>
      </x:c>
      <x:c r="I28" s="1021" t="str">
        <x:f>IFERROR(INDEX('11 Conviction'!$H$5:$H$51,MATCH($B28,'11 Conviction'!$B$5:$B$51,0)),"Unassigned")</x:f>
        <x:v>Unassigned</x:v>
      </x:c>
      <x:c r="J28" s="1021" t="str">
        <x:f>IFERROR(INDEX('11 Conviction'!$J$5:$J$51,MATCH($B28,'11 Conviction'!$B$5:$B$51,0)),"")</x:f>
      </x:c>
      <x:c r="K28" s="1023"/>
      <x:c r="L28" s="1023"/>
      <x:c r="M28" s="1018"/>
      <x:c r="N28" s="1018"/>
      <x:c r="O28" s="1018"/>
      <x:c r="P28" s="1024" t="str">
        <x:f>IF($O28="","",IF($O28="Quarterly — 90 Days",90,IF($O28="Semiannual — 180 Days",180,IF($O28="Annual — 365 Days",365,IF($O28="Event-Driven",0,"")))))</x:f>
      </x:c>
      <x:c r="Q28" s="1025"/>
      <x:c r="R28" s="1025"/>
      <x:c r="S28" s="1026" t="str">
        <x:f>IF(COUNTA($Q28:$R28)=0,"",MAX($Q28:$R28))</x:f>
      </x:c>
      <x:c r="T28" s="1026" t="str">
        <x:f>IF(OR($S28="",$P28="",$P28=0),"",$S28+$P28)</x:f>
      </x:c>
      <x:c r="U28" s="1024" t="n">
        <x:f>COUNTIF('21 RCC-003 MIAR Review Log'!$C$14:$C$213,$B28)</x:f>
        <x:v>0</x:v>
      </x:c>
      <x:c r="V28" s="1024" t="n">
        <x:f>COUNTIF('18 RCC-002 Evidence Ledger'!$E$14:$E$213,$B28)</x:f>
        <x:v>0</x:v>
      </x:c>
      <x:c r="W28" s="1024" t="n">
        <x:f>COUNTIFS('18 RCC-002 Evidence Ledger'!$E$14:$E$213,$B28,'18 RCC-002 Evidence Ledger'!$T$14:$T$213,"&lt;&gt;Closed — No Action",'18 RCC-002 Evidence Ledger'!$T$14:$T$213,"&lt;&gt;Closed — Incorporated")</x:f>
        <x:v>0</x:v>
      </x:c>
      <x:c r="X28" s="1024" t="n">
        <x:f>COUNTIFS('18 RCC-002 Evidence Ledger'!$E$14:$E$213,$B28,'18 RCC-002 Evidence Ledger'!$V$14:$V$213,"&lt;&gt;None",'18 RCC-002 Evidence Ledger'!$V$14:$V$213,"&lt;&gt;",'18 RCC-002 Evidence Ledger'!$T$14:$T$213,"&lt;&gt;Closed — No Action",'18 RCC-002 Evidence Ledger'!$T$14:$T$213,"&lt;&gt;Closed — Incorporated")</x:f>
        <x:v>0</x:v>
      </x:c>
      <x:c r="Y28" s="1024" t="n">
        <x:f>COUNTIFS('18 RCC-002 Evidence Ledger'!$E$14:$E$213,$B28,'18 RCC-002 Evidence Ledger'!$V$14:$V$213,"Material Event Review",'18 RCC-002 Evidence Ledger'!$T$14:$T$213,"&lt;&gt;Closed — No Action",'18 RCC-002 Evidence Ledger'!$T$14:$T$213,"&lt;&gt;Closed — Incorporated")</x:f>
        <x:v>0</x:v>
      </x:c>
      <x:c r="Z28" s="962" t="str">
        <x:f>IF($B28="","",IF($Y28&gt;0,"MATERIAL EVENT REVIEW",IF(OR($A28="",$M28="",$N28="",$O28="",$S28=""),"NOT INITIALIZED",IF(OR($M28="Suspended",$M28="Archived"),"INACTIVE",IF($O28="Event-Driven","CURRENT",IF($T28&lt;TODAY(),"OVERDUE",IF($T28-TODAY()&lt;=30,"REVIEW DUE",IF($T28-TODAY()&lt;=60,"UPDATE DUE","CURRENT"))))))))</x:f>
        <x:v>NOT INITIALIZED</x:v>
      </x:c>
      <x:c r="AA28" s="962" t="str">
        <x:f>IF($B28="","",IF(OR($A28="",$K28="",$L28="",$M28="",$N28="",$O28="",$Q28=""),"INCOMPLETE",IF(COUNTIF($A$14:$A$60,$A28)&gt;1,"DUPLICATE MIAR ID","COMPLETE")))</x:f>
        <x:v>INCOMPLETE</x:v>
      </x:c>
      <x:c r="AB28" s="962" t="str">
        <x:f>IF($B28="","",IF($AA28&lt;&gt;"COMPLETE",$AA28,IF($Y28&gt;0,"MATERIAL EVENT REVIEW",IF($Z28="OVERDUE","OVERDUE",IF($Z28="REVIEW DUE","REVIEW DUE",IF($X28&gt;0,"MIAR ACTION PENDING",IF(OR($I28="Unassigned",$J28=""),"THESIS / CONVICTION SETUP",IF($M28="Draft","DRAFT — NOT CERTIFIED",IF(AND($M28="Active",OR($AE28="",$AF28="")),"CERTIFICATION REQUIRED","CONTROL CLEAR")))))))))</x:f>
        <x:v>INCOMPLETE</x:v>
      </x:c>
      <x:c r="AC28" s="962" t="str">
        <x:f>IF($B28="","",IFERROR(INDEX('97 RCC Lists'!$Y$5:$Y$14,MATCH($AB28,'97 RCC Lists'!$W$5:$W$14,0)),"Review exception"))</x:f>
        <x:v>Complete MIAR setup</x:v>
      </x:c>
      <x:c r="AD28" s="962" t="str">
        <x:f>IF($B28="","",IF(OR($AB28="MATERIAL EVENT REVIEW",$AB28="MIAR ACTION PENDING",$AB28="THESIS / CONVICTION SETUP"),"REFER TO RCC-007",IF($AB28="CONTROL CLEAR","NO REFERRAL","HOLD PENDING MIAR UPDATE")))</x:f>
        <x:v>HOLD PENDING MIAR UPDATE</x:v>
      </x:c>
      <x:c r="AE28" s="1018"/>
      <x:c r="AF28" s="1025"/>
      <x:c r="AG28" s="1018"/>
    </x:row>
    <x:row r="29" ht="30" customHeight="1">
      <x:c r="A29" s="1018"/>
      <x:c r="B29" s="1021" t="str">
        <x:f>'Certified Allocation'!B20</x:f>
        <x:v>PANW</x:v>
      </x:c>
      <x:c r="C29" s="1021" t="str">
        <x:f>'Certified Allocation'!C20</x:f>
        <x:v>Palo Alto Networks, Inc.</x:v>
      </x:c>
      <x:c r="D29" s="1021" t="str">
        <x:f>'Certified Allocation'!A20</x:f>
        <x:v>Digital Infrastructure &amp; AI</x:v>
      </x:c>
      <x:c r="E29" s="1021" t="str">
        <x:f>'Certified Allocation'!D20</x:f>
        <x:v>Equity</x:v>
      </x:c>
      <x:c r="F29" s="1021" t="str">
        <x:f>'Certified Allocation'!E20</x:f>
        <x:v>Cybersecurity infrastructure leader</x:v>
      </x:c>
      <x:c r="G29" s="1022" t="n">
        <x:f>'Certified Allocation'!F20</x:f>
        <x:v>0.0199</x:v>
      </x:c>
      <x:c r="H29" s="1021" t="str">
        <x:f>'Certified Allocation'!N20</x:f>
        <x:v>Current</x:v>
      </x:c>
      <x:c r="I29" s="1021" t="str">
        <x:f>IFERROR(INDEX('11 Conviction'!$H$5:$H$51,MATCH($B29,'11 Conviction'!$B$5:$B$51,0)),"Unassigned")</x:f>
        <x:v>Unassigned</x:v>
      </x:c>
      <x:c r="J29" s="1021" t="str">
        <x:f>IFERROR(INDEX('11 Conviction'!$J$5:$J$51,MATCH($B29,'11 Conviction'!$B$5:$B$51,0)),"")</x:f>
      </x:c>
      <x:c r="K29" s="1023"/>
      <x:c r="L29" s="1023"/>
      <x:c r="M29" s="1018"/>
      <x:c r="N29" s="1018"/>
      <x:c r="O29" s="1018"/>
      <x:c r="P29" s="1024" t="str">
        <x:f>IF($O29="","",IF($O29="Quarterly — 90 Days",90,IF($O29="Semiannual — 180 Days",180,IF($O29="Annual — 365 Days",365,IF($O29="Event-Driven",0,"")))))</x:f>
      </x:c>
      <x:c r="Q29" s="1025"/>
      <x:c r="R29" s="1025"/>
      <x:c r="S29" s="1026" t="str">
        <x:f>IF(COUNTA($Q29:$R29)=0,"",MAX($Q29:$R29))</x:f>
      </x:c>
      <x:c r="T29" s="1026" t="str">
        <x:f>IF(OR($S29="",$P29="",$P29=0),"",$S29+$P29)</x:f>
      </x:c>
      <x:c r="U29" s="1024" t="n">
        <x:f>COUNTIF('21 RCC-003 MIAR Review Log'!$C$14:$C$213,$B29)</x:f>
        <x:v>0</x:v>
      </x:c>
      <x:c r="V29" s="1024" t="n">
        <x:f>COUNTIF('18 RCC-002 Evidence Ledger'!$E$14:$E$213,$B29)</x:f>
        <x:v>0</x:v>
      </x:c>
      <x:c r="W29" s="1024" t="n">
        <x:f>COUNTIFS('18 RCC-002 Evidence Ledger'!$E$14:$E$213,$B29,'18 RCC-002 Evidence Ledger'!$T$14:$T$213,"&lt;&gt;Closed — No Action",'18 RCC-002 Evidence Ledger'!$T$14:$T$213,"&lt;&gt;Closed — Incorporated")</x:f>
        <x:v>0</x:v>
      </x:c>
      <x:c r="X29" s="1024" t="n">
        <x:f>COUNTIFS('18 RCC-002 Evidence Ledger'!$E$14:$E$213,$B29,'18 RCC-002 Evidence Ledger'!$V$14:$V$213,"&lt;&gt;None",'18 RCC-002 Evidence Ledger'!$V$14:$V$213,"&lt;&gt;",'18 RCC-002 Evidence Ledger'!$T$14:$T$213,"&lt;&gt;Closed — No Action",'18 RCC-002 Evidence Ledger'!$T$14:$T$213,"&lt;&gt;Closed — Incorporated")</x:f>
        <x:v>0</x:v>
      </x:c>
      <x:c r="Y29" s="1024" t="n">
        <x:f>COUNTIFS('18 RCC-002 Evidence Ledger'!$E$14:$E$213,$B29,'18 RCC-002 Evidence Ledger'!$V$14:$V$213,"Material Event Review",'18 RCC-002 Evidence Ledger'!$T$14:$T$213,"&lt;&gt;Closed — No Action",'18 RCC-002 Evidence Ledger'!$T$14:$T$213,"&lt;&gt;Closed — Incorporated")</x:f>
        <x:v>0</x:v>
      </x:c>
      <x:c r="Z29" s="962" t="str">
        <x:f>IF($B29="","",IF($Y29&gt;0,"MATERIAL EVENT REVIEW",IF(OR($A29="",$M29="",$N29="",$O29="",$S29=""),"NOT INITIALIZED",IF(OR($M29="Suspended",$M29="Archived"),"INACTIVE",IF($O29="Event-Driven","CURRENT",IF($T29&lt;TODAY(),"OVERDUE",IF($T29-TODAY()&lt;=30,"REVIEW DUE",IF($T29-TODAY()&lt;=60,"UPDATE DUE","CURRENT"))))))))</x:f>
        <x:v>NOT INITIALIZED</x:v>
      </x:c>
      <x:c r="AA29" s="962" t="str">
        <x:f>IF($B29="","",IF(OR($A29="",$K29="",$L29="",$M29="",$N29="",$O29="",$Q29=""),"INCOMPLETE",IF(COUNTIF($A$14:$A$60,$A29)&gt;1,"DUPLICATE MIAR ID","COMPLETE")))</x:f>
        <x:v>INCOMPLETE</x:v>
      </x:c>
      <x:c r="AB29" s="962" t="str">
        <x:f>IF($B29="","",IF($AA29&lt;&gt;"COMPLETE",$AA29,IF($Y29&gt;0,"MATERIAL EVENT REVIEW",IF($Z29="OVERDUE","OVERDUE",IF($Z29="REVIEW DUE","REVIEW DUE",IF($X29&gt;0,"MIAR ACTION PENDING",IF(OR($I29="Unassigned",$J29=""),"THESIS / CONVICTION SETUP",IF($M29="Draft","DRAFT — NOT CERTIFIED",IF(AND($M29="Active",OR($AE29="",$AF29="")),"CERTIFICATION REQUIRED","CONTROL CLEAR")))))))))</x:f>
        <x:v>INCOMPLETE</x:v>
      </x:c>
      <x:c r="AC29" s="962" t="str">
        <x:f>IF($B29="","",IFERROR(INDEX('97 RCC Lists'!$Y$5:$Y$14,MATCH($AB29,'97 RCC Lists'!$W$5:$W$14,0)),"Review exception"))</x:f>
        <x:v>Complete MIAR setup</x:v>
      </x:c>
      <x:c r="AD29" s="962" t="str">
        <x:f>IF($B29="","",IF(OR($AB29="MATERIAL EVENT REVIEW",$AB29="MIAR ACTION PENDING",$AB29="THESIS / CONVICTION SETUP"),"REFER TO RCC-007",IF($AB29="CONTROL CLEAR","NO REFERRAL","HOLD PENDING MIAR UPDATE")))</x:f>
        <x:v>HOLD PENDING MIAR UPDATE</x:v>
      </x:c>
      <x:c r="AE29" s="1018"/>
      <x:c r="AF29" s="1025"/>
      <x:c r="AG29" s="1018"/>
    </x:row>
    <x:row r="30" ht="30" customHeight="1">
      <x:c r="A30" s="1018"/>
      <x:c r="B30" s="1021" t="str">
        <x:f>'Certified Allocation'!B21</x:f>
        <x:v>AMAT</x:v>
      </x:c>
      <x:c r="C30" s="1021" t="str">
        <x:f>'Certified Allocation'!C21</x:f>
        <x:v>Applied Materials, Inc.</x:v>
      </x:c>
      <x:c r="D30" s="1021" t="str">
        <x:f>'Certified Allocation'!A21</x:f>
        <x:v>Digital Infrastructure &amp; AI</x:v>
      </x:c>
      <x:c r="E30" s="1021" t="str">
        <x:f>'Certified Allocation'!D21</x:f>
        <x:v>Equity</x:v>
      </x:c>
      <x:c r="F30" s="1021" t="str">
        <x:f>'Certified Allocation'!E21</x:f>
        <x:v>Semiconductor equipment enabler</x:v>
      </x:c>
      <x:c r="G30" s="1022" t="n">
        <x:f>'Certified Allocation'!F21</x:f>
        <x:v>0.0156</x:v>
      </x:c>
      <x:c r="H30" s="1021" t="str">
        <x:f>'Certified Allocation'!N21</x:f>
        <x:v>Current</x:v>
      </x:c>
      <x:c r="I30" s="1021" t="str">
        <x:f>IFERROR(INDEX('11 Conviction'!$H$5:$H$51,MATCH($B30,'11 Conviction'!$B$5:$B$51,0)),"Unassigned")</x:f>
        <x:v>Unassigned</x:v>
      </x:c>
      <x:c r="J30" s="1021" t="str">
        <x:f>IFERROR(INDEX('11 Conviction'!$J$5:$J$51,MATCH($B30,'11 Conviction'!$B$5:$B$51,0)),"")</x:f>
      </x:c>
      <x:c r="K30" s="1023"/>
      <x:c r="L30" s="1023"/>
      <x:c r="M30" s="1018"/>
      <x:c r="N30" s="1018"/>
      <x:c r="O30" s="1018"/>
      <x:c r="P30" s="1024" t="str">
        <x:f>IF($O30="","",IF($O30="Quarterly — 90 Days",90,IF($O30="Semiannual — 180 Days",180,IF($O30="Annual — 365 Days",365,IF($O30="Event-Driven",0,"")))))</x:f>
      </x:c>
      <x:c r="Q30" s="1025"/>
      <x:c r="R30" s="1025"/>
      <x:c r="S30" s="1026" t="str">
        <x:f>IF(COUNTA($Q30:$R30)=0,"",MAX($Q30:$R30))</x:f>
      </x:c>
      <x:c r="T30" s="1026" t="str">
        <x:f>IF(OR($S30="",$P30="",$P30=0),"",$S30+$P30)</x:f>
      </x:c>
      <x:c r="U30" s="1024" t="n">
        <x:f>COUNTIF('21 RCC-003 MIAR Review Log'!$C$14:$C$213,$B30)</x:f>
        <x:v>0</x:v>
      </x:c>
      <x:c r="V30" s="1024" t="n">
        <x:f>COUNTIF('18 RCC-002 Evidence Ledger'!$E$14:$E$213,$B30)</x:f>
        <x:v>0</x:v>
      </x:c>
      <x:c r="W30" s="1024" t="n">
        <x:f>COUNTIFS('18 RCC-002 Evidence Ledger'!$E$14:$E$213,$B30,'18 RCC-002 Evidence Ledger'!$T$14:$T$213,"&lt;&gt;Closed — No Action",'18 RCC-002 Evidence Ledger'!$T$14:$T$213,"&lt;&gt;Closed — Incorporated")</x:f>
        <x:v>0</x:v>
      </x:c>
      <x:c r="X30" s="1024" t="n">
        <x:f>COUNTIFS('18 RCC-002 Evidence Ledger'!$E$14:$E$213,$B30,'18 RCC-002 Evidence Ledger'!$V$14:$V$213,"&lt;&gt;None",'18 RCC-002 Evidence Ledger'!$V$14:$V$213,"&lt;&gt;",'18 RCC-002 Evidence Ledger'!$T$14:$T$213,"&lt;&gt;Closed — No Action",'18 RCC-002 Evidence Ledger'!$T$14:$T$213,"&lt;&gt;Closed — Incorporated")</x:f>
        <x:v>0</x:v>
      </x:c>
      <x:c r="Y30" s="1024" t="n">
        <x:f>COUNTIFS('18 RCC-002 Evidence Ledger'!$E$14:$E$213,$B30,'18 RCC-002 Evidence Ledger'!$V$14:$V$213,"Material Event Review",'18 RCC-002 Evidence Ledger'!$T$14:$T$213,"&lt;&gt;Closed — No Action",'18 RCC-002 Evidence Ledger'!$T$14:$T$213,"&lt;&gt;Closed — Incorporated")</x:f>
        <x:v>0</x:v>
      </x:c>
      <x:c r="Z30" s="962" t="str">
        <x:f>IF($B30="","",IF($Y30&gt;0,"MATERIAL EVENT REVIEW",IF(OR($A30="",$M30="",$N30="",$O30="",$S30=""),"NOT INITIALIZED",IF(OR($M30="Suspended",$M30="Archived"),"INACTIVE",IF($O30="Event-Driven","CURRENT",IF($T30&lt;TODAY(),"OVERDUE",IF($T30-TODAY()&lt;=30,"REVIEW DUE",IF($T30-TODAY()&lt;=60,"UPDATE DUE","CURRENT"))))))))</x:f>
        <x:v>NOT INITIALIZED</x:v>
      </x:c>
      <x:c r="AA30" s="962" t="str">
        <x:f>IF($B30="","",IF(OR($A30="",$K30="",$L30="",$M30="",$N30="",$O30="",$Q30=""),"INCOMPLETE",IF(COUNTIF($A$14:$A$60,$A30)&gt;1,"DUPLICATE MIAR ID","COMPLETE")))</x:f>
        <x:v>INCOMPLETE</x:v>
      </x:c>
      <x:c r="AB30" s="962" t="str">
        <x:f>IF($B30="","",IF($AA30&lt;&gt;"COMPLETE",$AA30,IF($Y30&gt;0,"MATERIAL EVENT REVIEW",IF($Z30="OVERDUE","OVERDUE",IF($Z30="REVIEW DUE","REVIEW DUE",IF($X30&gt;0,"MIAR ACTION PENDING",IF(OR($I30="Unassigned",$J30=""),"THESIS / CONVICTION SETUP",IF($M30="Draft","DRAFT — NOT CERTIFIED",IF(AND($M30="Active",OR($AE30="",$AF30="")),"CERTIFICATION REQUIRED","CONTROL CLEAR")))))))))</x:f>
        <x:v>INCOMPLETE</x:v>
      </x:c>
      <x:c r="AC30" s="962" t="str">
        <x:f>IF($B30="","",IFERROR(INDEX('97 RCC Lists'!$Y$5:$Y$14,MATCH($AB30,'97 RCC Lists'!$W$5:$W$14,0)),"Review exception"))</x:f>
        <x:v>Complete MIAR setup</x:v>
      </x:c>
      <x:c r="AD30" s="962" t="str">
        <x:f>IF($B30="","",IF(OR($AB30="MATERIAL EVENT REVIEW",$AB30="MIAR ACTION PENDING",$AB30="THESIS / CONVICTION SETUP"),"REFER TO RCC-007",IF($AB30="CONTROL CLEAR","NO REFERRAL","HOLD PENDING MIAR UPDATE")))</x:f>
        <x:v>HOLD PENDING MIAR UPDATE</x:v>
      </x:c>
      <x:c r="AE30" s="1018"/>
      <x:c r="AF30" s="1025"/>
      <x:c r="AG30" s="1018"/>
    </x:row>
    <x:row r="31" ht="30" customHeight="1">
      <x:c r="A31" s="1018"/>
      <x:c r="B31" s="1021" t="str">
        <x:f>'Certified Allocation'!B22</x:f>
        <x:v>CSCO</x:v>
      </x:c>
      <x:c r="C31" s="1021" t="str">
        <x:f>'Certified Allocation'!C22</x:f>
        <x:v>Cisco Systems, Inc.</x:v>
      </x:c>
      <x:c r="D31" s="1021" t="str">
        <x:f>'Certified Allocation'!A22</x:f>
        <x:v>Digital Infrastructure &amp; AI</x:v>
      </x:c>
      <x:c r="E31" s="1021" t="str">
        <x:f>'Certified Allocation'!D22</x:f>
        <x:v>Equity</x:v>
      </x:c>
      <x:c r="F31" s="1021" t="str">
        <x:f>'Certified Allocation'!E22</x:f>
        <x:v>Enterprise networking and secure infrastructure</x:v>
      </x:c>
      <x:c r="G31" s="1022" t="n">
        <x:f>'Certified Allocation'!F22</x:f>
        <x:v>0.0156</x:v>
      </x:c>
      <x:c r="H31" s="1021" t="str">
        <x:f>'Certified Allocation'!N22</x:f>
        <x:v>Current</x:v>
      </x:c>
      <x:c r="I31" s="1021" t="str">
        <x:f>IFERROR(INDEX('11 Conviction'!$H$5:$H$51,MATCH($B31,'11 Conviction'!$B$5:$B$51,0)),"Unassigned")</x:f>
        <x:v>Unassigned</x:v>
      </x:c>
      <x:c r="J31" s="1021" t="str">
        <x:f>IFERROR(INDEX('11 Conviction'!$J$5:$J$51,MATCH($B31,'11 Conviction'!$B$5:$B$51,0)),"")</x:f>
      </x:c>
      <x:c r="K31" s="1023"/>
      <x:c r="L31" s="1023"/>
      <x:c r="M31" s="1018"/>
      <x:c r="N31" s="1018"/>
      <x:c r="O31" s="1018"/>
      <x:c r="P31" s="1024" t="str">
        <x:f>IF($O31="","",IF($O31="Quarterly — 90 Days",90,IF($O31="Semiannual — 180 Days",180,IF($O31="Annual — 365 Days",365,IF($O31="Event-Driven",0,"")))))</x:f>
      </x:c>
      <x:c r="Q31" s="1025"/>
      <x:c r="R31" s="1025"/>
      <x:c r="S31" s="1026" t="str">
        <x:f>IF(COUNTA($Q31:$R31)=0,"",MAX($Q31:$R31))</x:f>
      </x:c>
      <x:c r="T31" s="1026" t="str">
        <x:f>IF(OR($S31="",$P31="",$P31=0),"",$S31+$P31)</x:f>
      </x:c>
      <x:c r="U31" s="1024" t="n">
        <x:f>COUNTIF('21 RCC-003 MIAR Review Log'!$C$14:$C$213,$B31)</x:f>
        <x:v>0</x:v>
      </x:c>
      <x:c r="V31" s="1024" t="n">
        <x:f>COUNTIF('18 RCC-002 Evidence Ledger'!$E$14:$E$213,$B31)</x:f>
        <x:v>0</x:v>
      </x:c>
      <x:c r="W31" s="1024" t="n">
        <x:f>COUNTIFS('18 RCC-002 Evidence Ledger'!$E$14:$E$213,$B31,'18 RCC-002 Evidence Ledger'!$T$14:$T$213,"&lt;&gt;Closed — No Action",'18 RCC-002 Evidence Ledger'!$T$14:$T$213,"&lt;&gt;Closed — Incorporated")</x:f>
        <x:v>0</x:v>
      </x:c>
      <x:c r="X31" s="1024" t="n">
        <x:f>COUNTIFS('18 RCC-002 Evidence Ledger'!$E$14:$E$213,$B31,'18 RCC-002 Evidence Ledger'!$V$14:$V$213,"&lt;&gt;None",'18 RCC-002 Evidence Ledger'!$V$14:$V$213,"&lt;&gt;",'18 RCC-002 Evidence Ledger'!$T$14:$T$213,"&lt;&gt;Closed — No Action",'18 RCC-002 Evidence Ledger'!$T$14:$T$213,"&lt;&gt;Closed — Incorporated")</x:f>
        <x:v>0</x:v>
      </x:c>
      <x:c r="Y31" s="1024" t="n">
        <x:f>COUNTIFS('18 RCC-002 Evidence Ledger'!$E$14:$E$213,$B31,'18 RCC-002 Evidence Ledger'!$V$14:$V$213,"Material Event Review",'18 RCC-002 Evidence Ledger'!$T$14:$T$213,"&lt;&gt;Closed — No Action",'18 RCC-002 Evidence Ledger'!$T$14:$T$213,"&lt;&gt;Closed — Incorporated")</x:f>
        <x:v>0</x:v>
      </x:c>
      <x:c r="Z31" s="962" t="str">
        <x:f>IF($B31="","",IF($Y31&gt;0,"MATERIAL EVENT REVIEW",IF(OR($A31="",$M31="",$N31="",$O31="",$S31=""),"NOT INITIALIZED",IF(OR($M31="Suspended",$M31="Archived"),"INACTIVE",IF($O31="Event-Driven","CURRENT",IF($T31&lt;TODAY(),"OVERDUE",IF($T31-TODAY()&lt;=30,"REVIEW DUE",IF($T31-TODAY()&lt;=60,"UPDATE DUE","CURRENT"))))))))</x:f>
        <x:v>NOT INITIALIZED</x:v>
      </x:c>
      <x:c r="AA31" s="962" t="str">
        <x:f>IF($B31="","",IF(OR($A31="",$K31="",$L31="",$M31="",$N31="",$O31="",$Q31=""),"INCOMPLETE",IF(COUNTIF($A$14:$A$60,$A31)&gt;1,"DUPLICATE MIAR ID","COMPLETE")))</x:f>
        <x:v>INCOMPLETE</x:v>
      </x:c>
      <x:c r="AB31" s="962" t="str">
        <x:f>IF($B31="","",IF($AA31&lt;&gt;"COMPLETE",$AA31,IF($Y31&gt;0,"MATERIAL EVENT REVIEW",IF($Z31="OVERDUE","OVERDUE",IF($Z31="REVIEW DUE","REVIEW DUE",IF($X31&gt;0,"MIAR ACTION PENDING",IF(OR($I31="Unassigned",$J31=""),"THESIS / CONVICTION SETUP",IF($M31="Draft","DRAFT — NOT CERTIFIED",IF(AND($M31="Active",OR($AE31="",$AF31="")),"CERTIFICATION REQUIRED","CONTROL CLEAR")))))))))</x:f>
        <x:v>INCOMPLETE</x:v>
      </x:c>
      <x:c r="AC31" s="962" t="str">
        <x:f>IF($B31="","",IFERROR(INDEX('97 RCC Lists'!$Y$5:$Y$14,MATCH($AB31,'97 RCC Lists'!$W$5:$W$14,0)),"Review exception"))</x:f>
        <x:v>Complete MIAR setup</x:v>
      </x:c>
      <x:c r="AD31" s="962" t="str">
        <x:f>IF($B31="","",IF(OR($AB31="MATERIAL EVENT REVIEW",$AB31="MIAR ACTION PENDING",$AB31="THESIS / CONVICTION SETUP"),"REFER TO RCC-007",IF($AB31="CONTROL CLEAR","NO REFERRAL","HOLD PENDING MIAR UPDATE")))</x:f>
        <x:v>HOLD PENDING MIAR UPDATE</x:v>
      </x:c>
      <x:c r="AE31" s="1018"/>
      <x:c r="AF31" s="1025"/>
      <x:c r="AG31" s="1018"/>
    </x:row>
    <x:row r="32" ht="30" customHeight="1">
      <x:c r="A32" s="1018"/>
      <x:c r="B32" s="1021" t="str">
        <x:f>'Certified Allocation'!B23</x:f>
        <x:v>KLAC</x:v>
      </x:c>
      <x:c r="C32" s="1021" t="str">
        <x:f>'Certified Allocation'!C23</x:f>
        <x:v>KLA Corporation</x:v>
      </x:c>
      <x:c r="D32" s="1021" t="str">
        <x:f>'Certified Allocation'!A23</x:f>
        <x:v>Digital Infrastructure &amp; AI</x:v>
      </x:c>
      <x:c r="E32" s="1021" t="str">
        <x:f>'Certified Allocation'!D23</x:f>
        <x:v>Equity</x:v>
      </x:c>
      <x:c r="F32" s="1021" t="str">
        <x:f>'Certified Allocation'!E23</x:f>
        <x:v>Semiconductor process-control enabler</x:v>
      </x:c>
      <x:c r="G32" s="1022" t="n">
        <x:f>'Certified Allocation'!F23</x:f>
        <x:v>0.0156</x:v>
      </x:c>
      <x:c r="H32" s="1021" t="str">
        <x:f>'Certified Allocation'!N23</x:f>
        <x:v>Current</x:v>
      </x:c>
      <x:c r="I32" s="1021" t="str">
        <x:f>IFERROR(INDEX('11 Conviction'!$H$5:$H$51,MATCH($B32,'11 Conviction'!$B$5:$B$51,0)),"Unassigned")</x:f>
        <x:v>Unassigned</x:v>
      </x:c>
      <x:c r="J32" s="1021" t="str">
        <x:f>IFERROR(INDEX('11 Conviction'!$J$5:$J$51,MATCH($B32,'11 Conviction'!$B$5:$B$51,0)),"")</x:f>
      </x:c>
      <x:c r="K32" s="1023"/>
      <x:c r="L32" s="1023"/>
      <x:c r="M32" s="1018"/>
      <x:c r="N32" s="1018"/>
      <x:c r="O32" s="1018"/>
      <x:c r="P32" s="1024" t="str">
        <x:f>IF($O32="","",IF($O32="Quarterly — 90 Days",90,IF($O32="Semiannual — 180 Days",180,IF($O32="Annual — 365 Days",365,IF($O32="Event-Driven",0,"")))))</x:f>
      </x:c>
      <x:c r="Q32" s="1025"/>
      <x:c r="R32" s="1025"/>
      <x:c r="S32" s="1026" t="str">
        <x:f>IF(COUNTA($Q32:$R32)=0,"",MAX($Q32:$R32))</x:f>
      </x:c>
      <x:c r="T32" s="1026" t="str">
        <x:f>IF(OR($S32="",$P32="",$P32=0),"",$S32+$P32)</x:f>
      </x:c>
      <x:c r="U32" s="1024" t="n">
        <x:f>COUNTIF('21 RCC-003 MIAR Review Log'!$C$14:$C$213,$B32)</x:f>
        <x:v>0</x:v>
      </x:c>
      <x:c r="V32" s="1024" t="n">
        <x:f>COUNTIF('18 RCC-002 Evidence Ledger'!$E$14:$E$213,$B32)</x:f>
        <x:v>0</x:v>
      </x:c>
      <x:c r="W32" s="1024" t="n">
        <x:f>COUNTIFS('18 RCC-002 Evidence Ledger'!$E$14:$E$213,$B32,'18 RCC-002 Evidence Ledger'!$T$14:$T$213,"&lt;&gt;Closed — No Action",'18 RCC-002 Evidence Ledger'!$T$14:$T$213,"&lt;&gt;Closed — Incorporated")</x:f>
        <x:v>0</x:v>
      </x:c>
      <x:c r="X32" s="1024" t="n">
        <x:f>COUNTIFS('18 RCC-002 Evidence Ledger'!$E$14:$E$213,$B32,'18 RCC-002 Evidence Ledger'!$V$14:$V$213,"&lt;&gt;None",'18 RCC-002 Evidence Ledger'!$V$14:$V$213,"&lt;&gt;",'18 RCC-002 Evidence Ledger'!$T$14:$T$213,"&lt;&gt;Closed — No Action",'18 RCC-002 Evidence Ledger'!$T$14:$T$213,"&lt;&gt;Closed — Incorporated")</x:f>
        <x:v>0</x:v>
      </x:c>
      <x:c r="Y32" s="1024" t="n">
        <x:f>COUNTIFS('18 RCC-002 Evidence Ledger'!$E$14:$E$213,$B32,'18 RCC-002 Evidence Ledger'!$V$14:$V$213,"Material Event Review",'18 RCC-002 Evidence Ledger'!$T$14:$T$213,"&lt;&gt;Closed — No Action",'18 RCC-002 Evidence Ledger'!$T$14:$T$213,"&lt;&gt;Closed — Incorporated")</x:f>
        <x:v>0</x:v>
      </x:c>
      <x:c r="Z32" s="962" t="str">
        <x:f>IF($B32="","",IF($Y32&gt;0,"MATERIAL EVENT REVIEW",IF(OR($A32="",$M32="",$N32="",$O32="",$S32=""),"NOT INITIALIZED",IF(OR($M32="Suspended",$M32="Archived"),"INACTIVE",IF($O32="Event-Driven","CURRENT",IF($T32&lt;TODAY(),"OVERDUE",IF($T32-TODAY()&lt;=30,"REVIEW DUE",IF($T32-TODAY()&lt;=60,"UPDATE DUE","CURRENT"))))))))</x:f>
        <x:v>NOT INITIALIZED</x:v>
      </x:c>
      <x:c r="AA32" s="962" t="str">
        <x:f>IF($B32="","",IF(OR($A32="",$K32="",$L32="",$M32="",$N32="",$O32="",$Q32=""),"INCOMPLETE",IF(COUNTIF($A$14:$A$60,$A32)&gt;1,"DUPLICATE MIAR ID","COMPLETE")))</x:f>
        <x:v>INCOMPLETE</x:v>
      </x:c>
      <x:c r="AB32" s="962" t="str">
        <x:f>IF($B32="","",IF($AA32&lt;&gt;"COMPLETE",$AA32,IF($Y32&gt;0,"MATERIAL EVENT REVIEW",IF($Z32="OVERDUE","OVERDUE",IF($Z32="REVIEW DUE","REVIEW DUE",IF($X32&gt;0,"MIAR ACTION PENDING",IF(OR($I32="Unassigned",$J32=""),"THESIS / CONVICTION SETUP",IF($M32="Draft","DRAFT — NOT CERTIFIED",IF(AND($M32="Active",OR($AE32="",$AF32="")),"CERTIFICATION REQUIRED","CONTROL CLEAR")))))))))</x:f>
        <x:v>INCOMPLETE</x:v>
      </x:c>
      <x:c r="AC32" s="962" t="str">
        <x:f>IF($B32="","",IFERROR(INDEX('97 RCC Lists'!$Y$5:$Y$14,MATCH($AB32,'97 RCC Lists'!$W$5:$W$14,0)),"Review exception"))</x:f>
        <x:v>Complete MIAR setup</x:v>
      </x:c>
      <x:c r="AD32" s="962" t="str">
        <x:f>IF($B32="","",IF(OR($AB32="MATERIAL EVENT REVIEW",$AB32="MIAR ACTION PENDING",$AB32="THESIS / CONVICTION SETUP"),"REFER TO RCC-007",IF($AB32="CONTROL CLEAR","NO REFERRAL","HOLD PENDING MIAR UPDATE")))</x:f>
        <x:v>HOLD PENDING MIAR UPDATE</x:v>
      </x:c>
      <x:c r="AE32" s="1018"/>
      <x:c r="AF32" s="1025"/>
      <x:c r="AG32" s="1018"/>
    </x:row>
    <x:row r="33" ht="30" customHeight="1">
      <x:c r="A33" s="1018"/>
      <x:c r="B33" s="1021" t="str">
        <x:f>'Certified Allocation'!B24</x:f>
        <x:v>MU</x:v>
      </x:c>
      <x:c r="C33" s="1021" t="str">
        <x:f>'Certified Allocation'!C24</x:f>
        <x:v>Micron Technology, Inc.</x:v>
      </x:c>
      <x:c r="D33" s="1021" t="str">
        <x:f>'Certified Allocation'!A24</x:f>
        <x:v>Digital Infrastructure &amp; AI</x:v>
      </x:c>
      <x:c r="E33" s="1021" t="str">
        <x:f>'Certified Allocation'!D24</x:f>
        <x:v>Equity</x:v>
      </x:c>
      <x:c r="F33" s="1021" t="str">
        <x:f>'Certified Allocation'!E24</x:f>
        <x:v>Memory and AI data-cycle enabler</x:v>
      </x:c>
      <x:c r="G33" s="1022" t="n">
        <x:f>'Certified Allocation'!F24</x:f>
        <x:v>0.0156</x:v>
      </x:c>
      <x:c r="H33" s="1021" t="str">
        <x:f>'Certified Allocation'!N24</x:f>
        <x:v>Current</x:v>
      </x:c>
      <x:c r="I33" s="1021" t="str">
        <x:f>IFERROR(INDEX('11 Conviction'!$H$5:$H$51,MATCH($B33,'11 Conviction'!$B$5:$B$51,0)),"Unassigned")</x:f>
        <x:v>Unassigned</x:v>
      </x:c>
      <x:c r="J33" s="1021" t="str">
        <x:f>IFERROR(INDEX('11 Conviction'!$J$5:$J$51,MATCH($B33,'11 Conviction'!$B$5:$B$51,0)),"")</x:f>
      </x:c>
      <x:c r="K33" s="1023"/>
      <x:c r="L33" s="1023"/>
      <x:c r="M33" s="1018"/>
      <x:c r="N33" s="1018"/>
      <x:c r="O33" s="1018"/>
      <x:c r="P33" s="1024" t="str">
        <x:f>IF($O33="","",IF($O33="Quarterly — 90 Days",90,IF($O33="Semiannual — 180 Days",180,IF($O33="Annual — 365 Days",365,IF($O33="Event-Driven",0,"")))))</x:f>
      </x:c>
      <x:c r="Q33" s="1025"/>
      <x:c r="R33" s="1025"/>
      <x:c r="S33" s="1026" t="str">
        <x:f>IF(COUNTA($Q33:$R33)=0,"",MAX($Q33:$R33))</x:f>
      </x:c>
      <x:c r="T33" s="1026" t="str">
        <x:f>IF(OR($S33="",$P33="",$P33=0),"",$S33+$P33)</x:f>
      </x:c>
      <x:c r="U33" s="1024" t="n">
        <x:f>COUNTIF('21 RCC-003 MIAR Review Log'!$C$14:$C$213,$B33)</x:f>
        <x:v>0</x:v>
      </x:c>
      <x:c r="V33" s="1024" t="n">
        <x:f>COUNTIF('18 RCC-002 Evidence Ledger'!$E$14:$E$213,$B33)</x:f>
        <x:v>0</x:v>
      </x:c>
      <x:c r="W33" s="1024" t="n">
        <x:f>COUNTIFS('18 RCC-002 Evidence Ledger'!$E$14:$E$213,$B33,'18 RCC-002 Evidence Ledger'!$T$14:$T$213,"&lt;&gt;Closed — No Action",'18 RCC-002 Evidence Ledger'!$T$14:$T$213,"&lt;&gt;Closed — Incorporated")</x:f>
        <x:v>0</x:v>
      </x:c>
      <x:c r="X33" s="1024" t="n">
        <x:f>COUNTIFS('18 RCC-002 Evidence Ledger'!$E$14:$E$213,$B33,'18 RCC-002 Evidence Ledger'!$V$14:$V$213,"&lt;&gt;None",'18 RCC-002 Evidence Ledger'!$V$14:$V$213,"&lt;&gt;",'18 RCC-002 Evidence Ledger'!$T$14:$T$213,"&lt;&gt;Closed — No Action",'18 RCC-002 Evidence Ledger'!$T$14:$T$213,"&lt;&gt;Closed — Incorporated")</x:f>
        <x:v>0</x:v>
      </x:c>
      <x:c r="Y33" s="1024" t="n">
        <x:f>COUNTIFS('18 RCC-002 Evidence Ledger'!$E$14:$E$213,$B33,'18 RCC-002 Evidence Ledger'!$V$14:$V$213,"Material Event Review",'18 RCC-002 Evidence Ledger'!$T$14:$T$213,"&lt;&gt;Closed — No Action",'18 RCC-002 Evidence Ledger'!$T$14:$T$213,"&lt;&gt;Closed — Incorporated")</x:f>
        <x:v>0</x:v>
      </x:c>
      <x:c r="Z33" s="962" t="str">
        <x:f>IF($B33="","",IF($Y33&gt;0,"MATERIAL EVENT REVIEW",IF(OR($A33="",$M33="",$N33="",$O33="",$S33=""),"NOT INITIALIZED",IF(OR($M33="Suspended",$M33="Archived"),"INACTIVE",IF($O33="Event-Driven","CURRENT",IF($T33&lt;TODAY(),"OVERDUE",IF($T33-TODAY()&lt;=30,"REVIEW DUE",IF($T33-TODAY()&lt;=60,"UPDATE DUE","CURRENT"))))))))</x:f>
        <x:v>NOT INITIALIZED</x:v>
      </x:c>
      <x:c r="AA33" s="962" t="str">
        <x:f>IF($B33="","",IF(OR($A33="",$K33="",$L33="",$M33="",$N33="",$O33="",$Q33=""),"INCOMPLETE",IF(COUNTIF($A$14:$A$60,$A33)&gt;1,"DUPLICATE MIAR ID","COMPLETE")))</x:f>
        <x:v>INCOMPLETE</x:v>
      </x:c>
      <x:c r="AB33" s="962" t="str">
        <x:f>IF($B33="","",IF($AA33&lt;&gt;"COMPLETE",$AA33,IF($Y33&gt;0,"MATERIAL EVENT REVIEW",IF($Z33="OVERDUE","OVERDUE",IF($Z33="REVIEW DUE","REVIEW DUE",IF($X33&gt;0,"MIAR ACTION PENDING",IF(OR($I33="Unassigned",$J33=""),"THESIS / CONVICTION SETUP",IF($M33="Draft","DRAFT — NOT CERTIFIED",IF(AND($M33="Active",OR($AE33="",$AF33="")),"CERTIFICATION REQUIRED","CONTROL CLEAR")))))))))</x:f>
        <x:v>INCOMPLETE</x:v>
      </x:c>
      <x:c r="AC33" s="962" t="str">
        <x:f>IF($B33="","",IFERROR(INDEX('97 RCC Lists'!$Y$5:$Y$14,MATCH($AB33,'97 RCC Lists'!$W$5:$W$14,0)),"Review exception"))</x:f>
        <x:v>Complete MIAR setup</x:v>
      </x:c>
      <x:c r="AD33" s="962" t="str">
        <x:f>IF($B33="","",IF(OR($AB33="MATERIAL EVENT REVIEW",$AB33="MIAR ACTION PENDING",$AB33="THESIS / CONVICTION SETUP"),"REFER TO RCC-007",IF($AB33="CONTROL CLEAR","NO REFERRAL","HOLD PENDING MIAR UPDATE")))</x:f>
        <x:v>HOLD PENDING MIAR UPDATE</x:v>
      </x:c>
      <x:c r="AE33" s="1018"/>
      <x:c r="AF33" s="1025"/>
      <x:c r="AG33" s="1018"/>
    </x:row>
    <x:row r="34" ht="30" customHeight="1">
      <x:c r="A34" s="1018"/>
      <x:c r="B34" s="1021" t="str">
        <x:f>'Certified Allocation'!B25</x:f>
        <x:v>ORCL</x:v>
      </x:c>
      <x:c r="C34" s="1021" t="str">
        <x:f>'Certified Allocation'!C25</x:f>
        <x:v>Oracle Corporation</x:v>
      </x:c>
      <x:c r="D34" s="1021" t="str">
        <x:f>'Certified Allocation'!A25</x:f>
        <x:v>Digital Infrastructure &amp; AI</x:v>
      </x:c>
      <x:c r="E34" s="1021" t="str">
        <x:f>'Certified Allocation'!D25</x:f>
        <x:v>Equity</x:v>
      </x:c>
      <x:c r="F34" s="1021" t="str">
        <x:f>'Certified Allocation'!E25</x:f>
        <x:v>Enterprise cloud and database platform</x:v>
      </x:c>
      <x:c r="G34" s="1022" t="n">
        <x:f>'Certified Allocation'!F25</x:f>
        <x:v>0.0156</x:v>
      </x:c>
      <x:c r="H34" s="1021" t="str">
        <x:f>'Certified Allocation'!N25</x:f>
        <x:v>Current</x:v>
      </x:c>
      <x:c r="I34" s="1021" t="str">
        <x:f>IFERROR(INDEX('11 Conviction'!$H$5:$H$51,MATCH($B34,'11 Conviction'!$B$5:$B$51,0)),"Unassigned")</x:f>
        <x:v>Unassigned</x:v>
      </x:c>
      <x:c r="J34" s="1021" t="str">
        <x:f>IFERROR(INDEX('11 Conviction'!$J$5:$J$51,MATCH($B34,'11 Conviction'!$B$5:$B$51,0)),"")</x:f>
      </x:c>
      <x:c r="K34" s="1023"/>
      <x:c r="L34" s="1023"/>
      <x:c r="M34" s="1018"/>
      <x:c r="N34" s="1018"/>
      <x:c r="O34" s="1018"/>
      <x:c r="P34" s="1024" t="str">
        <x:f>IF($O34="","",IF($O34="Quarterly — 90 Days",90,IF($O34="Semiannual — 180 Days",180,IF($O34="Annual — 365 Days",365,IF($O34="Event-Driven",0,"")))))</x:f>
      </x:c>
      <x:c r="Q34" s="1025"/>
      <x:c r="R34" s="1025"/>
      <x:c r="S34" s="1026" t="str">
        <x:f>IF(COUNTA($Q34:$R34)=0,"",MAX($Q34:$R34))</x:f>
      </x:c>
      <x:c r="T34" s="1026" t="str">
        <x:f>IF(OR($S34="",$P34="",$P34=0),"",$S34+$P34)</x:f>
      </x:c>
      <x:c r="U34" s="1024" t="n">
        <x:f>COUNTIF('21 RCC-003 MIAR Review Log'!$C$14:$C$213,$B34)</x:f>
        <x:v>0</x:v>
      </x:c>
      <x:c r="V34" s="1024" t="n">
        <x:f>COUNTIF('18 RCC-002 Evidence Ledger'!$E$14:$E$213,$B34)</x:f>
        <x:v>0</x:v>
      </x:c>
      <x:c r="W34" s="1024" t="n">
        <x:f>COUNTIFS('18 RCC-002 Evidence Ledger'!$E$14:$E$213,$B34,'18 RCC-002 Evidence Ledger'!$T$14:$T$213,"&lt;&gt;Closed — No Action",'18 RCC-002 Evidence Ledger'!$T$14:$T$213,"&lt;&gt;Closed — Incorporated")</x:f>
        <x:v>0</x:v>
      </x:c>
      <x:c r="X34" s="1024" t="n">
        <x:f>COUNTIFS('18 RCC-002 Evidence Ledger'!$E$14:$E$213,$B34,'18 RCC-002 Evidence Ledger'!$V$14:$V$213,"&lt;&gt;None",'18 RCC-002 Evidence Ledger'!$V$14:$V$213,"&lt;&gt;",'18 RCC-002 Evidence Ledger'!$T$14:$T$213,"&lt;&gt;Closed — No Action",'18 RCC-002 Evidence Ledger'!$T$14:$T$213,"&lt;&gt;Closed — Incorporated")</x:f>
        <x:v>0</x:v>
      </x:c>
      <x:c r="Y34" s="1024" t="n">
        <x:f>COUNTIFS('18 RCC-002 Evidence Ledger'!$E$14:$E$213,$B34,'18 RCC-002 Evidence Ledger'!$V$14:$V$213,"Material Event Review",'18 RCC-002 Evidence Ledger'!$T$14:$T$213,"&lt;&gt;Closed — No Action",'18 RCC-002 Evidence Ledger'!$T$14:$T$213,"&lt;&gt;Closed — Incorporated")</x:f>
        <x:v>0</x:v>
      </x:c>
      <x:c r="Z34" s="962" t="str">
        <x:f>IF($B34="","",IF($Y34&gt;0,"MATERIAL EVENT REVIEW",IF(OR($A34="",$M34="",$N34="",$O34="",$S34=""),"NOT INITIALIZED",IF(OR($M34="Suspended",$M34="Archived"),"INACTIVE",IF($O34="Event-Driven","CURRENT",IF($T34&lt;TODAY(),"OVERDUE",IF($T34-TODAY()&lt;=30,"REVIEW DUE",IF($T34-TODAY()&lt;=60,"UPDATE DUE","CURRENT"))))))))</x:f>
        <x:v>NOT INITIALIZED</x:v>
      </x:c>
      <x:c r="AA34" s="962" t="str">
        <x:f>IF($B34="","",IF(OR($A34="",$K34="",$L34="",$M34="",$N34="",$O34="",$Q34=""),"INCOMPLETE",IF(COUNTIF($A$14:$A$60,$A34)&gt;1,"DUPLICATE MIAR ID","COMPLETE")))</x:f>
        <x:v>INCOMPLETE</x:v>
      </x:c>
      <x:c r="AB34" s="962" t="str">
        <x:f>IF($B34="","",IF($AA34&lt;&gt;"COMPLETE",$AA34,IF($Y34&gt;0,"MATERIAL EVENT REVIEW",IF($Z34="OVERDUE","OVERDUE",IF($Z34="REVIEW DUE","REVIEW DUE",IF($X34&gt;0,"MIAR ACTION PENDING",IF(OR($I34="Unassigned",$J34=""),"THESIS / CONVICTION SETUP",IF($M34="Draft","DRAFT — NOT CERTIFIED",IF(AND($M34="Active",OR($AE34="",$AF34="")),"CERTIFICATION REQUIRED","CONTROL CLEAR")))))))))</x:f>
        <x:v>INCOMPLETE</x:v>
      </x:c>
      <x:c r="AC34" s="962" t="str">
        <x:f>IF($B34="","",IFERROR(INDEX('97 RCC Lists'!$Y$5:$Y$14,MATCH($AB34,'97 RCC Lists'!$W$5:$W$14,0)),"Review exception"))</x:f>
        <x:v>Complete MIAR setup</x:v>
      </x:c>
      <x:c r="AD34" s="962" t="str">
        <x:f>IF($B34="","",IF(OR($AB34="MATERIAL EVENT REVIEW",$AB34="MIAR ACTION PENDING",$AB34="THESIS / CONVICTION SETUP"),"REFER TO RCC-007",IF($AB34="CONTROL CLEAR","NO REFERRAL","HOLD PENDING MIAR UPDATE")))</x:f>
        <x:v>HOLD PENDING MIAR UPDATE</x:v>
      </x:c>
      <x:c r="AE34" s="1018"/>
      <x:c r="AF34" s="1025"/>
      <x:c r="AG34" s="1018"/>
    </x:row>
    <x:row r="35" ht="30" customHeight="1">
      <x:c r="A35" s="1018"/>
      <x:c r="B35" s="1021" t="str">
        <x:f>'Certified Allocation'!B26</x:f>
        <x:v>TXN</x:v>
      </x:c>
      <x:c r="C35" s="1021" t="str">
        <x:f>'Certified Allocation'!C26</x:f>
        <x:v>Texas Instruments Incorporated</x:v>
      </x:c>
      <x:c r="D35" s="1021" t="str">
        <x:f>'Certified Allocation'!A26</x:f>
        <x:v>Digital Infrastructure &amp; AI</x:v>
      </x:c>
      <x:c r="E35" s="1021" t="str">
        <x:f>'Certified Allocation'!D26</x:f>
        <x:v>Equity</x:v>
      </x:c>
      <x:c r="F35" s="1021" t="str">
        <x:f>'Certified Allocation'!E26</x:f>
        <x:v>Analog semiconductor infrastructure</x:v>
      </x:c>
      <x:c r="G35" s="1022" t="n">
        <x:f>'Certified Allocation'!F26</x:f>
        <x:v>0.0156</x:v>
      </x:c>
      <x:c r="H35" s="1021" t="str">
        <x:f>'Certified Allocation'!N26</x:f>
        <x:v>Current</x:v>
      </x:c>
      <x:c r="I35" s="1021" t="str">
        <x:f>IFERROR(INDEX('11 Conviction'!$H$5:$H$51,MATCH($B35,'11 Conviction'!$B$5:$B$51,0)),"Unassigned")</x:f>
        <x:v>Unassigned</x:v>
      </x:c>
      <x:c r="J35" s="1021" t="str">
        <x:f>IFERROR(INDEX('11 Conviction'!$J$5:$J$51,MATCH($B35,'11 Conviction'!$B$5:$B$51,0)),"")</x:f>
      </x:c>
      <x:c r="K35" s="1023"/>
      <x:c r="L35" s="1023"/>
      <x:c r="M35" s="1018"/>
      <x:c r="N35" s="1018"/>
      <x:c r="O35" s="1018"/>
      <x:c r="P35" s="1024" t="str">
        <x:f>IF($O35="","",IF($O35="Quarterly — 90 Days",90,IF($O35="Semiannual — 180 Days",180,IF($O35="Annual — 365 Days",365,IF($O35="Event-Driven",0,"")))))</x:f>
      </x:c>
      <x:c r="Q35" s="1025"/>
      <x:c r="R35" s="1025"/>
      <x:c r="S35" s="1026" t="str">
        <x:f>IF(COUNTA($Q35:$R35)=0,"",MAX($Q35:$R35))</x:f>
      </x:c>
      <x:c r="T35" s="1026" t="str">
        <x:f>IF(OR($S35="",$P35="",$P35=0),"",$S35+$P35)</x:f>
      </x:c>
      <x:c r="U35" s="1024" t="n">
        <x:f>COUNTIF('21 RCC-003 MIAR Review Log'!$C$14:$C$213,$B35)</x:f>
        <x:v>0</x:v>
      </x:c>
      <x:c r="V35" s="1024" t="n">
        <x:f>COUNTIF('18 RCC-002 Evidence Ledger'!$E$14:$E$213,$B35)</x:f>
        <x:v>0</x:v>
      </x:c>
      <x:c r="W35" s="1024" t="n">
        <x:f>COUNTIFS('18 RCC-002 Evidence Ledger'!$E$14:$E$213,$B35,'18 RCC-002 Evidence Ledger'!$T$14:$T$213,"&lt;&gt;Closed — No Action",'18 RCC-002 Evidence Ledger'!$T$14:$T$213,"&lt;&gt;Closed — Incorporated")</x:f>
        <x:v>0</x:v>
      </x:c>
      <x:c r="X35" s="1024" t="n">
        <x:f>COUNTIFS('18 RCC-002 Evidence Ledger'!$E$14:$E$213,$B35,'18 RCC-002 Evidence Ledger'!$V$14:$V$213,"&lt;&gt;None",'18 RCC-002 Evidence Ledger'!$V$14:$V$213,"&lt;&gt;",'18 RCC-002 Evidence Ledger'!$T$14:$T$213,"&lt;&gt;Closed — No Action",'18 RCC-002 Evidence Ledger'!$T$14:$T$213,"&lt;&gt;Closed — Incorporated")</x:f>
        <x:v>0</x:v>
      </x:c>
      <x:c r="Y35" s="1024" t="n">
        <x:f>COUNTIFS('18 RCC-002 Evidence Ledger'!$E$14:$E$213,$B35,'18 RCC-002 Evidence Ledger'!$V$14:$V$213,"Material Event Review",'18 RCC-002 Evidence Ledger'!$T$14:$T$213,"&lt;&gt;Closed — No Action",'18 RCC-002 Evidence Ledger'!$T$14:$T$213,"&lt;&gt;Closed — Incorporated")</x:f>
        <x:v>0</x:v>
      </x:c>
      <x:c r="Z35" s="962" t="str">
        <x:f>IF($B35="","",IF($Y35&gt;0,"MATERIAL EVENT REVIEW",IF(OR($A35="",$M35="",$N35="",$O35="",$S35=""),"NOT INITIALIZED",IF(OR($M35="Suspended",$M35="Archived"),"INACTIVE",IF($O35="Event-Driven","CURRENT",IF($T35&lt;TODAY(),"OVERDUE",IF($T35-TODAY()&lt;=30,"REVIEW DUE",IF($T35-TODAY()&lt;=60,"UPDATE DUE","CURRENT"))))))))</x:f>
        <x:v>NOT INITIALIZED</x:v>
      </x:c>
      <x:c r="AA35" s="962" t="str">
        <x:f>IF($B35="","",IF(OR($A35="",$K35="",$L35="",$M35="",$N35="",$O35="",$Q35=""),"INCOMPLETE",IF(COUNTIF($A$14:$A$60,$A35)&gt;1,"DUPLICATE MIAR ID","COMPLETE")))</x:f>
        <x:v>INCOMPLETE</x:v>
      </x:c>
      <x:c r="AB35" s="962" t="str">
        <x:f>IF($B35="","",IF($AA35&lt;&gt;"COMPLETE",$AA35,IF($Y35&gt;0,"MATERIAL EVENT REVIEW",IF($Z35="OVERDUE","OVERDUE",IF($Z35="REVIEW DUE","REVIEW DUE",IF($X35&gt;0,"MIAR ACTION PENDING",IF(OR($I35="Unassigned",$J35=""),"THESIS / CONVICTION SETUP",IF($M35="Draft","DRAFT — NOT CERTIFIED",IF(AND($M35="Active",OR($AE35="",$AF35="")),"CERTIFICATION REQUIRED","CONTROL CLEAR")))))))))</x:f>
        <x:v>INCOMPLETE</x:v>
      </x:c>
      <x:c r="AC35" s="962" t="str">
        <x:f>IF($B35="","",IFERROR(INDEX('97 RCC Lists'!$Y$5:$Y$14,MATCH($AB35,'97 RCC Lists'!$W$5:$W$14,0)),"Review exception"))</x:f>
        <x:v>Complete MIAR setup</x:v>
      </x:c>
      <x:c r="AD35" s="962" t="str">
        <x:f>IF($B35="","",IF(OR($AB35="MATERIAL EVENT REVIEW",$AB35="MIAR ACTION PENDING",$AB35="THESIS / CONVICTION SETUP"),"REFER TO RCC-007",IF($AB35="CONTROL CLEAR","NO REFERRAL","HOLD PENDING MIAR UPDATE")))</x:f>
        <x:v>HOLD PENDING MIAR UPDATE</x:v>
      </x:c>
      <x:c r="AE35" s="1018"/>
      <x:c r="AF35" s="1025"/>
      <x:c r="AG35" s="1018"/>
    </x:row>
    <x:row r="36" ht="30" customHeight="1">
      <x:c r="A36" s="1018"/>
      <x:c r="B36" s="1021" t="str">
        <x:f>'Certified Allocation'!B27</x:f>
        <x:v>VRT</x:v>
      </x:c>
      <x:c r="C36" s="1021" t="str">
        <x:f>'Certified Allocation'!C27</x:f>
        <x:v>Vertiv Holdings Co.</x:v>
      </x:c>
      <x:c r="D36" s="1021" t="str">
        <x:f>'Certified Allocation'!A27</x:f>
        <x:v>Digital Infrastructure &amp; AI</x:v>
      </x:c>
      <x:c r="E36" s="1021" t="str">
        <x:f>'Certified Allocation'!D27</x:f>
        <x:v>Equity</x:v>
      </x:c>
      <x:c r="F36" s="1021" t="str">
        <x:f>'Certified Allocation'!E27</x:f>
        <x:v>Critical data-center infrastructure</x:v>
      </x:c>
      <x:c r="G36" s="1022" t="n">
        <x:f>'Certified Allocation'!F27</x:f>
        <x:v>0.0155</x:v>
      </x:c>
      <x:c r="H36" s="1021" t="str">
        <x:f>'Certified Allocation'!N27</x:f>
        <x:v>Current</x:v>
      </x:c>
      <x:c r="I36" s="1021" t="str">
        <x:f>IFERROR(INDEX('11 Conviction'!$H$5:$H$51,MATCH($B36,'11 Conviction'!$B$5:$B$51,0)),"Unassigned")</x:f>
        <x:v>Unassigned</x:v>
      </x:c>
      <x:c r="J36" s="1021" t="str">
        <x:f>IFERROR(INDEX('11 Conviction'!$J$5:$J$51,MATCH($B36,'11 Conviction'!$B$5:$B$51,0)),"")</x:f>
      </x:c>
      <x:c r="K36" s="1023"/>
      <x:c r="L36" s="1023"/>
      <x:c r="M36" s="1018"/>
      <x:c r="N36" s="1018"/>
      <x:c r="O36" s="1018"/>
      <x:c r="P36" s="1024" t="str">
        <x:f>IF($O36="","",IF($O36="Quarterly — 90 Days",90,IF($O36="Semiannual — 180 Days",180,IF($O36="Annual — 365 Days",365,IF($O36="Event-Driven",0,"")))))</x:f>
      </x:c>
      <x:c r="Q36" s="1025"/>
      <x:c r="R36" s="1025"/>
      <x:c r="S36" s="1026" t="str">
        <x:f>IF(COUNTA($Q36:$R36)=0,"",MAX($Q36:$R36))</x:f>
      </x:c>
      <x:c r="T36" s="1026" t="str">
        <x:f>IF(OR($S36="",$P36="",$P36=0),"",$S36+$P36)</x:f>
      </x:c>
      <x:c r="U36" s="1024" t="n">
        <x:f>COUNTIF('21 RCC-003 MIAR Review Log'!$C$14:$C$213,$B36)</x:f>
        <x:v>0</x:v>
      </x:c>
      <x:c r="V36" s="1024" t="n">
        <x:f>COUNTIF('18 RCC-002 Evidence Ledger'!$E$14:$E$213,$B36)</x:f>
        <x:v>0</x:v>
      </x:c>
      <x:c r="W36" s="1024" t="n">
        <x:f>COUNTIFS('18 RCC-002 Evidence Ledger'!$E$14:$E$213,$B36,'18 RCC-002 Evidence Ledger'!$T$14:$T$213,"&lt;&gt;Closed — No Action",'18 RCC-002 Evidence Ledger'!$T$14:$T$213,"&lt;&gt;Closed — Incorporated")</x:f>
        <x:v>0</x:v>
      </x:c>
      <x:c r="X36" s="1024" t="n">
        <x:f>COUNTIFS('18 RCC-002 Evidence Ledger'!$E$14:$E$213,$B36,'18 RCC-002 Evidence Ledger'!$V$14:$V$213,"&lt;&gt;None",'18 RCC-002 Evidence Ledger'!$V$14:$V$213,"&lt;&gt;",'18 RCC-002 Evidence Ledger'!$T$14:$T$213,"&lt;&gt;Closed — No Action",'18 RCC-002 Evidence Ledger'!$T$14:$T$213,"&lt;&gt;Closed — Incorporated")</x:f>
        <x:v>0</x:v>
      </x:c>
      <x:c r="Y36" s="1024" t="n">
        <x:f>COUNTIFS('18 RCC-002 Evidence Ledger'!$E$14:$E$213,$B36,'18 RCC-002 Evidence Ledger'!$V$14:$V$213,"Material Event Review",'18 RCC-002 Evidence Ledger'!$T$14:$T$213,"&lt;&gt;Closed — No Action",'18 RCC-002 Evidence Ledger'!$T$14:$T$213,"&lt;&gt;Closed — Incorporated")</x:f>
        <x:v>0</x:v>
      </x:c>
      <x:c r="Z36" s="962" t="str">
        <x:f>IF($B36="","",IF($Y36&gt;0,"MATERIAL EVENT REVIEW",IF(OR($A36="",$M36="",$N36="",$O36="",$S36=""),"NOT INITIALIZED",IF(OR($M36="Suspended",$M36="Archived"),"INACTIVE",IF($O36="Event-Driven","CURRENT",IF($T36&lt;TODAY(),"OVERDUE",IF($T36-TODAY()&lt;=30,"REVIEW DUE",IF($T36-TODAY()&lt;=60,"UPDATE DUE","CURRENT"))))))))</x:f>
        <x:v>NOT INITIALIZED</x:v>
      </x:c>
      <x:c r="AA36" s="962" t="str">
        <x:f>IF($B36="","",IF(OR($A36="",$K36="",$L36="",$M36="",$N36="",$O36="",$Q36=""),"INCOMPLETE",IF(COUNTIF($A$14:$A$60,$A36)&gt;1,"DUPLICATE MIAR ID","COMPLETE")))</x:f>
        <x:v>INCOMPLETE</x:v>
      </x:c>
      <x:c r="AB36" s="962" t="str">
        <x:f>IF($B36="","",IF($AA36&lt;&gt;"COMPLETE",$AA36,IF($Y36&gt;0,"MATERIAL EVENT REVIEW",IF($Z36="OVERDUE","OVERDUE",IF($Z36="REVIEW DUE","REVIEW DUE",IF($X36&gt;0,"MIAR ACTION PENDING",IF(OR($I36="Unassigned",$J36=""),"THESIS / CONVICTION SETUP",IF($M36="Draft","DRAFT — NOT CERTIFIED",IF(AND($M36="Active",OR($AE36="",$AF36="")),"CERTIFICATION REQUIRED","CONTROL CLEAR")))))))))</x:f>
        <x:v>INCOMPLETE</x:v>
      </x:c>
      <x:c r="AC36" s="962" t="str">
        <x:f>IF($B36="","",IFERROR(INDEX('97 RCC Lists'!$Y$5:$Y$14,MATCH($AB36,'97 RCC Lists'!$W$5:$W$14,0)),"Review exception"))</x:f>
        <x:v>Complete MIAR setup</x:v>
      </x:c>
      <x:c r="AD36" s="962" t="str">
        <x:f>IF($B36="","",IF(OR($AB36="MATERIAL EVENT REVIEW",$AB36="MIAR ACTION PENDING",$AB36="THESIS / CONVICTION SETUP"),"REFER TO RCC-007",IF($AB36="CONTROL CLEAR","NO REFERRAL","HOLD PENDING MIAR UPDATE")))</x:f>
        <x:v>HOLD PENDING MIAR UPDATE</x:v>
      </x:c>
      <x:c r="AE36" s="1018"/>
      <x:c r="AF36" s="1025"/>
      <x:c r="AG36" s="1018"/>
    </x:row>
    <x:row r="37" ht="30" customHeight="1">
      <x:c r="A37" s="1018"/>
      <x:c r="B37" s="1021" t="str">
        <x:f>'Certified Allocation'!B28</x:f>
        <x:v>DHR</x:v>
      </x:c>
      <x:c r="C37" s="1021" t="str">
        <x:f>'Certified Allocation'!C28</x:f>
        <x:v>Danaher Corporation</x:v>
      </x:c>
      <x:c r="D37" s="1021" t="str">
        <x:f>'Certified Allocation'!A28</x:f>
        <x:v>Industrials &amp; Infrastructure</x:v>
      </x:c>
      <x:c r="E37" s="1021" t="str">
        <x:f>'Certified Allocation'!D28</x:f>
        <x:v>Equity</x:v>
      </x:c>
      <x:c r="F37" s="1021" t="str">
        <x:f>'Certified Allocation'!E28</x:f>
        <x:v>Life-science tools and industrial quality</x:v>
      </x:c>
      <x:c r="G37" s="1022" t="n">
        <x:f>'Certified Allocation'!F28</x:f>
        <x:v>0.03</x:v>
      </x:c>
      <x:c r="H37" s="1021" t="str">
        <x:f>'Certified Allocation'!N28</x:f>
        <x:v>Current</x:v>
      </x:c>
      <x:c r="I37" s="1021" t="str">
        <x:f>IFERROR(INDEX('11 Conviction'!$H$5:$H$51,MATCH($B37,'11 Conviction'!$B$5:$B$51,0)),"Unassigned")</x:f>
        <x:v>Unassigned</x:v>
      </x:c>
      <x:c r="J37" s="1021" t="str">
        <x:f>IFERROR(INDEX('11 Conviction'!$J$5:$J$51,MATCH($B37,'11 Conviction'!$B$5:$B$51,0)),"")</x:f>
      </x:c>
      <x:c r="K37" s="1023"/>
      <x:c r="L37" s="1023"/>
      <x:c r="M37" s="1018"/>
      <x:c r="N37" s="1018"/>
      <x:c r="O37" s="1018"/>
      <x:c r="P37" s="1024" t="str">
        <x:f>IF($O37="","",IF($O37="Quarterly — 90 Days",90,IF($O37="Semiannual — 180 Days",180,IF($O37="Annual — 365 Days",365,IF($O37="Event-Driven",0,"")))))</x:f>
      </x:c>
      <x:c r="Q37" s="1025"/>
      <x:c r="R37" s="1025"/>
      <x:c r="S37" s="1026" t="str">
        <x:f>IF(COUNTA($Q37:$R37)=0,"",MAX($Q37:$R37))</x:f>
      </x:c>
      <x:c r="T37" s="1026" t="str">
        <x:f>IF(OR($S37="",$P37="",$P37=0),"",$S37+$P37)</x:f>
      </x:c>
      <x:c r="U37" s="1024" t="n">
        <x:f>COUNTIF('21 RCC-003 MIAR Review Log'!$C$14:$C$213,$B37)</x:f>
        <x:v>0</x:v>
      </x:c>
      <x:c r="V37" s="1024" t="n">
        <x:f>COUNTIF('18 RCC-002 Evidence Ledger'!$E$14:$E$213,$B37)</x:f>
        <x:v>0</x:v>
      </x:c>
      <x:c r="W37" s="1024" t="n">
        <x:f>COUNTIFS('18 RCC-002 Evidence Ledger'!$E$14:$E$213,$B37,'18 RCC-002 Evidence Ledger'!$T$14:$T$213,"&lt;&gt;Closed — No Action",'18 RCC-002 Evidence Ledger'!$T$14:$T$213,"&lt;&gt;Closed — Incorporated")</x:f>
        <x:v>0</x:v>
      </x:c>
      <x:c r="X37" s="1024" t="n">
        <x:f>COUNTIFS('18 RCC-002 Evidence Ledger'!$E$14:$E$213,$B37,'18 RCC-002 Evidence Ledger'!$V$14:$V$213,"&lt;&gt;None",'18 RCC-002 Evidence Ledger'!$V$14:$V$213,"&lt;&gt;",'18 RCC-002 Evidence Ledger'!$T$14:$T$213,"&lt;&gt;Closed — No Action",'18 RCC-002 Evidence Ledger'!$T$14:$T$213,"&lt;&gt;Closed — Incorporated")</x:f>
        <x:v>0</x:v>
      </x:c>
      <x:c r="Y37" s="1024" t="n">
        <x:f>COUNTIFS('18 RCC-002 Evidence Ledger'!$E$14:$E$213,$B37,'18 RCC-002 Evidence Ledger'!$V$14:$V$213,"Material Event Review",'18 RCC-002 Evidence Ledger'!$T$14:$T$213,"&lt;&gt;Closed — No Action",'18 RCC-002 Evidence Ledger'!$T$14:$T$213,"&lt;&gt;Closed — Incorporated")</x:f>
        <x:v>0</x:v>
      </x:c>
      <x:c r="Z37" s="962" t="str">
        <x:f>IF($B37="","",IF($Y37&gt;0,"MATERIAL EVENT REVIEW",IF(OR($A37="",$M37="",$N37="",$O37="",$S37=""),"NOT INITIALIZED",IF(OR($M37="Suspended",$M37="Archived"),"INACTIVE",IF($O37="Event-Driven","CURRENT",IF($T37&lt;TODAY(),"OVERDUE",IF($T37-TODAY()&lt;=30,"REVIEW DUE",IF($T37-TODAY()&lt;=60,"UPDATE DUE","CURRENT"))))))))</x:f>
        <x:v>NOT INITIALIZED</x:v>
      </x:c>
      <x:c r="AA37" s="962" t="str">
        <x:f>IF($B37="","",IF(OR($A37="",$K37="",$L37="",$M37="",$N37="",$O37="",$Q37=""),"INCOMPLETE",IF(COUNTIF($A$14:$A$60,$A37)&gt;1,"DUPLICATE MIAR ID","COMPLETE")))</x:f>
        <x:v>INCOMPLETE</x:v>
      </x:c>
      <x:c r="AB37" s="962" t="str">
        <x:f>IF($B37="","",IF($AA37&lt;&gt;"COMPLETE",$AA37,IF($Y37&gt;0,"MATERIAL EVENT REVIEW",IF($Z37="OVERDUE","OVERDUE",IF($Z37="REVIEW DUE","REVIEW DUE",IF($X37&gt;0,"MIAR ACTION PENDING",IF(OR($I37="Unassigned",$J37=""),"THESIS / CONVICTION SETUP",IF($M37="Draft","DRAFT — NOT CERTIFIED",IF(AND($M37="Active",OR($AE37="",$AF37="")),"CERTIFICATION REQUIRED","CONTROL CLEAR")))))))))</x:f>
        <x:v>INCOMPLETE</x:v>
      </x:c>
      <x:c r="AC37" s="962" t="str">
        <x:f>IF($B37="","",IFERROR(INDEX('97 RCC Lists'!$Y$5:$Y$14,MATCH($AB37,'97 RCC Lists'!$W$5:$W$14,0)),"Review exception"))</x:f>
        <x:v>Complete MIAR setup</x:v>
      </x:c>
      <x:c r="AD37" s="962" t="str">
        <x:f>IF($B37="","",IF(OR($AB37="MATERIAL EVENT REVIEW",$AB37="MIAR ACTION PENDING",$AB37="THESIS / CONVICTION SETUP"),"REFER TO RCC-007",IF($AB37="CONTROL CLEAR","NO REFERRAL","HOLD PENDING MIAR UPDATE")))</x:f>
        <x:v>HOLD PENDING MIAR UPDATE</x:v>
      </x:c>
      <x:c r="AE37" s="1018"/>
      <x:c r="AF37" s="1025"/>
      <x:c r="AG37" s="1018"/>
    </x:row>
    <x:row r="38" ht="30" customHeight="1">
      <x:c r="A38" s="1018"/>
      <x:c r="B38" s="1021" t="str">
        <x:f>'Certified Allocation'!B29</x:f>
        <x:v>RTX</x:v>
      </x:c>
      <x:c r="C38" s="1021" t="str">
        <x:f>'Certified Allocation'!C29</x:f>
        <x:v>RTX Corporation</x:v>
      </x:c>
      <x:c r="D38" s="1021" t="str">
        <x:f>'Certified Allocation'!A29</x:f>
        <x:v>Industrials &amp; Infrastructure</x:v>
      </x:c>
      <x:c r="E38" s="1021" t="str">
        <x:f>'Certified Allocation'!D29</x:f>
        <x:v>Equity</x:v>
      </x:c>
      <x:c r="F38" s="1021" t="str">
        <x:f>'Certified Allocation'!E29</x:f>
        <x:v>Aerospace and defense systems leader</x:v>
      </x:c>
      <x:c r="G38" s="1022" t="n">
        <x:f>'Certified Allocation'!F29</x:f>
        <x:v>0.0299</x:v>
      </x:c>
      <x:c r="H38" s="1021" t="str">
        <x:f>'Certified Allocation'!N29</x:f>
        <x:v>Current</x:v>
      </x:c>
      <x:c r="I38" s="1021" t="str">
        <x:f>IFERROR(INDEX('11 Conviction'!$H$5:$H$51,MATCH($B38,'11 Conviction'!$B$5:$B$51,0)),"Unassigned")</x:f>
        <x:v>Unassigned</x:v>
      </x:c>
      <x:c r="J38" s="1021" t="str">
        <x:f>IFERROR(INDEX('11 Conviction'!$J$5:$J$51,MATCH($B38,'11 Conviction'!$B$5:$B$51,0)),"")</x:f>
      </x:c>
      <x:c r="K38" s="1023"/>
      <x:c r="L38" s="1023"/>
      <x:c r="M38" s="1018"/>
      <x:c r="N38" s="1018"/>
      <x:c r="O38" s="1018"/>
      <x:c r="P38" s="1024" t="str">
        <x:f>IF($O38="","",IF($O38="Quarterly — 90 Days",90,IF($O38="Semiannual — 180 Days",180,IF($O38="Annual — 365 Days",365,IF($O38="Event-Driven",0,"")))))</x:f>
      </x:c>
      <x:c r="Q38" s="1025"/>
      <x:c r="R38" s="1025"/>
      <x:c r="S38" s="1026" t="str">
        <x:f>IF(COUNTA($Q38:$R38)=0,"",MAX($Q38:$R38))</x:f>
      </x:c>
      <x:c r="T38" s="1026" t="str">
        <x:f>IF(OR($S38="",$P38="",$P38=0),"",$S38+$P38)</x:f>
      </x:c>
      <x:c r="U38" s="1024" t="n">
        <x:f>COUNTIF('21 RCC-003 MIAR Review Log'!$C$14:$C$213,$B38)</x:f>
        <x:v>0</x:v>
      </x:c>
      <x:c r="V38" s="1024" t="n">
        <x:f>COUNTIF('18 RCC-002 Evidence Ledger'!$E$14:$E$213,$B38)</x:f>
        <x:v>0</x:v>
      </x:c>
      <x:c r="W38" s="1024" t="n">
        <x:f>COUNTIFS('18 RCC-002 Evidence Ledger'!$E$14:$E$213,$B38,'18 RCC-002 Evidence Ledger'!$T$14:$T$213,"&lt;&gt;Closed — No Action",'18 RCC-002 Evidence Ledger'!$T$14:$T$213,"&lt;&gt;Closed — Incorporated")</x:f>
        <x:v>0</x:v>
      </x:c>
      <x:c r="X38" s="1024" t="n">
        <x:f>COUNTIFS('18 RCC-002 Evidence Ledger'!$E$14:$E$213,$B38,'18 RCC-002 Evidence Ledger'!$V$14:$V$213,"&lt;&gt;None",'18 RCC-002 Evidence Ledger'!$V$14:$V$213,"&lt;&gt;",'18 RCC-002 Evidence Ledger'!$T$14:$T$213,"&lt;&gt;Closed — No Action",'18 RCC-002 Evidence Ledger'!$T$14:$T$213,"&lt;&gt;Closed — Incorporated")</x:f>
        <x:v>0</x:v>
      </x:c>
      <x:c r="Y38" s="1024" t="n">
        <x:f>COUNTIFS('18 RCC-002 Evidence Ledger'!$E$14:$E$213,$B38,'18 RCC-002 Evidence Ledger'!$V$14:$V$213,"Material Event Review",'18 RCC-002 Evidence Ledger'!$T$14:$T$213,"&lt;&gt;Closed — No Action",'18 RCC-002 Evidence Ledger'!$T$14:$T$213,"&lt;&gt;Closed — Incorporated")</x:f>
        <x:v>0</x:v>
      </x:c>
      <x:c r="Z38" s="962" t="str">
        <x:f>IF($B38="","",IF($Y38&gt;0,"MATERIAL EVENT REVIEW",IF(OR($A38="",$M38="",$N38="",$O38="",$S38=""),"NOT INITIALIZED",IF(OR($M38="Suspended",$M38="Archived"),"INACTIVE",IF($O38="Event-Driven","CURRENT",IF($T38&lt;TODAY(),"OVERDUE",IF($T38-TODAY()&lt;=30,"REVIEW DUE",IF($T38-TODAY()&lt;=60,"UPDATE DUE","CURRENT"))))))))</x:f>
        <x:v>NOT INITIALIZED</x:v>
      </x:c>
      <x:c r="AA38" s="962" t="str">
        <x:f>IF($B38="","",IF(OR($A38="",$K38="",$L38="",$M38="",$N38="",$O38="",$Q38=""),"INCOMPLETE",IF(COUNTIF($A$14:$A$60,$A38)&gt;1,"DUPLICATE MIAR ID","COMPLETE")))</x:f>
        <x:v>INCOMPLETE</x:v>
      </x:c>
      <x:c r="AB38" s="962" t="str">
        <x:f>IF($B38="","",IF($AA38&lt;&gt;"COMPLETE",$AA38,IF($Y38&gt;0,"MATERIAL EVENT REVIEW",IF($Z38="OVERDUE","OVERDUE",IF($Z38="REVIEW DUE","REVIEW DUE",IF($X38&gt;0,"MIAR ACTION PENDING",IF(OR($I38="Unassigned",$J38=""),"THESIS / CONVICTION SETUP",IF($M38="Draft","DRAFT — NOT CERTIFIED",IF(AND($M38="Active",OR($AE38="",$AF38="")),"CERTIFICATION REQUIRED","CONTROL CLEAR")))))))))</x:f>
        <x:v>INCOMPLETE</x:v>
      </x:c>
      <x:c r="AC38" s="962" t="str">
        <x:f>IF($B38="","",IFERROR(INDEX('97 RCC Lists'!$Y$5:$Y$14,MATCH($AB38,'97 RCC Lists'!$W$5:$W$14,0)),"Review exception"))</x:f>
        <x:v>Complete MIAR setup</x:v>
      </x:c>
      <x:c r="AD38" s="962" t="str">
        <x:f>IF($B38="","",IF(OR($AB38="MATERIAL EVENT REVIEW",$AB38="MIAR ACTION PENDING",$AB38="THESIS / CONVICTION SETUP"),"REFER TO RCC-007",IF($AB38="CONTROL CLEAR","NO REFERRAL","HOLD PENDING MIAR UPDATE")))</x:f>
        <x:v>HOLD PENDING MIAR UPDATE</x:v>
      </x:c>
      <x:c r="AE38" s="1018"/>
      <x:c r="AF38" s="1025"/>
      <x:c r="AG38" s="1018"/>
    </x:row>
    <x:row r="39" ht="30" customHeight="1">
      <x:c r="A39" s="1018"/>
      <x:c r="B39" s="1021" t="str">
        <x:f>'Certified Allocation'!B30</x:f>
        <x:v>DE</x:v>
      </x:c>
      <x:c r="C39" s="1021" t="str">
        <x:f>'Certified Allocation'!C30</x:f>
        <x:v>Deere &amp; Company</x:v>
      </x:c>
      <x:c r="D39" s="1021" t="str">
        <x:f>'Certified Allocation'!A30</x:f>
        <x:v>Industrials &amp; Infrastructure</x:v>
      </x:c>
      <x:c r="E39" s="1021" t="str">
        <x:f>'Certified Allocation'!D30</x:f>
        <x:v>Equity</x:v>
      </x:c>
      <x:c r="F39" s="1021" t="str">
        <x:f>'Certified Allocation'!E30</x:f>
        <x:v>Precision agriculture and equipment leader</x:v>
      </x:c>
      <x:c r="G39" s="1022" t="n">
        <x:f>'Certified Allocation'!F30</x:f>
        <x:v>0.0177</x:v>
      </x:c>
      <x:c r="H39" s="1021" t="str">
        <x:f>'Certified Allocation'!N30</x:f>
        <x:v>Current</x:v>
      </x:c>
      <x:c r="I39" s="1021" t="str">
        <x:f>IFERROR(INDEX('11 Conviction'!$H$5:$H$51,MATCH($B39,'11 Conviction'!$B$5:$B$51,0)),"Unassigned")</x:f>
        <x:v>Unassigned</x:v>
      </x:c>
      <x:c r="J39" s="1021" t="str">
        <x:f>IFERROR(INDEX('11 Conviction'!$J$5:$J$51,MATCH($B39,'11 Conviction'!$B$5:$B$51,0)),"")</x:f>
      </x:c>
      <x:c r="K39" s="1023"/>
      <x:c r="L39" s="1023"/>
      <x:c r="M39" s="1018"/>
      <x:c r="N39" s="1018"/>
      <x:c r="O39" s="1018"/>
      <x:c r="P39" s="1024" t="str">
        <x:f>IF($O39="","",IF($O39="Quarterly — 90 Days",90,IF($O39="Semiannual — 180 Days",180,IF($O39="Annual — 365 Days",365,IF($O39="Event-Driven",0,"")))))</x:f>
      </x:c>
      <x:c r="Q39" s="1025"/>
      <x:c r="R39" s="1025"/>
      <x:c r="S39" s="1026" t="str">
        <x:f>IF(COUNTA($Q39:$R39)=0,"",MAX($Q39:$R39))</x:f>
      </x:c>
      <x:c r="T39" s="1026" t="str">
        <x:f>IF(OR($S39="",$P39="",$P39=0),"",$S39+$P39)</x:f>
      </x:c>
      <x:c r="U39" s="1024" t="n">
        <x:f>COUNTIF('21 RCC-003 MIAR Review Log'!$C$14:$C$213,$B39)</x:f>
        <x:v>0</x:v>
      </x:c>
      <x:c r="V39" s="1024" t="n">
        <x:f>COUNTIF('18 RCC-002 Evidence Ledger'!$E$14:$E$213,$B39)</x:f>
        <x:v>0</x:v>
      </x:c>
      <x:c r="W39" s="1024" t="n">
        <x:f>COUNTIFS('18 RCC-002 Evidence Ledger'!$E$14:$E$213,$B39,'18 RCC-002 Evidence Ledger'!$T$14:$T$213,"&lt;&gt;Closed — No Action",'18 RCC-002 Evidence Ledger'!$T$14:$T$213,"&lt;&gt;Closed — Incorporated")</x:f>
        <x:v>0</x:v>
      </x:c>
      <x:c r="X39" s="1024" t="n">
        <x:f>COUNTIFS('18 RCC-002 Evidence Ledger'!$E$14:$E$213,$B39,'18 RCC-002 Evidence Ledger'!$V$14:$V$213,"&lt;&gt;None",'18 RCC-002 Evidence Ledger'!$V$14:$V$213,"&lt;&gt;",'18 RCC-002 Evidence Ledger'!$T$14:$T$213,"&lt;&gt;Closed — No Action",'18 RCC-002 Evidence Ledger'!$T$14:$T$213,"&lt;&gt;Closed — Incorporated")</x:f>
        <x:v>0</x:v>
      </x:c>
      <x:c r="Y39" s="1024" t="n">
        <x:f>COUNTIFS('18 RCC-002 Evidence Ledger'!$E$14:$E$213,$B39,'18 RCC-002 Evidence Ledger'!$V$14:$V$213,"Material Event Review",'18 RCC-002 Evidence Ledger'!$T$14:$T$213,"&lt;&gt;Closed — No Action",'18 RCC-002 Evidence Ledger'!$T$14:$T$213,"&lt;&gt;Closed — Incorporated")</x:f>
        <x:v>0</x:v>
      </x:c>
      <x:c r="Z39" s="962" t="str">
        <x:f>IF($B39="","",IF($Y39&gt;0,"MATERIAL EVENT REVIEW",IF(OR($A39="",$M39="",$N39="",$O39="",$S39=""),"NOT INITIALIZED",IF(OR($M39="Suspended",$M39="Archived"),"INACTIVE",IF($O39="Event-Driven","CURRENT",IF($T39&lt;TODAY(),"OVERDUE",IF($T39-TODAY()&lt;=30,"REVIEW DUE",IF($T39-TODAY()&lt;=60,"UPDATE DUE","CURRENT"))))))))</x:f>
        <x:v>NOT INITIALIZED</x:v>
      </x:c>
      <x:c r="AA39" s="962" t="str">
        <x:f>IF($B39="","",IF(OR($A39="",$K39="",$L39="",$M39="",$N39="",$O39="",$Q39=""),"INCOMPLETE",IF(COUNTIF($A$14:$A$60,$A39)&gt;1,"DUPLICATE MIAR ID","COMPLETE")))</x:f>
        <x:v>INCOMPLETE</x:v>
      </x:c>
      <x:c r="AB39" s="962" t="str">
        <x:f>IF($B39="","",IF($AA39&lt;&gt;"COMPLETE",$AA39,IF($Y39&gt;0,"MATERIAL EVENT REVIEW",IF($Z39="OVERDUE","OVERDUE",IF($Z39="REVIEW DUE","REVIEW DUE",IF($X39&gt;0,"MIAR ACTION PENDING",IF(OR($I39="Unassigned",$J39=""),"THESIS / CONVICTION SETUP",IF($M39="Draft","DRAFT — NOT CERTIFIED",IF(AND($M39="Active",OR($AE39="",$AF39="")),"CERTIFICATION REQUIRED","CONTROL CLEAR")))))))))</x:f>
        <x:v>INCOMPLETE</x:v>
      </x:c>
      <x:c r="AC39" s="962" t="str">
        <x:f>IF($B39="","",IFERROR(INDEX('97 RCC Lists'!$Y$5:$Y$14,MATCH($AB39,'97 RCC Lists'!$W$5:$W$14,0)),"Review exception"))</x:f>
        <x:v>Complete MIAR setup</x:v>
      </x:c>
      <x:c r="AD39" s="962" t="str">
        <x:f>IF($B39="","",IF(OR($AB39="MATERIAL EVENT REVIEW",$AB39="MIAR ACTION PENDING",$AB39="THESIS / CONVICTION SETUP"),"REFER TO RCC-007",IF($AB39="CONTROL CLEAR","NO REFERRAL","HOLD PENDING MIAR UPDATE")))</x:f>
        <x:v>HOLD PENDING MIAR UPDATE</x:v>
      </x:c>
      <x:c r="AE39" s="1018"/>
      <x:c r="AF39" s="1025"/>
      <x:c r="AG39" s="1018"/>
    </x:row>
    <x:row r="40" ht="30" customHeight="1">
      <x:c r="A40" s="1018"/>
      <x:c r="B40" s="1021" t="str">
        <x:f>'Certified Allocation'!B31</x:f>
        <x:v>CAT</x:v>
      </x:c>
      <x:c r="C40" s="1021" t="str">
        <x:f>'Certified Allocation'!C31</x:f>
        <x:v>Caterpillar Inc.</x:v>
      </x:c>
      <x:c r="D40" s="1021" t="str">
        <x:f>'Certified Allocation'!A31</x:f>
        <x:v>Industrials &amp; Infrastructure</x:v>
      </x:c>
      <x:c r="E40" s="1021" t="str">
        <x:f>'Certified Allocation'!D31</x:f>
        <x:v>Equity</x:v>
      </x:c>
      <x:c r="F40" s="1021" t="str">
        <x:f>'Certified Allocation'!E31</x:f>
        <x:v>Heavy equipment and infrastructure leader</x:v>
      </x:c>
      <x:c r="G40" s="1022" t="n">
        <x:f>'Certified Allocation'!F31</x:f>
        <x:v>0.0156</x:v>
      </x:c>
      <x:c r="H40" s="1021" t="str">
        <x:f>'Certified Allocation'!N31</x:f>
        <x:v>Current</x:v>
      </x:c>
      <x:c r="I40" s="1021" t="str">
        <x:f>IFERROR(INDEX('11 Conviction'!$H$5:$H$51,MATCH($B40,'11 Conviction'!$B$5:$B$51,0)),"Unassigned")</x:f>
        <x:v>Unassigned</x:v>
      </x:c>
      <x:c r="J40" s="1021" t="str">
        <x:f>IFERROR(INDEX('11 Conviction'!$J$5:$J$51,MATCH($B40,'11 Conviction'!$B$5:$B$51,0)),"")</x:f>
      </x:c>
      <x:c r="K40" s="1023"/>
      <x:c r="L40" s="1023"/>
      <x:c r="M40" s="1018"/>
      <x:c r="N40" s="1018"/>
      <x:c r="O40" s="1018"/>
      <x:c r="P40" s="1024" t="str">
        <x:f>IF($O40="","",IF($O40="Quarterly — 90 Days",90,IF($O40="Semiannual — 180 Days",180,IF($O40="Annual — 365 Days",365,IF($O40="Event-Driven",0,"")))))</x:f>
      </x:c>
      <x:c r="Q40" s="1025"/>
      <x:c r="R40" s="1025"/>
      <x:c r="S40" s="1026" t="str">
        <x:f>IF(COUNTA($Q40:$R40)=0,"",MAX($Q40:$R40))</x:f>
      </x:c>
      <x:c r="T40" s="1026" t="str">
        <x:f>IF(OR($S40="",$P40="",$P40=0),"",$S40+$P40)</x:f>
      </x:c>
      <x:c r="U40" s="1024" t="n">
        <x:f>COUNTIF('21 RCC-003 MIAR Review Log'!$C$14:$C$213,$B40)</x:f>
        <x:v>0</x:v>
      </x:c>
      <x:c r="V40" s="1024" t="n">
        <x:f>COUNTIF('18 RCC-002 Evidence Ledger'!$E$14:$E$213,$B40)</x:f>
        <x:v>0</x:v>
      </x:c>
      <x:c r="W40" s="1024" t="n">
        <x:f>COUNTIFS('18 RCC-002 Evidence Ledger'!$E$14:$E$213,$B40,'18 RCC-002 Evidence Ledger'!$T$14:$T$213,"&lt;&gt;Closed — No Action",'18 RCC-002 Evidence Ledger'!$T$14:$T$213,"&lt;&gt;Closed — Incorporated")</x:f>
        <x:v>0</x:v>
      </x:c>
      <x:c r="X40" s="1024" t="n">
        <x:f>COUNTIFS('18 RCC-002 Evidence Ledger'!$E$14:$E$213,$B40,'18 RCC-002 Evidence Ledger'!$V$14:$V$213,"&lt;&gt;None",'18 RCC-002 Evidence Ledger'!$V$14:$V$213,"&lt;&gt;",'18 RCC-002 Evidence Ledger'!$T$14:$T$213,"&lt;&gt;Closed — No Action",'18 RCC-002 Evidence Ledger'!$T$14:$T$213,"&lt;&gt;Closed — Incorporated")</x:f>
        <x:v>0</x:v>
      </x:c>
      <x:c r="Y40" s="1024" t="n">
        <x:f>COUNTIFS('18 RCC-002 Evidence Ledger'!$E$14:$E$213,$B40,'18 RCC-002 Evidence Ledger'!$V$14:$V$213,"Material Event Review",'18 RCC-002 Evidence Ledger'!$T$14:$T$213,"&lt;&gt;Closed — No Action",'18 RCC-002 Evidence Ledger'!$T$14:$T$213,"&lt;&gt;Closed — Incorporated")</x:f>
        <x:v>0</x:v>
      </x:c>
      <x:c r="Z40" s="962" t="str">
        <x:f>IF($B40="","",IF($Y40&gt;0,"MATERIAL EVENT REVIEW",IF(OR($A40="",$M40="",$N40="",$O40="",$S40=""),"NOT INITIALIZED",IF(OR($M40="Suspended",$M40="Archived"),"INACTIVE",IF($O40="Event-Driven","CURRENT",IF($T40&lt;TODAY(),"OVERDUE",IF($T40-TODAY()&lt;=30,"REVIEW DUE",IF($T40-TODAY()&lt;=60,"UPDATE DUE","CURRENT"))))))))</x:f>
        <x:v>NOT INITIALIZED</x:v>
      </x:c>
      <x:c r="AA40" s="962" t="str">
        <x:f>IF($B40="","",IF(OR($A40="",$K40="",$L40="",$M40="",$N40="",$O40="",$Q40=""),"INCOMPLETE",IF(COUNTIF($A$14:$A$60,$A40)&gt;1,"DUPLICATE MIAR ID","COMPLETE")))</x:f>
        <x:v>INCOMPLETE</x:v>
      </x:c>
      <x:c r="AB40" s="962" t="str">
        <x:f>IF($B40="","",IF($AA40&lt;&gt;"COMPLETE",$AA40,IF($Y40&gt;0,"MATERIAL EVENT REVIEW",IF($Z40="OVERDUE","OVERDUE",IF($Z40="REVIEW DUE","REVIEW DUE",IF($X40&gt;0,"MIAR ACTION PENDING",IF(OR($I40="Unassigned",$J40=""),"THESIS / CONVICTION SETUP",IF($M40="Draft","DRAFT — NOT CERTIFIED",IF(AND($M40="Active",OR($AE40="",$AF40="")),"CERTIFICATION REQUIRED","CONTROL CLEAR")))))))))</x:f>
        <x:v>INCOMPLETE</x:v>
      </x:c>
      <x:c r="AC40" s="962" t="str">
        <x:f>IF($B40="","",IFERROR(INDEX('97 RCC Lists'!$Y$5:$Y$14,MATCH($AB40,'97 RCC Lists'!$W$5:$W$14,0)),"Review exception"))</x:f>
        <x:v>Complete MIAR setup</x:v>
      </x:c>
      <x:c r="AD40" s="962" t="str">
        <x:f>IF($B40="","",IF(OR($AB40="MATERIAL EVENT REVIEW",$AB40="MIAR ACTION PENDING",$AB40="THESIS / CONVICTION SETUP"),"REFER TO RCC-007",IF($AB40="CONTROL CLEAR","NO REFERRAL","HOLD PENDING MIAR UPDATE")))</x:f>
        <x:v>HOLD PENDING MIAR UPDATE</x:v>
      </x:c>
      <x:c r="AE40" s="1018"/>
      <x:c r="AF40" s="1025"/>
      <x:c r="AG40" s="1018"/>
    </x:row>
    <x:row r="41" ht="30" customHeight="1">
      <x:c r="A41" s="1018"/>
      <x:c r="B41" s="1021" t="str">
        <x:f>'Certified Allocation'!B32</x:f>
        <x:v>ETN</x:v>
      </x:c>
      <x:c r="C41" s="1021" t="str">
        <x:f>'Certified Allocation'!C32</x:f>
        <x:v>Eaton Corporation plc</x:v>
      </x:c>
      <x:c r="D41" s="1021" t="str">
        <x:f>'Certified Allocation'!A32</x:f>
        <x:v>Industrials &amp; Infrastructure</x:v>
      </x:c>
      <x:c r="E41" s="1021" t="str">
        <x:f>'Certified Allocation'!D32</x:f>
        <x:v>Equity</x:v>
      </x:c>
      <x:c r="F41" s="1021" t="str">
        <x:f>'Certified Allocation'!E32</x:f>
        <x:v>Electrification and power-management leader</x:v>
      </x:c>
      <x:c r="G41" s="1022" t="n">
        <x:f>'Certified Allocation'!F32</x:f>
        <x:v>0.0156</x:v>
      </x:c>
      <x:c r="H41" s="1021" t="str">
        <x:f>'Certified Allocation'!N32</x:f>
        <x:v>Current</x:v>
      </x:c>
      <x:c r="I41" s="1021" t="str">
        <x:f>IFERROR(INDEX('11 Conviction'!$H$5:$H$51,MATCH($B41,'11 Conviction'!$B$5:$B$51,0)),"Unassigned")</x:f>
        <x:v>Unassigned</x:v>
      </x:c>
      <x:c r="J41" s="1021" t="str">
        <x:f>IFERROR(INDEX('11 Conviction'!$J$5:$J$51,MATCH($B41,'11 Conviction'!$B$5:$B$51,0)),"")</x:f>
      </x:c>
      <x:c r="K41" s="1023"/>
      <x:c r="L41" s="1023"/>
      <x:c r="M41" s="1018"/>
      <x:c r="N41" s="1018"/>
      <x:c r="O41" s="1018"/>
      <x:c r="P41" s="1024" t="str">
        <x:f>IF($O41="","",IF($O41="Quarterly — 90 Days",90,IF($O41="Semiannual — 180 Days",180,IF($O41="Annual — 365 Days",365,IF($O41="Event-Driven",0,"")))))</x:f>
      </x:c>
      <x:c r="Q41" s="1025"/>
      <x:c r="R41" s="1025"/>
      <x:c r="S41" s="1026" t="str">
        <x:f>IF(COUNTA($Q41:$R41)=0,"",MAX($Q41:$R41))</x:f>
      </x:c>
      <x:c r="T41" s="1026" t="str">
        <x:f>IF(OR($S41="",$P41="",$P41=0),"",$S41+$P41)</x:f>
      </x:c>
      <x:c r="U41" s="1024" t="n">
        <x:f>COUNTIF('21 RCC-003 MIAR Review Log'!$C$14:$C$213,$B41)</x:f>
        <x:v>0</x:v>
      </x:c>
      <x:c r="V41" s="1024" t="n">
        <x:f>COUNTIF('18 RCC-002 Evidence Ledger'!$E$14:$E$213,$B41)</x:f>
        <x:v>0</x:v>
      </x:c>
      <x:c r="W41" s="1024" t="n">
        <x:f>COUNTIFS('18 RCC-002 Evidence Ledger'!$E$14:$E$213,$B41,'18 RCC-002 Evidence Ledger'!$T$14:$T$213,"&lt;&gt;Closed — No Action",'18 RCC-002 Evidence Ledger'!$T$14:$T$213,"&lt;&gt;Closed — Incorporated")</x:f>
        <x:v>0</x:v>
      </x:c>
      <x:c r="X41" s="1024" t="n">
        <x:f>COUNTIFS('18 RCC-002 Evidence Ledger'!$E$14:$E$213,$B41,'18 RCC-002 Evidence Ledger'!$V$14:$V$213,"&lt;&gt;None",'18 RCC-002 Evidence Ledger'!$V$14:$V$213,"&lt;&gt;",'18 RCC-002 Evidence Ledger'!$T$14:$T$213,"&lt;&gt;Closed — No Action",'18 RCC-002 Evidence Ledger'!$T$14:$T$213,"&lt;&gt;Closed — Incorporated")</x:f>
        <x:v>0</x:v>
      </x:c>
      <x:c r="Y41" s="1024" t="n">
        <x:f>COUNTIFS('18 RCC-002 Evidence Ledger'!$E$14:$E$213,$B41,'18 RCC-002 Evidence Ledger'!$V$14:$V$213,"Material Event Review",'18 RCC-002 Evidence Ledger'!$T$14:$T$213,"&lt;&gt;Closed — No Action",'18 RCC-002 Evidence Ledger'!$T$14:$T$213,"&lt;&gt;Closed — Incorporated")</x:f>
        <x:v>0</x:v>
      </x:c>
      <x:c r="Z41" s="962" t="str">
        <x:f>IF($B41="","",IF($Y41&gt;0,"MATERIAL EVENT REVIEW",IF(OR($A41="",$M41="",$N41="",$O41="",$S41=""),"NOT INITIALIZED",IF(OR($M41="Suspended",$M41="Archived"),"INACTIVE",IF($O41="Event-Driven","CURRENT",IF($T41&lt;TODAY(),"OVERDUE",IF($T41-TODAY()&lt;=30,"REVIEW DUE",IF($T41-TODAY()&lt;=60,"UPDATE DUE","CURRENT"))))))))</x:f>
        <x:v>NOT INITIALIZED</x:v>
      </x:c>
      <x:c r="AA41" s="962" t="str">
        <x:f>IF($B41="","",IF(OR($A41="",$K41="",$L41="",$M41="",$N41="",$O41="",$Q41=""),"INCOMPLETE",IF(COUNTIF($A$14:$A$60,$A41)&gt;1,"DUPLICATE MIAR ID","COMPLETE")))</x:f>
        <x:v>INCOMPLETE</x:v>
      </x:c>
      <x:c r="AB41" s="962" t="str">
        <x:f>IF($B41="","",IF($AA41&lt;&gt;"COMPLETE",$AA41,IF($Y41&gt;0,"MATERIAL EVENT REVIEW",IF($Z41="OVERDUE","OVERDUE",IF($Z41="REVIEW DUE","REVIEW DUE",IF($X41&gt;0,"MIAR ACTION PENDING",IF(OR($I41="Unassigned",$J41=""),"THESIS / CONVICTION SETUP",IF($M41="Draft","DRAFT — NOT CERTIFIED",IF(AND($M41="Active",OR($AE41="",$AF41="")),"CERTIFICATION REQUIRED","CONTROL CLEAR")))))))))</x:f>
        <x:v>INCOMPLETE</x:v>
      </x:c>
      <x:c r="AC41" s="962" t="str">
        <x:f>IF($B41="","",IFERROR(INDEX('97 RCC Lists'!$Y$5:$Y$14,MATCH($AB41,'97 RCC Lists'!$W$5:$W$14,0)),"Review exception"))</x:f>
        <x:v>Complete MIAR setup</x:v>
      </x:c>
      <x:c r="AD41" s="962" t="str">
        <x:f>IF($B41="","",IF(OR($AB41="MATERIAL EVENT REVIEW",$AB41="MIAR ACTION PENDING",$AB41="THESIS / CONVICTION SETUP"),"REFER TO RCC-007",IF($AB41="CONTROL CLEAR","NO REFERRAL","HOLD PENDING MIAR UPDATE")))</x:f>
        <x:v>HOLD PENDING MIAR UPDATE</x:v>
      </x:c>
      <x:c r="AE41" s="1018"/>
      <x:c r="AF41" s="1025"/>
      <x:c r="AG41" s="1018"/>
    </x:row>
    <x:row r="42" ht="30" customHeight="1">
      <x:c r="A42" s="1018"/>
      <x:c r="B42" s="1021" t="str">
        <x:f>'Certified Allocation'!B33</x:f>
        <x:v>GE</x:v>
      </x:c>
      <x:c r="C42" s="1021" t="str">
        <x:f>'Certified Allocation'!C33</x:f>
        <x:v>GE Aerospace</x:v>
      </x:c>
      <x:c r="D42" s="1021" t="str">
        <x:f>'Certified Allocation'!A33</x:f>
        <x:v>Industrials &amp; Infrastructure</x:v>
      </x:c>
      <x:c r="E42" s="1021" t="str">
        <x:f>'Certified Allocation'!D33</x:f>
        <x:v>Equity</x:v>
      </x:c>
      <x:c r="F42" s="1021" t="str">
        <x:f>'Certified Allocation'!E33</x:f>
        <x:v>Aerospace propulsion leader</x:v>
      </x:c>
      <x:c r="G42" s="1022" t="n">
        <x:f>'Certified Allocation'!F33</x:f>
        <x:v>0.0156</x:v>
      </x:c>
      <x:c r="H42" s="1021" t="str">
        <x:f>'Certified Allocation'!N33</x:f>
        <x:v>Current</x:v>
      </x:c>
      <x:c r="I42" s="1021" t="str">
        <x:f>IFERROR(INDEX('11 Conviction'!$H$5:$H$51,MATCH($B42,'11 Conviction'!$B$5:$B$51,0)),"Unassigned")</x:f>
        <x:v>Unassigned</x:v>
      </x:c>
      <x:c r="J42" s="1021" t="str">
        <x:f>IFERROR(INDEX('11 Conviction'!$J$5:$J$51,MATCH($B42,'11 Conviction'!$B$5:$B$51,0)),"")</x:f>
      </x:c>
      <x:c r="K42" s="1023"/>
      <x:c r="L42" s="1023"/>
      <x:c r="M42" s="1018"/>
      <x:c r="N42" s="1018"/>
      <x:c r="O42" s="1018"/>
      <x:c r="P42" s="1024" t="str">
        <x:f>IF($O42="","",IF($O42="Quarterly — 90 Days",90,IF($O42="Semiannual — 180 Days",180,IF($O42="Annual — 365 Days",365,IF($O42="Event-Driven",0,"")))))</x:f>
      </x:c>
      <x:c r="Q42" s="1025"/>
      <x:c r="R42" s="1025"/>
      <x:c r="S42" s="1026" t="str">
        <x:f>IF(COUNTA($Q42:$R42)=0,"",MAX($Q42:$R42))</x:f>
      </x:c>
      <x:c r="T42" s="1026" t="str">
        <x:f>IF(OR($S42="",$P42="",$P42=0),"",$S42+$P42)</x:f>
      </x:c>
      <x:c r="U42" s="1024" t="n">
        <x:f>COUNTIF('21 RCC-003 MIAR Review Log'!$C$14:$C$213,$B42)</x:f>
        <x:v>0</x:v>
      </x:c>
      <x:c r="V42" s="1024" t="n">
        <x:f>COUNTIF('18 RCC-002 Evidence Ledger'!$E$14:$E$213,$B42)</x:f>
        <x:v>0</x:v>
      </x:c>
      <x:c r="W42" s="1024" t="n">
        <x:f>COUNTIFS('18 RCC-002 Evidence Ledger'!$E$14:$E$213,$B42,'18 RCC-002 Evidence Ledger'!$T$14:$T$213,"&lt;&gt;Closed — No Action",'18 RCC-002 Evidence Ledger'!$T$14:$T$213,"&lt;&gt;Closed — Incorporated")</x:f>
        <x:v>0</x:v>
      </x:c>
      <x:c r="X42" s="1024" t="n">
        <x:f>COUNTIFS('18 RCC-002 Evidence Ledger'!$E$14:$E$213,$B42,'18 RCC-002 Evidence Ledger'!$V$14:$V$213,"&lt;&gt;None",'18 RCC-002 Evidence Ledger'!$V$14:$V$213,"&lt;&gt;",'18 RCC-002 Evidence Ledger'!$T$14:$T$213,"&lt;&gt;Closed — No Action",'18 RCC-002 Evidence Ledger'!$T$14:$T$213,"&lt;&gt;Closed — Incorporated")</x:f>
        <x:v>0</x:v>
      </x:c>
      <x:c r="Y42" s="1024" t="n">
        <x:f>COUNTIFS('18 RCC-002 Evidence Ledger'!$E$14:$E$213,$B42,'18 RCC-002 Evidence Ledger'!$V$14:$V$213,"Material Event Review",'18 RCC-002 Evidence Ledger'!$T$14:$T$213,"&lt;&gt;Closed — No Action",'18 RCC-002 Evidence Ledger'!$T$14:$T$213,"&lt;&gt;Closed — Incorporated")</x:f>
        <x:v>0</x:v>
      </x:c>
      <x:c r="Z42" s="962" t="str">
        <x:f>IF($B42="","",IF($Y42&gt;0,"MATERIAL EVENT REVIEW",IF(OR($A42="",$M42="",$N42="",$O42="",$S42=""),"NOT INITIALIZED",IF(OR($M42="Suspended",$M42="Archived"),"INACTIVE",IF($O42="Event-Driven","CURRENT",IF($T42&lt;TODAY(),"OVERDUE",IF($T42-TODAY()&lt;=30,"REVIEW DUE",IF($T42-TODAY()&lt;=60,"UPDATE DUE","CURRENT"))))))))</x:f>
        <x:v>NOT INITIALIZED</x:v>
      </x:c>
      <x:c r="AA42" s="962" t="str">
        <x:f>IF($B42="","",IF(OR($A42="",$K42="",$L42="",$M42="",$N42="",$O42="",$Q42=""),"INCOMPLETE",IF(COUNTIF($A$14:$A$60,$A42)&gt;1,"DUPLICATE MIAR ID","COMPLETE")))</x:f>
        <x:v>INCOMPLETE</x:v>
      </x:c>
      <x:c r="AB42" s="962" t="str">
        <x:f>IF($B42="","",IF($AA42&lt;&gt;"COMPLETE",$AA42,IF($Y42&gt;0,"MATERIAL EVENT REVIEW",IF($Z42="OVERDUE","OVERDUE",IF($Z42="REVIEW DUE","REVIEW DUE",IF($X42&gt;0,"MIAR ACTION PENDING",IF(OR($I42="Unassigned",$J42=""),"THESIS / CONVICTION SETUP",IF($M42="Draft","DRAFT — NOT CERTIFIED",IF(AND($M42="Active",OR($AE42="",$AF42="")),"CERTIFICATION REQUIRED","CONTROL CLEAR")))))))))</x:f>
        <x:v>INCOMPLETE</x:v>
      </x:c>
      <x:c r="AC42" s="962" t="str">
        <x:f>IF($B42="","",IFERROR(INDEX('97 RCC Lists'!$Y$5:$Y$14,MATCH($AB42,'97 RCC Lists'!$W$5:$W$14,0)),"Review exception"))</x:f>
        <x:v>Complete MIAR setup</x:v>
      </x:c>
      <x:c r="AD42" s="962" t="str">
        <x:f>IF($B42="","",IF(OR($AB42="MATERIAL EVENT REVIEW",$AB42="MIAR ACTION PENDING",$AB42="THESIS / CONVICTION SETUP"),"REFER TO RCC-007",IF($AB42="CONTROL CLEAR","NO REFERRAL","HOLD PENDING MIAR UPDATE")))</x:f>
        <x:v>HOLD PENDING MIAR UPDATE</x:v>
      </x:c>
      <x:c r="AE42" s="1018"/>
      <x:c r="AF42" s="1025"/>
      <x:c r="AG42" s="1018"/>
    </x:row>
    <x:row r="43" ht="30" customHeight="1">
      <x:c r="A43" s="1018"/>
      <x:c r="B43" s="1021" t="str">
        <x:f>'Certified Allocation'!B34</x:f>
        <x:v>PH</x:v>
      </x:c>
      <x:c r="C43" s="1021" t="str">
        <x:f>'Certified Allocation'!C34</x:f>
        <x:v>Parker-Hannifin Corporation</x:v>
      </x:c>
      <x:c r="D43" s="1021" t="str">
        <x:f>'Certified Allocation'!A34</x:f>
        <x:v>Industrials &amp; Infrastructure</x:v>
      </x:c>
      <x:c r="E43" s="1021" t="str">
        <x:f>'Certified Allocation'!D34</x:f>
        <x:v>Equity</x:v>
      </x:c>
      <x:c r="F43" s="1021" t="str">
        <x:f>'Certified Allocation'!E34</x:f>
        <x:v>Motion and control systems leader</x:v>
      </x:c>
      <x:c r="G43" s="1022" t="n">
        <x:f>'Certified Allocation'!F34</x:f>
        <x:v>0.0156</x:v>
      </x:c>
      <x:c r="H43" s="1021" t="str">
        <x:f>'Certified Allocation'!N34</x:f>
        <x:v>Current</x:v>
      </x:c>
      <x:c r="I43" s="1021" t="str">
        <x:f>IFERROR(INDEX('11 Conviction'!$H$5:$H$51,MATCH($B43,'11 Conviction'!$B$5:$B$51,0)),"Unassigned")</x:f>
        <x:v>Unassigned</x:v>
      </x:c>
      <x:c r="J43" s="1021" t="str">
        <x:f>IFERROR(INDEX('11 Conviction'!$J$5:$J$51,MATCH($B43,'11 Conviction'!$B$5:$B$51,0)),"")</x:f>
      </x:c>
      <x:c r="K43" s="1023"/>
      <x:c r="L43" s="1023"/>
      <x:c r="M43" s="1018"/>
      <x:c r="N43" s="1018"/>
      <x:c r="O43" s="1018"/>
      <x:c r="P43" s="1024" t="str">
        <x:f>IF($O43="","",IF($O43="Quarterly — 90 Days",90,IF($O43="Semiannual — 180 Days",180,IF($O43="Annual — 365 Days",365,IF($O43="Event-Driven",0,"")))))</x:f>
      </x:c>
      <x:c r="Q43" s="1025"/>
      <x:c r="R43" s="1025"/>
      <x:c r="S43" s="1026" t="str">
        <x:f>IF(COUNTA($Q43:$R43)=0,"",MAX($Q43:$R43))</x:f>
      </x:c>
      <x:c r="T43" s="1026" t="str">
        <x:f>IF(OR($S43="",$P43="",$P43=0),"",$S43+$P43)</x:f>
      </x:c>
      <x:c r="U43" s="1024" t="n">
        <x:f>COUNTIF('21 RCC-003 MIAR Review Log'!$C$14:$C$213,$B43)</x:f>
        <x:v>0</x:v>
      </x:c>
      <x:c r="V43" s="1024" t="n">
        <x:f>COUNTIF('18 RCC-002 Evidence Ledger'!$E$14:$E$213,$B43)</x:f>
        <x:v>0</x:v>
      </x:c>
      <x:c r="W43" s="1024" t="n">
        <x:f>COUNTIFS('18 RCC-002 Evidence Ledger'!$E$14:$E$213,$B43,'18 RCC-002 Evidence Ledger'!$T$14:$T$213,"&lt;&gt;Closed — No Action",'18 RCC-002 Evidence Ledger'!$T$14:$T$213,"&lt;&gt;Closed — Incorporated")</x:f>
        <x:v>0</x:v>
      </x:c>
      <x:c r="X43" s="1024" t="n">
        <x:f>COUNTIFS('18 RCC-002 Evidence Ledger'!$E$14:$E$213,$B43,'18 RCC-002 Evidence Ledger'!$V$14:$V$213,"&lt;&gt;None",'18 RCC-002 Evidence Ledger'!$V$14:$V$213,"&lt;&gt;",'18 RCC-002 Evidence Ledger'!$T$14:$T$213,"&lt;&gt;Closed — No Action",'18 RCC-002 Evidence Ledger'!$T$14:$T$213,"&lt;&gt;Closed — Incorporated")</x:f>
        <x:v>0</x:v>
      </x:c>
      <x:c r="Y43" s="1024" t="n">
        <x:f>COUNTIFS('18 RCC-002 Evidence Ledger'!$E$14:$E$213,$B43,'18 RCC-002 Evidence Ledger'!$V$14:$V$213,"Material Event Review",'18 RCC-002 Evidence Ledger'!$T$14:$T$213,"&lt;&gt;Closed — No Action",'18 RCC-002 Evidence Ledger'!$T$14:$T$213,"&lt;&gt;Closed — Incorporated")</x:f>
        <x:v>0</x:v>
      </x:c>
      <x:c r="Z43" s="962" t="str">
        <x:f>IF($B43="","",IF($Y43&gt;0,"MATERIAL EVENT REVIEW",IF(OR($A43="",$M43="",$N43="",$O43="",$S43=""),"NOT INITIALIZED",IF(OR($M43="Suspended",$M43="Archived"),"INACTIVE",IF($O43="Event-Driven","CURRENT",IF($T43&lt;TODAY(),"OVERDUE",IF($T43-TODAY()&lt;=30,"REVIEW DUE",IF($T43-TODAY()&lt;=60,"UPDATE DUE","CURRENT"))))))))</x:f>
        <x:v>NOT INITIALIZED</x:v>
      </x:c>
      <x:c r="AA43" s="962" t="str">
        <x:f>IF($B43="","",IF(OR($A43="",$K43="",$L43="",$M43="",$N43="",$O43="",$Q43=""),"INCOMPLETE",IF(COUNTIF($A$14:$A$60,$A43)&gt;1,"DUPLICATE MIAR ID","COMPLETE")))</x:f>
        <x:v>INCOMPLETE</x:v>
      </x:c>
      <x:c r="AB43" s="962" t="str">
        <x:f>IF($B43="","",IF($AA43&lt;&gt;"COMPLETE",$AA43,IF($Y43&gt;0,"MATERIAL EVENT REVIEW",IF($Z43="OVERDUE","OVERDUE",IF($Z43="REVIEW DUE","REVIEW DUE",IF($X43&gt;0,"MIAR ACTION PENDING",IF(OR($I43="Unassigned",$J43=""),"THESIS / CONVICTION SETUP",IF($M43="Draft","DRAFT — NOT CERTIFIED",IF(AND($M43="Active",OR($AE43="",$AF43="")),"CERTIFICATION REQUIRED","CONTROL CLEAR")))))))))</x:f>
        <x:v>INCOMPLETE</x:v>
      </x:c>
      <x:c r="AC43" s="962" t="str">
        <x:f>IF($B43="","",IFERROR(INDEX('97 RCC Lists'!$Y$5:$Y$14,MATCH($AB43,'97 RCC Lists'!$W$5:$W$14,0)),"Review exception"))</x:f>
        <x:v>Complete MIAR setup</x:v>
      </x:c>
      <x:c r="AD43" s="962" t="str">
        <x:f>IF($B43="","",IF(OR($AB43="MATERIAL EVENT REVIEW",$AB43="MIAR ACTION PENDING",$AB43="THESIS / CONVICTION SETUP"),"REFER TO RCC-007",IF($AB43="CONTROL CLEAR","NO REFERRAL","HOLD PENDING MIAR UPDATE")))</x:f>
        <x:v>HOLD PENDING MIAR UPDATE</x:v>
      </x:c>
      <x:c r="AE43" s="1018"/>
      <x:c r="AF43" s="1025"/>
      <x:c r="AG43" s="1018"/>
    </x:row>
    <x:row r="44" ht="30" customHeight="1">
      <x:c r="A44" s="1018"/>
      <x:c r="B44" s="1021" t="str">
        <x:f>'Certified Allocation'!B35</x:f>
        <x:v>TT</x:v>
      </x:c>
      <x:c r="C44" s="1021" t="str">
        <x:f>'Certified Allocation'!C35</x:f>
        <x:v>Trane Technologies plc</x:v>
      </x:c>
      <x:c r="D44" s="1021" t="str">
        <x:f>'Certified Allocation'!A35</x:f>
        <x:v>Industrials &amp; Infrastructure</x:v>
      </x:c>
      <x:c r="E44" s="1021" t="str">
        <x:f>'Certified Allocation'!D35</x:f>
        <x:v>Equity</x:v>
      </x:c>
      <x:c r="F44" s="1021" t="str">
        <x:f>'Certified Allocation'!E35</x:f>
        <x:v>Climate and building efficiency leader</x:v>
      </x:c>
      <x:c r="G44" s="1022" t="n">
        <x:f>'Certified Allocation'!F35</x:f>
        <x:v>0.0156</x:v>
      </x:c>
      <x:c r="H44" s="1021" t="str">
        <x:f>'Certified Allocation'!N35</x:f>
        <x:v>Current</x:v>
      </x:c>
      <x:c r="I44" s="1021" t="str">
        <x:f>IFERROR(INDEX('11 Conviction'!$H$5:$H$51,MATCH($B44,'11 Conviction'!$B$5:$B$51,0)),"Unassigned")</x:f>
        <x:v>Unassigned</x:v>
      </x:c>
      <x:c r="J44" s="1021" t="str">
        <x:f>IFERROR(INDEX('11 Conviction'!$J$5:$J$51,MATCH($B44,'11 Conviction'!$B$5:$B$51,0)),"")</x:f>
      </x:c>
      <x:c r="K44" s="1023"/>
      <x:c r="L44" s="1023"/>
      <x:c r="M44" s="1018"/>
      <x:c r="N44" s="1018"/>
      <x:c r="O44" s="1018"/>
      <x:c r="P44" s="1024" t="str">
        <x:f>IF($O44="","",IF($O44="Quarterly — 90 Days",90,IF($O44="Semiannual — 180 Days",180,IF($O44="Annual — 365 Days",365,IF($O44="Event-Driven",0,"")))))</x:f>
      </x:c>
      <x:c r="Q44" s="1025"/>
      <x:c r="R44" s="1025"/>
      <x:c r="S44" s="1026" t="str">
        <x:f>IF(COUNTA($Q44:$R44)=0,"",MAX($Q44:$R44))</x:f>
      </x:c>
      <x:c r="T44" s="1026" t="str">
        <x:f>IF(OR($S44="",$P44="",$P44=0),"",$S44+$P44)</x:f>
      </x:c>
      <x:c r="U44" s="1024" t="n">
        <x:f>COUNTIF('21 RCC-003 MIAR Review Log'!$C$14:$C$213,$B44)</x:f>
        <x:v>0</x:v>
      </x:c>
      <x:c r="V44" s="1024" t="n">
        <x:f>COUNTIF('18 RCC-002 Evidence Ledger'!$E$14:$E$213,$B44)</x:f>
        <x:v>0</x:v>
      </x:c>
      <x:c r="W44" s="1024" t="n">
        <x:f>COUNTIFS('18 RCC-002 Evidence Ledger'!$E$14:$E$213,$B44,'18 RCC-002 Evidence Ledger'!$T$14:$T$213,"&lt;&gt;Closed — No Action",'18 RCC-002 Evidence Ledger'!$T$14:$T$213,"&lt;&gt;Closed — Incorporated")</x:f>
        <x:v>0</x:v>
      </x:c>
      <x:c r="X44" s="1024" t="n">
        <x:f>COUNTIFS('18 RCC-002 Evidence Ledger'!$E$14:$E$213,$B44,'18 RCC-002 Evidence Ledger'!$V$14:$V$213,"&lt;&gt;None",'18 RCC-002 Evidence Ledger'!$V$14:$V$213,"&lt;&gt;",'18 RCC-002 Evidence Ledger'!$T$14:$T$213,"&lt;&gt;Closed — No Action",'18 RCC-002 Evidence Ledger'!$T$14:$T$213,"&lt;&gt;Closed — Incorporated")</x:f>
        <x:v>0</x:v>
      </x:c>
      <x:c r="Y44" s="1024" t="n">
        <x:f>COUNTIFS('18 RCC-002 Evidence Ledger'!$E$14:$E$213,$B44,'18 RCC-002 Evidence Ledger'!$V$14:$V$213,"Material Event Review",'18 RCC-002 Evidence Ledger'!$T$14:$T$213,"&lt;&gt;Closed — No Action",'18 RCC-002 Evidence Ledger'!$T$14:$T$213,"&lt;&gt;Closed — Incorporated")</x:f>
        <x:v>0</x:v>
      </x:c>
      <x:c r="Z44" s="962" t="str">
        <x:f>IF($B44="","",IF($Y44&gt;0,"MATERIAL EVENT REVIEW",IF(OR($A44="",$M44="",$N44="",$O44="",$S44=""),"NOT INITIALIZED",IF(OR($M44="Suspended",$M44="Archived"),"INACTIVE",IF($O44="Event-Driven","CURRENT",IF($T44&lt;TODAY(),"OVERDUE",IF($T44-TODAY()&lt;=30,"REVIEW DUE",IF($T44-TODAY()&lt;=60,"UPDATE DUE","CURRENT"))))))))</x:f>
        <x:v>NOT INITIALIZED</x:v>
      </x:c>
      <x:c r="AA44" s="962" t="str">
        <x:f>IF($B44="","",IF(OR($A44="",$K44="",$L44="",$M44="",$N44="",$O44="",$Q44=""),"INCOMPLETE",IF(COUNTIF($A$14:$A$60,$A44)&gt;1,"DUPLICATE MIAR ID","COMPLETE")))</x:f>
        <x:v>INCOMPLETE</x:v>
      </x:c>
      <x:c r="AB44" s="962" t="str">
        <x:f>IF($B44="","",IF($AA44&lt;&gt;"COMPLETE",$AA44,IF($Y44&gt;0,"MATERIAL EVENT REVIEW",IF($Z44="OVERDUE","OVERDUE",IF($Z44="REVIEW DUE","REVIEW DUE",IF($X44&gt;0,"MIAR ACTION PENDING",IF(OR($I44="Unassigned",$J44=""),"THESIS / CONVICTION SETUP",IF($M44="Draft","DRAFT — NOT CERTIFIED",IF(AND($M44="Active",OR($AE44="",$AF44="")),"CERTIFICATION REQUIRED","CONTROL CLEAR")))))))))</x:f>
        <x:v>INCOMPLETE</x:v>
      </x:c>
      <x:c r="AC44" s="962" t="str">
        <x:f>IF($B44="","",IFERROR(INDEX('97 RCC Lists'!$Y$5:$Y$14,MATCH($AB44,'97 RCC Lists'!$W$5:$W$14,0)),"Review exception"))</x:f>
        <x:v>Complete MIAR setup</x:v>
      </x:c>
      <x:c r="AD44" s="962" t="str">
        <x:f>IF($B44="","",IF(OR($AB44="MATERIAL EVENT REVIEW",$AB44="MIAR ACTION PENDING",$AB44="THESIS / CONVICTION SETUP"),"REFER TO RCC-007",IF($AB44="CONTROL CLEAR","NO REFERRAL","HOLD PENDING MIAR UPDATE")))</x:f>
        <x:v>HOLD PENDING MIAR UPDATE</x:v>
      </x:c>
      <x:c r="AE44" s="1018"/>
      <x:c r="AF44" s="1025"/>
      <x:c r="AG44" s="1018"/>
    </x:row>
    <x:row r="45" ht="30" customHeight="1">
      <x:c r="A45" s="1018"/>
      <x:c r="B45" s="1021" t="str">
        <x:f>'Certified Allocation'!B36</x:f>
        <x:v>UNP</x:v>
      </x:c>
      <x:c r="C45" s="1021" t="str">
        <x:f>'Certified Allocation'!C36</x:f>
        <x:v>Union Pacific Corporation</x:v>
      </x:c>
      <x:c r="D45" s="1021" t="str">
        <x:f>'Certified Allocation'!A36</x:f>
        <x:v>Industrials &amp; Infrastructure</x:v>
      </x:c>
      <x:c r="E45" s="1021" t="str">
        <x:f>'Certified Allocation'!D36</x:f>
        <x:v>Equity</x:v>
      </x:c>
      <x:c r="F45" s="1021" t="str">
        <x:f>'Certified Allocation'!E36</x:f>
        <x:v>Freight rail infrastructure</x:v>
      </x:c>
      <x:c r="G45" s="1022" t="n">
        <x:f>'Certified Allocation'!F36</x:f>
        <x:v>0.0155</x:v>
      </x:c>
      <x:c r="H45" s="1021" t="str">
        <x:f>'Certified Allocation'!N36</x:f>
        <x:v>Current</x:v>
      </x:c>
      <x:c r="I45" s="1021" t="str">
        <x:f>IFERROR(INDEX('11 Conviction'!$H$5:$H$51,MATCH($B45,'11 Conviction'!$B$5:$B$51,0)),"Unassigned")</x:f>
        <x:v>Unassigned</x:v>
      </x:c>
      <x:c r="J45" s="1021" t="str">
        <x:f>IFERROR(INDEX('11 Conviction'!$J$5:$J$51,MATCH($B45,'11 Conviction'!$B$5:$B$51,0)),"")</x:f>
      </x:c>
      <x:c r="K45" s="1023"/>
      <x:c r="L45" s="1023"/>
      <x:c r="M45" s="1018"/>
      <x:c r="N45" s="1018"/>
      <x:c r="O45" s="1018"/>
      <x:c r="P45" s="1024" t="str">
        <x:f>IF($O45="","",IF($O45="Quarterly — 90 Days",90,IF($O45="Semiannual — 180 Days",180,IF($O45="Annual — 365 Days",365,IF($O45="Event-Driven",0,"")))))</x:f>
      </x:c>
      <x:c r="Q45" s="1025"/>
      <x:c r="R45" s="1025"/>
      <x:c r="S45" s="1026" t="str">
        <x:f>IF(COUNTA($Q45:$R45)=0,"",MAX($Q45:$R45))</x:f>
      </x:c>
      <x:c r="T45" s="1026" t="str">
        <x:f>IF(OR($S45="",$P45="",$P45=0),"",$S45+$P45)</x:f>
      </x:c>
      <x:c r="U45" s="1024" t="n">
        <x:f>COUNTIF('21 RCC-003 MIAR Review Log'!$C$14:$C$213,$B45)</x:f>
        <x:v>0</x:v>
      </x:c>
      <x:c r="V45" s="1024" t="n">
        <x:f>COUNTIF('18 RCC-002 Evidence Ledger'!$E$14:$E$213,$B45)</x:f>
        <x:v>0</x:v>
      </x:c>
      <x:c r="W45" s="1024" t="n">
        <x:f>COUNTIFS('18 RCC-002 Evidence Ledger'!$E$14:$E$213,$B45,'18 RCC-002 Evidence Ledger'!$T$14:$T$213,"&lt;&gt;Closed — No Action",'18 RCC-002 Evidence Ledger'!$T$14:$T$213,"&lt;&gt;Closed — Incorporated")</x:f>
        <x:v>0</x:v>
      </x:c>
      <x:c r="X45" s="1024" t="n">
        <x:f>COUNTIFS('18 RCC-002 Evidence Ledger'!$E$14:$E$213,$B45,'18 RCC-002 Evidence Ledger'!$V$14:$V$213,"&lt;&gt;None",'18 RCC-002 Evidence Ledger'!$V$14:$V$213,"&lt;&gt;",'18 RCC-002 Evidence Ledger'!$T$14:$T$213,"&lt;&gt;Closed — No Action",'18 RCC-002 Evidence Ledger'!$T$14:$T$213,"&lt;&gt;Closed — Incorporated")</x:f>
        <x:v>0</x:v>
      </x:c>
      <x:c r="Y45" s="1024" t="n">
        <x:f>COUNTIFS('18 RCC-002 Evidence Ledger'!$E$14:$E$213,$B45,'18 RCC-002 Evidence Ledger'!$V$14:$V$213,"Material Event Review",'18 RCC-002 Evidence Ledger'!$T$14:$T$213,"&lt;&gt;Closed — No Action",'18 RCC-002 Evidence Ledger'!$T$14:$T$213,"&lt;&gt;Closed — Incorporated")</x:f>
        <x:v>0</x:v>
      </x:c>
      <x:c r="Z45" s="962" t="str">
        <x:f>IF($B45="","",IF($Y45&gt;0,"MATERIAL EVENT REVIEW",IF(OR($A45="",$M45="",$N45="",$O45="",$S45=""),"NOT INITIALIZED",IF(OR($M45="Suspended",$M45="Archived"),"INACTIVE",IF($O45="Event-Driven","CURRENT",IF($T45&lt;TODAY(),"OVERDUE",IF($T45-TODAY()&lt;=30,"REVIEW DUE",IF($T45-TODAY()&lt;=60,"UPDATE DUE","CURRENT"))))))))</x:f>
        <x:v>NOT INITIALIZED</x:v>
      </x:c>
      <x:c r="AA45" s="962" t="str">
        <x:f>IF($B45="","",IF(OR($A45="",$K45="",$L45="",$M45="",$N45="",$O45="",$Q45=""),"INCOMPLETE",IF(COUNTIF($A$14:$A$60,$A45)&gt;1,"DUPLICATE MIAR ID","COMPLETE")))</x:f>
        <x:v>INCOMPLETE</x:v>
      </x:c>
      <x:c r="AB45" s="962" t="str">
        <x:f>IF($B45="","",IF($AA45&lt;&gt;"COMPLETE",$AA45,IF($Y45&gt;0,"MATERIAL EVENT REVIEW",IF($Z45="OVERDUE","OVERDUE",IF($Z45="REVIEW DUE","REVIEW DUE",IF($X45&gt;0,"MIAR ACTION PENDING",IF(OR($I45="Unassigned",$J45=""),"THESIS / CONVICTION SETUP",IF($M45="Draft","DRAFT — NOT CERTIFIED",IF(AND($M45="Active",OR($AE45="",$AF45="")),"CERTIFICATION REQUIRED","CONTROL CLEAR")))))))))</x:f>
        <x:v>INCOMPLETE</x:v>
      </x:c>
      <x:c r="AC45" s="962" t="str">
        <x:f>IF($B45="","",IFERROR(INDEX('97 RCC Lists'!$Y$5:$Y$14,MATCH($AB45,'97 RCC Lists'!$W$5:$W$14,0)),"Review exception"))</x:f>
        <x:v>Complete MIAR setup</x:v>
      </x:c>
      <x:c r="AD45" s="962" t="str">
        <x:f>IF($B45="","",IF(OR($AB45="MATERIAL EVENT REVIEW",$AB45="MIAR ACTION PENDING",$AB45="THESIS / CONVICTION SETUP"),"REFER TO RCC-007",IF($AB45="CONTROL CLEAR","NO REFERRAL","HOLD PENDING MIAR UPDATE")))</x:f>
        <x:v>HOLD PENDING MIAR UPDATE</x:v>
      </x:c>
      <x:c r="AE45" s="1018"/>
      <x:c r="AF45" s="1025"/>
      <x:c r="AG45" s="1018"/>
    </x:row>
    <x:row r="46" ht="30" customHeight="1">
      <x:c r="A46" s="1018"/>
      <x:c r="B46" s="1021" t="str">
        <x:f>'Certified Allocation'!B37</x:f>
        <x:v>CME</x:v>
      </x:c>
      <x:c r="C46" s="1021" t="str">
        <x:f>'Certified Allocation'!C37</x:f>
        <x:v>CME Group Inc.</x:v>
      </x:c>
      <x:c r="D46" s="1021" t="str">
        <x:f>'Certified Allocation'!A37</x:f>
        <x:v>Financial Infrastructure</x:v>
      </x:c>
      <x:c r="E46" s="1021" t="str">
        <x:f>'Certified Allocation'!D37</x:f>
        <x:v>Equity</x:v>
      </x:c>
      <x:c r="F46" s="1021" t="str">
        <x:f>'Certified Allocation'!E37</x:f>
        <x:v>Market infrastructure and derivatives exchange</x:v>
      </x:c>
      <x:c r="G46" s="1022" t="n">
        <x:f>'Certified Allocation'!F37</x:f>
        <x:v>0.0302</x:v>
      </x:c>
      <x:c r="H46" s="1021" t="str">
        <x:f>'Certified Allocation'!N37</x:f>
        <x:v>Current</x:v>
      </x:c>
      <x:c r="I46" s="1021" t="str">
        <x:f>IFERROR(INDEX('11 Conviction'!$H$5:$H$51,MATCH($B46,'11 Conviction'!$B$5:$B$51,0)),"Unassigned")</x:f>
        <x:v>Unassigned</x:v>
      </x:c>
      <x:c r="J46" s="1021" t="str">
        <x:f>IFERROR(INDEX('11 Conviction'!$J$5:$J$51,MATCH($B46,'11 Conviction'!$B$5:$B$51,0)),"")</x:f>
      </x:c>
      <x:c r="K46" s="1023"/>
      <x:c r="L46" s="1023"/>
      <x:c r="M46" s="1018"/>
      <x:c r="N46" s="1018"/>
      <x:c r="O46" s="1018"/>
      <x:c r="P46" s="1024" t="str">
        <x:f>IF($O46="","",IF($O46="Quarterly — 90 Days",90,IF($O46="Semiannual — 180 Days",180,IF($O46="Annual — 365 Days",365,IF($O46="Event-Driven",0,"")))))</x:f>
      </x:c>
      <x:c r="Q46" s="1025"/>
      <x:c r="R46" s="1025"/>
      <x:c r="S46" s="1026" t="str">
        <x:f>IF(COUNTA($Q46:$R46)=0,"",MAX($Q46:$R46))</x:f>
      </x:c>
      <x:c r="T46" s="1026" t="str">
        <x:f>IF(OR($S46="",$P46="",$P46=0),"",$S46+$P46)</x:f>
      </x:c>
      <x:c r="U46" s="1024" t="n">
        <x:f>COUNTIF('21 RCC-003 MIAR Review Log'!$C$14:$C$213,$B46)</x:f>
        <x:v>0</x:v>
      </x:c>
      <x:c r="V46" s="1024" t="n">
        <x:f>COUNTIF('18 RCC-002 Evidence Ledger'!$E$14:$E$213,$B46)</x:f>
        <x:v>0</x:v>
      </x:c>
      <x:c r="W46" s="1024" t="n">
        <x:f>COUNTIFS('18 RCC-002 Evidence Ledger'!$E$14:$E$213,$B46,'18 RCC-002 Evidence Ledger'!$T$14:$T$213,"&lt;&gt;Closed — No Action",'18 RCC-002 Evidence Ledger'!$T$14:$T$213,"&lt;&gt;Closed — Incorporated")</x:f>
        <x:v>0</x:v>
      </x:c>
      <x:c r="X46" s="1024" t="n">
        <x:f>COUNTIFS('18 RCC-002 Evidence Ledger'!$E$14:$E$213,$B46,'18 RCC-002 Evidence Ledger'!$V$14:$V$213,"&lt;&gt;None",'18 RCC-002 Evidence Ledger'!$V$14:$V$213,"&lt;&gt;",'18 RCC-002 Evidence Ledger'!$T$14:$T$213,"&lt;&gt;Closed — No Action",'18 RCC-002 Evidence Ledger'!$T$14:$T$213,"&lt;&gt;Closed — Incorporated")</x:f>
        <x:v>0</x:v>
      </x:c>
      <x:c r="Y46" s="1024" t="n">
        <x:f>COUNTIFS('18 RCC-002 Evidence Ledger'!$E$14:$E$213,$B46,'18 RCC-002 Evidence Ledger'!$V$14:$V$213,"Material Event Review",'18 RCC-002 Evidence Ledger'!$T$14:$T$213,"&lt;&gt;Closed — No Action",'18 RCC-002 Evidence Ledger'!$T$14:$T$213,"&lt;&gt;Closed — Incorporated")</x:f>
        <x:v>0</x:v>
      </x:c>
      <x:c r="Z46" s="962" t="str">
        <x:f>IF($B46="","",IF($Y46&gt;0,"MATERIAL EVENT REVIEW",IF(OR($A46="",$M46="",$N46="",$O46="",$S46=""),"NOT INITIALIZED",IF(OR($M46="Suspended",$M46="Archived"),"INACTIVE",IF($O46="Event-Driven","CURRENT",IF($T46&lt;TODAY(),"OVERDUE",IF($T46-TODAY()&lt;=30,"REVIEW DUE",IF($T46-TODAY()&lt;=60,"UPDATE DUE","CURRENT"))))))))</x:f>
        <x:v>NOT INITIALIZED</x:v>
      </x:c>
      <x:c r="AA46" s="962" t="str">
        <x:f>IF($B46="","",IF(OR($A46="",$K46="",$L46="",$M46="",$N46="",$O46="",$Q46=""),"INCOMPLETE",IF(COUNTIF($A$14:$A$60,$A46)&gt;1,"DUPLICATE MIAR ID","COMPLETE")))</x:f>
        <x:v>INCOMPLETE</x:v>
      </x:c>
      <x:c r="AB46" s="962" t="str">
        <x:f>IF($B46="","",IF($AA46&lt;&gt;"COMPLETE",$AA46,IF($Y46&gt;0,"MATERIAL EVENT REVIEW",IF($Z46="OVERDUE","OVERDUE",IF($Z46="REVIEW DUE","REVIEW DUE",IF($X46&gt;0,"MIAR ACTION PENDING",IF(OR($I46="Unassigned",$J46=""),"THESIS / CONVICTION SETUP",IF($M46="Draft","DRAFT — NOT CERTIFIED",IF(AND($M46="Active",OR($AE46="",$AF46="")),"CERTIFICATION REQUIRED","CONTROL CLEAR")))))))))</x:f>
        <x:v>INCOMPLETE</x:v>
      </x:c>
      <x:c r="AC46" s="962" t="str">
        <x:f>IF($B46="","",IFERROR(INDEX('97 RCC Lists'!$Y$5:$Y$14,MATCH($AB46,'97 RCC Lists'!$W$5:$W$14,0)),"Review exception"))</x:f>
        <x:v>Complete MIAR setup</x:v>
      </x:c>
      <x:c r="AD46" s="962" t="str">
        <x:f>IF($B46="","",IF(OR($AB46="MATERIAL EVENT REVIEW",$AB46="MIAR ACTION PENDING",$AB46="THESIS / CONVICTION SETUP"),"REFER TO RCC-007",IF($AB46="CONTROL CLEAR","NO REFERRAL","HOLD PENDING MIAR UPDATE")))</x:f>
        <x:v>HOLD PENDING MIAR UPDATE</x:v>
      </x:c>
      <x:c r="AE46" s="1018"/>
      <x:c r="AF46" s="1025"/>
      <x:c r="AG46" s="1018"/>
    </x:row>
    <x:row r="47" ht="30" customHeight="1">
      <x:c r="A47" s="1018"/>
      <x:c r="B47" s="1021" t="str">
        <x:f>'Certified Allocation'!B38</x:f>
        <x:v>MMC</x:v>
      </x:c>
      <x:c r="C47" s="1021" t="str">
        <x:f>'Certified Allocation'!C38</x:f>
        <x:v>Marsh &amp; McLennan Companies, Inc.</x:v>
      </x:c>
      <x:c r="D47" s="1021" t="str">
        <x:f>'Certified Allocation'!A38</x:f>
        <x:v>Financial Infrastructure</x:v>
      </x:c>
      <x:c r="E47" s="1021" t="str">
        <x:f>'Certified Allocation'!D38</x:f>
        <x:v>Equity</x:v>
      </x:c>
      <x:c r="F47" s="1021" t="str">
        <x:f>'Certified Allocation'!E38</x:f>
        <x:v>Risk, insurance and advisory infrastructure</x:v>
      </x:c>
      <x:c r="G47" s="1022" t="n">
        <x:f>'Certified Allocation'!F38</x:f>
        <x:v>0.02</x:v>
      </x:c>
      <x:c r="H47" s="1021" t="str">
        <x:f>'Certified Allocation'!N38</x:f>
        <x:v>Current</x:v>
      </x:c>
      <x:c r="I47" s="1021" t="str">
        <x:f>IFERROR(INDEX('11 Conviction'!$H$5:$H$51,MATCH($B47,'11 Conviction'!$B$5:$B$51,0)),"Unassigned")</x:f>
        <x:v>Unassigned</x:v>
      </x:c>
      <x:c r="J47" s="1021" t="str">
        <x:f>IFERROR(INDEX('11 Conviction'!$J$5:$J$51,MATCH($B47,'11 Conviction'!$B$5:$B$51,0)),"")</x:f>
      </x:c>
      <x:c r="K47" s="1023"/>
      <x:c r="L47" s="1023"/>
      <x:c r="M47" s="1018"/>
      <x:c r="N47" s="1018"/>
      <x:c r="O47" s="1018"/>
      <x:c r="P47" s="1024" t="str">
        <x:f>IF($O47="","",IF($O47="Quarterly — 90 Days",90,IF($O47="Semiannual — 180 Days",180,IF($O47="Annual — 365 Days",365,IF($O47="Event-Driven",0,"")))))</x:f>
      </x:c>
      <x:c r="Q47" s="1025"/>
      <x:c r="R47" s="1025"/>
      <x:c r="S47" s="1026" t="str">
        <x:f>IF(COUNTA($Q47:$R47)=0,"",MAX($Q47:$R47))</x:f>
      </x:c>
      <x:c r="T47" s="1026" t="str">
        <x:f>IF(OR($S47="",$P47="",$P47=0),"",$S47+$P47)</x:f>
      </x:c>
      <x:c r="U47" s="1024" t="n">
        <x:f>COUNTIF('21 RCC-003 MIAR Review Log'!$C$14:$C$213,$B47)</x:f>
        <x:v>0</x:v>
      </x:c>
      <x:c r="V47" s="1024" t="n">
        <x:f>COUNTIF('18 RCC-002 Evidence Ledger'!$E$14:$E$213,$B47)</x:f>
        <x:v>0</x:v>
      </x:c>
      <x:c r="W47" s="1024" t="n">
        <x:f>COUNTIFS('18 RCC-002 Evidence Ledger'!$E$14:$E$213,$B47,'18 RCC-002 Evidence Ledger'!$T$14:$T$213,"&lt;&gt;Closed — No Action",'18 RCC-002 Evidence Ledger'!$T$14:$T$213,"&lt;&gt;Closed — Incorporated")</x:f>
        <x:v>0</x:v>
      </x:c>
      <x:c r="X47" s="1024" t="n">
        <x:f>COUNTIFS('18 RCC-002 Evidence Ledger'!$E$14:$E$213,$B47,'18 RCC-002 Evidence Ledger'!$V$14:$V$213,"&lt;&gt;None",'18 RCC-002 Evidence Ledger'!$V$14:$V$213,"&lt;&gt;",'18 RCC-002 Evidence Ledger'!$T$14:$T$213,"&lt;&gt;Closed — No Action",'18 RCC-002 Evidence Ledger'!$T$14:$T$213,"&lt;&gt;Closed — Incorporated")</x:f>
        <x:v>0</x:v>
      </x:c>
      <x:c r="Y47" s="1024" t="n">
        <x:f>COUNTIFS('18 RCC-002 Evidence Ledger'!$E$14:$E$213,$B47,'18 RCC-002 Evidence Ledger'!$V$14:$V$213,"Material Event Review",'18 RCC-002 Evidence Ledger'!$T$14:$T$213,"&lt;&gt;Closed — No Action",'18 RCC-002 Evidence Ledger'!$T$14:$T$213,"&lt;&gt;Closed — Incorporated")</x:f>
        <x:v>0</x:v>
      </x:c>
      <x:c r="Z47" s="962" t="str">
        <x:f>IF($B47="","",IF($Y47&gt;0,"MATERIAL EVENT REVIEW",IF(OR($A47="",$M47="",$N47="",$O47="",$S47=""),"NOT INITIALIZED",IF(OR($M47="Suspended",$M47="Archived"),"INACTIVE",IF($O47="Event-Driven","CURRENT",IF($T47&lt;TODAY(),"OVERDUE",IF($T47-TODAY()&lt;=30,"REVIEW DUE",IF($T47-TODAY()&lt;=60,"UPDATE DUE","CURRENT"))))))))</x:f>
        <x:v>NOT INITIALIZED</x:v>
      </x:c>
      <x:c r="AA47" s="962" t="str">
        <x:f>IF($B47="","",IF(OR($A47="",$K47="",$L47="",$M47="",$N47="",$O47="",$Q47=""),"INCOMPLETE",IF(COUNTIF($A$14:$A$60,$A47)&gt;1,"DUPLICATE MIAR ID","COMPLETE")))</x:f>
        <x:v>INCOMPLETE</x:v>
      </x:c>
      <x:c r="AB47" s="962" t="str">
        <x:f>IF($B47="","",IF($AA47&lt;&gt;"COMPLETE",$AA47,IF($Y47&gt;0,"MATERIAL EVENT REVIEW",IF($Z47="OVERDUE","OVERDUE",IF($Z47="REVIEW DUE","REVIEW DUE",IF($X47&gt;0,"MIAR ACTION PENDING",IF(OR($I47="Unassigned",$J47=""),"THESIS / CONVICTION SETUP",IF($M47="Draft","DRAFT — NOT CERTIFIED",IF(AND($M47="Active",OR($AE47="",$AF47="")),"CERTIFICATION REQUIRED","CONTROL CLEAR")))))))))</x:f>
        <x:v>INCOMPLETE</x:v>
      </x:c>
      <x:c r="AC47" s="962" t="str">
        <x:f>IF($B47="","",IFERROR(INDEX('97 RCC Lists'!$Y$5:$Y$14,MATCH($AB47,'97 RCC Lists'!$W$5:$W$14,0)),"Review exception"))</x:f>
        <x:v>Complete MIAR setup</x:v>
      </x:c>
      <x:c r="AD47" s="962" t="str">
        <x:f>IF($B47="","",IF(OR($AB47="MATERIAL EVENT REVIEW",$AB47="MIAR ACTION PENDING",$AB47="THESIS / CONVICTION SETUP"),"REFER TO RCC-007",IF($AB47="CONTROL CLEAR","NO REFERRAL","HOLD PENDING MIAR UPDATE")))</x:f>
        <x:v>HOLD PENDING MIAR UPDATE</x:v>
      </x:c>
      <x:c r="AE47" s="1018"/>
      <x:c r="AF47" s="1025"/>
      <x:c r="AG47" s="1018"/>
    </x:row>
    <x:row r="48" ht="30" customHeight="1">
      <x:c r="A48" s="1018"/>
      <x:c r="B48" s="1021" t="str">
        <x:f>'Certified Allocation'!B39</x:f>
        <x:v>GS</x:v>
      </x:c>
      <x:c r="C48" s="1021" t="str">
        <x:f>'Certified Allocation'!C39</x:f>
        <x:v>The Goldman Sachs Group, Inc.</x:v>
      </x:c>
      <x:c r="D48" s="1021" t="str">
        <x:f>'Certified Allocation'!A39</x:f>
        <x:v>Financial Infrastructure</x:v>
      </x:c>
      <x:c r="E48" s="1021" t="str">
        <x:f>'Certified Allocation'!D39</x:f>
        <x:v>Equity</x:v>
      </x:c>
      <x:c r="F48" s="1021" t="str">
        <x:f>'Certified Allocation'!E39</x:f>
        <x:v>Investment banking and capital markets</x:v>
      </x:c>
      <x:c r="G48" s="1022" t="n">
        <x:f>'Certified Allocation'!F39</x:f>
        <x:v>0.0156</x:v>
      </x:c>
      <x:c r="H48" s="1021" t="str">
        <x:f>'Certified Allocation'!N39</x:f>
        <x:v>Current</x:v>
      </x:c>
      <x:c r="I48" s="1021" t="str">
        <x:f>IFERROR(INDEX('11 Conviction'!$H$5:$H$51,MATCH($B48,'11 Conviction'!$B$5:$B$51,0)),"Unassigned")</x:f>
        <x:v>Unassigned</x:v>
      </x:c>
      <x:c r="J48" s="1021" t="str">
        <x:f>IFERROR(INDEX('11 Conviction'!$J$5:$J$51,MATCH($B48,'11 Conviction'!$B$5:$B$51,0)),"")</x:f>
      </x:c>
      <x:c r="K48" s="1023"/>
      <x:c r="L48" s="1023"/>
      <x:c r="M48" s="1018"/>
      <x:c r="N48" s="1018"/>
      <x:c r="O48" s="1018"/>
      <x:c r="P48" s="1024" t="str">
        <x:f>IF($O48="","",IF($O48="Quarterly — 90 Days",90,IF($O48="Semiannual — 180 Days",180,IF($O48="Annual — 365 Days",365,IF($O48="Event-Driven",0,"")))))</x:f>
      </x:c>
      <x:c r="Q48" s="1025"/>
      <x:c r="R48" s="1025"/>
      <x:c r="S48" s="1026" t="str">
        <x:f>IF(COUNTA($Q48:$R48)=0,"",MAX($Q48:$R48))</x:f>
      </x:c>
      <x:c r="T48" s="1026" t="str">
        <x:f>IF(OR($S48="",$P48="",$P48=0),"",$S48+$P48)</x:f>
      </x:c>
      <x:c r="U48" s="1024" t="n">
        <x:f>COUNTIF('21 RCC-003 MIAR Review Log'!$C$14:$C$213,$B48)</x:f>
        <x:v>0</x:v>
      </x:c>
      <x:c r="V48" s="1024" t="n">
        <x:f>COUNTIF('18 RCC-002 Evidence Ledger'!$E$14:$E$213,$B48)</x:f>
        <x:v>0</x:v>
      </x:c>
      <x:c r="W48" s="1024" t="n">
        <x:f>COUNTIFS('18 RCC-002 Evidence Ledger'!$E$14:$E$213,$B48,'18 RCC-002 Evidence Ledger'!$T$14:$T$213,"&lt;&gt;Closed — No Action",'18 RCC-002 Evidence Ledger'!$T$14:$T$213,"&lt;&gt;Closed — Incorporated")</x:f>
        <x:v>0</x:v>
      </x:c>
      <x:c r="X48" s="1024" t="n">
        <x:f>COUNTIFS('18 RCC-002 Evidence Ledger'!$E$14:$E$213,$B48,'18 RCC-002 Evidence Ledger'!$V$14:$V$213,"&lt;&gt;None",'18 RCC-002 Evidence Ledger'!$V$14:$V$213,"&lt;&gt;",'18 RCC-002 Evidence Ledger'!$T$14:$T$213,"&lt;&gt;Closed — No Action",'18 RCC-002 Evidence Ledger'!$T$14:$T$213,"&lt;&gt;Closed — Incorporated")</x:f>
        <x:v>0</x:v>
      </x:c>
      <x:c r="Y48" s="1024" t="n">
        <x:f>COUNTIFS('18 RCC-002 Evidence Ledger'!$E$14:$E$213,$B48,'18 RCC-002 Evidence Ledger'!$V$14:$V$213,"Material Event Review",'18 RCC-002 Evidence Ledger'!$T$14:$T$213,"&lt;&gt;Closed — No Action",'18 RCC-002 Evidence Ledger'!$T$14:$T$213,"&lt;&gt;Closed — Incorporated")</x:f>
        <x:v>0</x:v>
      </x:c>
      <x:c r="Z48" s="962" t="str">
        <x:f>IF($B48="","",IF($Y48&gt;0,"MATERIAL EVENT REVIEW",IF(OR($A48="",$M48="",$N48="",$O48="",$S48=""),"NOT INITIALIZED",IF(OR($M48="Suspended",$M48="Archived"),"INACTIVE",IF($O48="Event-Driven","CURRENT",IF($T48&lt;TODAY(),"OVERDUE",IF($T48-TODAY()&lt;=30,"REVIEW DUE",IF($T48-TODAY()&lt;=60,"UPDATE DUE","CURRENT"))))))))</x:f>
        <x:v>NOT INITIALIZED</x:v>
      </x:c>
      <x:c r="AA48" s="962" t="str">
        <x:f>IF($B48="","",IF(OR($A48="",$K48="",$L48="",$M48="",$N48="",$O48="",$Q48=""),"INCOMPLETE",IF(COUNTIF($A$14:$A$60,$A48)&gt;1,"DUPLICATE MIAR ID","COMPLETE")))</x:f>
        <x:v>INCOMPLETE</x:v>
      </x:c>
      <x:c r="AB48" s="962" t="str">
        <x:f>IF($B48="","",IF($AA48&lt;&gt;"COMPLETE",$AA48,IF($Y48&gt;0,"MATERIAL EVENT REVIEW",IF($Z48="OVERDUE","OVERDUE",IF($Z48="REVIEW DUE","REVIEW DUE",IF($X48&gt;0,"MIAR ACTION PENDING",IF(OR($I48="Unassigned",$J48=""),"THESIS / CONVICTION SETUP",IF($M48="Draft","DRAFT — NOT CERTIFIED",IF(AND($M48="Active",OR($AE48="",$AF48="")),"CERTIFICATION REQUIRED","CONTROL CLEAR")))))))))</x:f>
        <x:v>INCOMPLETE</x:v>
      </x:c>
      <x:c r="AC48" s="962" t="str">
        <x:f>IF($B48="","",IFERROR(INDEX('97 RCC Lists'!$Y$5:$Y$14,MATCH($AB48,'97 RCC Lists'!$W$5:$W$14,0)),"Review exception"))</x:f>
        <x:v>Complete MIAR setup</x:v>
      </x:c>
      <x:c r="AD48" s="962" t="str">
        <x:f>IF($B48="","",IF(OR($AB48="MATERIAL EVENT REVIEW",$AB48="MIAR ACTION PENDING",$AB48="THESIS / CONVICTION SETUP"),"REFER TO RCC-007",IF($AB48="CONTROL CLEAR","NO REFERRAL","HOLD PENDING MIAR UPDATE")))</x:f>
        <x:v>HOLD PENDING MIAR UPDATE</x:v>
      </x:c>
      <x:c r="AE48" s="1018"/>
      <x:c r="AF48" s="1025"/>
      <x:c r="AG48" s="1018"/>
    </x:row>
    <x:row r="49" ht="30" customHeight="1">
      <x:c r="A49" s="1018"/>
      <x:c r="B49" s="1021" t="str">
        <x:f>'Certified Allocation'!B40</x:f>
        <x:v>JPM</x:v>
      </x:c>
      <x:c r="C49" s="1021" t="str">
        <x:f>'Certified Allocation'!C40</x:f>
        <x:v>JPMorgan Chase &amp; Co.</x:v>
      </x:c>
      <x:c r="D49" s="1021" t="str">
        <x:f>'Certified Allocation'!A40</x:f>
        <x:v>Financial Infrastructure</x:v>
      </x:c>
      <x:c r="E49" s="1021" t="str">
        <x:f>'Certified Allocation'!D40</x:f>
        <x:v>Equity</x:v>
      </x:c>
      <x:c r="F49" s="1021" t="str">
        <x:f>'Certified Allocation'!E40</x:f>
        <x:v>Diversified banking and capital markets anchor</x:v>
      </x:c>
      <x:c r="G49" s="1022" t="n">
        <x:f>'Certified Allocation'!F40</x:f>
        <x:v>0.0156</x:v>
      </x:c>
      <x:c r="H49" s="1021" t="str">
        <x:f>'Certified Allocation'!N40</x:f>
        <x:v>Current</x:v>
      </x:c>
      <x:c r="I49" s="1021" t="str">
        <x:f>IFERROR(INDEX('11 Conviction'!$H$5:$H$51,MATCH($B49,'11 Conviction'!$B$5:$B$51,0)),"Unassigned")</x:f>
        <x:v>Unassigned</x:v>
      </x:c>
      <x:c r="J49" s="1021" t="str">
        <x:f>IFERROR(INDEX('11 Conviction'!$J$5:$J$51,MATCH($B49,'11 Conviction'!$B$5:$B$51,0)),"")</x:f>
      </x:c>
      <x:c r="K49" s="1023"/>
      <x:c r="L49" s="1023"/>
      <x:c r="M49" s="1018"/>
      <x:c r="N49" s="1018"/>
      <x:c r="O49" s="1018"/>
      <x:c r="P49" s="1024" t="str">
        <x:f>IF($O49="","",IF($O49="Quarterly — 90 Days",90,IF($O49="Semiannual — 180 Days",180,IF($O49="Annual — 365 Days",365,IF($O49="Event-Driven",0,"")))))</x:f>
      </x:c>
      <x:c r="Q49" s="1025"/>
      <x:c r="R49" s="1025"/>
      <x:c r="S49" s="1026" t="str">
        <x:f>IF(COUNTA($Q49:$R49)=0,"",MAX($Q49:$R49))</x:f>
      </x:c>
      <x:c r="T49" s="1026" t="str">
        <x:f>IF(OR($S49="",$P49="",$P49=0),"",$S49+$P49)</x:f>
      </x:c>
      <x:c r="U49" s="1024" t="n">
        <x:f>COUNTIF('21 RCC-003 MIAR Review Log'!$C$14:$C$213,$B49)</x:f>
        <x:v>0</x:v>
      </x:c>
      <x:c r="V49" s="1024" t="n">
        <x:f>COUNTIF('18 RCC-002 Evidence Ledger'!$E$14:$E$213,$B49)</x:f>
        <x:v>0</x:v>
      </x:c>
      <x:c r="W49" s="1024" t="n">
        <x:f>COUNTIFS('18 RCC-002 Evidence Ledger'!$E$14:$E$213,$B49,'18 RCC-002 Evidence Ledger'!$T$14:$T$213,"&lt;&gt;Closed — No Action",'18 RCC-002 Evidence Ledger'!$T$14:$T$213,"&lt;&gt;Closed — Incorporated")</x:f>
        <x:v>0</x:v>
      </x:c>
      <x:c r="X49" s="1024" t="n">
        <x:f>COUNTIFS('18 RCC-002 Evidence Ledger'!$E$14:$E$213,$B49,'18 RCC-002 Evidence Ledger'!$V$14:$V$213,"&lt;&gt;None",'18 RCC-002 Evidence Ledger'!$V$14:$V$213,"&lt;&gt;",'18 RCC-002 Evidence Ledger'!$T$14:$T$213,"&lt;&gt;Closed — No Action",'18 RCC-002 Evidence Ledger'!$T$14:$T$213,"&lt;&gt;Closed — Incorporated")</x:f>
        <x:v>0</x:v>
      </x:c>
      <x:c r="Y49" s="1024" t="n">
        <x:f>COUNTIFS('18 RCC-002 Evidence Ledger'!$E$14:$E$213,$B49,'18 RCC-002 Evidence Ledger'!$V$14:$V$213,"Material Event Review",'18 RCC-002 Evidence Ledger'!$T$14:$T$213,"&lt;&gt;Closed — No Action",'18 RCC-002 Evidence Ledger'!$T$14:$T$213,"&lt;&gt;Closed — Incorporated")</x:f>
        <x:v>0</x:v>
      </x:c>
      <x:c r="Z49" s="962" t="str">
        <x:f>IF($B49="","",IF($Y49&gt;0,"MATERIAL EVENT REVIEW",IF(OR($A49="",$M49="",$N49="",$O49="",$S49=""),"NOT INITIALIZED",IF(OR($M49="Suspended",$M49="Archived"),"INACTIVE",IF($O49="Event-Driven","CURRENT",IF($T49&lt;TODAY(),"OVERDUE",IF($T49-TODAY()&lt;=30,"REVIEW DUE",IF($T49-TODAY()&lt;=60,"UPDATE DUE","CURRENT"))))))))</x:f>
        <x:v>NOT INITIALIZED</x:v>
      </x:c>
      <x:c r="AA49" s="962" t="str">
        <x:f>IF($B49="","",IF(OR($A49="",$K49="",$L49="",$M49="",$N49="",$O49="",$Q49=""),"INCOMPLETE",IF(COUNTIF($A$14:$A$60,$A49)&gt;1,"DUPLICATE MIAR ID","COMPLETE")))</x:f>
        <x:v>INCOMPLETE</x:v>
      </x:c>
      <x:c r="AB49" s="962" t="str">
        <x:f>IF($B49="","",IF($AA49&lt;&gt;"COMPLETE",$AA49,IF($Y49&gt;0,"MATERIAL EVENT REVIEW",IF($Z49="OVERDUE","OVERDUE",IF($Z49="REVIEW DUE","REVIEW DUE",IF($X49&gt;0,"MIAR ACTION PENDING",IF(OR($I49="Unassigned",$J49=""),"THESIS / CONVICTION SETUP",IF($M49="Draft","DRAFT — NOT CERTIFIED",IF(AND($M49="Active",OR($AE49="",$AF49="")),"CERTIFICATION REQUIRED","CONTROL CLEAR")))))))))</x:f>
        <x:v>INCOMPLETE</x:v>
      </x:c>
      <x:c r="AC49" s="962" t="str">
        <x:f>IF($B49="","",IFERROR(INDEX('97 RCC Lists'!$Y$5:$Y$14,MATCH($AB49,'97 RCC Lists'!$W$5:$W$14,0)),"Review exception"))</x:f>
        <x:v>Complete MIAR setup</x:v>
      </x:c>
      <x:c r="AD49" s="962" t="str">
        <x:f>IF($B49="","",IF(OR($AB49="MATERIAL EVENT REVIEW",$AB49="MIAR ACTION PENDING",$AB49="THESIS / CONVICTION SETUP"),"REFER TO RCC-007",IF($AB49="CONTROL CLEAR","NO REFERRAL","HOLD PENDING MIAR UPDATE")))</x:f>
        <x:v>HOLD PENDING MIAR UPDATE</x:v>
      </x:c>
      <x:c r="AE49" s="1018"/>
      <x:c r="AF49" s="1025"/>
      <x:c r="AG49" s="1018"/>
    </x:row>
    <x:row r="50" ht="30" customHeight="1">
      <x:c r="A50" s="1018"/>
      <x:c r="B50" s="1021" t="str">
        <x:f>'Certified Allocation'!B41</x:f>
        <x:v>VFH</x:v>
      </x:c>
      <x:c r="C50" s="1021" t="str">
        <x:f>'Certified Allocation'!C41</x:f>
        <x:v>Vanguard Financials ETF</x:v>
      </x:c>
      <x:c r="D50" s="1021" t="str">
        <x:f>'Certified Allocation'!A41</x:f>
        <x:v>Financial Infrastructure</x:v>
      </x:c>
      <x:c r="E50" s="1021" t="str">
        <x:f>'Certified Allocation'!D41</x:f>
        <x:v>ETF</x:v>
      </x:c>
      <x:c r="F50" s="1021" t="str">
        <x:f>'Certified Allocation'!E41</x:f>
        <x:v>Diversified financial-sector implementation ETF</x:v>
      </x:c>
      <x:c r="G50" s="1022" t="n">
        <x:f>'Certified Allocation'!F41</x:f>
        <x:v>0.0156</x:v>
      </x:c>
      <x:c r="H50" s="1021" t="str">
        <x:f>'Certified Allocation'!N41</x:f>
        <x:v>Current</x:v>
      </x:c>
      <x:c r="I50" s="1021" t="str">
        <x:f>IFERROR(INDEX('11 Conviction'!$H$5:$H$51,MATCH($B50,'11 Conviction'!$B$5:$B$51,0)),"Unassigned")</x:f>
        <x:v>Unassigned</x:v>
      </x:c>
      <x:c r="J50" s="1021" t="str">
        <x:f>IFERROR(INDEX('11 Conviction'!$J$5:$J$51,MATCH($B50,'11 Conviction'!$B$5:$B$51,0)),"")</x:f>
      </x:c>
      <x:c r="K50" s="1023"/>
      <x:c r="L50" s="1023"/>
      <x:c r="M50" s="1018"/>
      <x:c r="N50" s="1018"/>
      <x:c r="O50" s="1018"/>
      <x:c r="P50" s="1024" t="str">
        <x:f>IF($O50="","",IF($O50="Quarterly — 90 Days",90,IF($O50="Semiannual — 180 Days",180,IF($O50="Annual — 365 Days",365,IF($O50="Event-Driven",0,"")))))</x:f>
      </x:c>
      <x:c r="Q50" s="1025"/>
      <x:c r="R50" s="1025"/>
      <x:c r="S50" s="1026" t="str">
        <x:f>IF(COUNTA($Q50:$R50)=0,"",MAX($Q50:$R50))</x:f>
      </x:c>
      <x:c r="T50" s="1026" t="str">
        <x:f>IF(OR($S50="",$P50="",$P50=0),"",$S50+$P50)</x:f>
      </x:c>
      <x:c r="U50" s="1024" t="n">
        <x:f>COUNTIF('21 RCC-003 MIAR Review Log'!$C$14:$C$213,$B50)</x:f>
        <x:v>0</x:v>
      </x:c>
      <x:c r="V50" s="1024" t="n">
        <x:f>COUNTIF('18 RCC-002 Evidence Ledger'!$E$14:$E$213,$B50)</x:f>
        <x:v>0</x:v>
      </x:c>
      <x:c r="W50" s="1024" t="n">
        <x:f>COUNTIFS('18 RCC-002 Evidence Ledger'!$E$14:$E$213,$B50,'18 RCC-002 Evidence Ledger'!$T$14:$T$213,"&lt;&gt;Closed — No Action",'18 RCC-002 Evidence Ledger'!$T$14:$T$213,"&lt;&gt;Closed — Incorporated")</x:f>
        <x:v>0</x:v>
      </x:c>
      <x:c r="X50" s="1024" t="n">
        <x:f>COUNTIFS('18 RCC-002 Evidence Ledger'!$E$14:$E$213,$B50,'18 RCC-002 Evidence Ledger'!$V$14:$V$213,"&lt;&gt;None",'18 RCC-002 Evidence Ledger'!$V$14:$V$213,"&lt;&gt;",'18 RCC-002 Evidence Ledger'!$T$14:$T$213,"&lt;&gt;Closed — No Action",'18 RCC-002 Evidence Ledger'!$T$14:$T$213,"&lt;&gt;Closed — Incorporated")</x:f>
        <x:v>0</x:v>
      </x:c>
      <x:c r="Y50" s="1024" t="n">
        <x:f>COUNTIFS('18 RCC-002 Evidence Ledger'!$E$14:$E$213,$B50,'18 RCC-002 Evidence Ledger'!$V$14:$V$213,"Material Event Review",'18 RCC-002 Evidence Ledger'!$T$14:$T$213,"&lt;&gt;Closed — No Action",'18 RCC-002 Evidence Ledger'!$T$14:$T$213,"&lt;&gt;Closed — Incorporated")</x:f>
        <x:v>0</x:v>
      </x:c>
      <x:c r="Z50" s="962" t="str">
        <x:f>IF($B50="","",IF($Y50&gt;0,"MATERIAL EVENT REVIEW",IF(OR($A50="",$M50="",$N50="",$O50="",$S50=""),"NOT INITIALIZED",IF(OR($M50="Suspended",$M50="Archived"),"INACTIVE",IF($O50="Event-Driven","CURRENT",IF($T50&lt;TODAY(),"OVERDUE",IF($T50-TODAY()&lt;=30,"REVIEW DUE",IF($T50-TODAY()&lt;=60,"UPDATE DUE","CURRENT"))))))))</x:f>
        <x:v>NOT INITIALIZED</x:v>
      </x:c>
      <x:c r="AA50" s="962" t="str">
        <x:f>IF($B50="","",IF(OR($A50="",$K50="",$L50="",$M50="",$N50="",$O50="",$Q50=""),"INCOMPLETE",IF(COUNTIF($A$14:$A$60,$A50)&gt;1,"DUPLICATE MIAR ID","COMPLETE")))</x:f>
        <x:v>INCOMPLETE</x:v>
      </x:c>
      <x:c r="AB50" s="962" t="str">
        <x:f>IF($B50="","",IF($AA50&lt;&gt;"COMPLETE",$AA50,IF($Y50&gt;0,"MATERIAL EVENT REVIEW",IF($Z50="OVERDUE","OVERDUE",IF($Z50="REVIEW DUE","REVIEW DUE",IF($X50&gt;0,"MIAR ACTION PENDING",IF(OR($I50="Unassigned",$J50=""),"THESIS / CONVICTION SETUP",IF($M50="Draft","DRAFT — NOT CERTIFIED",IF(AND($M50="Active",OR($AE50="",$AF50="")),"CERTIFICATION REQUIRED","CONTROL CLEAR")))))))))</x:f>
        <x:v>INCOMPLETE</x:v>
      </x:c>
      <x:c r="AC50" s="962" t="str">
        <x:f>IF($B50="","",IFERROR(INDEX('97 RCC Lists'!$Y$5:$Y$14,MATCH($AB50,'97 RCC Lists'!$W$5:$W$14,0)),"Review exception"))</x:f>
        <x:v>Complete MIAR setup</x:v>
      </x:c>
      <x:c r="AD50" s="962" t="str">
        <x:f>IF($B50="","",IF(OR($AB50="MATERIAL EVENT REVIEW",$AB50="MIAR ACTION PENDING",$AB50="THESIS / CONVICTION SETUP"),"REFER TO RCC-007",IF($AB50="CONTROL CLEAR","NO REFERRAL","HOLD PENDING MIAR UPDATE")))</x:f>
        <x:v>HOLD PENDING MIAR UPDATE</x:v>
      </x:c>
      <x:c r="AE50" s="1018"/>
      <x:c r="AF50" s="1025"/>
      <x:c r="AG50" s="1018"/>
    </x:row>
    <x:row r="51" ht="30" customHeight="1">
      <x:c r="A51" s="1018"/>
      <x:c r="B51" s="1021" t="str">
        <x:f>'Certified Allocation'!B42</x:f>
        <x:v>VHT</x:v>
      </x:c>
      <x:c r="C51" s="1021" t="str">
        <x:f>'Certified Allocation'!C42</x:f>
        <x:v>Vanguard Health Care ETF</x:v>
      </x:c>
      <x:c r="D51" s="1021" t="str">
        <x:f>'Certified Allocation'!A42</x:f>
        <x:v>Healthcare Leadership</x:v>
      </x:c>
      <x:c r="E51" s="1021" t="str">
        <x:f>'Certified Allocation'!D42</x:f>
        <x:v>ETF</x:v>
      </x:c>
      <x:c r="F51" s="1021" t="str">
        <x:f>'Certified Allocation'!E42</x:f>
        <x:v>Diversified healthcare implementation ETF</x:v>
      </x:c>
      <x:c r="G51" s="1022" t="n">
        <x:f>'Certified Allocation'!F42</x:f>
        <x:v>0.0206</x:v>
      </x:c>
      <x:c r="H51" s="1021" t="str">
        <x:f>'Certified Allocation'!N42</x:f>
        <x:v>Current</x:v>
      </x:c>
      <x:c r="I51" s="1021" t="str">
        <x:f>IFERROR(INDEX('11 Conviction'!$H$5:$H$51,MATCH($B51,'11 Conviction'!$B$5:$B$51,0)),"Unassigned")</x:f>
        <x:v>Unassigned</x:v>
      </x:c>
      <x:c r="J51" s="1021" t="str">
        <x:f>IFERROR(INDEX('11 Conviction'!$J$5:$J$51,MATCH($B51,'11 Conviction'!$B$5:$B$51,0)),"")</x:f>
      </x:c>
      <x:c r="K51" s="1023"/>
      <x:c r="L51" s="1023"/>
      <x:c r="M51" s="1018"/>
      <x:c r="N51" s="1018"/>
      <x:c r="O51" s="1018"/>
      <x:c r="P51" s="1024" t="str">
        <x:f>IF($O51="","",IF($O51="Quarterly — 90 Days",90,IF($O51="Semiannual — 180 Days",180,IF($O51="Annual — 365 Days",365,IF($O51="Event-Driven",0,"")))))</x:f>
      </x:c>
      <x:c r="Q51" s="1025"/>
      <x:c r="R51" s="1025"/>
      <x:c r="S51" s="1026" t="str">
        <x:f>IF(COUNTA($Q51:$R51)=0,"",MAX($Q51:$R51))</x:f>
      </x:c>
      <x:c r="T51" s="1026" t="str">
        <x:f>IF(OR($S51="",$P51="",$P51=0),"",$S51+$P51)</x:f>
      </x:c>
      <x:c r="U51" s="1024" t="n">
        <x:f>COUNTIF('21 RCC-003 MIAR Review Log'!$C$14:$C$213,$B51)</x:f>
        <x:v>0</x:v>
      </x:c>
      <x:c r="V51" s="1024" t="n">
        <x:f>COUNTIF('18 RCC-002 Evidence Ledger'!$E$14:$E$213,$B51)</x:f>
        <x:v>0</x:v>
      </x:c>
      <x:c r="W51" s="1024" t="n">
        <x:f>COUNTIFS('18 RCC-002 Evidence Ledger'!$E$14:$E$213,$B51,'18 RCC-002 Evidence Ledger'!$T$14:$T$213,"&lt;&gt;Closed — No Action",'18 RCC-002 Evidence Ledger'!$T$14:$T$213,"&lt;&gt;Closed — Incorporated")</x:f>
        <x:v>0</x:v>
      </x:c>
      <x:c r="X51" s="1024" t="n">
        <x:f>COUNTIFS('18 RCC-002 Evidence Ledger'!$E$14:$E$213,$B51,'18 RCC-002 Evidence Ledger'!$V$14:$V$213,"&lt;&gt;None",'18 RCC-002 Evidence Ledger'!$V$14:$V$213,"&lt;&gt;",'18 RCC-002 Evidence Ledger'!$T$14:$T$213,"&lt;&gt;Closed — No Action",'18 RCC-002 Evidence Ledger'!$T$14:$T$213,"&lt;&gt;Closed — Incorporated")</x:f>
        <x:v>0</x:v>
      </x:c>
      <x:c r="Y51" s="1024" t="n">
        <x:f>COUNTIFS('18 RCC-002 Evidence Ledger'!$E$14:$E$213,$B51,'18 RCC-002 Evidence Ledger'!$V$14:$V$213,"Material Event Review",'18 RCC-002 Evidence Ledger'!$T$14:$T$213,"&lt;&gt;Closed — No Action",'18 RCC-002 Evidence Ledger'!$T$14:$T$213,"&lt;&gt;Closed — Incorporated")</x:f>
        <x:v>0</x:v>
      </x:c>
      <x:c r="Z51" s="962" t="str">
        <x:f>IF($B51="","",IF($Y51&gt;0,"MATERIAL EVENT REVIEW",IF(OR($A51="",$M51="",$N51="",$O51="",$S51=""),"NOT INITIALIZED",IF(OR($M51="Suspended",$M51="Archived"),"INACTIVE",IF($O51="Event-Driven","CURRENT",IF($T51&lt;TODAY(),"OVERDUE",IF($T51-TODAY()&lt;=30,"REVIEW DUE",IF($T51-TODAY()&lt;=60,"UPDATE DUE","CURRENT"))))))))</x:f>
        <x:v>NOT INITIALIZED</x:v>
      </x:c>
      <x:c r="AA51" s="962" t="str">
        <x:f>IF($B51="","",IF(OR($A51="",$K51="",$L51="",$M51="",$N51="",$O51="",$Q51=""),"INCOMPLETE",IF(COUNTIF($A$14:$A$60,$A51)&gt;1,"DUPLICATE MIAR ID","COMPLETE")))</x:f>
        <x:v>INCOMPLETE</x:v>
      </x:c>
      <x:c r="AB51" s="962" t="str">
        <x:f>IF($B51="","",IF($AA51&lt;&gt;"COMPLETE",$AA51,IF($Y51&gt;0,"MATERIAL EVENT REVIEW",IF($Z51="OVERDUE","OVERDUE",IF($Z51="REVIEW DUE","REVIEW DUE",IF($X51&gt;0,"MIAR ACTION PENDING",IF(OR($I51="Unassigned",$J51=""),"THESIS / CONVICTION SETUP",IF($M51="Draft","DRAFT — NOT CERTIFIED",IF(AND($M51="Active",OR($AE51="",$AF51="")),"CERTIFICATION REQUIRED","CONTROL CLEAR")))))))))</x:f>
        <x:v>INCOMPLETE</x:v>
      </x:c>
      <x:c r="AC51" s="962" t="str">
        <x:f>IF($B51="","",IFERROR(INDEX('97 RCC Lists'!$Y$5:$Y$14,MATCH($AB51,'97 RCC Lists'!$W$5:$W$14,0)),"Review exception"))</x:f>
        <x:v>Complete MIAR setup</x:v>
      </x:c>
      <x:c r="AD51" s="962" t="str">
        <x:f>IF($B51="","",IF(OR($AB51="MATERIAL EVENT REVIEW",$AB51="MIAR ACTION PENDING",$AB51="THESIS / CONVICTION SETUP"),"REFER TO RCC-007",IF($AB51="CONTROL CLEAR","NO REFERRAL","HOLD PENDING MIAR UPDATE")))</x:f>
        <x:v>HOLD PENDING MIAR UPDATE</x:v>
      </x:c>
      <x:c r="AE51" s="1018"/>
      <x:c r="AF51" s="1025"/>
      <x:c r="AG51" s="1018"/>
    </x:row>
    <x:row r="52" ht="30" customHeight="1">
      <x:c r="A52" s="1018"/>
      <x:c r="B52" s="1021" t="str">
        <x:f>'Certified Allocation'!B43</x:f>
        <x:v>SYK</x:v>
      </x:c>
      <x:c r="C52" s="1021" t="str">
        <x:f>'Certified Allocation'!C43</x:f>
        <x:v>Stryker Corporation</x:v>
      </x:c>
      <x:c r="D52" s="1021" t="str">
        <x:f>'Certified Allocation'!A43</x:f>
        <x:v>Healthcare Leadership</x:v>
      </x:c>
      <x:c r="E52" s="1021" t="str">
        <x:f>'Certified Allocation'!D43</x:f>
        <x:v>Equity</x:v>
      </x:c>
      <x:c r="F52" s="1021" t="str">
        <x:f>'Certified Allocation'!E43</x:f>
        <x:v>Medical technology leader</x:v>
      </x:c>
      <x:c r="G52" s="1022" t="n">
        <x:f>'Certified Allocation'!F43</x:f>
        <x:v>0.0155</x:v>
      </x:c>
      <x:c r="H52" s="1021" t="str">
        <x:f>'Certified Allocation'!N43</x:f>
        <x:v>Current</x:v>
      </x:c>
      <x:c r="I52" s="1021" t="str">
        <x:f>IFERROR(INDEX('11 Conviction'!$H$5:$H$51,MATCH($B52,'11 Conviction'!$B$5:$B$51,0)),"Unassigned")</x:f>
        <x:v>Unassigned</x:v>
      </x:c>
      <x:c r="J52" s="1021" t="str">
        <x:f>IFERROR(INDEX('11 Conviction'!$J$5:$J$51,MATCH($B52,'11 Conviction'!$B$5:$B$51,0)),"")</x:f>
      </x:c>
      <x:c r="K52" s="1023"/>
      <x:c r="L52" s="1023"/>
      <x:c r="M52" s="1018"/>
      <x:c r="N52" s="1018"/>
      <x:c r="O52" s="1018"/>
      <x:c r="P52" s="1024" t="str">
        <x:f>IF($O52="","",IF($O52="Quarterly — 90 Days",90,IF($O52="Semiannual — 180 Days",180,IF($O52="Annual — 365 Days",365,IF($O52="Event-Driven",0,"")))))</x:f>
      </x:c>
      <x:c r="Q52" s="1025"/>
      <x:c r="R52" s="1025"/>
      <x:c r="S52" s="1026" t="str">
        <x:f>IF(COUNTA($Q52:$R52)=0,"",MAX($Q52:$R52))</x:f>
      </x:c>
      <x:c r="T52" s="1026" t="str">
        <x:f>IF(OR($S52="",$P52="",$P52=0),"",$S52+$P52)</x:f>
      </x:c>
      <x:c r="U52" s="1024" t="n">
        <x:f>COUNTIF('21 RCC-003 MIAR Review Log'!$C$14:$C$213,$B52)</x:f>
        <x:v>0</x:v>
      </x:c>
      <x:c r="V52" s="1024" t="n">
        <x:f>COUNTIF('18 RCC-002 Evidence Ledger'!$E$14:$E$213,$B52)</x:f>
        <x:v>0</x:v>
      </x:c>
      <x:c r="W52" s="1024" t="n">
        <x:f>COUNTIFS('18 RCC-002 Evidence Ledger'!$E$14:$E$213,$B52,'18 RCC-002 Evidence Ledger'!$T$14:$T$213,"&lt;&gt;Closed — No Action",'18 RCC-002 Evidence Ledger'!$T$14:$T$213,"&lt;&gt;Closed — Incorporated")</x:f>
        <x:v>0</x:v>
      </x:c>
      <x:c r="X52" s="1024" t="n">
        <x:f>COUNTIFS('18 RCC-002 Evidence Ledger'!$E$14:$E$213,$B52,'18 RCC-002 Evidence Ledger'!$V$14:$V$213,"&lt;&gt;None",'18 RCC-002 Evidence Ledger'!$V$14:$V$213,"&lt;&gt;",'18 RCC-002 Evidence Ledger'!$T$14:$T$213,"&lt;&gt;Closed — No Action",'18 RCC-002 Evidence Ledger'!$T$14:$T$213,"&lt;&gt;Closed — Incorporated")</x:f>
        <x:v>0</x:v>
      </x:c>
      <x:c r="Y52" s="1024" t="n">
        <x:f>COUNTIFS('18 RCC-002 Evidence Ledger'!$E$14:$E$213,$B52,'18 RCC-002 Evidence Ledger'!$V$14:$V$213,"Material Event Review",'18 RCC-002 Evidence Ledger'!$T$14:$T$213,"&lt;&gt;Closed — No Action",'18 RCC-002 Evidence Ledger'!$T$14:$T$213,"&lt;&gt;Closed — Incorporated")</x:f>
        <x:v>0</x:v>
      </x:c>
      <x:c r="Z52" s="962" t="str">
        <x:f>IF($B52="","",IF($Y52&gt;0,"MATERIAL EVENT REVIEW",IF(OR($A52="",$M52="",$N52="",$O52="",$S52=""),"NOT INITIALIZED",IF(OR($M52="Suspended",$M52="Archived"),"INACTIVE",IF($O52="Event-Driven","CURRENT",IF($T52&lt;TODAY(),"OVERDUE",IF($T52-TODAY()&lt;=30,"REVIEW DUE",IF($T52-TODAY()&lt;=60,"UPDATE DUE","CURRENT"))))))))</x:f>
        <x:v>NOT INITIALIZED</x:v>
      </x:c>
      <x:c r="AA52" s="962" t="str">
        <x:f>IF($B52="","",IF(OR($A52="",$K52="",$L52="",$M52="",$N52="",$O52="",$Q52=""),"INCOMPLETE",IF(COUNTIF($A$14:$A$60,$A52)&gt;1,"DUPLICATE MIAR ID","COMPLETE")))</x:f>
        <x:v>INCOMPLETE</x:v>
      </x:c>
      <x:c r="AB52" s="962" t="str">
        <x:f>IF($B52="","",IF($AA52&lt;&gt;"COMPLETE",$AA52,IF($Y52&gt;0,"MATERIAL EVENT REVIEW",IF($Z52="OVERDUE","OVERDUE",IF($Z52="REVIEW DUE","REVIEW DUE",IF($X52&gt;0,"MIAR ACTION PENDING",IF(OR($I52="Unassigned",$J52=""),"THESIS / CONVICTION SETUP",IF($M52="Draft","DRAFT — NOT CERTIFIED",IF(AND($M52="Active",OR($AE52="",$AF52="")),"CERTIFICATION REQUIRED","CONTROL CLEAR")))))))))</x:f>
        <x:v>INCOMPLETE</x:v>
      </x:c>
      <x:c r="AC52" s="962" t="str">
        <x:f>IF($B52="","",IFERROR(INDEX('97 RCC Lists'!$Y$5:$Y$14,MATCH($AB52,'97 RCC Lists'!$W$5:$W$14,0)),"Review exception"))</x:f>
        <x:v>Complete MIAR setup</x:v>
      </x:c>
      <x:c r="AD52" s="962" t="str">
        <x:f>IF($B52="","",IF(OR($AB52="MATERIAL EVENT REVIEW",$AB52="MIAR ACTION PENDING",$AB52="THESIS / CONVICTION SETUP"),"REFER TO RCC-007",IF($AB52="CONTROL CLEAR","NO REFERRAL","HOLD PENDING MIAR UPDATE")))</x:f>
        <x:v>HOLD PENDING MIAR UPDATE</x:v>
      </x:c>
      <x:c r="AE52" s="1018"/>
      <x:c r="AF52" s="1025"/>
      <x:c r="AG52" s="1018"/>
    </x:row>
    <x:row r="53" ht="30" customHeight="1">
      <x:c r="A53" s="1018"/>
      <x:c r="B53" s="1021" t="str">
        <x:f>'Certified Allocation'!B44</x:f>
        <x:v>LNG</x:v>
      </x:c>
      <x:c r="C53" s="1021" t="str">
        <x:f>'Certified Allocation'!C44</x:f>
        <x:v>Cheniere Energy, Inc.</x:v>
      </x:c>
      <x:c r="D53" s="1021" t="str">
        <x:f>'Certified Allocation'!A44</x:f>
        <x:v>Energy &amp; Natural Resources</x:v>
      </x:c>
      <x:c r="E53" s="1021" t="str">
        <x:f>'Certified Allocation'!D44</x:f>
        <x:v>Equity</x:v>
      </x:c>
      <x:c r="F53" s="1021" t="str">
        <x:f>'Certified Allocation'!E44</x:f>
        <x:v>LNG export infrastructure</x:v>
      </x:c>
      <x:c r="G53" s="1022" t="n">
        <x:f>'Certified Allocation'!F44</x:f>
        <x:v>0.0302</x:v>
      </x:c>
      <x:c r="H53" s="1021" t="str">
        <x:f>'Certified Allocation'!N44</x:f>
        <x:v>Current</x:v>
      </x:c>
      <x:c r="I53" s="1021" t="str">
        <x:f>IFERROR(INDEX('11 Conviction'!$H$5:$H$51,MATCH($B53,'11 Conviction'!$B$5:$B$51,0)),"Unassigned")</x:f>
        <x:v>Unassigned</x:v>
      </x:c>
      <x:c r="J53" s="1021" t="str">
        <x:f>IFERROR(INDEX('11 Conviction'!$J$5:$J$51,MATCH($B53,'11 Conviction'!$B$5:$B$51,0)),"")</x:f>
      </x:c>
      <x:c r="K53" s="1023"/>
      <x:c r="L53" s="1023"/>
      <x:c r="M53" s="1018"/>
      <x:c r="N53" s="1018"/>
      <x:c r="O53" s="1018"/>
      <x:c r="P53" s="1024" t="str">
        <x:f>IF($O53="","",IF($O53="Quarterly — 90 Days",90,IF($O53="Semiannual — 180 Days",180,IF($O53="Annual — 365 Days",365,IF($O53="Event-Driven",0,"")))))</x:f>
      </x:c>
      <x:c r="Q53" s="1025"/>
      <x:c r="R53" s="1025"/>
      <x:c r="S53" s="1026" t="str">
        <x:f>IF(COUNTA($Q53:$R53)=0,"",MAX($Q53:$R53))</x:f>
      </x:c>
      <x:c r="T53" s="1026" t="str">
        <x:f>IF(OR($S53="",$P53="",$P53=0),"",$S53+$P53)</x:f>
      </x:c>
      <x:c r="U53" s="1024" t="n">
        <x:f>COUNTIF('21 RCC-003 MIAR Review Log'!$C$14:$C$213,$B53)</x:f>
        <x:v>0</x:v>
      </x:c>
      <x:c r="V53" s="1024" t="n">
        <x:f>COUNTIF('18 RCC-002 Evidence Ledger'!$E$14:$E$213,$B53)</x:f>
        <x:v>0</x:v>
      </x:c>
      <x:c r="W53" s="1024" t="n">
        <x:f>COUNTIFS('18 RCC-002 Evidence Ledger'!$E$14:$E$213,$B53,'18 RCC-002 Evidence Ledger'!$T$14:$T$213,"&lt;&gt;Closed — No Action",'18 RCC-002 Evidence Ledger'!$T$14:$T$213,"&lt;&gt;Closed — Incorporated")</x:f>
        <x:v>0</x:v>
      </x:c>
      <x:c r="X53" s="1024" t="n">
        <x:f>COUNTIFS('18 RCC-002 Evidence Ledger'!$E$14:$E$213,$B53,'18 RCC-002 Evidence Ledger'!$V$14:$V$213,"&lt;&gt;None",'18 RCC-002 Evidence Ledger'!$V$14:$V$213,"&lt;&gt;",'18 RCC-002 Evidence Ledger'!$T$14:$T$213,"&lt;&gt;Closed — No Action",'18 RCC-002 Evidence Ledger'!$T$14:$T$213,"&lt;&gt;Closed — Incorporated")</x:f>
        <x:v>0</x:v>
      </x:c>
      <x:c r="Y53" s="1024" t="n">
        <x:f>COUNTIFS('18 RCC-002 Evidence Ledger'!$E$14:$E$213,$B53,'18 RCC-002 Evidence Ledger'!$V$14:$V$213,"Material Event Review",'18 RCC-002 Evidence Ledger'!$T$14:$T$213,"&lt;&gt;Closed — No Action",'18 RCC-002 Evidence Ledger'!$T$14:$T$213,"&lt;&gt;Closed — Incorporated")</x:f>
        <x:v>0</x:v>
      </x:c>
      <x:c r="Z53" s="962" t="str">
        <x:f>IF($B53="","",IF($Y53&gt;0,"MATERIAL EVENT REVIEW",IF(OR($A53="",$M53="",$N53="",$O53="",$S53=""),"NOT INITIALIZED",IF(OR($M53="Suspended",$M53="Archived"),"INACTIVE",IF($O53="Event-Driven","CURRENT",IF($T53&lt;TODAY(),"OVERDUE",IF($T53-TODAY()&lt;=30,"REVIEW DUE",IF($T53-TODAY()&lt;=60,"UPDATE DUE","CURRENT"))))))))</x:f>
        <x:v>NOT INITIALIZED</x:v>
      </x:c>
      <x:c r="AA53" s="962" t="str">
        <x:f>IF($B53="","",IF(OR($A53="",$K53="",$L53="",$M53="",$N53="",$O53="",$Q53=""),"INCOMPLETE",IF(COUNTIF($A$14:$A$60,$A53)&gt;1,"DUPLICATE MIAR ID","COMPLETE")))</x:f>
        <x:v>INCOMPLETE</x:v>
      </x:c>
      <x:c r="AB53" s="962" t="str">
        <x:f>IF($B53="","",IF($AA53&lt;&gt;"COMPLETE",$AA53,IF($Y53&gt;0,"MATERIAL EVENT REVIEW",IF($Z53="OVERDUE","OVERDUE",IF($Z53="REVIEW DUE","REVIEW DUE",IF($X53&gt;0,"MIAR ACTION PENDING",IF(OR($I53="Unassigned",$J53=""),"THESIS / CONVICTION SETUP",IF($M53="Draft","DRAFT — NOT CERTIFIED",IF(AND($M53="Active",OR($AE53="",$AF53="")),"CERTIFICATION REQUIRED","CONTROL CLEAR")))))))))</x:f>
        <x:v>INCOMPLETE</x:v>
      </x:c>
      <x:c r="AC53" s="962" t="str">
        <x:f>IF($B53="","",IFERROR(INDEX('97 RCC Lists'!$Y$5:$Y$14,MATCH($AB53,'97 RCC Lists'!$W$5:$W$14,0)),"Review exception"))</x:f>
        <x:v>Complete MIAR setup</x:v>
      </x:c>
      <x:c r="AD53" s="962" t="str">
        <x:f>IF($B53="","",IF(OR($AB53="MATERIAL EVENT REVIEW",$AB53="MIAR ACTION PENDING",$AB53="THESIS / CONVICTION SETUP"),"REFER TO RCC-007",IF($AB53="CONTROL CLEAR","NO REFERRAL","HOLD PENDING MIAR UPDATE")))</x:f>
        <x:v>HOLD PENDING MIAR UPDATE</x:v>
      </x:c>
      <x:c r="AE53" s="1018"/>
      <x:c r="AF53" s="1025"/>
      <x:c r="AG53" s="1018"/>
    </x:row>
    <x:row r="54" ht="30" customHeight="1">
      <x:c r="A54" s="1018"/>
      <x:c r="B54" s="1021" t="str">
        <x:f>'Certified Allocation'!B45</x:f>
        <x:v>VPU</x:v>
      </x:c>
      <x:c r="C54" s="1021" t="str">
        <x:f>'Certified Allocation'!C45</x:f>
        <x:v>Vanguard Utilities ETF</x:v>
      </x:c>
      <x:c r="D54" s="1021" t="str">
        <x:f>'Certified Allocation'!A45</x:f>
        <x:v>Energy &amp; Natural Resources</x:v>
      </x:c>
      <x:c r="E54" s="1021" t="str">
        <x:f>'Certified Allocation'!D45</x:f>
        <x:v>ETF</x:v>
      </x:c>
      <x:c r="F54" s="1021" t="str">
        <x:f>'Certified Allocation'!E45</x:f>
        <x:v>Utilities and defensive infrastructure ETF</x:v>
      </x:c>
      <x:c r="G54" s="1022" t="n">
        <x:f>'Certified Allocation'!F45</x:f>
        <x:v>0.0302</x:v>
      </x:c>
      <x:c r="H54" s="1021" t="str">
        <x:f>'Certified Allocation'!N45</x:f>
        <x:v>Current</x:v>
      </x:c>
      <x:c r="I54" s="1021" t="str">
        <x:f>IFERROR(INDEX('11 Conviction'!$H$5:$H$51,MATCH($B54,'11 Conviction'!$B$5:$B$51,0)),"Unassigned")</x:f>
        <x:v>Unassigned</x:v>
      </x:c>
      <x:c r="J54" s="1021" t="str">
        <x:f>IFERROR(INDEX('11 Conviction'!$J$5:$J$51,MATCH($B54,'11 Conviction'!$B$5:$B$51,0)),"")</x:f>
      </x:c>
      <x:c r="K54" s="1023"/>
      <x:c r="L54" s="1023"/>
      <x:c r="M54" s="1018"/>
      <x:c r="N54" s="1018"/>
      <x:c r="O54" s="1018"/>
      <x:c r="P54" s="1024" t="str">
        <x:f>IF($O54="","",IF($O54="Quarterly — 90 Days",90,IF($O54="Semiannual — 180 Days",180,IF($O54="Annual — 365 Days",365,IF($O54="Event-Driven",0,"")))))</x:f>
      </x:c>
      <x:c r="Q54" s="1025"/>
      <x:c r="R54" s="1025"/>
      <x:c r="S54" s="1026" t="str">
        <x:f>IF(COUNTA($Q54:$R54)=0,"",MAX($Q54:$R54))</x:f>
      </x:c>
      <x:c r="T54" s="1026" t="str">
        <x:f>IF(OR($S54="",$P54="",$P54=0),"",$S54+$P54)</x:f>
      </x:c>
      <x:c r="U54" s="1024" t="n">
        <x:f>COUNTIF('21 RCC-003 MIAR Review Log'!$C$14:$C$213,$B54)</x:f>
        <x:v>0</x:v>
      </x:c>
      <x:c r="V54" s="1024" t="n">
        <x:f>COUNTIF('18 RCC-002 Evidence Ledger'!$E$14:$E$213,$B54)</x:f>
        <x:v>0</x:v>
      </x:c>
      <x:c r="W54" s="1024" t="n">
        <x:f>COUNTIFS('18 RCC-002 Evidence Ledger'!$E$14:$E$213,$B54,'18 RCC-002 Evidence Ledger'!$T$14:$T$213,"&lt;&gt;Closed — No Action",'18 RCC-002 Evidence Ledger'!$T$14:$T$213,"&lt;&gt;Closed — Incorporated")</x:f>
        <x:v>0</x:v>
      </x:c>
      <x:c r="X54" s="1024" t="n">
        <x:f>COUNTIFS('18 RCC-002 Evidence Ledger'!$E$14:$E$213,$B54,'18 RCC-002 Evidence Ledger'!$V$14:$V$213,"&lt;&gt;None",'18 RCC-002 Evidence Ledger'!$V$14:$V$213,"&lt;&gt;",'18 RCC-002 Evidence Ledger'!$T$14:$T$213,"&lt;&gt;Closed — No Action",'18 RCC-002 Evidence Ledger'!$T$14:$T$213,"&lt;&gt;Closed — Incorporated")</x:f>
        <x:v>0</x:v>
      </x:c>
      <x:c r="Y54" s="1024" t="n">
        <x:f>COUNTIFS('18 RCC-002 Evidence Ledger'!$E$14:$E$213,$B54,'18 RCC-002 Evidence Ledger'!$V$14:$V$213,"Material Event Review",'18 RCC-002 Evidence Ledger'!$T$14:$T$213,"&lt;&gt;Closed — No Action",'18 RCC-002 Evidence Ledger'!$T$14:$T$213,"&lt;&gt;Closed — Incorporated")</x:f>
        <x:v>0</x:v>
      </x:c>
      <x:c r="Z54" s="962" t="str">
        <x:f>IF($B54="","",IF($Y54&gt;0,"MATERIAL EVENT REVIEW",IF(OR($A54="",$M54="",$N54="",$O54="",$S54=""),"NOT INITIALIZED",IF(OR($M54="Suspended",$M54="Archived"),"INACTIVE",IF($O54="Event-Driven","CURRENT",IF($T54&lt;TODAY(),"OVERDUE",IF($T54-TODAY()&lt;=30,"REVIEW DUE",IF($T54-TODAY()&lt;=60,"UPDATE DUE","CURRENT"))))))))</x:f>
        <x:v>NOT INITIALIZED</x:v>
      </x:c>
      <x:c r="AA54" s="962" t="str">
        <x:f>IF($B54="","",IF(OR($A54="",$K54="",$L54="",$M54="",$N54="",$O54="",$Q54=""),"INCOMPLETE",IF(COUNTIF($A$14:$A$60,$A54)&gt;1,"DUPLICATE MIAR ID","COMPLETE")))</x:f>
        <x:v>INCOMPLETE</x:v>
      </x:c>
      <x:c r="AB54" s="962" t="str">
        <x:f>IF($B54="","",IF($AA54&lt;&gt;"COMPLETE",$AA54,IF($Y54&gt;0,"MATERIAL EVENT REVIEW",IF($Z54="OVERDUE","OVERDUE",IF($Z54="REVIEW DUE","REVIEW DUE",IF($X54&gt;0,"MIAR ACTION PENDING",IF(OR($I54="Unassigned",$J54=""),"THESIS / CONVICTION SETUP",IF($M54="Draft","DRAFT — NOT CERTIFIED",IF(AND($M54="Active",OR($AE54="",$AF54="")),"CERTIFICATION REQUIRED","CONTROL CLEAR")))))))))</x:f>
        <x:v>INCOMPLETE</x:v>
      </x:c>
      <x:c r="AC54" s="962" t="str">
        <x:f>IF($B54="","",IFERROR(INDEX('97 RCC Lists'!$Y$5:$Y$14,MATCH($AB54,'97 RCC Lists'!$W$5:$W$14,0)),"Review exception"))</x:f>
        <x:v>Complete MIAR setup</x:v>
      </x:c>
      <x:c r="AD54" s="962" t="str">
        <x:f>IF($B54="","",IF(OR($AB54="MATERIAL EVENT REVIEW",$AB54="MIAR ACTION PENDING",$AB54="THESIS / CONVICTION SETUP"),"REFER TO RCC-007",IF($AB54="CONTROL CLEAR","NO REFERRAL","HOLD PENDING MIAR UPDATE")))</x:f>
        <x:v>HOLD PENDING MIAR UPDATE</x:v>
      </x:c>
      <x:c r="AE54" s="1018"/>
      <x:c r="AF54" s="1025"/>
      <x:c r="AG54" s="1018"/>
    </x:row>
    <x:row r="55" ht="30" customHeight="1">
      <x:c r="A55" s="1018"/>
      <x:c r="B55" s="1021" t="str">
        <x:f>'Certified Allocation'!B46</x:f>
        <x:v>XOM</x:v>
      </x:c>
      <x:c r="C55" s="1021" t="str">
        <x:f>'Certified Allocation'!C46</x:f>
        <x:v>Exxon Mobil Corporation</x:v>
      </x:c>
      <x:c r="D55" s="1021" t="str">
        <x:f>'Certified Allocation'!A46</x:f>
        <x:v>Energy &amp; Natural Resources</x:v>
      </x:c>
      <x:c r="E55" s="1021" t="str">
        <x:f>'Certified Allocation'!D46</x:f>
        <x:v>Equity</x:v>
      </x:c>
      <x:c r="F55" s="1021" t="str">
        <x:f>'Certified Allocation'!E46</x:f>
        <x:v>Integrated energy leader</x:v>
      </x:c>
      <x:c r="G55" s="1022" t="n">
        <x:f>'Certified Allocation'!F46</x:f>
        <x:v>0.0256</x:v>
      </x:c>
      <x:c r="H55" s="1021" t="str">
        <x:f>'Certified Allocation'!N46</x:f>
        <x:v>Current</x:v>
      </x:c>
      <x:c r="I55" s="1021" t="str">
        <x:f>IFERROR(INDEX('11 Conviction'!$H$5:$H$51,MATCH($B55,'11 Conviction'!$B$5:$B$51,0)),"Unassigned")</x:f>
        <x:v>Unassigned</x:v>
      </x:c>
      <x:c r="J55" s="1021" t="str">
        <x:f>IFERROR(INDEX('11 Conviction'!$J$5:$J$51,MATCH($B55,'11 Conviction'!$B$5:$B$51,0)),"")</x:f>
      </x:c>
      <x:c r="K55" s="1023"/>
      <x:c r="L55" s="1023"/>
      <x:c r="M55" s="1018"/>
      <x:c r="N55" s="1018"/>
      <x:c r="O55" s="1018"/>
      <x:c r="P55" s="1024" t="str">
        <x:f>IF($O55="","",IF($O55="Quarterly — 90 Days",90,IF($O55="Semiannual — 180 Days",180,IF($O55="Annual — 365 Days",365,IF($O55="Event-Driven",0,"")))))</x:f>
      </x:c>
      <x:c r="Q55" s="1025"/>
      <x:c r="R55" s="1025"/>
      <x:c r="S55" s="1026" t="str">
        <x:f>IF(COUNTA($Q55:$R55)=0,"",MAX($Q55:$R55))</x:f>
      </x:c>
      <x:c r="T55" s="1026" t="str">
        <x:f>IF(OR($S55="",$P55="",$P55=0),"",$S55+$P55)</x:f>
      </x:c>
      <x:c r="U55" s="1024" t="n">
        <x:f>COUNTIF('21 RCC-003 MIAR Review Log'!$C$14:$C$213,$B55)</x:f>
        <x:v>0</x:v>
      </x:c>
      <x:c r="V55" s="1024" t="n">
        <x:f>COUNTIF('18 RCC-002 Evidence Ledger'!$E$14:$E$213,$B55)</x:f>
        <x:v>0</x:v>
      </x:c>
      <x:c r="W55" s="1024" t="n">
        <x:f>COUNTIFS('18 RCC-002 Evidence Ledger'!$E$14:$E$213,$B55,'18 RCC-002 Evidence Ledger'!$T$14:$T$213,"&lt;&gt;Closed — No Action",'18 RCC-002 Evidence Ledger'!$T$14:$T$213,"&lt;&gt;Closed — Incorporated")</x:f>
        <x:v>0</x:v>
      </x:c>
      <x:c r="X55" s="1024" t="n">
        <x:f>COUNTIFS('18 RCC-002 Evidence Ledger'!$E$14:$E$213,$B55,'18 RCC-002 Evidence Ledger'!$V$14:$V$213,"&lt;&gt;None",'18 RCC-002 Evidence Ledger'!$V$14:$V$213,"&lt;&gt;",'18 RCC-002 Evidence Ledger'!$T$14:$T$213,"&lt;&gt;Closed — No Action",'18 RCC-002 Evidence Ledger'!$T$14:$T$213,"&lt;&gt;Closed — Incorporated")</x:f>
        <x:v>0</x:v>
      </x:c>
      <x:c r="Y55" s="1024" t="n">
        <x:f>COUNTIFS('18 RCC-002 Evidence Ledger'!$E$14:$E$213,$B55,'18 RCC-002 Evidence Ledger'!$V$14:$V$213,"Material Event Review",'18 RCC-002 Evidence Ledger'!$T$14:$T$213,"&lt;&gt;Closed — No Action",'18 RCC-002 Evidence Ledger'!$T$14:$T$213,"&lt;&gt;Closed — Incorporated")</x:f>
        <x:v>0</x:v>
      </x:c>
      <x:c r="Z55" s="962" t="str">
        <x:f>IF($B55="","",IF($Y55&gt;0,"MATERIAL EVENT REVIEW",IF(OR($A55="",$M55="",$N55="",$O55="",$S55=""),"NOT INITIALIZED",IF(OR($M55="Suspended",$M55="Archived"),"INACTIVE",IF($O55="Event-Driven","CURRENT",IF($T55&lt;TODAY(),"OVERDUE",IF($T55-TODAY()&lt;=30,"REVIEW DUE",IF($T55-TODAY()&lt;=60,"UPDATE DUE","CURRENT"))))))))</x:f>
        <x:v>NOT INITIALIZED</x:v>
      </x:c>
      <x:c r="AA55" s="962" t="str">
        <x:f>IF($B55="","",IF(OR($A55="",$K55="",$L55="",$M55="",$N55="",$O55="",$Q55=""),"INCOMPLETE",IF(COUNTIF($A$14:$A$60,$A55)&gt;1,"DUPLICATE MIAR ID","COMPLETE")))</x:f>
        <x:v>INCOMPLETE</x:v>
      </x:c>
      <x:c r="AB55" s="962" t="str">
        <x:f>IF($B55="","",IF($AA55&lt;&gt;"COMPLETE",$AA55,IF($Y55&gt;0,"MATERIAL EVENT REVIEW",IF($Z55="OVERDUE","OVERDUE",IF($Z55="REVIEW DUE","REVIEW DUE",IF($X55&gt;0,"MIAR ACTION PENDING",IF(OR($I55="Unassigned",$J55=""),"THESIS / CONVICTION SETUP",IF($M55="Draft","DRAFT — NOT CERTIFIED",IF(AND($M55="Active",OR($AE55="",$AF55="")),"CERTIFICATION REQUIRED","CONTROL CLEAR")))))))))</x:f>
        <x:v>INCOMPLETE</x:v>
      </x:c>
      <x:c r="AC55" s="962" t="str">
        <x:f>IF($B55="","",IFERROR(INDEX('97 RCC Lists'!$Y$5:$Y$14,MATCH($AB55,'97 RCC Lists'!$W$5:$W$14,0)),"Review exception"))</x:f>
        <x:v>Complete MIAR setup</x:v>
      </x:c>
      <x:c r="AD55" s="962" t="str">
        <x:f>IF($B55="","",IF(OR($AB55="MATERIAL EVENT REVIEW",$AB55="MIAR ACTION PENDING",$AB55="THESIS / CONVICTION SETUP"),"REFER TO RCC-007",IF($AB55="CONTROL CLEAR","NO REFERRAL","HOLD PENDING MIAR UPDATE")))</x:f>
        <x:v>HOLD PENDING MIAR UPDATE</x:v>
      </x:c>
      <x:c r="AE55" s="1018"/>
      <x:c r="AF55" s="1025"/>
      <x:c r="AG55" s="1018"/>
    </x:row>
    <x:row r="56" ht="30" customHeight="1">
      <x:c r="A56" s="1018"/>
      <x:c r="B56" s="1021" t="str">
        <x:f>'Certified Allocation'!B47</x:f>
        <x:v>CVX</x:v>
      </x:c>
      <x:c r="C56" s="1021" t="str">
        <x:f>'Certified Allocation'!C47</x:f>
        <x:v>Chevron Corporation</x:v>
      </x:c>
      <x:c r="D56" s="1021" t="str">
        <x:f>'Certified Allocation'!A47</x:f>
        <x:v>Energy &amp; Natural Resources</x:v>
      </x:c>
      <x:c r="E56" s="1021" t="str">
        <x:f>'Certified Allocation'!D47</x:f>
        <x:v>Equity</x:v>
      </x:c>
      <x:c r="F56" s="1021" t="str">
        <x:f>'Certified Allocation'!E47</x:f>
        <x:v>Integrated energy leader</x:v>
      </x:c>
      <x:c r="G56" s="1022" t="n">
        <x:f>'Certified Allocation'!F47</x:f>
        <x:v>0.0156</x:v>
      </x:c>
      <x:c r="H56" s="1021" t="str">
        <x:f>'Certified Allocation'!N47</x:f>
        <x:v>Current</x:v>
      </x:c>
      <x:c r="I56" s="1021" t="str">
        <x:f>IFERROR(INDEX('11 Conviction'!$H$5:$H$51,MATCH($B56,'11 Conviction'!$B$5:$B$51,0)),"Unassigned")</x:f>
        <x:v>Unassigned</x:v>
      </x:c>
      <x:c r="J56" s="1021" t="str">
        <x:f>IFERROR(INDEX('11 Conviction'!$J$5:$J$51,MATCH($B56,'11 Conviction'!$B$5:$B$51,0)),"")</x:f>
      </x:c>
      <x:c r="K56" s="1023"/>
      <x:c r="L56" s="1023"/>
      <x:c r="M56" s="1018"/>
      <x:c r="N56" s="1018"/>
      <x:c r="O56" s="1018"/>
      <x:c r="P56" s="1024" t="str">
        <x:f>IF($O56="","",IF($O56="Quarterly — 90 Days",90,IF($O56="Semiannual — 180 Days",180,IF($O56="Annual — 365 Days",365,IF($O56="Event-Driven",0,"")))))</x:f>
      </x:c>
      <x:c r="Q56" s="1025"/>
      <x:c r="R56" s="1025"/>
      <x:c r="S56" s="1026" t="str">
        <x:f>IF(COUNTA($Q56:$R56)=0,"",MAX($Q56:$R56))</x:f>
      </x:c>
      <x:c r="T56" s="1026" t="str">
        <x:f>IF(OR($S56="",$P56="",$P56=0),"",$S56+$P56)</x:f>
      </x:c>
      <x:c r="U56" s="1024" t="n">
        <x:f>COUNTIF('21 RCC-003 MIAR Review Log'!$C$14:$C$213,$B56)</x:f>
        <x:v>0</x:v>
      </x:c>
      <x:c r="V56" s="1024" t="n">
        <x:f>COUNTIF('18 RCC-002 Evidence Ledger'!$E$14:$E$213,$B56)</x:f>
        <x:v>0</x:v>
      </x:c>
      <x:c r="W56" s="1024" t="n">
        <x:f>COUNTIFS('18 RCC-002 Evidence Ledger'!$E$14:$E$213,$B56,'18 RCC-002 Evidence Ledger'!$T$14:$T$213,"&lt;&gt;Closed — No Action",'18 RCC-002 Evidence Ledger'!$T$14:$T$213,"&lt;&gt;Closed — Incorporated")</x:f>
        <x:v>0</x:v>
      </x:c>
      <x:c r="X56" s="1024" t="n">
        <x:f>COUNTIFS('18 RCC-002 Evidence Ledger'!$E$14:$E$213,$B56,'18 RCC-002 Evidence Ledger'!$V$14:$V$213,"&lt;&gt;None",'18 RCC-002 Evidence Ledger'!$V$14:$V$213,"&lt;&gt;",'18 RCC-002 Evidence Ledger'!$T$14:$T$213,"&lt;&gt;Closed — No Action",'18 RCC-002 Evidence Ledger'!$T$14:$T$213,"&lt;&gt;Closed — Incorporated")</x:f>
        <x:v>0</x:v>
      </x:c>
      <x:c r="Y56" s="1024" t="n">
        <x:f>COUNTIFS('18 RCC-002 Evidence Ledger'!$E$14:$E$213,$B56,'18 RCC-002 Evidence Ledger'!$V$14:$V$213,"Material Event Review",'18 RCC-002 Evidence Ledger'!$T$14:$T$213,"&lt;&gt;Closed — No Action",'18 RCC-002 Evidence Ledger'!$T$14:$T$213,"&lt;&gt;Closed — Incorporated")</x:f>
        <x:v>0</x:v>
      </x:c>
      <x:c r="Z56" s="962" t="str">
        <x:f>IF($B56="","",IF($Y56&gt;0,"MATERIAL EVENT REVIEW",IF(OR($A56="",$M56="",$N56="",$O56="",$S56=""),"NOT INITIALIZED",IF(OR($M56="Suspended",$M56="Archived"),"INACTIVE",IF($O56="Event-Driven","CURRENT",IF($T56&lt;TODAY(),"OVERDUE",IF($T56-TODAY()&lt;=30,"REVIEW DUE",IF($T56-TODAY()&lt;=60,"UPDATE DUE","CURRENT"))))))))</x:f>
        <x:v>NOT INITIALIZED</x:v>
      </x:c>
      <x:c r="AA56" s="962" t="str">
        <x:f>IF($B56="","",IF(OR($A56="",$K56="",$L56="",$M56="",$N56="",$O56="",$Q56=""),"INCOMPLETE",IF(COUNTIF($A$14:$A$60,$A56)&gt;1,"DUPLICATE MIAR ID","COMPLETE")))</x:f>
        <x:v>INCOMPLETE</x:v>
      </x:c>
      <x:c r="AB56" s="962" t="str">
        <x:f>IF($B56="","",IF($AA56&lt;&gt;"COMPLETE",$AA56,IF($Y56&gt;0,"MATERIAL EVENT REVIEW",IF($Z56="OVERDUE","OVERDUE",IF($Z56="REVIEW DUE","REVIEW DUE",IF($X56&gt;0,"MIAR ACTION PENDING",IF(OR($I56="Unassigned",$J56=""),"THESIS / CONVICTION SETUP",IF($M56="Draft","DRAFT — NOT CERTIFIED",IF(AND($M56="Active",OR($AE56="",$AF56="")),"CERTIFICATION REQUIRED","CONTROL CLEAR")))))))))</x:f>
        <x:v>INCOMPLETE</x:v>
      </x:c>
      <x:c r="AC56" s="962" t="str">
        <x:f>IF($B56="","",IFERROR(INDEX('97 RCC Lists'!$Y$5:$Y$14,MATCH($AB56,'97 RCC Lists'!$W$5:$W$14,0)),"Review exception"))</x:f>
        <x:v>Complete MIAR setup</x:v>
      </x:c>
      <x:c r="AD56" s="962" t="str">
        <x:f>IF($B56="","",IF(OR($AB56="MATERIAL EVENT REVIEW",$AB56="MIAR ACTION PENDING",$AB56="THESIS / CONVICTION SETUP"),"REFER TO RCC-007",IF($AB56="CONTROL CLEAR","NO REFERRAL","HOLD PENDING MIAR UPDATE")))</x:f>
        <x:v>HOLD PENDING MIAR UPDATE</x:v>
      </x:c>
      <x:c r="AE56" s="1018"/>
      <x:c r="AF56" s="1025"/>
      <x:c r="AG56" s="1018"/>
    </x:row>
    <x:row r="57" ht="30" customHeight="1">
      <x:c r="A57" s="1018"/>
      <x:c r="B57" s="1021" t="str">
        <x:f>'Certified Allocation'!B48</x:f>
        <x:v>VDE</x:v>
      </x:c>
      <x:c r="C57" s="1021" t="str">
        <x:f>'Certified Allocation'!C48</x:f>
        <x:v>Vanguard Energy ETF</x:v>
      </x:c>
      <x:c r="D57" s="1021" t="str">
        <x:f>'Certified Allocation'!A48</x:f>
        <x:v>Energy &amp; Natural Resources</x:v>
      </x:c>
      <x:c r="E57" s="1021" t="str">
        <x:f>'Certified Allocation'!D48</x:f>
        <x:v>ETF</x:v>
      </x:c>
      <x:c r="F57" s="1021" t="str">
        <x:f>'Certified Allocation'!E48</x:f>
        <x:v>Diversified energy implementation ETF</x:v>
      </x:c>
      <x:c r="G57" s="1022" t="n">
        <x:f>'Certified Allocation'!F48</x:f>
        <x:v>0.0156</x:v>
      </x:c>
      <x:c r="H57" s="1021" t="str">
        <x:f>'Certified Allocation'!N48</x:f>
        <x:v>Current</x:v>
      </x:c>
      <x:c r="I57" s="1021" t="str">
        <x:f>IFERROR(INDEX('11 Conviction'!$H$5:$H$51,MATCH($B57,'11 Conviction'!$B$5:$B$51,0)),"Unassigned")</x:f>
        <x:v>Unassigned</x:v>
      </x:c>
      <x:c r="J57" s="1021" t="str">
        <x:f>IFERROR(INDEX('11 Conviction'!$J$5:$J$51,MATCH($B57,'11 Conviction'!$B$5:$B$51,0)),"")</x:f>
      </x:c>
      <x:c r="K57" s="1023"/>
      <x:c r="L57" s="1023"/>
      <x:c r="M57" s="1018"/>
      <x:c r="N57" s="1018"/>
      <x:c r="O57" s="1018"/>
      <x:c r="P57" s="1024" t="str">
        <x:f>IF($O57="","",IF($O57="Quarterly — 90 Days",90,IF($O57="Semiannual — 180 Days",180,IF($O57="Annual — 365 Days",365,IF($O57="Event-Driven",0,"")))))</x:f>
      </x:c>
      <x:c r="Q57" s="1025"/>
      <x:c r="R57" s="1025"/>
      <x:c r="S57" s="1026" t="str">
        <x:f>IF(COUNTA($Q57:$R57)=0,"",MAX($Q57:$R57))</x:f>
      </x:c>
      <x:c r="T57" s="1026" t="str">
        <x:f>IF(OR($S57="",$P57="",$P57=0),"",$S57+$P57)</x:f>
      </x:c>
      <x:c r="U57" s="1024" t="n">
        <x:f>COUNTIF('21 RCC-003 MIAR Review Log'!$C$14:$C$213,$B57)</x:f>
        <x:v>0</x:v>
      </x:c>
      <x:c r="V57" s="1024" t="n">
        <x:f>COUNTIF('18 RCC-002 Evidence Ledger'!$E$14:$E$213,$B57)</x:f>
        <x:v>0</x:v>
      </x:c>
      <x:c r="W57" s="1024" t="n">
        <x:f>COUNTIFS('18 RCC-002 Evidence Ledger'!$E$14:$E$213,$B57,'18 RCC-002 Evidence Ledger'!$T$14:$T$213,"&lt;&gt;Closed — No Action",'18 RCC-002 Evidence Ledger'!$T$14:$T$213,"&lt;&gt;Closed — Incorporated")</x:f>
        <x:v>0</x:v>
      </x:c>
      <x:c r="X57" s="1024" t="n">
        <x:f>COUNTIFS('18 RCC-002 Evidence Ledger'!$E$14:$E$213,$B57,'18 RCC-002 Evidence Ledger'!$V$14:$V$213,"&lt;&gt;None",'18 RCC-002 Evidence Ledger'!$V$14:$V$213,"&lt;&gt;",'18 RCC-002 Evidence Ledger'!$T$14:$T$213,"&lt;&gt;Closed — No Action",'18 RCC-002 Evidence Ledger'!$T$14:$T$213,"&lt;&gt;Closed — Incorporated")</x:f>
        <x:v>0</x:v>
      </x:c>
      <x:c r="Y57" s="1024" t="n">
        <x:f>COUNTIFS('18 RCC-002 Evidence Ledger'!$E$14:$E$213,$B57,'18 RCC-002 Evidence Ledger'!$V$14:$V$213,"Material Event Review",'18 RCC-002 Evidence Ledger'!$T$14:$T$213,"&lt;&gt;Closed — No Action",'18 RCC-002 Evidence Ledger'!$T$14:$T$213,"&lt;&gt;Closed — Incorporated")</x:f>
        <x:v>0</x:v>
      </x:c>
      <x:c r="Z57" s="962" t="str">
        <x:f>IF($B57="","",IF($Y57&gt;0,"MATERIAL EVENT REVIEW",IF(OR($A57="",$M57="",$N57="",$O57="",$S57=""),"NOT INITIALIZED",IF(OR($M57="Suspended",$M57="Archived"),"INACTIVE",IF($O57="Event-Driven","CURRENT",IF($T57&lt;TODAY(),"OVERDUE",IF($T57-TODAY()&lt;=30,"REVIEW DUE",IF($T57-TODAY()&lt;=60,"UPDATE DUE","CURRENT"))))))))</x:f>
        <x:v>NOT INITIALIZED</x:v>
      </x:c>
      <x:c r="AA57" s="962" t="str">
        <x:f>IF($B57="","",IF(OR($A57="",$K57="",$L57="",$M57="",$N57="",$O57="",$Q57=""),"INCOMPLETE",IF(COUNTIF($A$14:$A$60,$A57)&gt;1,"DUPLICATE MIAR ID","COMPLETE")))</x:f>
        <x:v>INCOMPLETE</x:v>
      </x:c>
      <x:c r="AB57" s="962" t="str">
        <x:f>IF($B57="","",IF($AA57&lt;&gt;"COMPLETE",$AA57,IF($Y57&gt;0,"MATERIAL EVENT REVIEW",IF($Z57="OVERDUE","OVERDUE",IF($Z57="REVIEW DUE","REVIEW DUE",IF($X57&gt;0,"MIAR ACTION PENDING",IF(OR($I57="Unassigned",$J57=""),"THESIS / CONVICTION SETUP",IF($M57="Draft","DRAFT — NOT CERTIFIED",IF(AND($M57="Active",OR($AE57="",$AF57="")),"CERTIFICATION REQUIRED","CONTROL CLEAR")))))))))</x:f>
        <x:v>INCOMPLETE</x:v>
      </x:c>
      <x:c r="AC57" s="962" t="str">
        <x:f>IF($B57="","",IFERROR(INDEX('97 RCC Lists'!$Y$5:$Y$14,MATCH($AB57,'97 RCC Lists'!$W$5:$W$14,0)),"Review exception"))</x:f>
        <x:v>Complete MIAR setup</x:v>
      </x:c>
      <x:c r="AD57" s="962" t="str">
        <x:f>IF($B57="","",IF(OR($AB57="MATERIAL EVENT REVIEW",$AB57="MIAR ACTION PENDING",$AB57="THESIS / CONVICTION SETUP"),"REFER TO RCC-007",IF($AB57="CONTROL CLEAR","NO REFERRAL","HOLD PENDING MIAR UPDATE")))</x:f>
        <x:v>HOLD PENDING MIAR UPDATE</x:v>
      </x:c>
      <x:c r="AE57" s="1018"/>
      <x:c r="AF57" s="1025"/>
      <x:c r="AG57" s="1018"/>
    </x:row>
    <x:row r="58" ht="30" customHeight="1">
      <x:c r="A58" s="1018"/>
      <x:c r="B58" s="1021" t="str">
        <x:f>'Certified Allocation'!B49</x:f>
        <x:v>JEPI</x:v>
      </x:c>
      <x:c r="C58" s="1021" t="str">
        <x:f>'Certified Allocation'!C49</x:f>
        <x:v>JPMorgan Equity Premium Income ETF</x:v>
      </x:c>
      <x:c r="D58" s="1021" t="str">
        <x:f>'Certified Allocation'!A49</x:f>
        <x:v>Income &amp; Risk Management</x:v>
      </x:c>
      <x:c r="E58" s="1021" t="str">
        <x:f>'Certified Allocation'!D49</x:f>
        <x:v>ETF</x:v>
      </x:c>
      <x:c r="F58" s="1021" t="str">
        <x:f>'Certified Allocation'!E49</x:f>
        <x:v>Diversified equity income and volatility moderation</x:v>
      </x:c>
      <x:c r="G58" s="1022" t="n">
        <x:f>'Certified Allocation'!F49</x:f>
        <x:v>0.0302</x:v>
      </x:c>
      <x:c r="H58" s="1021" t="str">
        <x:f>'Certified Allocation'!N49</x:f>
        <x:v>Current</x:v>
      </x:c>
      <x:c r="I58" s="1021" t="str">
        <x:f>IFERROR(INDEX('11 Conviction'!$H$5:$H$51,MATCH($B58,'11 Conviction'!$B$5:$B$51,0)),"Unassigned")</x:f>
        <x:v>Unassigned</x:v>
      </x:c>
      <x:c r="J58" s="1021" t="str">
        <x:f>IFERROR(INDEX('11 Conviction'!$J$5:$J$51,MATCH($B58,'11 Conviction'!$B$5:$B$51,0)),"")</x:f>
      </x:c>
      <x:c r="K58" s="1023"/>
      <x:c r="L58" s="1023"/>
      <x:c r="M58" s="1018"/>
      <x:c r="N58" s="1018"/>
      <x:c r="O58" s="1018"/>
      <x:c r="P58" s="1024" t="str">
        <x:f>IF($O58="","",IF($O58="Quarterly — 90 Days",90,IF($O58="Semiannual — 180 Days",180,IF($O58="Annual — 365 Days",365,IF($O58="Event-Driven",0,"")))))</x:f>
      </x:c>
      <x:c r="Q58" s="1025"/>
      <x:c r="R58" s="1025"/>
      <x:c r="S58" s="1026" t="str">
        <x:f>IF(COUNTA($Q58:$R58)=0,"",MAX($Q58:$R58))</x:f>
      </x:c>
      <x:c r="T58" s="1026" t="str">
        <x:f>IF(OR($S58="",$P58="",$P58=0),"",$S58+$P58)</x:f>
      </x:c>
      <x:c r="U58" s="1024" t="n">
        <x:f>COUNTIF('21 RCC-003 MIAR Review Log'!$C$14:$C$213,$B58)</x:f>
        <x:v>0</x:v>
      </x:c>
      <x:c r="V58" s="1024" t="n">
        <x:f>COUNTIF('18 RCC-002 Evidence Ledger'!$E$14:$E$213,$B58)</x:f>
        <x:v>0</x:v>
      </x:c>
      <x:c r="W58" s="1024" t="n">
        <x:f>COUNTIFS('18 RCC-002 Evidence Ledger'!$E$14:$E$213,$B58,'18 RCC-002 Evidence Ledger'!$T$14:$T$213,"&lt;&gt;Closed — No Action",'18 RCC-002 Evidence Ledger'!$T$14:$T$213,"&lt;&gt;Closed — Incorporated")</x:f>
        <x:v>0</x:v>
      </x:c>
      <x:c r="X58" s="1024" t="n">
        <x:f>COUNTIFS('18 RCC-002 Evidence Ledger'!$E$14:$E$213,$B58,'18 RCC-002 Evidence Ledger'!$V$14:$V$213,"&lt;&gt;None",'18 RCC-002 Evidence Ledger'!$V$14:$V$213,"&lt;&gt;",'18 RCC-002 Evidence Ledger'!$T$14:$T$213,"&lt;&gt;Closed — No Action",'18 RCC-002 Evidence Ledger'!$T$14:$T$213,"&lt;&gt;Closed — Incorporated")</x:f>
        <x:v>0</x:v>
      </x:c>
      <x:c r="Y58" s="1024" t="n">
        <x:f>COUNTIFS('18 RCC-002 Evidence Ledger'!$E$14:$E$213,$B58,'18 RCC-002 Evidence Ledger'!$V$14:$V$213,"Material Event Review",'18 RCC-002 Evidence Ledger'!$T$14:$T$213,"&lt;&gt;Closed — No Action",'18 RCC-002 Evidence Ledger'!$T$14:$T$213,"&lt;&gt;Closed — Incorporated")</x:f>
        <x:v>0</x:v>
      </x:c>
      <x:c r="Z58" s="962" t="str">
        <x:f>IF($B58="","",IF($Y58&gt;0,"MATERIAL EVENT REVIEW",IF(OR($A58="",$M58="",$N58="",$O58="",$S58=""),"NOT INITIALIZED",IF(OR($M58="Suspended",$M58="Archived"),"INACTIVE",IF($O58="Event-Driven","CURRENT",IF($T58&lt;TODAY(),"OVERDUE",IF($T58-TODAY()&lt;=30,"REVIEW DUE",IF($T58-TODAY()&lt;=60,"UPDATE DUE","CURRENT"))))))))</x:f>
        <x:v>NOT INITIALIZED</x:v>
      </x:c>
      <x:c r="AA58" s="962" t="str">
        <x:f>IF($B58="","",IF(OR($A58="",$K58="",$L58="",$M58="",$N58="",$O58="",$Q58=""),"INCOMPLETE",IF(COUNTIF($A$14:$A$60,$A58)&gt;1,"DUPLICATE MIAR ID","COMPLETE")))</x:f>
        <x:v>INCOMPLETE</x:v>
      </x:c>
      <x:c r="AB58" s="962" t="str">
        <x:f>IF($B58="","",IF($AA58&lt;&gt;"COMPLETE",$AA58,IF($Y58&gt;0,"MATERIAL EVENT REVIEW",IF($Z58="OVERDUE","OVERDUE",IF($Z58="REVIEW DUE","REVIEW DUE",IF($X58&gt;0,"MIAR ACTION PENDING",IF(OR($I58="Unassigned",$J58=""),"THESIS / CONVICTION SETUP",IF($M58="Draft","DRAFT — NOT CERTIFIED",IF(AND($M58="Active",OR($AE58="",$AF58="")),"CERTIFICATION REQUIRED","CONTROL CLEAR")))))))))</x:f>
        <x:v>INCOMPLETE</x:v>
      </x:c>
      <x:c r="AC58" s="962" t="str">
        <x:f>IF($B58="","",IFERROR(INDEX('97 RCC Lists'!$Y$5:$Y$14,MATCH($AB58,'97 RCC Lists'!$W$5:$W$14,0)),"Review exception"))</x:f>
        <x:v>Complete MIAR setup</x:v>
      </x:c>
      <x:c r="AD58" s="962" t="str">
        <x:f>IF($B58="","",IF(OR($AB58="MATERIAL EVENT REVIEW",$AB58="MIAR ACTION PENDING",$AB58="THESIS / CONVICTION SETUP"),"REFER TO RCC-007",IF($AB58="CONTROL CLEAR","NO REFERRAL","HOLD PENDING MIAR UPDATE")))</x:f>
        <x:v>HOLD PENDING MIAR UPDATE</x:v>
      </x:c>
      <x:c r="AE58" s="1018"/>
      <x:c r="AF58" s="1025"/>
      <x:c r="AG58" s="1018"/>
    </x:row>
    <x:row r="59" ht="30" customHeight="1">
      <x:c r="A59" s="1018"/>
      <x:c r="B59" s="1021" t="str">
        <x:f>'Certified Allocation'!B50</x:f>
        <x:v>JEPQ</x:v>
      </x:c>
      <x:c r="C59" s="1021" t="str">
        <x:f>'Certified Allocation'!C50</x:f>
        <x:v>JPMorgan Nasdaq Equity Premium Income ETF</x:v>
      </x:c>
      <x:c r="D59" s="1021" t="str">
        <x:f>'Certified Allocation'!A50</x:f>
        <x:v>Income &amp; Risk Management</x:v>
      </x:c>
      <x:c r="E59" s="1021" t="str">
        <x:f>'Certified Allocation'!D50</x:f>
        <x:v>ETF</x:v>
      </x:c>
      <x:c r="F59" s="1021" t="str">
        <x:f>'Certified Allocation'!E50</x:f>
        <x:v>Technology equity income implementation</x:v>
      </x:c>
      <x:c r="G59" s="1022" t="n">
        <x:f>'Certified Allocation'!F50</x:f>
        <x:v>0.0302</x:v>
      </x:c>
      <x:c r="H59" s="1021" t="str">
        <x:f>'Certified Allocation'!N50</x:f>
        <x:v>Current</x:v>
      </x:c>
      <x:c r="I59" s="1021" t="str">
        <x:f>IFERROR(INDEX('11 Conviction'!$H$5:$H$51,MATCH($B59,'11 Conviction'!$B$5:$B$51,0)),"Unassigned")</x:f>
        <x:v>Unassigned</x:v>
      </x:c>
      <x:c r="J59" s="1021" t="str">
        <x:f>IFERROR(INDEX('11 Conviction'!$J$5:$J$51,MATCH($B59,'11 Conviction'!$B$5:$B$51,0)),"")</x:f>
      </x:c>
      <x:c r="K59" s="1023"/>
      <x:c r="L59" s="1023"/>
      <x:c r="M59" s="1018"/>
      <x:c r="N59" s="1018"/>
      <x:c r="O59" s="1018"/>
      <x:c r="P59" s="1024" t="str">
        <x:f>IF($O59="","",IF($O59="Quarterly — 90 Days",90,IF($O59="Semiannual — 180 Days",180,IF($O59="Annual — 365 Days",365,IF($O59="Event-Driven",0,"")))))</x:f>
      </x:c>
      <x:c r="Q59" s="1025"/>
      <x:c r="R59" s="1025"/>
      <x:c r="S59" s="1026" t="str">
        <x:f>IF(COUNTA($Q59:$R59)=0,"",MAX($Q59:$R59))</x:f>
      </x:c>
      <x:c r="T59" s="1026" t="str">
        <x:f>IF(OR($S59="",$P59="",$P59=0),"",$S59+$P59)</x:f>
      </x:c>
      <x:c r="U59" s="1024" t="n">
        <x:f>COUNTIF('21 RCC-003 MIAR Review Log'!$C$14:$C$213,$B59)</x:f>
        <x:v>0</x:v>
      </x:c>
      <x:c r="V59" s="1024" t="n">
        <x:f>COUNTIF('18 RCC-002 Evidence Ledger'!$E$14:$E$213,$B59)</x:f>
        <x:v>0</x:v>
      </x:c>
      <x:c r="W59" s="1024" t="n">
        <x:f>COUNTIFS('18 RCC-002 Evidence Ledger'!$E$14:$E$213,$B59,'18 RCC-002 Evidence Ledger'!$T$14:$T$213,"&lt;&gt;Closed — No Action",'18 RCC-002 Evidence Ledger'!$T$14:$T$213,"&lt;&gt;Closed — Incorporated")</x:f>
        <x:v>0</x:v>
      </x:c>
      <x:c r="X59" s="1024" t="n">
        <x:f>COUNTIFS('18 RCC-002 Evidence Ledger'!$E$14:$E$213,$B59,'18 RCC-002 Evidence Ledger'!$V$14:$V$213,"&lt;&gt;None",'18 RCC-002 Evidence Ledger'!$V$14:$V$213,"&lt;&gt;",'18 RCC-002 Evidence Ledger'!$T$14:$T$213,"&lt;&gt;Closed — No Action",'18 RCC-002 Evidence Ledger'!$T$14:$T$213,"&lt;&gt;Closed — Incorporated")</x:f>
        <x:v>0</x:v>
      </x:c>
      <x:c r="Y59" s="1024" t="n">
        <x:f>COUNTIFS('18 RCC-002 Evidence Ledger'!$E$14:$E$213,$B59,'18 RCC-002 Evidence Ledger'!$V$14:$V$213,"Material Event Review",'18 RCC-002 Evidence Ledger'!$T$14:$T$213,"&lt;&gt;Closed — No Action",'18 RCC-002 Evidence Ledger'!$T$14:$T$213,"&lt;&gt;Closed — Incorporated")</x:f>
        <x:v>0</x:v>
      </x:c>
      <x:c r="Z59" s="962" t="str">
        <x:f>IF($B59="","",IF($Y59&gt;0,"MATERIAL EVENT REVIEW",IF(OR($A59="",$M59="",$N59="",$O59="",$S59=""),"NOT INITIALIZED",IF(OR($M59="Suspended",$M59="Archived"),"INACTIVE",IF($O59="Event-Driven","CURRENT",IF($T59&lt;TODAY(),"OVERDUE",IF($T59-TODAY()&lt;=30,"REVIEW DUE",IF($T59-TODAY()&lt;=60,"UPDATE DUE","CURRENT"))))))))</x:f>
        <x:v>NOT INITIALIZED</x:v>
      </x:c>
      <x:c r="AA59" s="962" t="str">
        <x:f>IF($B59="","",IF(OR($A59="",$K59="",$L59="",$M59="",$N59="",$O59="",$Q59=""),"INCOMPLETE",IF(COUNTIF($A$14:$A$60,$A59)&gt;1,"DUPLICATE MIAR ID","COMPLETE")))</x:f>
        <x:v>INCOMPLETE</x:v>
      </x:c>
      <x:c r="AB59" s="962" t="str">
        <x:f>IF($B59="","",IF($AA59&lt;&gt;"COMPLETE",$AA59,IF($Y59&gt;0,"MATERIAL EVENT REVIEW",IF($Z59="OVERDUE","OVERDUE",IF($Z59="REVIEW DUE","REVIEW DUE",IF($X59&gt;0,"MIAR ACTION PENDING",IF(OR($I59="Unassigned",$J59=""),"THESIS / CONVICTION SETUP",IF($M59="Draft","DRAFT — NOT CERTIFIED",IF(AND($M59="Active",OR($AE59="",$AF59="")),"CERTIFICATION REQUIRED","CONTROL CLEAR")))))))))</x:f>
        <x:v>INCOMPLETE</x:v>
      </x:c>
      <x:c r="AC59" s="962" t="str">
        <x:f>IF($B59="","",IFERROR(INDEX('97 RCC Lists'!$Y$5:$Y$14,MATCH($AB59,'97 RCC Lists'!$W$5:$W$14,0)),"Review exception"))</x:f>
        <x:v>Complete MIAR setup</x:v>
      </x:c>
      <x:c r="AD59" s="962" t="str">
        <x:f>IF($B59="","",IF(OR($AB59="MATERIAL EVENT REVIEW",$AB59="MIAR ACTION PENDING",$AB59="THESIS / CONVICTION SETUP"),"REFER TO RCC-007",IF($AB59="CONTROL CLEAR","NO REFERRAL","HOLD PENDING MIAR UPDATE")))</x:f>
        <x:v>HOLD PENDING MIAR UPDATE</x:v>
      </x:c>
      <x:c r="AE59" s="1018"/>
      <x:c r="AF59" s="1025"/>
      <x:c r="AG59" s="1018"/>
    </x:row>
    <x:row r="60" ht="30" customHeight="1">
      <x:c r="A60" s="1018"/>
      <x:c r="B60" s="1021" t="str">
        <x:f>'Certified Allocation'!B51</x:f>
        <x:v>PFF</x:v>
      </x:c>
      <x:c r="C60" s="1021" t="str">
        <x:f>'Certified Allocation'!C51</x:f>
        <x:v>iShares Preferred and Income Securities ETF</x:v>
      </x:c>
      <x:c r="D60" s="1021" t="str">
        <x:f>'Certified Allocation'!A51</x:f>
        <x:v>Income &amp; Risk Management</x:v>
      </x:c>
      <x:c r="E60" s="1021" t="str">
        <x:f>'Certified Allocation'!D51</x:f>
        <x:v>ETF</x:v>
      </x:c>
      <x:c r="F60" s="1021" t="str">
        <x:f>'Certified Allocation'!E51</x:f>
        <x:v>Preferred securities income diversification</x:v>
      </x:c>
      <x:c r="G60" s="1022" t="n">
        <x:f>'Certified Allocation'!F51</x:f>
        <x:v>0.0302</x:v>
      </x:c>
      <x:c r="H60" s="1021" t="str">
        <x:f>'Certified Allocation'!N51</x:f>
        <x:v>Current</x:v>
      </x:c>
      <x:c r="I60" s="1021" t="str">
        <x:f>IFERROR(INDEX('11 Conviction'!$H$5:$H$51,MATCH($B60,'11 Conviction'!$B$5:$B$51,0)),"Unassigned")</x:f>
        <x:v>Unassigned</x:v>
      </x:c>
      <x:c r="J60" s="1021" t="str">
        <x:f>IFERROR(INDEX('11 Conviction'!$J$5:$J$51,MATCH($B60,'11 Conviction'!$B$5:$B$51,0)),"")</x:f>
      </x:c>
      <x:c r="K60" s="1023"/>
      <x:c r="L60" s="1023"/>
      <x:c r="M60" s="1018"/>
      <x:c r="N60" s="1018"/>
      <x:c r="O60" s="1018"/>
      <x:c r="P60" s="1024" t="str">
        <x:f>IF($O60="","",IF($O60="Quarterly — 90 Days",90,IF($O60="Semiannual — 180 Days",180,IF($O60="Annual — 365 Days",365,IF($O60="Event-Driven",0,"")))))</x:f>
      </x:c>
      <x:c r="Q60" s="1025"/>
      <x:c r="R60" s="1025"/>
      <x:c r="S60" s="1026" t="str">
        <x:f>IF(COUNTA($Q60:$R60)=0,"",MAX($Q60:$R60))</x:f>
      </x:c>
      <x:c r="T60" s="1026" t="str">
        <x:f>IF(OR($S60="",$P60="",$P60=0),"",$S60+$P60)</x:f>
      </x:c>
      <x:c r="U60" s="1024" t="n">
        <x:f>COUNTIF('21 RCC-003 MIAR Review Log'!$C$14:$C$213,$B60)</x:f>
        <x:v>0</x:v>
      </x:c>
      <x:c r="V60" s="1024" t="n">
        <x:f>COUNTIF('18 RCC-002 Evidence Ledger'!$E$14:$E$213,$B60)</x:f>
        <x:v>0</x:v>
      </x:c>
      <x:c r="W60" s="1024" t="n">
        <x:f>COUNTIFS('18 RCC-002 Evidence Ledger'!$E$14:$E$213,$B60,'18 RCC-002 Evidence Ledger'!$T$14:$T$213,"&lt;&gt;Closed — No Action",'18 RCC-002 Evidence Ledger'!$T$14:$T$213,"&lt;&gt;Closed — Incorporated")</x:f>
        <x:v>0</x:v>
      </x:c>
      <x:c r="X60" s="1024" t="n">
        <x:f>COUNTIFS('18 RCC-002 Evidence Ledger'!$E$14:$E$213,$B60,'18 RCC-002 Evidence Ledger'!$V$14:$V$213,"&lt;&gt;None",'18 RCC-002 Evidence Ledger'!$V$14:$V$213,"&lt;&gt;",'18 RCC-002 Evidence Ledger'!$T$14:$T$213,"&lt;&gt;Closed — No Action",'18 RCC-002 Evidence Ledger'!$T$14:$T$213,"&lt;&gt;Closed — Incorporated")</x:f>
        <x:v>0</x:v>
      </x:c>
      <x:c r="Y60" s="1024" t="n">
        <x:f>COUNTIFS('18 RCC-002 Evidence Ledger'!$E$14:$E$213,$B60,'18 RCC-002 Evidence Ledger'!$V$14:$V$213,"Material Event Review",'18 RCC-002 Evidence Ledger'!$T$14:$T$213,"&lt;&gt;Closed — No Action",'18 RCC-002 Evidence Ledger'!$T$14:$T$213,"&lt;&gt;Closed — Incorporated")</x:f>
        <x:v>0</x:v>
      </x:c>
      <x:c r="Z60" s="962" t="str">
        <x:f>IF($B60="","",IF($Y60&gt;0,"MATERIAL EVENT REVIEW",IF(OR($A60="",$M60="",$N60="",$O60="",$S60=""),"NOT INITIALIZED",IF(OR($M60="Suspended",$M60="Archived"),"INACTIVE",IF($O60="Event-Driven","CURRENT",IF($T60&lt;TODAY(),"OVERDUE",IF($T60-TODAY()&lt;=30,"REVIEW DUE",IF($T60-TODAY()&lt;=60,"UPDATE DUE","CURRENT"))))))))</x:f>
        <x:v>NOT INITIALIZED</x:v>
      </x:c>
      <x:c r="AA60" s="962" t="str">
        <x:f>IF($B60="","",IF(OR($A60="",$K60="",$L60="",$M60="",$N60="",$O60="",$Q60=""),"INCOMPLETE",IF(COUNTIF($A$14:$A$60,$A60)&gt;1,"DUPLICATE MIAR ID","COMPLETE")))</x:f>
        <x:v>INCOMPLETE</x:v>
      </x:c>
      <x:c r="AB60" s="962" t="str">
        <x:f>IF($B60="","",IF($AA60&lt;&gt;"COMPLETE",$AA60,IF($Y60&gt;0,"MATERIAL EVENT REVIEW",IF($Z60="OVERDUE","OVERDUE",IF($Z60="REVIEW DUE","REVIEW DUE",IF($X60&gt;0,"MIAR ACTION PENDING",IF(OR($I60="Unassigned",$J60=""),"THESIS / CONVICTION SETUP",IF($M60="Draft","DRAFT — NOT CERTIFIED",IF(AND($M60="Active",OR($AE60="",$AF60="")),"CERTIFICATION REQUIRED","CONTROL CLEAR")))))))))</x:f>
        <x:v>INCOMPLETE</x:v>
      </x:c>
      <x:c r="AC60" s="962" t="str">
        <x:f>IF($B60="","",IFERROR(INDEX('97 RCC Lists'!$Y$5:$Y$14,MATCH($AB60,'97 RCC Lists'!$W$5:$W$14,0)),"Review exception"))</x:f>
        <x:v>Complete MIAR setup</x:v>
      </x:c>
      <x:c r="AD60" s="962" t="str">
        <x:f>IF($B60="","",IF(OR($AB60="MATERIAL EVENT REVIEW",$AB60="MIAR ACTION PENDING",$AB60="THESIS / CONVICTION SETUP"),"REFER TO RCC-007",IF($AB60="CONTROL CLEAR","NO REFERRAL","HOLD PENDING MIAR UPDATE")))</x:f>
        <x:v>HOLD PENDING MIAR UPDATE</x:v>
      </x:c>
      <x:c r="AE60" s="1018"/>
      <x:c r="AF60" s="1025"/>
      <x:c r="AG60" s="1018"/>
    </x:row>
    <x:row r="62">
      <x:c r="A62" s="1007" t="str">
        <x:v>RCC-003 GOVERNANCE — The registry is a research-control record. It may document evidence, freshness, scores, thesis prerequisites and referral state, but it may not alter certified allocation weights, authorize trading, or issue a new MFPDF version.</x:v>
      </x:c>
      <x:c r="B62" s="1007"/>
      <x:c r="C62" s="1007"/>
      <x:c r="D62" s="1007"/>
      <x:c r="E62" s="1007"/>
      <x:c r="F62" s="1007"/>
      <x:c r="G62" s="1007"/>
      <x:c r="H62" s="1007"/>
      <x:c r="I62" s="1007"/>
      <x:c r="J62" s="1007"/>
      <x:c r="K62" s="1007"/>
      <x:c r="L62" s="1007"/>
      <x:c r="M62" s="1007"/>
      <x:c r="N62" s="1007"/>
      <x:c r="O62" s="1007"/>
      <x:c r="P62" s="1007"/>
      <x:c r="Q62" s="1007"/>
      <x:c r="R62" s="1007"/>
      <x:c r="S62" s="1007"/>
      <x:c r="T62" s="1007"/>
      <x:c r="U62" s="1007"/>
      <x:c r="V62" s="1007"/>
      <x:c r="W62" s="1007"/>
      <x:c r="X62" s="1007"/>
      <x:c r="Y62" s="1007"/>
      <x:c r="Z62" s="1007"/>
      <x:c r="AA62" s="1007"/>
      <x:c r="AB62" s="1007"/>
      <x:c r="AC62" s="1007"/>
      <x:c r="AD62" s="1007"/>
      <x:c r="AE62" s="1007"/>
      <x:c r="AF62" s="1007"/>
      <x:c r="AG62" s="1007"/>
    </x:row>
    <x:row r="63">
      <x:c r="A63" s="1007"/>
      <x:c r="B63" s="1007"/>
      <x:c r="C63" s="1007"/>
      <x:c r="D63" s="1007"/>
      <x:c r="E63" s="1007"/>
      <x:c r="F63" s="1007"/>
      <x:c r="G63" s="1007"/>
      <x:c r="H63" s="1007"/>
      <x:c r="I63" s="1007"/>
      <x:c r="J63" s="1007"/>
      <x:c r="K63" s="1007"/>
      <x:c r="L63" s="1007"/>
      <x:c r="M63" s="1007"/>
      <x:c r="N63" s="1007"/>
      <x:c r="O63" s="1007"/>
      <x:c r="P63" s="1007"/>
      <x:c r="Q63" s="1007"/>
      <x:c r="R63" s="1007"/>
      <x:c r="S63" s="1007"/>
      <x:c r="T63" s="1007"/>
      <x:c r="U63" s="1007"/>
      <x:c r="V63" s="1007"/>
      <x:c r="W63" s="1007"/>
      <x:c r="X63" s="1007"/>
      <x:c r="Y63" s="1007"/>
      <x:c r="Z63" s="1007"/>
      <x:c r="AA63" s="1007"/>
      <x:c r="AB63" s="1007"/>
      <x:c r="AC63" s="1007"/>
      <x:c r="AD63" s="1007"/>
      <x:c r="AE63" s="1007"/>
      <x:c r="AF63" s="1007"/>
      <x:c r="AG63" s="1007"/>
    </x:row>
    <x:row r="64">
      <x:c r="A64" s="1007"/>
      <x:c r="B64" s="1007"/>
      <x:c r="C64" s="1007"/>
      <x:c r="D64" s="1007"/>
      <x:c r="E64" s="1007"/>
      <x:c r="F64" s="1007"/>
      <x:c r="G64" s="1007"/>
      <x:c r="H64" s="1007"/>
      <x:c r="I64" s="1007"/>
      <x:c r="J64" s="1007"/>
      <x:c r="K64" s="1007"/>
      <x:c r="L64" s="1007"/>
      <x:c r="M64" s="1007"/>
      <x:c r="N64" s="1007"/>
      <x:c r="O64" s="1007"/>
      <x:c r="P64" s="1007"/>
      <x:c r="Q64" s="1007"/>
      <x:c r="R64" s="1007"/>
      <x:c r="S64" s="1007"/>
      <x:c r="T64" s="1007"/>
      <x:c r="U64" s="1007"/>
      <x:c r="V64" s="1007"/>
      <x:c r="W64" s="1007"/>
      <x:c r="X64" s="1007"/>
      <x:c r="Y64" s="1007"/>
      <x:c r="Z64" s="1007"/>
      <x:c r="AA64" s="1007"/>
      <x:c r="AB64" s="1007"/>
      <x:c r="AC64" s="1007"/>
      <x:c r="AD64" s="1007"/>
      <x:c r="AE64" s="1007"/>
      <x:c r="AF64" s="1007"/>
      <x:c r="AG64" s="1007"/>
    </x:row>
  </x:sheetData>
  <x:mergeCells>
    <x:mergeCell ref="A1:AG1"/>
    <x:mergeCell ref="A2:AG2"/>
    <x:mergeCell ref="A3:AG3"/>
    <x:mergeCell ref="A5:J5"/>
    <x:mergeCell ref="K5:V5"/>
    <x:mergeCell ref="W5:AG5"/>
    <x:mergeCell ref="A6:J10"/>
    <x:mergeCell ref="K6:V10"/>
    <x:mergeCell ref="Y6:AG10"/>
    <x:mergeCell ref="A12:AG12"/>
    <x:mergeCell ref="A62:AG64"/>
  </x:mergeCells>
  <x:conditionalFormatting sqref="K14:L60">
    <x:cfRule type="colorScale" priority="1">
      <x:colorScale>
        <x:cfvo type="min"/>
        <x:cfvo type="percentile" val="50"/>
        <x:cfvo type="max"/>
        <x:color rgb="FFF4CCCC"/>
        <x:color rgb="FFFFF2CC"/>
        <x:color rgb="FFE2F0D9"/>
      </x:colorScale>
    </x:cfRule>
  </x:conditionalFormatting>
  <x:conditionalFormatting sqref="Z14:Z60">
    <x:cfRule type="expression" dxfId="112" priority="2">
      <x:formula>$Z14="CURRENT"</x:formula>
    </x:cfRule>
    <x:cfRule type="expression" dxfId="113" priority="3">
      <x:formula>$Z14="UPDATE DUE"</x:formula>
    </x:cfRule>
    <x:cfRule type="expression" dxfId="114" priority="4">
      <x:formula>$Z14="REVIEW DUE"</x:formula>
    </x:cfRule>
    <x:cfRule type="expression" dxfId="115" priority="5">
      <x:formula>$Z14="OVERDUE"</x:formula>
    </x:cfRule>
    <x:cfRule type="expression" dxfId="116" priority="6">
      <x:formula>$Z14="MATERIAL EVENT REVIEW"</x:formula>
    </x:cfRule>
    <x:cfRule type="expression" dxfId="117" priority="7">
      <x:formula>$Z14="NOT INITIALIZED"</x:formula>
    </x:cfRule>
    <x:cfRule type="expression" dxfId="118" priority="8">
      <x:formula>$Z14="INACTIVE"</x:formula>
    </x:cfRule>
  </x:conditionalFormatting>
  <x:conditionalFormatting sqref="AA14:AA60">
    <x:cfRule type="expression" dxfId="119" priority="9">
      <x:formula>$AA14="COMPLETE"</x:formula>
    </x:cfRule>
    <x:cfRule type="expression" dxfId="120" priority="10">
      <x:formula>$AA14="INCOMPLETE"</x:formula>
    </x:cfRule>
    <x:cfRule type="expression" dxfId="121" priority="11">
      <x:formula>$AA14="DUPLICATE MIAR ID"</x:formula>
    </x:cfRule>
  </x:conditionalFormatting>
  <x:conditionalFormatting sqref="AB14:AB60">
    <x:cfRule type="expression" dxfId="122" priority="12">
      <x:formula>$AB14="CONTROL CLEAR"</x:formula>
    </x:cfRule>
    <x:cfRule type="expression" dxfId="123" priority="13">
      <x:formula>OR($AB14="OVERDUE",$AB14="MATERIAL EVENT REVIEW",$AB14="DUPLICATE MIAR ID")</x:formula>
    </x:cfRule>
    <x:cfRule type="expression" dxfId="124" priority="14">
      <x:formula>AND($AB14&lt;&gt;"CONTROL CLEAR",$AB14&lt;&gt;"OVERDUE",$AB14&lt;&gt;"MATERIAL EVENT REVIEW",$AB14&lt;&gt;"DUPLICATE MIAR ID")</x:formula>
    </x:cfRule>
  </x:conditionalFormatting>
  <x:conditionalFormatting sqref="AD14:AD60">
    <x:cfRule type="expression" dxfId="125" priority="15">
      <x:formula>$AD14="NO REFERRAL"</x:formula>
    </x:cfRule>
    <x:cfRule type="expression" dxfId="126" priority="16">
      <x:formula>$AD14="REFER TO RCC-007"</x:formula>
    </x:cfRule>
    <x:cfRule type="expression" dxfId="127" priority="17">
      <x:formula>$AD14="HOLD PENDING MIAR UPDATE"</x:formula>
    </x:cfRule>
  </x:conditionalFormatting>
  <x:dataValidations count="2">
    <x:dataValidation type="list" sqref="M14:M60">
      <x:formula1>'97 RCC Lists'!$Q$5:$Q$12</x:formula1>
    </x:dataValidation>
    <x:dataValidation type="list" sqref="O14:O60">
      <x:formula1>'97 RCC Lists'!$R$5:$R$8</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13" hidden="0" customWidth="1"/>
    <x:col min="3" max="3" width="9" hidden="0" customWidth="1"/>
    <x:col min="4" max="4" width="28" hidden="0" customWidth="1"/>
    <x:col min="5" max="5" width="20" hidden="0" customWidth="1"/>
    <x:col min="6" max="6" width="20" hidden="0" customWidth="1"/>
    <x:col min="7" max="7" width="26" hidden="0" customWidth="1"/>
    <x:col min="8" max="8" width="20" hidden="0" customWidth="1"/>
    <x:col min="9" max="9" width="20" hidden="0" customWidth="1"/>
    <x:col min="10" max="10" width="14" hidden="0" customWidth="1"/>
    <x:col min="11" max="11" width="15" hidden="0" customWidth="1"/>
    <x:col min="12" max="12" width="14" hidden="0" customWidth="1"/>
    <x:col min="13" max="13" width="15" hidden="0" customWidth="1"/>
    <x:col min="14" max="14" width="18" hidden="0" customWidth="1"/>
    <x:col min="15" max="15" width="24" hidden="0" customWidth="1"/>
    <x:col min="16" max="16" width="42" hidden="0" customWidth="1"/>
    <x:col min="17" max="17" width="22" hidden="0" customWidth="1"/>
    <x:col min="18" max="18" width="24" hidden="0" customWidth="1"/>
    <x:col min="19" max="19" width="20" hidden="0" customWidth="1"/>
    <x:col min="20" max="20" width="16" hidden="0" customWidth="1"/>
    <x:col min="21" max="21" width="22" hidden="0" customWidth="1"/>
    <x:col min="22" max="22" width="34" hidden="0" customWidth="1"/>
    <x:col min="23" max="23" width="34" hidden="0" customWidth="1"/>
  </x:cols>
  <x:sheetData>
    <x:row r="1" ht="28" customHeight="1">
      <x:c r="A1" s="964" t="str">
        <x:v>MOPS-003 — RCC-003 MIAR REVIEW &amp; CERTIFICATION LOG</x:v>
      </x:c>
      <x:c r="B1" s="964"/>
      <x:c r="C1" s="964"/>
      <x:c r="D1" s="964"/>
      <x:c r="E1" s="964"/>
      <x:c r="F1" s="964"/>
      <x:c r="G1" s="964"/>
      <x:c r="H1" s="964"/>
      <x:c r="I1" s="964"/>
      <x:c r="J1" s="964"/>
      <x:c r="K1" s="964"/>
      <x:c r="L1" s="964"/>
      <x:c r="M1" s="964"/>
      <x:c r="N1" s="964"/>
      <x:c r="O1" s="964"/>
      <x:c r="P1" s="964"/>
      <x:c r="Q1" s="964"/>
      <x:c r="R1" s="964"/>
      <x:c r="S1" s="964"/>
      <x:c r="T1" s="964"/>
      <x:c r="U1" s="964"/>
      <x:c r="V1" s="964"/>
      <x:c r="W1" s="964"/>
    </x:row>
    <x:row r="2" ht="21" customHeight="1">
      <x:c r="A2" s="968" t="str">
        <x:v>FOUNDERS EDITION v1.0 — CONSTRUCTION CANDIDATE | 200 controlled review-entry rows</x:v>
      </x:c>
      <x:c r="B2" s="968"/>
      <x:c r="C2" s="968"/>
      <x:c r="D2" s="968"/>
      <x:c r="E2" s="968"/>
      <x:c r="F2" s="968"/>
      <x:c r="G2" s="968"/>
      <x:c r="H2" s="968"/>
      <x:c r="I2" s="968"/>
      <x:c r="J2" s="968"/>
      <x:c r="K2" s="968"/>
      <x:c r="L2" s="968"/>
      <x:c r="M2" s="968"/>
      <x:c r="N2" s="968"/>
      <x:c r="O2" s="968"/>
      <x:c r="P2" s="968"/>
      <x:c r="Q2" s="968"/>
      <x:c r="R2" s="968"/>
      <x:c r="S2" s="968"/>
      <x:c r="T2" s="968"/>
      <x:c r="U2" s="968"/>
      <x:c r="V2" s="968"/>
      <x:c r="W2" s="968"/>
    </x:row>
    <x:row r="3" ht="34" customHeight="1">
      <x:c r="A3" s="972" t="str">
        <x:v>Use one row for each full, incremental, material-event or certification review. Reference the supporting Evidence IDs and internal memorandum. The log records research judgment; it does not change portfolio allocation or authorize trading.</x:v>
      </x:c>
      <x:c r="B3" s="972"/>
      <x:c r="C3" s="972"/>
      <x:c r="D3" s="972"/>
      <x:c r="E3" s="972"/>
      <x:c r="F3" s="972"/>
      <x:c r="G3" s="972"/>
      <x:c r="H3" s="972"/>
      <x:c r="I3" s="972"/>
      <x:c r="J3" s="972"/>
      <x:c r="K3" s="972"/>
      <x:c r="L3" s="972"/>
      <x:c r="M3" s="972"/>
      <x:c r="N3" s="972"/>
      <x:c r="O3" s="972"/>
      <x:c r="P3" s="972"/>
      <x:c r="Q3" s="972"/>
      <x:c r="R3" s="972"/>
      <x:c r="S3" s="972"/>
      <x:c r="T3" s="972"/>
      <x:c r="U3" s="972"/>
      <x:c r="V3" s="972"/>
      <x:c r="W3" s="972"/>
    </x:row>
    <x:row r="5">
      <x:c r="A5" s="975" t="str">
        <x:v>REVIEW ENTRY STANDARD</x:v>
      </x:c>
      <x:c r="B5" s="975"/>
      <x:c r="C5" s="975"/>
      <x:c r="D5" s="975"/>
      <x:c r="E5" s="975"/>
      <x:c r="F5" s="975"/>
      <x:c r="G5" s="975"/>
      <x:c r="H5" s="975"/>
      <x:c r="I5" s="975" t="str">
        <x:v>CONTROLLED ASSESSMENT</x:v>
      </x:c>
      <x:c r="J5" s="975"/>
      <x:c r="K5" s="975"/>
      <x:c r="L5" s="975"/>
      <x:c r="M5" s="975"/>
      <x:c r="N5" s="975"/>
      <x:c r="O5" s="975"/>
      <x:c r="P5" s="975"/>
      <x:c r="Q5" s="975" t="str">
        <x:v>CERTIFICATION &amp; CURRENT STATE</x:v>
      </x:c>
      <x:c r="R5" s="975"/>
      <x:c r="S5" s="975"/>
      <x:c r="T5" s="975"/>
      <x:c r="U5" s="975"/>
      <x:c r="V5" s="975"/>
      <x:c r="W5" s="975"/>
    </x:row>
    <x:row r="6">
      <x:c r="A6" s="1008" t="str">
        <x:v>• Assign a unique Review ID using MIR-YYYYMMDD-###.
• Select one certified holding and one review type.
• Identify every supporting Evidence ID.
• Record the reviewer and internal memo or source reference.
• Use one row for one review conclusion.</x:v>
      </x:c>
      <x:c r="B6" s="1008"/>
      <x:c r="C6" s="1008"/>
      <x:c r="D6" s="1008"/>
      <x:c r="E6" s="1008"/>
      <x:c r="F6" s="1008"/>
      <x:c r="G6" s="1008"/>
      <x:c r="H6" s="1008"/>
      <x:c r="I6" s="1011" t="str">
        <x:v>Assess prior and proposed record status, Integrity score, MICS score, thesis state, conviction recommendation, findings, required MIAR action and certification recommendation. Changes remain recommendations until accepted through governance.</x:v>
      </x:c>
      <x:c r="J6" s="1011"/>
      <x:c r="K6" s="1011"/>
      <x:c r="L6" s="1011"/>
      <x:c r="M6" s="1011"/>
      <x:c r="N6" s="1011"/>
      <x:c r="O6" s="1011"/>
      <x:c r="P6" s="1011"/>
      <x:c r="Q6" s="1012" t="str">
        <x:v>Review Entries</x:v>
      </x:c>
      <x:c r="R6" s="1015" t="n">
        <x:f>COUNTA($A$14:$A$213)</x:f>
        <x:v>0</x:v>
      </x:c>
      <x:c r="S6" s="994" t="str">
        <x:v>CURRENT LOG STATE
No MIAR reviews have been entered. This is the correct initialized state. The workbook will not fabricate prior review dates, scores or certification records.</x:v>
      </x:c>
      <x:c r="T6" s="994"/>
      <x:c r="U6" s="994"/>
      <x:c r="V6" s="994"/>
      <x:c r="W6" s="994"/>
    </x:row>
    <x:row r="7">
      <x:c r="A7" s="1008"/>
      <x:c r="B7" s="1008"/>
      <x:c r="C7" s="1008"/>
      <x:c r="D7" s="1008"/>
      <x:c r="E7" s="1008"/>
      <x:c r="F7" s="1008"/>
      <x:c r="G7" s="1008"/>
      <x:c r="H7" s="1008"/>
      <x:c r="I7" s="1011"/>
      <x:c r="J7" s="1011"/>
      <x:c r="K7" s="1011"/>
      <x:c r="L7" s="1011"/>
      <x:c r="M7" s="1011"/>
      <x:c r="N7" s="1011"/>
      <x:c r="O7" s="1011"/>
      <x:c r="P7" s="1011"/>
      <x:c r="Q7" s="1012" t="str">
        <x:v>Complete</x:v>
      </x:c>
      <x:c r="R7" s="1015" t="n">
        <x:f>COUNTIF($U$14:$U$213,"COMPLETE")</x:f>
        <x:v>0</x:v>
      </x:c>
      <x:c r="S7" s="994"/>
      <x:c r="T7" s="994"/>
      <x:c r="U7" s="994"/>
      <x:c r="V7" s="994"/>
      <x:c r="W7" s="994"/>
    </x:row>
    <x:row r="8">
      <x:c r="A8" s="1008"/>
      <x:c r="B8" s="1008"/>
      <x:c r="C8" s="1008"/>
      <x:c r="D8" s="1008"/>
      <x:c r="E8" s="1008"/>
      <x:c r="F8" s="1008"/>
      <x:c r="G8" s="1008"/>
      <x:c r="H8" s="1008"/>
      <x:c r="I8" s="1011"/>
      <x:c r="J8" s="1011"/>
      <x:c r="K8" s="1011"/>
      <x:c r="L8" s="1011"/>
      <x:c r="M8" s="1011"/>
      <x:c r="N8" s="1011"/>
      <x:c r="O8" s="1011"/>
      <x:c r="P8" s="1011"/>
      <x:c r="Q8" s="1012" t="str">
        <x:v>Control Exceptions</x:v>
      </x:c>
      <x:c r="R8" s="1015" t="n">
        <x:f>COUNTIFS($A$14:$A$213,"&lt;&gt;",$U$14:$U$213,"&lt;&gt;COMPLETE")</x:f>
        <x:v>0</x:v>
      </x:c>
      <x:c r="S8" s="994"/>
      <x:c r="T8" s="994"/>
      <x:c r="U8" s="994"/>
      <x:c r="V8" s="994"/>
      <x:c r="W8" s="994"/>
    </x:row>
    <x:row r="9">
      <x:c r="A9" s="1008"/>
      <x:c r="B9" s="1008"/>
      <x:c r="C9" s="1008"/>
      <x:c r="D9" s="1008"/>
      <x:c r="E9" s="1008"/>
      <x:c r="F9" s="1008"/>
      <x:c r="G9" s="1008"/>
      <x:c r="H9" s="1008"/>
      <x:c r="I9" s="1011"/>
      <x:c r="J9" s="1011"/>
      <x:c r="K9" s="1011"/>
      <x:c r="L9" s="1011"/>
      <x:c r="M9" s="1011"/>
      <x:c r="N9" s="1011"/>
      <x:c r="O9" s="1011"/>
      <x:c r="P9" s="1011"/>
      <x:c r="Q9" s="1012" t="str">
        <x:v>Certification Pending</x:v>
      </x:c>
      <x:c r="R9" s="1015" t="n">
        <x:f>COUNTIF($U$14:$U$213,"CERTIFICATION REQUIRED")</x:f>
        <x:v>0</x:v>
      </x:c>
      <x:c r="S9" s="994"/>
      <x:c r="T9" s="994"/>
      <x:c r="U9" s="994"/>
      <x:c r="V9" s="994"/>
      <x:c r="W9" s="994"/>
    </x:row>
    <x:row r="10">
      <x:c r="A10" s="1008"/>
      <x:c r="B10" s="1008"/>
      <x:c r="C10" s="1008"/>
      <x:c r="D10" s="1008"/>
      <x:c r="E10" s="1008"/>
      <x:c r="F10" s="1008"/>
      <x:c r="G10" s="1008"/>
      <x:c r="H10" s="1008"/>
      <x:c r="I10" s="1011"/>
      <x:c r="J10" s="1011"/>
      <x:c r="K10" s="1011"/>
      <x:c r="L10" s="1011"/>
      <x:c r="M10" s="1011"/>
      <x:c r="N10" s="1011"/>
      <x:c r="O10" s="1011"/>
      <x:c r="P10" s="1011"/>
      <x:c r="Q10" s="1012" t="str">
        <x:v>RCC-007 Escalations</x:v>
      </x:c>
      <x:c r="R10" s="1015" t="n">
        <x:f>COUNTIF($R$14:$R$213,"Escalate to RCC-007")</x:f>
        <x:v>0</x:v>
      </x:c>
      <x:c r="S10" s="994"/>
      <x:c r="T10" s="994"/>
      <x:c r="U10" s="994"/>
      <x:c r="V10" s="994"/>
      <x:c r="W10" s="994"/>
    </x:row>
    <x:row r="12">
      <x:c r="A12" s="975" t="str">
        <x:v>RCC-003 CONTROLLED MIAR REVIEW LOG — EDIT YELLOW CELLS ONLY</x:v>
      </x:c>
      <x:c r="B12" s="975"/>
      <x:c r="C12" s="975"/>
      <x:c r="D12" s="975"/>
      <x:c r="E12" s="975"/>
      <x:c r="F12" s="975"/>
      <x:c r="G12" s="975"/>
      <x:c r="H12" s="975"/>
      <x:c r="I12" s="975"/>
      <x:c r="J12" s="975"/>
      <x:c r="K12" s="975"/>
      <x:c r="L12" s="975"/>
      <x:c r="M12" s="975"/>
      <x:c r="N12" s="975"/>
      <x:c r="O12" s="975"/>
      <x:c r="P12" s="975"/>
      <x:c r="Q12" s="975"/>
      <x:c r="R12" s="975"/>
      <x:c r="S12" s="975"/>
      <x:c r="T12" s="975"/>
      <x:c r="U12" s="975"/>
      <x:c r="V12" s="975"/>
      <x:c r="W12" s="975"/>
    </x:row>
    <x:row r="13" ht="48" customHeight="1">
      <x:c r="A13" s="958" t="str">
        <x:v>Review ID</x:v>
      </x:c>
      <x:c r="B13" s="958" t="str">
        <x:v>Review Date</x:v>
      </x:c>
      <x:c r="C13" s="958" t="str">
        <x:v>Ticker</x:v>
      </x:c>
      <x:c r="D13" s="958" t="str">
        <x:v>Security (Auto)</x:v>
      </x:c>
      <x:c r="E13" s="958" t="str">
        <x:v>Review Type</x:v>
      </x:c>
      <x:c r="F13" s="958" t="str">
        <x:v>Reviewer</x:v>
      </x:c>
      <x:c r="G13" s="958" t="str">
        <x:v>Evidence IDs Referenced</x:v>
      </x:c>
      <x:c r="H13" s="958" t="str">
        <x:v>Prior Record Status (Auto)</x:v>
      </x:c>
      <x:c r="I13" s="958" t="str">
        <x:v>Proposed Record Status</x:v>
      </x:c>
      <x:c r="J13" s="958" t="str">
        <x:v>Prior Integrity Score</x:v>
      </x:c>
      <x:c r="K13" s="958" t="str">
        <x:v>Proposed Integrity Score</x:v>
      </x:c>
      <x:c r="L13" s="958" t="str">
        <x:v>Prior MICS Score</x:v>
      </x:c>
      <x:c r="M13" s="958" t="str">
        <x:v>Proposed MICS Score</x:v>
      </x:c>
      <x:c r="N13" s="958" t="str">
        <x:v>Thesis Assessment</x:v>
      </x:c>
      <x:c r="O13" s="958" t="str">
        <x:v>Conviction Recommendation</x:v>
      </x:c>
      <x:c r="P13" s="958" t="str">
        <x:v>Review Findings Summary</x:v>
      </x:c>
      <x:c r="Q13" s="958" t="str">
        <x:v>Required MIAR Action</x:v>
      </x:c>
      <x:c r="R13" s="958" t="str">
        <x:v>Certification Recommendation</x:v>
      </x:c>
      <x:c r="S13" s="958" t="str">
        <x:v>Certified By</x:v>
      </x:c>
      <x:c r="T13" s="958" t="str">
        <x:v>Certification Date</x:v>
      </x:c>
      <x:c r="U13" s="958" t="str">
        <x:v>Control Status</x:v>
      </x:c>
      <x:c r="V13" s="958" t="str">
        <x:v>Notes / Exception Rationale</x:v>
      </x:c>
      <x:c r="W13" s="958" t="str">
        <x:v>Source / Internal Memo Reference</x:v>
      </x:c>
    </x:row>
    <x:row r="14" ht="30" customHeight="1">
      <x:c r="A14" s="1018"/>
      <x:c r="B14" s="1025"/>
      <x:c r="C14" s="1018"/>
      <x:c r="D14" s="1021" t="str">
        <x:f>IF($C14="","",IFERROR(INDEX('20 RCC-003 MIAR Registry'!$C$14:$C$60,MATCH($C14,'20 RCC-003 MIAR Registry'!$B$14:$B$60,0)),"TICKER NOT FOUND"))</x:f>
      </x:c>
      <x:c r="E14" s="1018"/>
      <x:c r="F14" s="1018"/>
      <x:c r="G14" s="1018"/>
      <x:c r="H14" s="1021" t="str">
        <x:f>IF($C14="","",IFERROR(INDEX('20 RCC-003 MIAR Registry'!$M$14:$M$60,MATCH($C14,'20 RCC-003 MIAR Registry'!$B$14:$B$60,0)),""))</x:f>
      </x:c>
      <x:c r="I14" s="1018"/>
      <x:c r="J14" s="1027" t="str">
        <x:f>IF($C14="","",IFERROR(INDEX('20 RCC-003 MIAR Registry'!$K$14:$K$60,MATCH($C14,'20 RCC-003 MIAR Registry'!$B$14:$B$60,0)),""))</x:f>
      </x:c>
      <x:c r="K14" s="1023"/>
      <x:c r="L14" s="1027" t="str">
        <x:f>IF($C14="","",IFERROR(INDEX('20 RCC-003 MIAR Registry'!$L$14:$L$60,MATCH($C14,'20 RCC-003 MIAR Registry'!$B$14:$B$60,0)),""))</x:f>
      </x:c>
      <x:c r="M14" s="1023"/>
      <x:c r="N14" s="1018"/>
      <x:c r="O14" s="1018"/>
      <x:c r="P14" s="1018"/>
      <x:c r="Q14" s="1018"/>
      <x:c r="R14" s="1018"/>
      <x:c r="S14" s="1018"/>
      <x:c r="T14" s="1025"/>
      <x:c r="U14" s="962" t="str">
        <x:f>IF($A14="","",IF(COUNTIF($A$14:$A$213,$A14)&gt;1,"DUPLICATE REVIEW ID",IF(OR($B14="",$C14="",$E14="",$F14="",$G14="",$I14="",$K14="",$M14="",$N14="",$O14="",$P14="",$Q14="",$R14="",$W14=""),"INCOMPLETE",IF(AND(OR($R14="Certify Current",$R14="Certify with Exception"),OR($S14="",$T14="")),"CERTIFICATION REQUIRED",IF(AND(NOT(OR($R14="Certify Current",$R14="Certify with Exception")),OR($S14&lt;&gt;"",$T14&lt;&gt;"")),"CERTIFICATION MISMATCH","COMPLETE")))))</x:f>
      </x:c>
      <x:c r="V14" s="1018"/>
      <x:c r="W14" s="1018"/>
    </x:row>
    <x:row r="15" ht="30" customHeight="1">
      <x:c r="A15" s="1018"/>
      <x:c r="B15" s="1025"/>
      <x:c r="C15" s="1018"/>
      <x:c r="D15" s="1021" t="str">
        <x:f>IF($C15="","",IFERROR(INDEX('20 RCC-003 MIAR Registry'!$C$14:$C$60,MATCH($C15,'20 RCC-003 MIAR Registry'!$B$14:$B$60,0)),"TICKER NOT FOUND"))</x:f>
      </x:c>
      <x:c r="E15" s="1018"/>
      <x:c r="F15" s="1018"/>
      <x:c r="G15" s="1018"/>
      <x:c r="H15" s="1021" t="str">
        <x:f>IF($C15="","",IFERROR(INDEX('20 RCC-003 MIAR Registry'!$M$14:$M$60,MATCH($C15,'20 RCC-003 MIAR Registry'!$B$14:$B$60,0)),""))</x:f>
      </x:c>
      <x:c r="I15" s="1018"/>
      <x:c r="J15" s="1027" t="str">
        <x:f>IF($C15="","",IFERROR(INDEX('20 RCC-003 MIAR Registry'!$K$14:$K$60,MATCH($C15,'20 RCC-003 MIAR Registry'!$B$14:$B$60,0)),""))</x:f>
      </x:c>
      <x:c r="K15" s="1023"/>
      <x:c r="L15" s="1027" t="str">
        <x:f>IF($C15="","",IFERROR(INDEX('20 RCC-003 MIAR Registry'!$L$14:$L$60,MATCH($C15,'20 RCC-003 MIAR Registry'!$B$14:$B$60,0)),""))</x:f>
      </x:c>
      <x:c r="M15" s="1023"/>
      <x:c r="N15" s="1018"/>
      <x:c r="O15" s="1018"/>
      <x:c r="P15" s="1018"/>
      <x:c r="Q15" s="1018"/>
      <x:c r="R15" s="1018"/>
      <x:c r="S15" s="1018"/>
      <x:c r="T15" s="1025"/>
      <x:c r="U15" s="962" t="str">
        <x:f>IF($A15="","",IF(COUNTIF($A$14:$A$213,$A15)&gt;1,"DUPLICATE REVIEW ID",IF(OR($B15="",$C15="",$E15="",$F15="",$G15="",$I15="",$K15="",$M15="",$N15="",$O15="",$P15="",$Q15="",$R15="",$W15=""),"INCOMPLETE",IF(AND(OR($R15="Certify Current",$R15="Certify with Exception"),OR($S15="",$T15="")),"CERTIFICATION REQUIRED",IF(AND(NOT(OR($R15="Certify Current",$R15="Certify with Exception")),OR($S15&lt;&gt;"",$T15&lt;&gt;"")),"CERTIFICATION MISMATCH","COMPLETE")))))</x:f>
      </x:c>
      <x:c r="V15" s="1018"/>
      <x:c r="W15" s="1018"/>
    </x:row>
    <x:row r="16" ht="30" customHeight="1">
      <x:c r="A16" s="1018"/>
      <x:c r="B16" s="1025"/>
      <x:c r="C16" s="1018"/>
      <x:c r="D16" s="1021" t="str">
        <x:f>IF($C16="","",IFERROR(INDEX('20 RCC-003 MIAR Registry'!$C$14:$C$60,MATCH($C16,'20 RCC-003 MIAR Registry'!$B$14:$B$60,0)),"TICKER NOT FOUND"))</x:f>
      </x:c>
      <x:c r="E16" s="1018"/>
      <x:c r="F16" s="1018"/>
      <x:c r="G16" s="1018"/>
      <x:c r="H16" s="1021" t="str">
        <x:f>IF($C16="","",IFERROR(INDEX('20 RCC-003 MIAR Registry'!$M$14:$M$60,MATCH($C16,'20 RCC-003 MIAR Registry'!$B$14:$B$60,0)),""))</x:f>
      </x:c>
      <x:c r="I16" s="1018"/>
      <x:c r="J16" s="1027" t="str">
        <x:f>IF($C16="","",IFERROR(INDEX('20 RCC-003 MIAR Registry'!$K$14:$K$60,MATCH($C16,'20 RCC-003 MIAR Registry'!$B$14:$B$60,0)),""))</x:f>
      </x:c>
      <x:c r="K16" s="1023"/>
      <x:c r="L16" s="1027" t="str">
        <x:f>IF($C16="","",IFERROR(INDEX('20 RCC-003 MIAR Registry'!$L$14:$L$60,MATCH($C16,'20 RCC-003 MIAR Registry'!$B$14:$B$60,0)),""))</x:f>
      </x:c>
      <x:c r="M16" s="1023"/>
      <x:c r="N16" s="1018"/>
      <x:c r="O16" s="1018"/>
      <x:c r="P16" s="1018"/>
      <x:c r="Q16" s="1018"/>
      <x:c r="R16" s="1018"/>
      <x:c r="S16" s="1018"/>
      <x:c r="T16" s="1025"/>
      <x:c r="U16" s="962" t="str">
        <x:f>IF($A16="","",IF(COUNTIF($A$14:$A$213,$A16)&gt;1,"DUPLICATE REVIEW ID",IF(OR($B16="",$C16="",$E16="",$F16="",$G16="",$I16="",$K16="",$M16="",$N16="",$O16="",$P16="",$Q16="",$R16="",$W16=""),"INCOMPLETE",IF(AND(OR($R16="Certify Current",$R16="Certify with Exception"),OR($S16="",$T16="")),"CERTIFICATION REQUIRED",IF(AND(NOT(OR($R16="Certify Current",$R16="Certify with Exception")),OR($S16&lt;&gt;"",$T16&lt;&gt;"")),"CERTIFICATION MISMATCH","COMPLETE")))))</x:f>
      </x:c>
      <x:c r="V16" s="1018"/>
      <x:c r="W16" s="1018"/>
    </x:row>
    <x:row r="17" ht="30" customHeight="1">
      <x:c r="A17" s="1018"/>
      <x:c r="B17" s="1025"/>
      <x:c r="C17" s="1018"/>
      <x:c r="D17" s="1021" t="str">
        <x:f>IF($C17="","",IFERROR(INDEX('20 RCC-003 MIAR Registry'!$C$14:$C$60,MATCH($C17,'20 RCC-003 MIAR Registry'!$B$14:$B$60,0)),"TICKER NOT FOUND"))</x:f>
      </x:c>
      <x:c r="E17" s="1018"/>
      <x:c r="F17" s="1018"/>
      <x:c r="G17" s="1018"/>
      <x:c r="H17" s="1021" t="str">
        <x:f>IF($C17="","",IFERROR(INDEX('20 RCC-003 MIAR Registry'!$M$14:$M$60,MATCH($C17,'20 RCC-003 MIAR Registry'!$B$14:$B$60,0)),""))</x:f>
      </x:c>
      <x:c r="I17" s="1018"/>
      <x:c r="J17" s="1027" t="str">
        <x:f>IF($C17="","",IFERROR(INDEX('20 RCC-003 MIAR Registry'!$K$14:$K$60,MATCH($C17,'20 RCC-003 MIAR Registry'!$B$14:$B$60,0)),""))</x:f>
      </x:c>
      <x:c r="K17" s="1023"/>
      <x:c r="L17" s="1027" t="str">
        <x:f>IF($C17="","",IFERROR(INDEX('20 RCC-003 MIAR Registry'!$L$14:$L$60,MATCH($C17,'20 RCC-003 MIAR Registry'!$B$14:$B$60,0)),""))</x:f>
      </x:c>
      <x:c r="M17" s="1023"/>
      <x:c r="N17" s="1018"/>
      <x:c r="O17" s="1018"/>
      <x:c r="P17" s="1018"/>
      <x:c r="Q17" s="1018"/>
      <x:c r="R17" s="1018"/>
      <x:c r="S17" s="1018"/>
      <x:c r="T17" s="1025"/>
      <x:c r="U17" s="962" t="str">
        <x:f>IF($A17="","",IF(COUNTIF($A$14:$A$213,$A17)&gt;1,"DUPLICATE REVIEW ID",IF(OR($B17="",$C17="",$E17="",$F17="",$G17="",$I17="",$K17="",$M17="",$N17="",$O17="",$P17="",$Q17="",$R17="",$W17=""),"INCOMPLETE",IF(AND(OR($R17="Certify Current",$R17="Certify with Exception"),OR($S17="",$T17="")),"CERTIFICATION REQUIRED",IF(AND(NOT(OR($R17="Certify Current",$R17="Certify with Exception")),OR($S17&lt;&gt;"",$T17&lt;&gt;"")),"CERTIFICATION MISMATCH","COMPLETE")))))</x:f>
      </x:c>
      <x:c r="V17" s="1018"/>
      <x:c r="W17" s="1018"/>
    </x:row>
    <x:row r="18" ht="30" customHeight="1">
      <x:c r="A18" s="1018"/>
      <x:c r="B18" s="1025"/>
      <x:c r="C18" s="1018"/>
      <x:c r="D18" s="1021" t="str">
        <x:f>IF($C18="","",IFERROR(INDEX('20 RCC-003 MIAR Registry'!$C$14:$C$60,MATCH($C18,'20 RCC-003 MIAR Registry'!$B$14:$B$60,0)),"TICKER NOT FOUND"))</x:f>
      </x:c>
      <x:c r="E18" s="1018"/>
      <x:c r="F18" s="1018"/>
      <x:c r="G18" s="1018"/>
      <x:c r="H18" s="1021" t="str">
        <x:f>IF($C18="","",IFERROR(INDEX('20 RCC-003 MIAR Registry'!$M$14:$M$60,MATCH($C18,'20 RCC-003 MIAR Registry'!$B$14:$B$60,0)),""))</x:f>
      </x:c>
      <x:c r="I18" s="1018"/>
      <x:c r="J18" s="1027" t="str">
        <x:f>IF($C18="","",IFERROR(INDEX('20 RCC-003 MIAR Registry'!$K$14:$K$60,MATCH($C18,'20 RCC-003 MIAR Registry'!$B$14:$B$60,0)),""))</x:f>
      </x:c>
      <x:c r="K18" s="1023"/>
      <x:c r="L18" s="1027" t="str">
        <x:f>IF($C18="","",IFERROR(INDEX('20 RCC-003 MIAR Registry'!$L$14:$L$60,MATCH($C18,'20 RCC-003 MIAR Registry'!$B$14:$B$60,0)),""))</x:f>
      </x:c>
      <x:c r="M18" s="1023"/>
      <x:c r="N18" s="1018"/>
      <x:c r="O18" s="1018"/>
      <x:c r="P18" s="1018"/>
      <x:c r="Q18" s="1018"/>
      <x:c r="R18" s="1018"/>
      <x:c r="S18" s="1018"/>
      <x:c r="T18" s="1025"/>
      <x:c r="U18" s="962" t="str">
        <x:f>IF($A18="","",IF(COUNTIF($A$14:$A$213,$A18)&gt;1,"DUPLICATE REVIEW ID",IF(OR($B18="",$C18="",$E18="",$F18="",$G18="",$I18="",$K18="",$M18="",$N18="",$O18="",$P18="",$Q18="",$R18="",$W18=""),"INCOMPLETE",IF(AND(OR($R18="Certify Current",$R18="Certify with Exception"),OR($S18="",$T18="")),"CERTIFICATION REQUIRED",IF(AND(NOT(OR($R18="Certify Current",$R18="Certify with Exception")),OR($S18&lt;&gt;"",$T18&lt;&gt;"")),"CERTIFICATION MISMATCH","COMPLETE")))))</x:f>
      </x:c>
      <x:c r="V18" s="1018"/>
      <x:c r="W18" s="1018"/>
    </x:row>
    <x:row r="19" ht="30" customHeight="1">
      <x:c r="A19" s="1018"/>
      <x:c r="B19" s="1025"/>
      <x:c r="C19" s="1018"/>
      <x:c r="D19" s="1021" t="str">
        <x:f>IF($C19="","",IFERROR(INDEX('20 RCC-003 MIAR Registry'!$C$14:$C$60,MATCH($C19,'20 RCC-003 MIAR Registry'!$B$14:$B$60,0)),"TICKER NOT FOUND"))</x:f>
      </x:c>
      <x:c r="E19" s="1018"/>
      <x:c r="F19" s="1018"/>
      <x:c r="G19" s="1018"/>
      <x:c r="H19" s="1021" t="str">
        <x:f>IF($C19="","",IFERROR(INDEX('20 RCC-003 MIAR Registry'!$M$14:$M$60,MATCH($C19,'20 RCC-003 MIAR Registry'!$B$14:$B$60,0)),""))</x:f>
      </x:c>
      <x:c r="I19" s="1018"/>
      <x:c r="J19" s="1027" t="str">
        <x:f>IF($C19="","",IFERROR(INDEX('20 RCC-003 MIAR Registry'!$K$14:$K$60,MATCH($C19,'20 RCC-003 MIAR Registry'!$B$14:$B$60,0)),""))</x:f>
      </x:c>
      <x:c r="K19" s="1023"/>
      <x:c r="L19" s="1027" t="str">
        <x:f>IF($C19="","",IFERROR(INDEX('20 RCC-003 MIAR Registry'!$L$14:$L$60,MATCH($C19,'20 RCC-003 MIAR Registry'!$B$14:$B$60,0)),""))</x:f>
      </x:c>
      <x:c r="M19" s="1023"/>
      <x:c r="N19" s="1018"/>
      <x:c r="O19" s="1018"/>
      <x:c r="P19" s="1018"/>
      <x:c r="Q19" s="1018"/>
      <x:c r="R19" s="1018"/>
      <x:c r="S19" s="1018"/>
      <x:c r="T19" s="1025"/>
      <x:c r="U19" s="962" t="str">
        <x:f>IF($A19="","",IF(COUNTIF($A$14:$A$213,$A19)&gt;1,"DUPLICATE REVIEW ID",IF(OR($B19="",$C19="",$E19="",$F19="",$G19="",$I19="",$K19="",$M19="",$N19="",$O19="",$P19="",$Q19="",$R19="",$W19=""),"INCOMPLETE",IF(AND(OR($R19="Certify Current",$R19="Certify with Exception"),OR($S19="",$T19="")),"CERTIFICATION REQUIRED",IF(AND(NOT(OR($R19="Certify Current",$R19="Certify with Exception")),OR($S19&lt;&gt;"",$T19&lt;&gt;"")),"CERTIFICATION MISMATCH","COMPLETE")))))</x:f>
      </x:c>
      <x:c r="V19" s="1018"/>
      <x:c r="W19" s="1018"/>
    </x:row>
    <x:row r="20" ht="30" customHeight="1">
      <x:c r="A20" s="1018"/>
      <x:c r="B20" s="1025"/>
      <x:c r="C20" s="1018"/>
      <x:c r="D20" s="1021" t="str">
        <x:f>IF($C20="","",IFERROR(INDEX('20 RCC-003 MIAR Registry'!$C$14:$C$60,MATCH($C20,'20 RCC-003 MIAR Registry'!$B$14:$B$60,0)),"TICKER NOT FOUND"))</x:f>
      </x:c>
      <x:c r="E20" s="1018"/>
      <x:c r="F20" s="1018"/>
      <x:c r="G20" s="1018"/>
      <x:c r="H20" s="1021" t="str">
        <x:f>IF($C20="","",IFERROR(INDEX('20 RCC-003 MIAR Registry'!$M$14:$M$60,MATCH($C20,'20 RCC-003 MIAR Registry'!$B$14:$B$60,0)),""))</x:f>
      </x:c>
      <x:c r="I20" s="1018"/>
      <x:c r="J20" s="1027" t="str">
        <x:f>IF($C20="","",IFERROR(INDEX('20 RCC-003 MIAR Registry'!$K$14:$K$60,MATCH($C20,'20 RCC-003 MIAR Registry'!$B$14:$B$60,0)),""))</x:f>
      </x:c>
      <x:c r="K20" s="1023"/>
      <x:c r="L20" s="1027" t="str">
        <x:f>IF($C20="","",IFERROR(INDEX('20 RCC-003 MIAR Registry'!$L$14:$L$60,MATCH($C20,'20 RCC-003 MIAR Registry'!$B$14:$B$60,0)),""))</x:f>
      </x:c>
      <x:c r="M20" s="1023"/>
      <x:c r="N20" s="1018"/>
      <x:c r="O20" s="1018"/>
      <x:c r="P20" s="1018"/>
      <x:c r="Q20" s="1018"/>
      <x:c r="R20" s="1018"/>
      <x:c r="S20" s="1018"/>
      <x:c r="T20" s="1025"/>
      <x:c r="U20" s="962" t="str">
        <x:f>IF($A20="","",IF(COUNTIF($A$14:$A$213,$A20)&gt;1,"DUPLICATE REVIEW ID",IF(OR($B20="",$C20="",$E20="",$F20="",$G20="",$I20="",$K20="",$M20="",$N20="",$O20="",$P20="",$Q20="",$R20="",$W20=""),"INCOMPLETE",IF(AND(OR($R20="Certify Current",$R20="Certify with Exception"),OR($S20="",$T20="")),"CERTIFICATION REQUIRED",IF(AND(NOT(OR($R20="Certify Current",$R20="Certify with Exception")),OR($S20&lt;&gt;"",$T20&lt;&gt;"")),"CERTIFICATION MISMATCH","COMPLETE")))))</x:f>
      </x:c>
      <x:c r="V20" s="1018"/>
      <x:c r="W20" s="1018"/>
    </x:row>
    <x:row r="21" ht="30" customHeight="1">
      <x:c r="A21" s="1018"/>
      <x:c r="B21" s="1025"/>
      <x:c r="C21" s="1018"/>
      <x:c r="D21" s="1021" t="str">
        <x:f>IF($C21="","",IFERROR(INDEX('20 RCC-003 MIAR Registry'!$C$14:$C$60,MATCH($C21,'20 RCC-003 MIAR Registry'!$B$14:$B$60,0)),"TICKER NOT FOUND"))</x:f>
      </x:c>
      <x:c r="E21" s="1018"/>
      <x:c r="F21" s="1018"/>
      <x:c r="G21" s="1018"/>
      <x:c r="H21" s="1021" t="str">
        <x:f>IF($C21="","",IFERROR(INDEX('20 RCC-003 MIAR Registry'!$M$14:$M$60,MATCH($C21,'20 RCC-003 MIAR Registry'!$B$14:$B$60,0)),""))</x:f>
      </x:c>
      <x:c r="I21" s="1018"/>
      <x:c r="J21" s="1027" t="str">
        <x:f>IF($C21="","",IFERROR(INDEX('20 RCC-003 MIAR Registry'!$K$14:$K$60,MATCH($C21,'20 RCC-003 MIAR Registry'!$B$14:$B$60,0)),""))</x:f>
      </x:c>
      <x:c r="K21" s="1023"/>
      <x:c r="L21" s="1027" t="str">
        <x:f>IF($C21="","",IFERROR(INDEX('20 RCC-003 MIAR Registry'!$L$14:$L$60,MATCH($C21,'20 RCC-003 MIAR Registry'!$B$14:$B$60,0)),""))</x:f>
      </x:c>
      <x:c r="M21" s="1023"/>
      <x:c r="N21" s="1018"/>
      <x:c r="O21" s="1018"/>
      <x:c r="P21" s="1018"/>
      <x:c r="Q21" s="1018"/>
      <x:c r="R21" s="1018"/>
      <x:c r="S21" s="1018"/>
      <x:c r="T21" s="1025"/>
      <x:c r="U21" s="962" t="str">
        <x:f>IF($A21="","",IF(COUNTIF($A$14:$A$213,$A21)&gt;1,"DUPLICATE REVIEW ID",IF(OR($B21="",$C21="",$E21="",$F21="",$G21="",$I21="",$K21="",$M21="",$N21="",$O21="",$P21="",$Q21="",$R21="",$W21=""),"INCOMPLETE",IF(AND(OR($R21="Certify Current",$R21="Certify with Exception"),OR($S21="",$T21="")),"CERTIFICATION REQUIRED",IF(AND(NOT(OR($R21="Certify Current",$R21="Certify with Exception")),OR($S21&lt;&gt;"",$T21&lt;&gt;"")),"CERTIFICATION MISMATCH","COMPLETE")))))</x:f>
      </x:c>
      <x:c r="V21" s="1018"/>
      <x:c r="W21" s="1018"/>
    </x:row>
    <x:row r="22" ht="30" customHeight="1">
      <x:c r="A22" s="1018"/>
      <x:c r="B22" s="1025"/>
      <x:c r="C22" s="1018"/>
      <x:c r="D22" s="1021" t="str">
        <x:f>IF($C22="","",IFERROR(INDEX('20 RCC-003 MIAR Registry'!$C$14:$C$60,MATCH($C22,'20 RCC-003 MIAR Registry'!$B$14:$B$60,0)),"TICKER NOT FOUND"))</x:f>
      </x:c>
      <x:c r="E22" s="1018"/>
      <x:c r="F22" s="1018"/>
      <x:c r="G22" s="1018"/>
      <x:c r="H22" s="1021" t="str">
        <x:f>IF($C22="","",IFERROR(INDEX('20 RCC-003 MIAR Registry'!$M$14:$M$60,MATCH($C22,'20 RCC-003 MIAR Registry'!$B$14:$B$60,0)),""))</x:f>
      </x:c>
      <x:c r="I22" s="1018"/>
      <x:c r="J22" s="1027" t="str">
        <x:f>IF($C22="","",IFERROR(INDEX('20 RCC-003 MIAR Registry'!$K$14:$K$60,MATCH($C22,'20 RCC-003 MIAR Registry'!$B$14:$B$60,0)),""))</x:f>
      </x:c>
      <x:c r="K22" s="1023"/>
      <x:c r="L22" s="1027" t="str">
        <x:f>IF($C22="","",IFERROR(INDEX('20 RCC-003 MIAR Registry'!$L$14:$L$60,MATCH($C22,'20 RCC-003 MIAR Registry'!$B$14:$B$60,0)),""))</x:f>
      </x:c>
      <x:c r="M22" s="1023"/>
      <x:c r="N22" s="1018"/>
      <x:c r="O22" s="1018"/>
      <x:c r="P22" s="1018"/>
      <x:c r="Q22" s="1018"/>
      <x:c r="R22" s="1018"/>
      <x:c r="S22" s="1018"/>
      <x:c r="T22" s="1025"/>
      <x:c r="U22" s="962" t="str">
        <x:f>IF($A22="","",IF(COUNTIF($A$14:$A$213,$A22)&gt;1,"DUPLICATE REVIEW ID",IF(OR($B22="",$C22="",$E22="",$F22="",$G22="",$I22="",$K22="",$M22="",$N22="",$O22="",$P22="",$Q22="",$R22="",$W22=""),"INCOMPLETE",IF(AND(OR($R22="Certify Current",$R22="Certify with Exception"),OR($S22="",$T22="")),"CERTIFICATION REQUIRED",IF(AND(NOT(OR($R22="Certify Current",$R22="Certify with Exception")),OR($S22&lt;&gt;"",$T22&lt;&gt;"")),"CERTIFICATION MISMATCH","COMPLETE")))))</x:f>
      </x:c>
      <x:c r="V22" s="1018"/>
      <x:c r="W22" s="1018"/>
    </x:row>
    <x:row r="23" ht="30" customHeight="1">
      <x:c r="A23" s="1018"/>
      <x:c r="B23" s="1025"/>
      <x:c r="C23" s="1018"/>
      <x:c r="D23" s="1021" t="str">
        <x:f>IF($C23="","",IFERROR(INDEX('20 RCC-003 MIAR Registry'!$C$14:$C$60,MATCH($C23,'20 RCC-003 MIAR Registry'!$B$14:$B$60,0)),"TICKER NOT FOUND"))</x:f>
      </x:c>
      <x:c r="E23" s="1018"/>
      <x:c r="F23" s="1018"/>
      <x:c r="G23" s="1018"/>
      <x:c r="H23" s="1021" t="str">
        <x:f>IF($C23="","",IFERROR(INDEX('20 RCC-003 MIAR Registry'!$M$14:$M$60,MATCH($C23,'20 RCC-003 MIAR Registry'!$B$14:$B$60,0)),""))</x:f>
      </x:c>
      <x:c r="I23" s="1018"/>
      <x:c r="J23" s="1027" t="str">
        <x:f>IF($C23="","",IFERROR(INDEX('20 RCC-003 MIAR Registry'!$K$14:$K$60,MATCH($C23,'20 RCC-003 MIAR Registry'!$B$14:$B$60,0)),""))</x:f>
      </x:c>
      <x:c r="K23" s="1023"/>
      <x:c r="L23" s="1027" t="str">
        <x:f>IF($C23="","",IFERROR(INDEX('20 RCC-003 MIAR Registry'!$L$14:$L$60,MATCH($C23,'20 RCC-003 MIAR Registry'!$B$14:$B$60,0)),""))</x:f>
      </x:c>
      <x:c r="M23" s="1023"/>
      <x:c r="N23" s="1018"/>
      <x:c r="O23" s="1018"/>
      <x:c r="P23" s="1018"/>
      <x:c r="Q23" s="1018"/>
      <x:c r="R23" s="1018"/>
      <x:c r="S23" s="1018"/>
      <x:c r="T23" s="1025"/>
      <x:c r="U23" s="962" t="str">
        <x:f>IF($A23="","",IF(COUNTIF($A$14:$A$213,$A23)&gt;1,"DUPLICATE REVIEW ID",IF(OR($B23="",$C23="",$E23="",$F23="",$G23="",$I23="",$K23="",$M23="",$N23="",$O23="",$P23="",$Q23="",$R23="",$W23=""),"INCOMPLETE",IF(AND(OR($R23="Certify Current",$R23="Certify with Exception"),OR($S23="",$T23="")),"CERTIFICATION REQUIRED",IF(AND(NOT(OR($R23="Certify Current",$R23="Certify with Exception")),OR($S23&lt;&gt;"",$T23&lt;&gt;"")),"CERTIFICATION MISMATCH","COMPLETE")))))</x:f>
      </x:c>
      <x:c r="V23" s="1018"/>
      <x:c r="W23" s="1018"/>
    </x:row>
    <x:row r="24" ht="30" customHeight="1">
      <x:c r="A24" s="1018"/>
      <x:c r="B24" s="1025"/>
      <x:c r="C24" s="1018"/>
      <x:c r="D24" s="1021" t="str">
        <x:f>IF($C24="","",IFERROR(INDEX('20 RCC-003 MIAR Registry'!$C$14:$C$60,MATCH($C24,'20 RCC-003 MIAR Registry'!$B$14:$B$60,0)),"TICKER NOT FOUND"))</x:f>
      </x:c>
      <x:c r="E24" s="1018"/>
      <x:c r="F24" s="1018"/>
      <x:c r="G24" s="1018"/>
      <x:c r="H24" s="1021" t="str">
        <x:f>IF($C24="","",IFERROR(INDEX('20 RCC-003 MIAR Registry'!$M$14:$M$60,MATCH($C24,'20 RCC-003 MIAR Registry'!$B$14:$B$60,0)),""))</x:f>
      </x:c>
      <x:c r="I24" s="1018"/>
      <x:c r="J24" s="1027" t="str">
        <x:f>IF($C24="","",IFERROR(INDEX('20 RCC-003 MIAR Registry'!$K$14:$K$60,MATCH($C24,'20 RCC-003 MIAR Registry'!$B$14:$B$60,0)),""))</x:f>
      </x:c>
      <x:c r="K24" s="1023"/>
      <x:c r="L24" s="1027" t="str">
        <x:f>IF($C24="","",IFERROR(INDEX('20 RCC-003 MIAR Registry'!$L$14:$L$60,MATCH($C24,'20 RCC-003 MIAR Registry'!$B$14:$B$60,0)),""))</x:f>
      </x:c>
      <x:c r="M24" s="1023"/>
      <x:c r="N24" s="1018"/>
      <x:c r="O24" s="1018"/>
      <x:c r="P24" s="1018"/>
      <x:c r="Q24" s="1018"/>
      <x:c r="R24" s="1018"/>
      <x:c r="S24" s="1018"/>
      <x:c r="T24" s="1025"/>
      <x:c r="U24" s="962" t="str">
        <x:f>IF($A24="","",IF(COUNTIF($A$14:$A$213,$A24)&gt;1,"DUPLICATE REVIEW ID",IF(OR($B24="",$C24="",$E24="",$F24="",$G24="",$I24="",$K24="",$M24="",$N24="",$O24="",$P24="",$Q24="",$R24="",$W24=""),"INCOMPLETE",IF(AND(OR($R24="Certify Current",$R24="Certify with Exception"),OR($S24="",$T24="")),"CERTIFICATION REQUIRED",IF(AND(NOT(OR($R24="Certify Current",$R24="Certify with Exception")),OR($S24&lt;&gt;"",$T24&lt;&gt;"")),"CERTIFICATION MISMATCH","COMPLETE")))))</x:f>
      </x:c>
      <x:c r="V24" s="1018"/>
      <x:c r="W24" s="1018"/>
    </x:row>
    <x:row r="25" ht="30" customHeight="1">
      <x:c r="A25" s="1018"/>
      <x:c r="B25" s="1025"/>
      <x:c r="C25" s="1018"/>
      <x:c r="D25" s="1021" t="str">
        <x:f>IF($C25="","",IFERROR(INDEX('20 RCC-003 MIAR Registry'!$C$14:$C$60,MATCH($C25,'20 RCC-003 MIAR Registry'!$B$14:$B$60,0)),"TICKER NOT FOUND"))</x:f>
      </x:c>
      <x:c r="E25" s="1018"/>
      <x:c r="F25" s="1018"/>
      <x:c r="G25" s="1018"/>
      <x:c r="H25" s="1021" t="str">
        <x:f>IF($C25="","",IFERROR(INDEX('20 RCC-003 MIAR Registry'!$M$14:$M$60,MATCH($C25,'20 RCC-003 MIAR Registry'!$B$14:$B$60,0)),""))</x:f>
      </x:c>
      <x:c r="I25" s="1018"/>
      <x:c r="J25" s="1027" t="str">
        <x:f>IF($C25="","",IFERROR(INDEX('20 RCC-003 MIAR Registry'!$K$14:$K$60,MATCH($C25,'20 RCC-003 MIAR Registry'!$B$14:$B$60,0)),""))</x:f>
      </x:c>
      <x:c r="K25" s="1023"/>
      <x:c r="L25" s="1027" t="str">
        <x:f>IF($C25="","",IFERROR(INDEX('20 RCC-003 MIAR Registry'!$L$14:$L$60,MATCH($C25,'20 RCC-003 MIAR Registry'!$B$14:$B$60,0)),""))</x:f>
      </x:c>
      <x:c r="M25" s="1023"/>
      <x:c r="N25" s="1018"/>
      <x:c r="O25" s="1018"/>
      <x:c r="P25" s="1018"/>
      <x:c r="Q25" s="1018"/>
      <x:c r="R25" s="1018"/>
      <x:c r="S25" s="1018"/>
      <x:c r="T25" s="1025"/>
      <x:c r="U25" s="962" t="str">
        <x:f>IF($A25="","",IF(COUNTIF($A$14:$A$213,$A25)&gt;1,"DUPLICATE REVIEW ID",IF(OR($B25="",$C25="",$E25="",$F25="",$G25="",$I25="",$K25="",$M25="",$N25="",$O25="",$P25="",$Q25="",$R25="",$W25=""),"INCOMPLETE",IF(AND(OR($R25="Certify Current",$R25="Certify with Exception"),OR($S25="",$T25="")),"CERTIFICATION REQUIRED",IF(AND(NOT(OR($R25="Certify Current",$R25="Certify with Exception")),OR($S25&lt;&gt;"",$T25&lt;&gt;"")),"CERTIFICATION MISMATCH","COMPLETE")))))</x:f>
      </x:c>
      <x:c r="V25" s="1018"/>
      <x:c r="W25" s="1018"/>
    </x:row>
    <x:row r="26" ht="30" customHeight="1">
      <x:c r="A26" s="1018"/>
      <x:c r="B26" s="1025"/>
      <x:c r="C26" s="1018"/>
      <x:c r="D26" s="1021" t="str">
        <x:f>IF($C26="","",IFERROR(INDEX('20 RCC-003 MIAR Registry'!$C$14:$C$60,MATCH($C26,'20 RCC-003 MIAR Registry'!$B$14:$B$60,0)),"TICKER NOT FOUND"))</x:f>
      </x:c>
      <x:c r="E26" s="1018"/>
      <x:c r="F26" s="1018"/>
      <x:c r="G26" s="1018"/>
      <x:c r="H26" s="1021" t="str">
        <x:f>IF($C26="","",IFERROR(INDEX('20 RCC-003 MIAR Registry'!$M$14:$M$60,MATCH($C26,'20 RCC-003 MIAR Registry'!$B$14:$B$60,0)),""))</x:f>
      </x:c>
      <x:c r="I26" s="1018"/>
      <x:c r="J26" s="1027" t="str">
        <x:f>IF($C26="","",IFERROR(INDEX('20 RCC-003 MIAR Registry'!$K$14:$K$60,MATCH($C26,'20 RCC-003 MIAR Registry'!$B$14:$B$60,0)),""))</x:f>
      </x:c>
      <x:c r="K26" s="1023"/>
      <x:c r="L26" s="1027" t="str">
        <x:f>IF($C26="","",IFERROR(INDEX('20 RCC-003 MIAR Registry'!$L$14:$L$60,MATCH($C26,'20 RCC-003 MIAR Registry'!$B$14:$B$60,0)),""))</x:f>
      </x:c>
      <x:c r="M26" s="1023"/>
      <x:c r="N26" s="1018"/>
      <x:c r="O26" s="1018"/>
      <x:c r="P26" s="1018"/>
      <x:c r="Q26" s="1018"/>
      <x:c r="R26" s="1018"/>
      <x:c r="S26" s="1018"/>
      <x:c r="T26" s="1025"/>
      <x:c r="U26" s="962" t="str">
        <x:f>IF($A26="","",IF(COUNTIF($A$14:$A$213,$A26)&gt;1,"DUPLICATE REVIEW ID",IF(OR($B26="",$C26="",$E26="",$F26="",$G26="",$I26="",$K26="",$M26="",$N26="",$O26="",$P26="",$Q26="",$R26="",$W26=""),"INCOMPLETE",IF(AND(OR($R26="Certify Current",$R26="Certify with Exception"),OR($S26="",$T26="")),"CERTIFICATION REQUIRED",IF(AND(NOT(OR($R26="Certify Current",$R26="Certify with Exception")),OR($S26&lt;&gt;"",$T26&lt;&gt;"")),"CERTIFICATION MISMATCH","COMPLETE")))))</x:f>
      </x:c>
      <x:c r="V26" s="1018"/>
      <x:c r="W26" s="1018"/>
    </x:row>
    <x:row r="27" ht="30" customHeight="1">
      <x:c r="A27" s="1018"/>
      <x:c r="B27" s="1025"/>
      <x:c r="C27" s="1018"/>
      <x:c r="D27" s="1021" t="str">
        <x:f>IF($C27="","",IFERROR(INDEX('20 RCC-003 MIAR Registry'!$C$14:$C$60,MATCH($C27,'20 RCC-003 MIAR Registry'!$B$14:$B$60,0)),"TICKER NOT FOUND"))</x:f>
      </x:c>
      <x:c r="E27" s="1018"/>
      <x:c r="F27" s="1018"/>
      <x:c r="G27" s="1018"/>
      <x:c r="H27" s="1021" t="str">
        <x:f>IF($C27="","",IFERROR(INDEX('20 RCC-003 MIAR Registry'!$M$14:$M$60,MATCH($C27,'20 RCC-003 MIAR Registry'!$B$14:$B$60,0)),""))</x:f>
      </x:c>
      <x:c r="I27" s="1018"/>
      <x:c r="J27" s="1027" t="str">
        <x:f>IF($C27="","",IFERROR(INDEX('20 RCC-003 MIAR Registry'!$K$14:$K$60,MATCH($C27,'20 RCC-003 MIAR Registry'!$B$14:$B$60,0)),""))</x:f>
      </x:c>
      <x:c r="K27" s="1023"/>
      <x:c r="L27" s="1027" t="str">
        <x:f>IF($C27="","",IFERROR(INDEX('20 RCC-003 MIAR Registry'!$L$14:$L$60,MATCH($C27,'20 RCC-003 MIAR Registry'!$B$14:$B$60,0)),""))</x:f>
      </x:c>
      <x:c r="M27" s="1023"/>
      <x:c r="N27" s="1018"/>
      <x:c r="O27" s="1018"/>
      <x:c r="P27" s="1018"/>
      <x:c r="Q27" s="1018"/>
      <x:c r="R27" s="1018"/>
      <x:c r="S27" s="1018"/>
      <x:c r="T27" s="1025"/>
      <x:c r="U27" s="962" t="str">
        <x:f>IF($A27="","",IF(COUNTIF($A$14:$A$213,$A27)&gt;1,"DUPLICATE REVIEW ID",IF(OR($B27="",$C27="",$E27="",$F27="",$G27="",$I27="",$K27="",$M27="",$N27="",$O27="",$P27="",$Q27="",$R27="",$W27=""),"INCOMPLETE",IF(AND(OR($R27="Certify Current",$R27="Certify with Exception"),OR($S27="",$T27="")),"CERTIFICATION REQUIRED",IF(AND(NOT(OR($R27="Certify Current",$R27="Certify with Exception")),OR($S27&lt;&gt;"",$T27&lt;&gt;"")),"CERTIFICATION MISMATCH","COMPLETE")))))</x:f>
      </x:c>
      <x:c r="V27" s="1018"/>
      <x:c r="W27" s="1018"/>
    </x:row>
    <x:row r="28" ht="30" customHeight="1">
      <x:c r="A28" s="1018"/>
      <x:c r="B28" s="1025"/>
      <x:c r="C28" s="1018"/>
      <x:c r="D28" s="1021" t="str">
        <x:f>IF($C28="","",IFERROR(INDEX('20 RCC-003 MIAR Registry'!$C$14:$C$60,MATCH($C28,'20 RCC-003 MIAR Registry'!$B$14:$B$60,0)),"TICKER NOT FOUND"))</x:f>
      </x:c>
      <x:c r="E28" s="1018"/>
      <x:c r="F28" s="1018"/>
      <x:c r="G28" s="1018"/>
      <x:c r="H28" s="1021" t="str">
        <x:f>IF($C28="","",IFERROR(INDEX('20 RCC-003 MIAR Registry'!$M$14:$M$60,MATCH($C28,'20 RCC-003 MIAR Registry'!$B$14:$B$60,0)),""))</x:f>
      </x:c>
      <x:c r="I28" s="1018"/>
      <x:c r="J28" s="1027" t="str">
        <x:f>IF($C28="","",IFERROR(INDEX('20 RCC-003 MIAR Registry'!$K$14:$K$60,MATCH($C28,'20 RCC-003 MIAR Registry'!$B$14:$B$60,0)),""))</x:f>
      </x:c>
      <x:c r="K28" s="1023"/>
      <x:c r="L28" s="1027" t="str">
        <x:f>IF($C28="","",IFERROR(INDEX('20 RCC-003 MIAR Registry'!$L$14:$L$60,MATCH($C28,'20 RCC-003 MIAR Registry'!$B$14:$B$60,0)),""))</x:f>
      </x:c>
      <x:c r="M28" s="1023"/>
      <x:c r="N28" s="1018"/>
      <x:c r="O28" s="1018"/>
      <x:c r="P28" s="1018"/>
      <x:c r="Q28" s="1018"/>
      <x:c r="R28" s="1018"/>
      <x:c r="S28" s="1018"/>
      <x:c r="T28" s="1025"/>
      <x:c r="U28" s="962" t="str">
        <x:f>IF($A28="","",IF(COUNTIF($A$14:$A$213,$A28)&gt;1,"DUPLICATE REVIEW ID",IF(OR($B28="",$C28="",$E28="",$F28="",$G28="",$I28="",$K28="",$M28="",$N28="",$O28="",$P28="",$Q28="",$R28="",$W28=""),"INCOMPLETE",IF(AND(OR($R28="Certify Current",$R28="Certify with Exception"),OR($S28="",$T28="")),"CERTIFICATION REQUIRED",IF(AND(NOT(OR($R28="Certify Current",$R28="Certify with Exception")),OR($S28&lt;&gt;"",$T28&lt;&gt;"")),"CERTIFICATION MISMATCH","COMPLETE")))))</x:f>
      </x:c>
      <x:c r="V28" s="1018"/>
      <x:c r="W28" s="1018"/>
    </x:row>
    <x:row r="29" ht="30" customHeight="1">
      <x:c r="A29" s="1018"/>
      <x:c r="B29" s="1025"/>
      <x:c r="C29" s="1018"/>
      <x:c r="D29" s="1021" t="str">
        <x:f>IF($C29="","",IFERROR(INDEX('20 RCC-003 MIAR Registry'!$C$14:$C$60,MATCH($C29,'20 RCC-003 MIAR Registry'!$B$14:$B$60,0)),"TICKER NOT FOUND"))</x:f>
      </x:c>
      <x:c r="E29" s="1018"/>
      <x:c r="F29" s="1018"/>
      <x:c r="G29" s="1018"/>
      <x:c r="H29" s="1021" t="str">
        <x:f>IF($C29="","",IFERROR(INDEX('20 RCC-003 MIAR Registry'!$M$14:$M$60,MATCH($C29,'20 RCC-003 MIAR Registry'!$B$14:$B$60,0)),""))</x:f>
      </x:c>
      <x:c r="I29" s="1018"/>
      <x:c r="J29" s="1027" t="str">
        <x:f>IF($C29="","",IFERROR(INDEX('20 RCC-003 MIAR Registry'!$K$14:$K$60,MATCH($C29,'20 RCC-003 MIAR Registry'!$B$14:$B$60,0)),""))</x:f>
      </x:c>
      <x:c r="K29" s="1023"/>
      <x:c r="L29" s="1027" t="str">
        <x:f>IF($C29="","",IFERROR(INDEX('20 RCC-003 MIAR Registry'!$L$14:$L$60,MATCH($C29,'20 RCC-003 MIAR Registry'!$B$14:$B$60,0)),""))</x:f>
      </x:c>
      <x:c r="M29" s="1023"/>
      <x:c r="N29" s="1018"/>
      <x:c r="O29" s="1018"/>
      <x:c r="P29" s="1018"/>
      <x:c r="Q29" s="1018"/>
      <x:c r="R29" s="1018"/>
      <x:c r="S29" s="1018"/>
      <x:c r="T29" s="1025"/>
      <x:c r="U29" s="962" t="str">
        <x:f>IF($A29="","",IF(COUNTIF($A$14:$A$213,$A29)&gt;1,"DUPLICATE REVIEW ID",IF(OR($B29="",$C29="",$E29="",$F29="",$G29="",$I29="",$K29="",$M29="",$N29="",$O29="",$P29="",$Q29="",$R29="",$W29=""),"INCOMPLETE",IF(AND(OR($R29="Certify Current",$R29="Certify with Exception"),OR($S29="",$T29="")),"CERTIFICATION REQUIRED",IF(AND(NOT(OR($R29="Certify Current",$R29="Certify with Exception")),OR($S29&lt;&gt;"",$T29&lt;&gt;"")),"CERTIFICATION MISMATCH","COMPLETE")))))</x:f>
      </x:c>
      <x:c r="V29" s="1018"/>
      <x:c r="W29" s="1018"/>
    </x:row>
    <x:row r="30" ht="30" customHeight="1">
      <x:c r="A30" s="1018"/>
      <x:c r="B30" s="1025"/>
      <x:c r="C30" s="1018"/>
      <x:c r="D30" s="1021" t="str">
        <x:f>IF($C30="","",IFERROR(INDEX('20 RCC-003 MIAR Registry'!$C$14:$C$60,MATCH($C30,'20 RCC-003 MIAR Registry'!$B$14:$B$60,0)),"TICKER NOT FOUND"))</x:f>
      </x:c>
      <x:c r="E30" s="1018"/>
      <x:c r="F30" s="1018"/>
      <x:c r="G30" s="1018"/>
      <x:c r="H30" s="1021" t="str">
        <x:f>IF($C30="","",IFERROR(INDEX('20 RCC-003 MIAR Registry'!$M$14:$M$60,MATCH($C30,'20 RCC-003 MIAR Registry'!$B$14:$B$60,0)),""))</x:f>
      </x:c>
      <x:c r="I30" s="1018"/>
      <x:c r="J30" s="1027" t="str">
        <x:f>IF($C30="","",IFERROR(INDEX('20 RCC-003 MIAR Registry'!$K$14:$K$60,MATCH($C30,'20 RCC-003 MIAR Registry'!$B$14:$B$60,0)),""))</x:f>
      </x:c>
      <x:c r="K30" s="1023"/>
      <x:c r="L30" s="1027" t="str">
        <x:f>IF($C30="","",IFERROR(INDEX('20 RCC-003 MIAR Registry'!$L$14:$L$60,MATCH($C30,'20 RCC-003 MIAR Registry'!$B$14:$B$60,0)),""))</x:f>
      </x:c>
      <x:c r="M30" s="1023"/>
      <x:c r="N30" s="1018"/>
      <x:c r="O30" s="1018"/>
      <x:c r="P30" s="1018"/>
      <x:c r="Q30" s="1018"/>
      <x:c r="R30" s="1018"/>
      <x:c r="S30" s="1018"/>
      <x:c r="T30" s="1025"/>
      <x:c r="U30" s="962" t="str">
        <x:f>IF($A30="","",IF(COUNTIF($A$14:$A$213,$A30)&gt;1,"DUPLICATE REVIEW ID",IF(OR($B30="",$C30="",$E30="",$F30="",$G30="",$I30="",$K30="",$M30="",$N30="",$O30="",$P30="",$Q30="",$R30="",$W30=""),"INCOMPLETE",IF(AND(OR($R30="Certify Current",$R30="Certify with Exception"),OR($S30="",$T30="")),"CERTIFICATION REQUIRED",IF(AND(NOT(OR($R30="Certify Current",$R30="Certify with Exception")),OR($S30&lt;&gt;"",$T30&lt;&gt;"")),"CERTIFICATION MISMATCH","COMPLETE")))))</x:f>
      </x:c>
      <x:c r="V30" s="1018"/>
      <x:c r="W30" s="1018"/>
    </x:row>
    <x:row r="31" ht="30" customHeight="1">
      <x:c r="A31" s="1018"/>
      <x:c r="B31" s="1025"/>
      <x:c r="C31" s="1018"/>
      <x:c r="D31" s="1021" t="str">
        <x:f>IF($C31="","",IFERROR(INDEX('20 RCC-003 MIAR Registry'!$C$14:$C$60,MATCH($C31,'20 RCC-003 MIAR Registry'!$B$14:$B$60,0)),"TICKER NOT FOUND"))</x:f>
      </x:c>
      <x:c r="E31" s="1018"/>
      <x:c r="F31" s="1018"/>
      <x:c r="G31" s="1018"/>
      <x:c r="H31" s="1021" t="str">
        <x:f>IF($C31="","",IFERROR(INDEX('20 RCC-003 MIAR Registry'!$M$14:$M$60,MATCH($C31,'20 RCC-003 MIAR Registry'!$B$14:$B$60,0)),""))</x:f>
      </x:c>
      <x:c r="I31" s="1018"/>
      <x:c r="J31" s="1027" t="str">
        <x:f>IF($C31="","",IFERROR(INDEX('20 RCC-003 MIAR Registry'!$K$14:$K$60,MATCH($C31,'20 RCC-003 MIAR Registry'!$B$14:$B$60,0)),""))</x:f>
      </x:c>
      <x:c r="K31" s="1023"/>
      <x:c r="L31" s="1027" t="str">
        <x:f>IF($C31="","",IFERROR(INDEX('20 RCC-003 MIAR Registry'!$L$14:$L$60,MATCH($C31,'20 RCC-003 MIAR Registry'!$B$14:$B$60,0)),""))</x:f>
      </x:c>
      <x:c r="M31" s="1023"/>
      <x:c r="N31" s="1018"/>
      <x:c r="O31" s="1018"/>
      <x:c r="P31" s="1018"/>
      <x:c r="Q31" s="1018"/>
      <x:c r="R31" s="1018"/>
      <x:c r="S31" s="1018"/>
      <x:c r="T31" s="1025"/>
      <x:c r="U31" s="962" t="str">
        <x:f>IF($A31="","",IF(COUNTIF($A$14:$A$213,$A31)&gt;1,"DUPLICATE REVIEW ID",IF(OR($B31="",$C31="",$E31="",$F31="",$G31="",$I31="",$K31="",$M31="",$N31="",$O31="",$P31="",$Q31="",$R31="",$W31=""),"INCOMPLETE",IF(AND(OR($R31="Certify Current",$R31="Certify with Exception"),OR($S31="",$T31="")),"CERTIFICATION REQUIRED",IF(AND(NOT(OR($R31="Certify Current",$R31="Certify with Exception")),OR($S31&lt;&gt;"",$T31&lt;&gt;"")),"CERTIFICATION MISMATCH","COMPLETE")))))</x:f>
      </x:c>
      <x:c r="V31" s="1018"/>
      <x:c r="W31" s="1018"/>
    </x:row>
    <x:row r="32" ht="30" customHeight="1">
      <x:c r="A32" s="1018"/>
      <x:c r="B32" s="1025"/>
      <x:c r="C32" s="1018"/>
      <x:c r="D32" s="1021" t="str">
        <x:f>IF($C32="","",IFERROR(INDEX('20 RCC-003 MIAR Registry'!$C$14:$C$60,MATCH($C32,'20 RCC-003 MIAR Registry'!$B$14:$B$60,0)),"TICKER NOT FOUND"))</x:f>
      </x:c>
      <x:c r="E32" s="1018"/>
      <x:c r="F32" s="1018"/>
      <x:c r="G32" s="1018"/>
      <x:c r="H32" s="1021" t="str">
        <x:f>IF($C32="","",IFERROR(INDEX('20 RCC-003 MIAR Registry'!$M$14:$M$60,MATCH($C32,'20 RCC-003 MIAR Registry'!$B$14:$B$60,0)),""))</x:f>
      </x:c>
      <x:c r="I32" s="1018"/>
      <x:c r="J32" s="1027" t="str">
        <x:f>IF($C32="","",IFERROR(INDEX('20 RCC-003 MIAR Registry'!$K$14:$K$60,MATCH($C32,'20 RCC-003 MIAR Registry'!$B$14:$B$60,0)),""))</x:f>
      </x:c>
      <x:c r="K32" s="1023"/>
      <x:c r="L32" s="1027" t="str">
        <x:f>IF($C32="","",IFERROR(INDEX('20 RCC-003 MIAR Registry'!$L$14:$L$60,MATCH($C32,'20 RCC-003 MIAR Registry'!$B$14:$B$60,0)),""))</x:f>
      </x:c>
      <x:c r="M32" s="1023"/>
      <x:c r="N32" s="1018"/>
      <x:c r="O32" s="1018"/>
      <x:c r="P32" s="1018"/>
      <x:c r="Q32" s="1018"/>
      <x:c r="R32" s="1018"/>
      <x:c r="S32" s="1018"/>
      <x:c r="T32" s="1025"/>
      <x:c r="U32" s="962" t="str">
        <x:f>IF($A32="","",IF(COUNTIF($A$14:$A$213,$A32)&gt;1,"DUPLICATE REVIEW ID",IF(OR($B32="",$C32="",$E32="",$F32="",$G32="",$I32="",$K32="",$M32="",$N32="",$O32="",$P32="",$Q32="",$R32="",$W32=""),"INCOMPLETE",IF(AND(OR($R32="Certify Current",$R32="Certify with Exception"),OR($S32="",$T32="")),"CERTIFICATION REQUIRED",IF(AND(NOT(OR($R32="Certify Current",$R32="Certify with Exception")),OR($S32&lt;&gt;"",$T32&lt;&gt;"")),"CERTIFICATION MISMATCH","COMPLETE")))))</x:f>
      </x:c>
      <x:c r="V32" s="1018"/>
      <x:c r="W32" s="1018"/>
    </x:row>
    <x:row r="33" ht="30" customHeight="1">
      <x:c r="A33" s="1018"/>
      <x:c r="B33" s="1025"/>
      <x:c r="C33" s="1018"/>
      <x:c r="D33" s="1021" t="str">
        <x:f>IF($C33="","",IFERROR(INDEX('20 RCC-003 MIAR Registry'!$C$14:$C$60,MATCH($C33,'20 RCC-003 MIAR Registry'!$B$14:$B$60,0)),"TICKER NOT FOUND"))</x:f>
      </x:c>
      <x:c r="E33" s="1018"/>
      <x:c r="F33" s="1018"/>
      <x:c r="G33" s="1018"/>
      <x:c r="H33" s="1021" t="str">
        <x:f>IF($C33="","",IFERROR(INDEX('20 RCC-003 MIAR Registry'!$M$14:$M$60,MATCH($C33,'20 RCC-003 MIAR Registry'!$B$14:$B$60,0)),""))</x:f>
      </x:c>
      <x:c r="I33" s="1018"/>
      <x:c r="J33" s="1027" t="str">
        <x:f>IF($C33="","",IFERROR(INDEX('20 RCC-003 MIAR Registry'!$K$14:$K$60,MATCH($C33,'20 RCC-003 MIAR Registry'!$B$14:$B$60,0)),""))</x:f>
      </x:c>
      <x:c r="K33" s="1023"/>
      <x:c r="L33" s="1027" t="str">
        <x:f>IF($C33="","",IFERROR(INDEX('20 RCC-003 MIAR Registry'!$L$14:$L$60,MATCH($C33,'20 RCC-003 MIAR Registry'!$B$14:$B$60,0)),""))</x:f>
      </x:c>
      <x:c r="M33" s="1023"/>
      <x:c r="N33" s="1018"/>
      <x:c r="O33" s="1018"/>
      <x:c r="P33" s="1018"/>
      <x:c r="Q33" s="1018"/>
      <x:c r="R33" s="1018"/>
      <x:c r="S33" s="1018"/>
      <x:c r="T33" s="1025"/>
      <x:c r="U33" s="962" t="str">
        <x:f>IF($A33="","",IF(COUNTIF($A$14:$A$213,$A33)&gt;1,"DUPLICATE REVIEW ID",IF(OR($B33="",$C33="",$E33="",$F33="",$G33="",$I33="",$K33="",$M33="",$N33="",$O33="",$P33="",$Q33="",$R33="",$W33=""),"INCOMPLETE",IF(AND(OR($R33="Certify Current",$R33="Certify with Exception"),OR($S33="",$T33="")),"CERTIFICATION REQUIRED",IF(AND(NOT(OR($R33="Certify Current",$R33="Certify with Exception")),OR($S33&lt;&gt;"",$T33&lt;&gt;"")),"CERTIFICATION MISMATCH","COMPLETE")))))</x:f>
      </x:c>
      <x:c r="V33" s="1018"/>
      <x:c r="W33" s="1018"/>
    </x:row>
    <x:row r="34" ht="30" customHeight="1">
      <x:c r="A34" s="1018"/>
      <x:c r="B34" s="1025"/>
      <x:c r="C34" s="1018"/>
      <x:c r="D34" s="1021" t="str">
        <x:f>IF($C34="","",IFERROR(INDEX('20 RCC-003 MIAR Registry'!$C$14:$C$60,MATCH($C34,'20 RCC-003 MIAR Registry'!$B$14:$B$60,0)),"TICKER NOT FOUND"))</x:f>
      </x:c>
      <x:c r="E34" s="1018"/>
      <x:c r="F34" s="1018"/>
      <x:c r="G34" s="1018"/>
      <x:c r="H34" s="1021" t="str">
        <x:f>IF($C34="","",IFERROR(INDEX('20 RCC-003 MIAR Registry'!$M$14:$M$60,MATCH($C34,'20 RCC-003 MIAR Registry'!$B$14:$B$60,0)),""))</x:f>
      </x:c>
      <x:c r="I34" s="1018"/>
      <x:c r="J34" s="1027" t="str">
        <x:f>IF($C34="","",IFERROR(INDEX('20 RCC-003 MIAR Registry'!$K$14:$K$60,MATCH($C34,'20 RCC-003 MIAR Registry'!$B$14:$B$60,0)),""))</x:f>
      </x:c>
      <x:c r="K34" s="1023"/>
      <x:c r="L34" s="1027" t="str">
        <x:f>IF($C34="","",IFERROR(INDEX('20 RCC-003 MIAR Registry'!$L$14:$L$60,MATCH($C34,'20 RCC-003 MIAR Registry'!$B$14:$B$60,0)),""))</x:f>
      </x:c>
      <x:c r="M34" s="1023"/>
      <x:c r="N34" s="1018"/>
      <x:c r="O34" s="1018"/>
      <x:c r="P34" s="1018"/>
      <x:c r="Q34" s="1018"/>
      <x:c r="R34" s="1018"/>
      <x:c r="S34" s="1018"/>
      <x:c r="T34" s="1025"/>
      <x:c r="U34" s="962" t="str">
        <x:f>IF($A34="","",IF(COUNTIF($A$14:$A$213,$A34)&gt;1,"DUPLICATE REVIEW ID",IF(OR($B34="",$C34="",$E34="",$F34="",$G34="",$I34="",$K34="",$M34="",$N34="",$O34="",$P34="",$Q34="",$R34="",$W34=""),"INCOMPLETE",IF(AND(OR($R34="Certify Current",$R34="Certify with Exception"),OR($S34="",$T34="")),"CERTIFICATION REQUIRED",IF(AND(NOT(OR($R34="Certify Current",$R34="Certify with Exception")),OR($S34&lt;&gt;"",$T34&lt;&gt;"")),"CERTIFICATION MISMATCH","COMPLETE")))))</x:f>
      </x:c>
      <x:c r="V34" s="1018"/>
      <x:c r="W34" s="1018"/>
    </x:row>
    <x:row r="35" ht="30" customHeight="1">
      <x:c r="A35" s="1018"/>
      <x:c r="B35" s="1025"/>
      <x:c r="C35" s="1018"/>
      <x:c r="D35" s="1021" t="str">
        <x:f>IF($C35="","",IFERROR(INDEX('20 RCC-003 MIAR Registry'!$C$14:$C$60,MATCH($C35,'20 RCC-003 MIAR Registry'!$B$14:$B$60,0)),"TICKER NOT FOUND"))</x:f>
      </x:c>
      <x:c r="E35" s="1018"/>
      <x:c r="F35" s="1018"/>
      <x:c r="G35" s="1018"/>
      <x:c r="H35" s="1021" t="str">
        <x:f>IF($C35="","",IFERROR(INDEX('20 RCC-003 MIAR Registry'!$M$14:$M$60,MATCH($C35,'20 RCC-003 MIAR Registry'!$B$14:$B$60,0)),""))</x:f>
      </x:c>
      <x:c r="I35" s="1018"/>
      <x:c r="J35" s="1027" t="str">
        <x:f>IF($C35="","",IFERROR(INDEX('20 RCC-003 MIAR Registry'!$K$14:$K$60,MATCH($C35,'20 RCC-003 MIAR Registry'!$B$14:$B$60,0)),""))</x:f>
      </x:c>
      <x:c r="K35" s="1023"/>
      <x:c r="L35" s="1027" t="str">
        <x:f>IF($C35="","",IFERROR(INDEX('20 RCC-003 MIAR Registry'!$L$14:$L$60,MATCH($C35,'20 RCC-003 MIAR Registry'!$B$14:$B$60,0)),""))</x:f>
      </x:c>
      <x:c r="M35" s="1023"/>
      <x:c r="N35" s="1018"/>
      <x:c r="O35" s="1018"/>
      <x:c r="P35" s="1018"/>
      <x:c r="Q35" s="1018"/>
      <x:c r="R35" s="1018"/>
      <x:c r="S35" s="1018"/>
      <x:c r="T35" s="1025"/>
      <x:c r="U35" s="962" t="str">
        <x:f>IF($A35="","",IF(COUNTIF($A$14:$A$213,$A35)&gt;1,"DUPLICATE REVIEW ID",IF(OR($B35="",$C35="",$E35="",$F35="",$G35="",$I35="",$K35="",$M35="",$N35="",$O35="",$P35="",$Q35="",$R35="",$W35=""),"INCOMPLETE",IF(AND(OR($R35="Certify Current",$R35="Certify with Exception"),OR($S35="",$T35="")),"CERTIFICATION REQUIRED",IF(AND(NOT(OR($R35="Certify Current",$R35="Certify with Exception")),OR($S35&lt;&gt;"",$T35&lt;&gt;"")),"CERTIFICATION MISMATCH","COMPLETE")))))</x:f>
      </x:c>
      <x:c r="V35" s="1018"/>
      <x:c r="W35" s="1018"/>
    </x:row>
    <x:row r="36" ht="30" customHeight="1">
      <x:c r="A36" s="1018"/>
      <x:c r="B36" s="1025"/>
      <x:c r="C36" s="1018"/>
      <x:c r="D36" s="1021" t="str">
        <x:f>IF($C36="","",IFERROR(INDEX('20 RCC-003 MIAR Registry'!$C$14:$C$60,MATCH($C36,'20 RCC-003 MIAR Registry'!$B$14:$B$60,0)),"TICKER NOT FOUND"))</x:f>
      </x:c>
      <x:c r="E36" s="1018"/>
      <x:c r="F36" s="1018"/>
      <x:c r="G36" s="1018"/>
      <x:c r="H36" s="1021" t="str">
        <x:f>IF($C36="","",IFERROR(INDEX('20 RCC-003 MIAR Registry'!$M$14:$M$60,MATCH($C36,'20 RCC-003 MIAR Registry'!$B$14:$B$60,0)),""))</x:f>
      </x:c>
      <x:c r="I36" s="1018"/>
      <x:c r="J36" s="1027" t="str">
        <x:f>IF($C36="","",IFERROR(INDEX('20 RCC-003 MIAR Registry'!$K$14:$K$60,MATCH($C36,'20 RCC-003 MIAR Registry'!$B$14:$B$60,0)),""))</x:f>
      </x:c>
      <x:c r="K36" s="1023"/>
      <x:c r="L36" s="1027" t="str">
        <x:f>IF($C36="","",IFERROR(INDEX('20 RCC-003 MIAR Registry'!$L$14:$L$60,MATCH($C36,'20 RCC-003 MIAR Registry'!$B$14:$B$60,0)),""))</x:f>
      </x:c>
      <x:c r="M36" s="1023"/>
      <x:c r="N36" s="1018"/>
      <x:c r="O36" s="1018"/>
      <x:c r="P36" s="1018"/>
      <x:c r="Q36" s="1018"/>
      <x:c r="R36" s="1018"/>
      <x:c r="S36" s="1018"/>
      <x:c r="T36" s="1025"/>
      <x:c r="U36" s="962" t="str">
        <x:f>IF($A36="","",IF(COUNTIF($A$14:$A$213,$A36)&gt;1,"DUPLICATE REVIEW ID",IF(OR($B36="",$C36="",$E36="",$F36="",$G36="",$I36="",$K36="",$M36="",$N36="",$O36="",$P36="",$Q36="",$R36="",$W36=""),"INCOMPLETE",IF(AND(OR($R36="Certify Current",$R36="Certify with Exception"),OR($S36="",$T36="")),"CERTIFICATION REQUIRED",IF(AND(NOT(OR($R36="Certify Current",$R36="Certify with Exception")),OR($S36&lt;&gt;"",$T36&lt;&gt;"")),"CERTIFICATION MISMATCH","COMPLETE")))))</x:f>
      </x:c>
      <x:c r="V36" s="1018"/>
      <x:c r="W36" s="1018"/>
    </x:row>
    <x:row r="37" ht="30" customHeight="1">
      <x:c r="A37" s="1018"/>
      <x:c r="B37" s="1025"/>
      <x:c r="C37" s="1018"/>
      <x:c r="D37" s="1021" t="str">
        <x:f>IF($C37="","",IFERROR(INDEX('20 RCC-003 MIAR Registry'!$C$14:$C$60,MATCH($C37,'20 RCC-003 MIAR Registry'!$B$14:$B$60,0)),"TICKER NOT FOUND"))</x:f>
      </x:c>
      <x:c r="E37" s="1018"/>
      <x:c r="F37" s="1018"/>
      <x:c r="G37" s="1018"/>
      <x:c r="H37" s="1021" t="str">
        <x:f>IF($C37="","",IFERROR(INDEX('20 RCC-003 MIAR Registry'!$M$14:$M$60,MATCH($C37,'20 RCC-003 MIAR Registry'!$B$14:$B$60,0)),""))</x:f>
      </x:c>
      <x:c r="I37" s="1018"/>
      <x:c r="J37" s="1027" t="str">
        <x:f>IF($C37="","",IFERROR(INDEX('20 RCC-003 MIAR Registry'!$K$14:$K$60,MATCH($C37,'20 RCC-003 MIAR Registry'!$B$14:$B$60,0)),""))</x:f>
      </x:c>
      <x:c r="K37" s="1023"/>
      <x:c r="L37" s="1027" t="str">
        <x:f>IF($C37="","",IFERROR(INDEX('20 RCC-003 MIAR Registry'!$L$14:$L$60,MATCH($C37,'20 RCC-003 MIAR Registry'!$B$14:$B$60,0)),""))</x:f>
      </x:c>
      <x:c r="M37" s="1023"/>
      <x:c r="N37" s="1018"/>
      <x:c r="O37" s="1018"/>
      <x:c r="P37" s="1018"/>
      <x:c r="Q37" s="1018"/>
      <x:c r="R37" s="1018"/>
      <x:c r="S37" s="1018"/>
      <x:c r="T37" s="1025"/>
      <x:c r="U37" s="962" t="str">
        <x:f>IF($A37="","",IF(COUNTIF($A$14:$A$213,$A37)&gt;1,"DUPLICATE REVIEW ID",IF(OR($B37="",$C37="",$E37="",$F37="",$G37="",$I37="",$K37="",$M37="",$N37="",$O37="",$P37="",$Q37="",$R37="",$W37=""),"INCOMPLETE",IF(AND(OR($R37="Certify Current",$R37="Certify with Exception"),OR($S37="",$T37="")),"CERTIFICATION REQUIRED",IF(AND(NOT(OR($R37="Certify Current",$R37="Certify with Exception")),OR($S37&lt;&gt;"",$T37&lt;&gt;"")),"CERTIFICATION MISMATCH","COMPLETE")))))</x:f>
      </x:c>
      <x:c r="V37" s="1018"/>
      <x:c r="W37" s="1018"/>
    </x:row>
    <x:row r="38" ht="30" customHeight="1">
      <x:c r="A38" s="1018"/>
      <x:c r="B38" s="1025"/>
      <x:c r="C38" s="1018"/>
      <x:c r="D38" s="1021" t="str">
        <x:f>IF($C38="","",IFERROR(INDEX('20 RCC-003 MIAR Registry'!$C$14:$C$60,MATCH($C38,'20 RCC-003 MIAR Registry'!$B$14:$B$60,0)),"TICKER NOT FOUND"))</x:f>
      </x:c>
      <x:c r="E38" s="1018"/>
      <x:c r="F38" s="1018"/>
      <x:c r="G38" s="1018"/>
      <x:c r="H38" s="1021" t="str">
        <x:f>IF($C38="","",IFERROR(INDEX('20 RCC-003 MIAR Registry'!$M$14:$M$60,MATCH($C38,'20 RCC-003 MIAR Registry'!$B$14:$B$60,0)),""))</x:f>
      </x:c>
      <x:c r="I38" s="1018"/>
      <x:c r="J38" s="1027" t="str">
        <x:f>IF($C38="","",IFERROR(INDEX('20 RCC-003 MIAR Registry'!$K$14:$K$60,MATCH($C38,'20 RCC-003 MIAR Registry'!$B$14:$B$60,0)),""))</x:f>
      </x:c>
      <x:c r="K38" s="1023"/>
      <x:c r="L38" s="1027" t="str">
        <x:f>IF($C38="","",IFERROR(INDEX('20 RCC-003 MIAR Registry'!$L$14:$L$60,MATCH($C38,'20 RCC-003 MIAR Registry'!$B$14:$B$60,0)),""))</x:f>
      </x:c>
      <x:c r="M38" s="1023"/>
      <x:c r="N38" s="1018"/>
      <x:c r="O38" s="1018"/>
      <x:c r="P38" s="1018"/>
      <x:c r="Q38" s="1018"/>
      <x:c r="R38" s="1018"/>
      <x:c r="S38" s="1018"/>
      <x:c r="T38" s="1025"/>
      <x:c r="U38" s="962" t="str">
        <x:f>IF($A38="","",IF(COUNTIF($A$14:$A$213,$A38)&gt;1,"DUPLICATE REVIEW ID",IF(OR($B38="",$C38="",$E38="",$F38="",$G38="",$I38="",$K38="",$M38="",$N38="",$O38="",$P38="",$Q38="",$R38="",$W38=""),"INCOMPLETE",IF(AND(OR($R38="Certify Current",$R38="Certify with Exception"),OR($S38="",$T38="")),"CERTIFICATION REQUIRED",IF(AND(NOT(OR($R38="Certify Current",$R38="Certify with Exception")),OR($S38&lt;&gt;"",$T38&lt;&gt;"")),"CERTIFICATION MISMATCH","COMPLETE")))))</x:f>
      </x:c>
      <x:c r="V38" s="1018"/>
      <x:c r="W38" s="1018"/>
    </x:row>
    <x:row r="39" ht="30" customHeight="1">
      <x:c r="A39" s="1018"/>
      <x:c r="B39" s="1025"/>
      <x:c r="C39" s="1018"/>
      <x:c r="D39" s="1021" t="str">
        <x:f>IF($C39="","",IFERROR(INDEX('20 RCC-003 MIAR Registry'!$C$14:$C$60,MATCH($C39,'20 RCC-003 MIAR Registry'!$B$14:$B$60,0)),"TICKER NOT FOUND"))</x:f>
      </x:c>
      <x:c r="E39" s="1018"/>
      <x:c r="F39" s="1018"/>
      <x:c r="G39" s="1018"/>
      <x:c r="H39" s="1021" t="str">
        <x:f>IF($C39="","",IFERROR(INDEX('20 RCC-003 MIAR Registry'!$M$14:$M$60,MATCH($C39,'20 RCC-003 MIAR Registry'!$B$14:$B$60,0)),""))</x:f>
      </x:c>
      <x:c r="I39" s="1018"/>
      <x:c r="J39" s="1027" t="str">
        <x:f>IF($C39="","",IFERROR(INDEX('20 RCC-003 MIAR Registry'!$K$14:$K$60,MATCH($C39,'20 RCC-003 MIAR Registry'!$B$14:$B$60,0)),""))</x:f>
      </x:c>
      <x:c r="K39" s="1023"/>
      <x:c r="L39" s="1027" t="str">
        <x:f>IF($C39="","",IFERROR(INDEX('20 RCC-003 MIAR Registry'!$L$14:$L$60,MATCH($C39,'20 RCC-003 MIAR Registry'!$B$14:$B$60,0)),""))</x:f>
      </x:c>
      <x:c r="M39" s="1023"/>
      <x:c r="N39" s="1018"/>
      <x:c r="O39" s="1018"/>
      <x:c r="P39" s="1018"/>
      <x:c r="Q39" s="1018"/>
      <x:c r="R39" s="1018"/>
      <x:c r="S39" s="1018"/>
      <x:c r="T39" s="1025"/>
      <x:c r="U39" s="962" t="str">
        <x:f>IF($A39="","",IF(COUNTIF($A$14:$A$213,$A39)&gt;1,"DUPLICATE REVIEW ID",IF(OR($B39="",$C39="",$E39="",$F39="",$G39="",$I39="",$K39="",$M39="",$N39="",$O39="",$P39="",$Q39="",$R39="",$W39=""),"INCOMPLETE",IF(AND(OR($R39="Certify Current",$R39="Certify with Exception"),OR($S39="",$T39="")),"CERTIFICATION REQUIRED",IF(AND(NOT(OR($R39="Certify Current",$R39="Certify with Exception")),OR($S39&lt;&gt;"",$T39&lt;&gt;"")),"CERTIFICATION MISMATCH","COMPLETE")))))</x:f>
      </x:c>
      <x:c r="V39" s="1018"/>
      <x:c r="W39" s="1018"/>
    </x:row>
    <x:row r="40" ht="30" customHeight="1">
      <x:c r="A40" s="1018"/>
      <x:c r="B40" s="1025"/>
      <x:c r="C40" s="1018"/>
      <x:c r="D40" s="1021" t="str">
        <x:f>IF($C40="","",IFERROR(INDEX('20 RCC-003 MIAR Registry'!$C$14:$C$60,MATCH($C40,'20 RCC-003 MIAR Registry'!$B$14:$B$60,0)),"TICKER NOT FOUND"))</x:f>
      </x:c>
      <x:c r="E40" s="1018"/>
      <x:c r="F40" s="1018"/>
      <x:c r="G40" s="1018"/>
      <x:c r="H40" s="1021" t="str">
        <x:f>IF($C40="","",IFERROR(INDEX('20 RCC-003 MIAR Registry'!$M$14:$M$60,MATCH($C40,'20 RCC-003 MIAR Registry'!$B$14:$B$60,0)),""))</x:f>
      </x:c>
      <x:c r="I40" s="1018"/>
      <x:c r="J40" s="1027" t="str">
        <x:f>IF($C40="","",IFERROR(INDEX('20 RCC-003 MIAR Registry'!$K$14:$K$60,MATCH($C40,'20 RCC-003 MIAR Registry'!$B$14:$B$60,0)),""))</x:f>
      </x:c>
      <x:c r="K40" s="1023"/>
      <x:c r="L40" s="1027" t="str">
        <x:f>IF($C40="","",IFERROR(INDEX('20 RCC-003 MIAR Registry'!$L$14:$L$60,MATCH($C40,'20 RCC-003 MIAR Registry'!$B$14:$B$60,0)),""))</x:f>
      </x:c>
      <x:c r="M40" s="1023"/>
      <x:c r="N40" s="1018"/>
      <x:c r="O40" s="1018"/>
      <x:c r="P40" s="1018"/>
      <x:c r="Q40" s="1018"/>
      <x:c r="R40" s="1018"/>
      <x:c r="S40" s="1018"/>
      <x:c r="T40" s="1025"/>
      <x:c r="U40" s="962" t="str">
        <x:f>IF($A40="","",IF(COUNTIF($A$14:$A$213,$A40)&gt;1,"DUPLICATE REVIEW ID",IF(OR($B40="",$C40="",$E40="",$F40="",$G40="",$I40="",$K40="",$M40="",$N40="",$O40="",$P40="",$Q40="",$R40="",$W40=""),"INCOMPLETE",IF(AND(OR($R40="Certify Current",$R40="Certify with Exception"),OR($S40="",$T40="")),"CERTIFICATION REQUIRED",IF(AND(NOT(OR($R40="Certify Current",$R40="Certify with Exception")),OR($S40&lt;&gt;"",$T40&lt;&gt;"")),"CERTIFICATION MISMATCH","COMPLETE")))))</x:f>
      </x:c>
      <x:c r="V40" s="1018"/>
      <x:c r="W40" s="1018"/>
    </x:row>
    <x:row r="41" ht="30" customHeight="1">
      <x:c r="A41" s="1018"/>
      <x:c r="B41" s="1025"/>
      <x:c r="C41" s="1018"/>
      <x:c r="D41" s="1021" t="str">
        <x:f>IF($C41="","",IFERROR(INDEX('20 RCC-003 MIAR Registry'!$C$14:$C$60,MATCH($C41,'20 RCC-003 MIAR Registry'!$B$14:$B$60,0)),"TICKER NOT FOUND"))</x:f>
      </x:c>
      <x:c r="E41" s="1018"/>
      <x:c r="F41" s="1018"/>
      <x:c r="G41" s="1018"/>
      <x:c r="H41" s="1021" t="str">
        <x:f>IF($C41="","",IFERROR(INDEX('20 RCC-003 MIAR Registry'!$M$14:$M$60,MATCH($C41,'20 RCC-003 MIAR Registry'!$B$14:$B$60,0)),""))</x:f>
      </x:c>
      <x:c r="I41" s="1018"/>
      <x:c r="J41" s="1027" t="str">
        <x:f>IF($C41="","",IFERROR(INDEX('20 RCC-003 MIAR Registry'!$K$14:$K$60,MATCH($C41,'20 RCC-003 MIAR Registry'!$B$14:$B$60,0)),""))</x:f>
      </x:c>
      <x:c r="K41" s="1023"/>
      <x:c r="L41" s="1027" t="str">
        <x:f>IF($C41="","",IFERROR(INDEX('20 RCC-003 MIAR Registry'!$L$14:$L$60,MATCH($C41,'20 RCC-003 MIAR Registry'!$B$14:$B$60,0)),""))</x:f>
      </x:c>
      <x:c r="M41" s="1023"/>
      <x:c r="N41" s="1018"/>
      <x:c r="O41" s="1018"/>
      <x:c r="P41" s="1018"/>
      <x:c r="Q41" s="1018"/>
      <x:c r="R41" s="1018"/>
      <x:c r="S41" s="1018"/>
      <x:c r="T41" s="1025"/>
      <x:c r="U41" s="962" t="str">
        <x:f>IF($A41="","",IF(COUNTIF($A$14:$A$213,$A41)&gt;1,"DUPLICATE REVIEW ID",IF(OR($B41="",$C41="",$E41="",$F41="",$G41="",$I41="",$K41="",$M41="",$N41="",$O41="",$P41="",$Q41="",$R41="",$W41=""),"INCOMPLETE",IF(AND(OR($R41="Certify Current",$R41="Certify with Exception"),OR($S41="",$T41="")),"CERTIFICATION REQUIRED",IF(AND(NOT(OR($R41="Certify Current",$R41="Certify with Exception")),OR($S41&lt;&gt;"",$T41&lt;&gt;"")),"CERTIFICATION MISMATCH","COMPLETE")))))</x:f>
      </x:c>
      <x:c r="V41" s="1018"/>
      <x:c r="W41" s="1018"/>
    </x:row>
    <x:row r="42" ht="30" customHeight="1">
      <x:c r="A42" s="1018"/>
      <x:c r="B42" s="1025"/>
      <x:c r="C42" s="1018"/>
      <x:c r="D42" s="1021" t="str">
        <x:f>IF($C42="","",IFERROR(INDEX('20 RCC-003 MIAR Registry'!$C$14:$C$60,MATCH($C42,'20 RCC-003 MIAR Registry'!$B$14:$B$60,0)),"TICKER NOT FOUND"))</x:f>
      </x:c>
      <x:c r="E42" s="1018"/>
      <x:c r="F42" s="1018"/>
      <x:c r="G42" s="1018"/>
      <x:c r="H42" s="1021" t="str">
        <x:f>IF($C42="","",IFERROR(INDEX('20 RCC-003 MIAR Registry'!$M$14:$M$60,MATCH($C42,'20 RCC-003 MIAR Registry'!$B$14:$B$60,0)),""))</x:f>
      </x:c>
      <x:c r="I42" s="1018"/>
      <x:c r="J42" s="1027" t="str">
        <x:f>IF($C42="","",IFERROR(INDEX('20 RCC-003 MIAR Registry'!$K$14:$K$60,MATCH($C42,'20 RCC-003 MIAR Registry'!$B$14:$B$60,0)),""))</x:f>
      </x:c>
      <x:c r="K42" s="1023"/>
      <x:c r="L42" s="1027" t="str">
        <x:f>IF($C42="","",IFERROR(INDEX('20 RCC-003 MIAR Registry'!$L$14:$L$60,MATCH($C42,'20 RCC-003 MIAR Registry'!$B$14:$B$60,0)),""))</x:f>
      </x:c>
      <x:c r="M42" s="1023"/>
      <x:c r="N42" s="1018"/>
      <x:c r="O42" s="1018"/>
      <x:c r="P42" s="1018"/>
      <x:c r="Q42" s="1018"/>
      <x:c r="R42" s="1018"/>
      <x:c r="S42" s="1018"/>
      <x:c r="T42" s="1025"/>
      <x:c r="U42" s="962" t="str">
        <x:f>IF($A42="","",IF(COUNTIF($A$14:$A$213,$A42)&gt;1,"DUPLICATE REVIEW ID",IF(OR($B42="",$C42="",$E42="",$F42="",$G42="",$I42="",$K42="",$M42="",$N42="",$O42="",$P42="",$Q42="",$R42="",$W42=""),"INCOMPLETE",IF(AND(OR($R42="Certify Current",$R42="Certify with Exception"),OR($S42="",$T42="")),"CERTIFICATION REQUIRED",IF(AND(NOT(OR($R42="Certify Current",$R42="Certify with Exception")),OR($S42&lt;&gt;"",$T42&lt;&gt;"")),"CERTIFICATION MISMATCH","COMPLETE")))))</x:f>
      </x:c>
      <x:c r="V42" s="1018"/>
      <x:c r="W42" s="1018"/>
    </x:row>
    <x:row r="43" ht="30" customHeight="1">
      <x:c r="A43" s="1018"/>
      <x:c r="B43" s="1025"/>
      <x:c r="C43" s="1018"/>
      <x:c r="D43" s="1021" t="str">
        <x:f>IF($C43="","",IFERROR(INDEX('20 RCC-003 MIAR Registry'!$C$14:$C$60,MATCH($C43,'20 RCC-003 MIAR Registry'!$B$14:$B$60,0)),"TICKER NOT FOUND"))</x:f>
      </x:c>
      <x:c r="E43" s="1018"/>
      <x:c r="F43" s="1018"/>
      <x:c r="G43" s="1018"/>
      <x:c r="H43" s="1021" t="str">
        <x:f>IF($C43="","",IFERROR(INDEX('20 RCC-003 MIAR Registry'!$M$14:$M$60,MATCH($C43,'20 RCC-003 MIAR Registry'!$B$14:$B$60,0)),""))</x:f>
      </x:c>
      <x:c r="I43" s="1018"/>
      <x:c r="J43" s="1027" t="str">
        <x:f>IF($C43="","",IFERROR(INDEX('20 RCC-003 MIAR Registry'!$K$14:$K$60,MATCH($C43,'20 RCC-003 MIAR Registry'!$B$14:$B$60,0)),""))</x:f>
      </x:c>
      <x:c r="K43" s="1023"/>
      <x:c r="L43" s="1027" t="str">
        <x:f>IF($C43="","",IFERROR(INDEX('20 RCC-003 MIAR Registry'!$L$14:$L$60,MATCH($C43,'20 RCC-003 MIAR Registry'!$B$14:$B$60,0)),""))</x:f>
      </x:c>
      <x:c r="M43" s="1023"/>
      <x:c r="N43" s="1018"/>
      <x:c r="O43" s="1018"/>
      <x:c r="P43" s="1018"/>
      <x:c r="Q43" s="1018"/>
      <x:c r="R43" s="1018"/>
      <x:c r="S43" s="1018"/>
      <x:c r="T43" s="1025"/>
      <x:c r="U43" s="962" t="str">
        <x:f>IF($A43="","",IF(COUNTIF($A$14:$A$213,$A43)&gt;1,"DUPLICATE REVIEW ID",IF(OR($B43="",$C43="",$E43="",$F43="",$G43="",$I43="",$K43="",$M43="",$N43="",$O43="",$P43="",$Q43="",$R43="",$W43=""),"INCOMPLETE",IF(AND(OR($R43="Certify Current",$R43="Certify with Exception"),OR($S43="",$T43="")),"CERTIFICATION REQUIRED",IF(AND(NOT(OR($R43="Certify Current",$R43="Certify with Exception")),OR($S43&lt;&gt;"",$T43&lt;&gt;"")),"CERTIFICATION MISMATCH","COMPLETE")))))</x:f>
      </x:c>
      <x:c r="V43" s="1018"/>
      <x:c r="W43" s="1018"/>
    </x:row>
    <x:row r="44" ht="30" customHeight="1">
      <x:c r="A44" s="1018"/>
      <x:c r="B44" s="1025"/>
      <x:c r="C44" s="1018"/>
      <x:c r="D44" s="1021" t="str">
        <x:f>IF($C44="","",IFERROR(INDEX('20 RCC-003 MIAR Registry'!$C$14:$C$60,MATCH($C44,'20 RCC-003 MIAR Registry'!$B$14:$B$60,0)),"TICKER NOT FOUND"))</x:f>
      </x:c>
      <x:c r="E44" s="1018"/>
      <x:c r="F44" s="1018"/>
      <x:c r="G44" s="1018"/>
      <x:c r="H44" s="1021" t="str">
        <x:f>IF($C44="","",IFERROR(INDEX('20 RCC-003 MIAR Registry'!$M$14:$M$60,MATCH($C44,'20 RCC-003 MIAR Registry'!$B$14:$B$60,0)),""))</x:f>
      </x:c>
      <x:c r="I44" s="1018"/>
      <x:c r="J44" s="1027" t="str">
        <x:f>IF($C44="","",IFERROR(INDEX('20 RCC-003 MIAR Registry'!$K$14:$K$60,MATCH($C44,'20 RCC-003 MIAR Registry'!$B$14:$B$60,0)),""))</x:f>
      </x:c>
      <x:c r="K44" s="1023"/>
      <x:c r="L44" s="1027" t="str">
        <x:f>IF($C44="","",IFERROR(INDEX('20 RCC-003 MIAR Registry'!$L$14:$L$60,MATCH($C44,'20 RCC-003 MIAR Registry'!$B$14:$B$60,0)),""))</x:f>
      </x:c>
      <x:c r="M44" s="1023"/>
      <x:c r="N44" s="1018"/>
      <x:c r="O44" s="1018"/>
      <x:c r="P44" s="1018"/>
      <x:c r="Q44" s="1018"/>
      <x:c r="R44" s="1018"/>
      <x:c r="S44" s="1018"/>
      <x:c r="T44" s="1025"/>
      <x:c r="U44" s="962" t="str">
        <x:f>IF($A44="","",IF(COUNTIF($A$14:$A$213,$A44)&gt;1,"DUPLICATE REVIEW ID",IF(OR($B44="",$C44="",$E44="",$F44="",$G44="",$I44="",$K44="",$M44="",$N44="",$O44="",$P44="",$Q44="",$R44="",$W44=""),"INCOMPLETE",IF(AND(OR($R44="Certify Current",$R44="Certify with Exception"),OR($S44="",$T44="")),"CERTIFICATION REQUIRED",IF(AND(NOT(OR($R44="Certify Current",$R44="Certify with Exception")),OR($S44&lt;&gt;"",$T44&lt;&gt;"")),"CERTIFICATION MISMATCH","COMPLETE")))))</x:f>
      </x:c>
      <x:c r="V44" s="1018"/>
      <x:c r="W44" s="1018"/>
    </x:row>
    <x:row r="45" ht="30" customHeight="1">
      <x:c r="A45" s="1018"/>
      <x:c r="B45" s="1025"/>
      <x:c r="C45" s="1018"/>
      <x:c r="D45" s="1021" t="str">
        <x:f>IF($C45="","",IFERROR(INDEX('20 RCC-003 MIAR Registry'!$C$14:$C$60,MATCH($C45,'20 RCC-003 MIAR Registry'!$B$14:$B$60,0)),"TICKER NOT FOUND"))</x:f>
      </x:c>
      <x:c r="E45" s="1018"/>
      <x:c r="F45" s="1018"/>
      <x:c r="G45" s="1018"/>
      <x:c r="H45" s="1021" t="str">
        <x:f>IF($C45="","",IFERROR(INDEX('20 RCC-003 MIAR Registry'!$M$14:$M$60,MATCH($C45,'20 RCC-003 MIAR Registry'!$B$14:$B$60,0)),""))</x:f>
      </x:c>
      <x:c r="I45" s="1018"/>
      <x:c r="J45" s="1027" t="str">
        <x:f>IF($C45="","",IFERROR(INDEX('20 RCC-003 MIAR Registry'!$K$14:$K$60,MATCH($C45,'20 RCC-003 MIAR Registry'!$B$14:$B$60,0)),""))</x:f>
      </x:c>
      <x:c r="K45" s="1023"/>
      <x:c r="L45" s="1027" t="str">
        <x:f>IF($C45="","",IFERROR(INDEX('20 RCC-003 MIAR Registry'!$L$14:$L$60,MATCH($C45,'20 RCC-003 MIAR Registry'!$B$14:$B$60,0)),""))</x:f>
      </x:c>
      <x:c r="M45" s="1023"/>
      <x:c r="N45" s="1018"/>
      <x:c r="O45" s="1018"/>
      <x:c r="P45" s="1018"/>
      <x:c r="Q45" s="1018"/>
      <x:c r="R45" s="1018"/>
      <x:c r="S45" s="1018"/>
      <x:c r="T45" s="1025"/>
      <x:c r="U45" s="962" t="str">
        <x:f>IF($A45="","",IF(COUNTIF($A$14:$A$213,$A45)&gt;1,"DUPLICATE REVIEW ID",IF(OR($B45="",$C45="",$E45="",$F45="",$G45="",$I45="",$K45="",$M45="",$N45="",$O45="",$P45="",$Q45="",$R45="",$W45=""),"INCOMPLETE",IF(AND(OR($R45="Certify Current",$R45="Certify with Exception"),OR($S45="",$T45="")),"CERTIFICATION REQUIRED",IF(AND(NOT(OR($R45="Certify Current",$R45="Certify with Exception")),OR($S45&lt;&gt;"",$T45&lt;&gt;"")),"CERTIFICATION MISMATCH","COMPLETE")))))</x:f>
      </x:c>
      <x:c r="V45" s="1018"/>
      <x:c r="W45" s="1018"/>
    </x:row>
    <x:row r="46" ht="30" customHeight="1">
      <x:c r="A46" s="1018"/>
      <x:c r="B46" s="1025"/>
      <x:c r="C46" s="1018"/>
      <x:c r="D46" s="1021" t="str">
        <x:f>IF($C46="","",IFERROR(INDEX('20 RCC-003 MIAR Registry'!$C$14:$C$60,MATCH($C46,'20 RCC-003 MIAR Registry'!$B$14:$B$60,0)),"TICKER NOT FOUND"))</x:f>
      </x:c>
      <x:c r="E46" s="1018"/>
      <x:c r="F46" s="1018"/>
      <x:c r="G46" s="1018"/>
      <x:c r="H46" s="1021" t="str">
        <x:f>IF($C46="","",IFERROR(INDEX('20 RCC-003 MIAR Registry'!$M$14:$M$60,MATCH($C46,'20 RCC-003 MIAR Registry'!$B$14:$B$60,0)),""))</x:f>
      </x:c>
      <x:c r="I46" s="1018"/>
      <x:c r="J46" s="1027" t="str">
        <x:f>IF($C46="","",IFERROR(INDEX('20 RCC-003 MIAR Registry'!$K$14:$K$60,MATCH($C46,'20 RCC-003 MIAR Registry'!$B$14:$B$60,0)),""))</x:f>
      </x:c>
      <x:c r="K46" s="1023"/>
      <x:c r="L46" s="1027" t="str">
        <x:f>IF($C46="","",IFERROR(INDEX('20 RCC-003 MIAR Registry'!$L$14:$L$60,MATCH($C46,'20 RCC-003 MIAR Registry'!$B$14:$B$60,0)),""))</x:f>
      </x:c>
      <x:c r="M46" s="1023"/>
      <x:c r="N46" s="1018"/>
      <x:c r="O46" s="1018"/>
      <x:c r="P46" s="1018"/>
      <x:c r="Q46" s="1018"/>
      <x:c r="R46" s="1018"/>
      <x:c r="S46" s="1018"/>
      <x:c r="T46" s="1025"/>
      <x:c r="U46" s="962" t="str">
        <x:f>IF($A46="","",IF(COUNTIF($A$14:$A$213,$A46)&gt;1,"DUPLICATE REVIEW ID",IF(OR($B46="",$C46="",$E46="",$F46="",$G46="",$I46="",$K46="",$M46="",$N46="",$O46="",$P46="",$Q46="",$R46="",$W46=""),"INCOMPLETE",IF(AND(OR($R46="Certify Current",$R46="Certify with Exception"),OR($S46="",$T46="")),"CERTIFICATION REQUIRED",IF(AND(NOT(OR($R46="Certify Current",$R46="Certify with Exception")),OR($S46&lt;&gt;"",$T46&lt;&gt;"")),"CERTIFICATION MISMATCH","COMPLETE")))))</x:f>
      </x:c>
      <x:c r="V46" s="1018"/>
      <x:c r="W46" s="1018"/>
    </x:row>
    <x:row r="47" ht="30" customHeight="1">
      <x:c r="A47" s="1018"/>
      <x:c r="B47" s="1025"/>
      <x:c r="C47" s="1018"/>
      <x:c r="D47" s="1021" t="str">
        <x:f>IF($C47="","",IFERROR(INDEX('20 RCC-003 MIAR Registry'!$C$14:$C$60,MATCH($C47,'20 RCC-003 MIAR Registry'!$B$14:$B$60,0)),"TICKER NOT FOUND"))</x:f>
      </x:c>
      <x:c r="E47" s="1018"/>
      <x:c r="F47" s="1018"/>
      <x:c r="G47" s="1018"/>
      <x:c r="H47" s="1021" t="str">
        <x:f>IF($C47="","",IFERROR(INDEX('20 RCC-003 MIAR Registry'!$M$14:$M$60,MATCH($C47,'20 RCC-003 MIAR Registry'!$B$14:$B$60,0)),""))</x:f>
      </x:c>
      <x:c r="I47" s="1018"/>
      <x:c r="J47" s="1027" t="str">
        <x:f>IF($C47="","",IFERROR(INDEX('20 RCC-003 MIAR Registry'!$K$14:$K$60,MATCH($C47,'20 RCC-003 MIAR Registry'!$B$14:$B$60,0)),""))</x:f>
      </x:c>
      <x:c r="K47" s="1023"/>
      <x:c r="L47" s="1027" t="str">
        <x:f>IF($C47="","",IFERROR(INDEX('20 RCC-003 MIAR Registry'!$L$14:$L$60,MATCH($C47,'20 RCC-003 MIAR Registry'!$B$14:$B$60,0)),""))</x:f>
      </x:c>
      <x:c r="M47" s="1023"/>
      <x:c r="N47" s="1018"/>
      <x:c r="O47" s="1018"/>
      <x:c r="P47" s="1018"/>
      <x:c r="Q47" s="1018"/>
      <x:c r="R47" s="1018"/>
      <x:c r="S47" s="1018"/>
      <x:c r="T47" s="1025"/>
      <x:c r="U47" s="962" t="str">
        <x:f>IF($A47="","",IF(COUNTIF($A$14:$A$213,$A47)&gt;1,"DUPLICATE REVIEW ID",IF(OR($B47="",$C47="",$E47="",$F47="",$G47="",$I47="",$K47="",$M47="",$N47="",$O47="",$P47="",$Q47="",$R47="",$W47=""),"INCOMPLETE",IF(AND(OR($R47="Certify Current",$R47="Certify with Exception"),OR($S47="",$T47="")),"CERTIFICATION REQUIRED",IF(AND(NOT(OR($R47="Certify Current",$R47="Certify with Exception")),OR($S47&lt;&gt;"",$T47&lt;&gt;"")),"CERTIFICATION MISMATCH","COMPLETE")))))</x:f>
      </x:c>
      <x:c r="V47" s="1018"/>
      <x:c r="W47" s="1018"/>
    </x:row>
    <x:row r="48" ht="30" customHeight="1">
      <x:c r="A48" s="1018"/>
      <x:c r="B48" s="1025"/>
      <x:c r="C48" s="1018"/>
      <x:c r="D48" s="1021" t="str">
        <x:f>IF($C48="","",IFERROR(INDEX('20 RCC-003 MIAR Registry'!$C$14:$C$60,MATCH($C48,'20 RCC-003 MIAR Registry'!$B$14:$B$60,0)),"TICKER NOT FOUND"))</x:f>
      </x:c>
      <x:c r="E48" s="1018"/>
      <x:c r="F48" s="1018"/>
      <x:c r="G48" s="1018"/>
      <x:c r="H48" s="1021" t="str">
        <x:f>IF($C48="","",IFERROR(INDEX('20 RCC-003 MIAR Registry'!$M$14:$M$60,MATCH($C48,'20 RCC-003 MIAR Registry'!$B$14:$B$60,0)),""))</x:f>
      </x:c>
      <x:c r="I48" s="1018"/>
      <x:c r="J48" s="1027" t="str">
        <x:f>IF($C48="","",IFERROR(INDEX('20 RCC-003 MIAR Registry'!$K$14:$K$60,MATCH($C48,'20 RCC-003 MIAR Registry'!$B$14:$B$60,0)),""))</x:f>
      </x:c>
      <x:c r="K48" s="1023"/>
      <x:c r="L48" s="1027" t="str">
        <x:f>IF($C48="","",IFERROR(INDEX('20 RCC-003 MIAR Registry'!$L$14:$L$60,MATCH($C48,'20 RCC-003 MIAR Registry'!$B$14:$B$60,0)),""))</x:f>
      </x:c>
      <x:c r="M48" s="1023"/>
      <x:c r="N48" s="1018"/>
      <x:c r="O48" s="1018"/>
      <x:c r="P48" s="1018"/>
      <x:c r="Q48" s="1018"/>
      <x:c r="R48" s="1018"/>
      <x:c r="S48" s="1018"/>
      <x:c r="T48" s="1025"/>
      <x:c r="U48" s="962" t="str">
        <x:f>IF($A48="","",IF(COUNTIF($A$14:$A$213,$A48)&gt;1,"DUPLICATE REVIEW ID",IF(OR($B48="",$C48="",$E48="",$F48="",$G48="",$I48="",$K48="",$M48="",$N48="",$O48="",$P48="",$Q48="",$R48="",$W48=""),"INCOMPLETE",IF(AND(OR($R48="Certify Current",$R48="Certify with Exception"),OR($S48="",$T48="")),"CERTIFICATION REQUIRED",IF(AND(NOT(OR($R48="Certify Current",$R48="Certify with Exception")),OR($S48&lt;&gt;"",$T48&lt;&gt;"")),"CERTIFICATION MISMATCH","COMPLETE")))))</x:f>
      </x:c>
      <x:c r="V48" s="1018"/>
      <x:c r="W48" s="1018"/>
    </x:row>
    <x:row r="49" ht="30" customHeight="1">
      <x:c r="A49" s="1018"/>
      <x:c r="B49" s="1025"/>
      <x:c r="C49" s="1018"/>
      <x:c r="D49" s="1021" t="str">
        <x:f>IF($C49="","",IFERROR(INDEX('20 RCC-003 MIAR Registry'!$C$14:$C$60,MATCH($C49,'20 RCC-003 MIAR Registry'!$B$14:$B$60,0)),"TICKER NOT FOUND"))</x:f>
      </x:c>
      <x:c r="E49" s="1018"/>
      <x:c r="F49" s="1018"/>
      <x:c r="G49" s="1018"/>
      <x:c r="H49" s="1021" t="str">
        <x:f>IF($C49="","",IFERROR(INDEX('20 RCC-003 MIAR Registry'!$M$14:$M$60,MATCH($C49,'20 RCC-003 MIAR Registry'!$B$14:$B$60,0)),""))</x:f>
      </x:c>
      <x:c r="I49" s="1018"/>
      <x:c r="J49" s="1027" t="str">
        <x:f>IF($C49="","",IFERROR(INDEX('20 RCC-003 MIAR Registry'!$K$14:$K$60,MATCH($C49,'20 RCC-003 MIAR Registry'!$B$14:$B$60,0)),""))</x:f>
      </x:c>
      <x:c r="K49" s="1023"/>
      <x:c r="L49" s="1027" t="str">
        <x:f>IF($C49="","",IFERROR(INDEX('20 RCC-003 MIAR Registry'!$L$14:$L$60,MATCH($C49,'20 RCC-003 MIAR Registry'!$B$14:$B$60,0)),""))</x:f>
      </x:c>
      <x:c r="M49" s="1023"/>
      <x:c r="N49" s="1018"/>
      <x:c r="O49" s="1018"/>
      <x:c r="P49" s="1018"/>
      <x:c r="Q49" s="1018"/>
      <x:c r="R49" s="1018"/>
      <x:c r="S49" s="1018"/>
      <x:c r="T49" s="1025"/>
      <x:c r="U49" s="962" t="str">
        <x:f>IF($A49="","",IF(COUNTIF($A$14:$A$213,$A49)&gt;1,"DUPLICATE REVIEW ID",IF(OR($B49="",$C49="",$E49="",$F49="",$G49="",$I49="",$K49="",$M49="",$N49="",$O49="",$P49="",$Q49="",$R49="",$W49=""),"INCOMPLETE",IF(AND(OR($R49="Certify Current",$R49="Certify with Exception"),OR($S49="",$T49="")),"CERTIFICATION REQUIRED",IF(AND(NOT(OR($R49="Certify Current",$R49="Certify with Exception")),OR($S49&lt;&gt;"",$T49&lt;&gt;"")),"CERTIFICATION MISMATCH","COMPLETE")))))</x:f>
      </x:c>
      <x:c r="V49" s="1018"/>
      <x:c r="W49" s="1018"/>
    </x:row>
    <x:row r="50" ht="30" customHeight="1">
      <x:c r="A50" s="1018"/>
      <x:c r="B50" s="1025"/>
      <x:c r="C50" s="1018"/>
      <x:c r="D50" s="1021" t="str">
        <x:f>IF($C50="","",IFERROR(INDEX('20 RCC-003 MIAR Registry'!$C$14:$C$60,MATCH($C50,'20 RCC-003 MIAR Registry'!$B$14:$B$60,0)),"TICKER NOT FOUND"))</x:f>
      </x:c>
      <x:c r="E50" s="1018"/>
      <x:c r="F50" s="1018"/>
      <x:c r="G50" s="1018"/>
      <x:c r="H50" s="1021" t="str">
        <x:f>IF($C50="","",IFERROR(INDEX('20 RCC-003 MIAR Registry'!$M$14:$M$60,MATCH($C50,'20 RCC-003 MIAR Registry'!$B$14:$B$60,0)),""))</x:f>
      </x:c>
      <x:c r="I50" s="1018"/>
      <x:c r="J50" s="1027" t="str">
        <x:f>IF($C50="","",IFERROR(INDEX('20 RCC-003 MIAR Registry'!$K$14:$K$60,MATCH($C50,'20 RCC-003 MIAR Registry'!$B$14:$B$60,0)),""))</x:f>
      </x:c>
      <x:c r="K50" s="1023"/>
      <x:c r="L50" s="1027" t="str">
        <x:f>IF($C50="","",IFERROR(INDEX('20 RCC-003 MIAR Registry'!$L$14:$L$60,MATCH($C50,'20 RCC-003 MIAR Registry'!$B$14:$B$60,0)),""))</x:f>
      </x:c>
      <x:c r="M50" s="1023"/>
      <x:c r="N50" s="1018"/>
      <x:c r="O50" s="1018"/>
      <x:c r="P50" s="1018"/>
      <x:c r="Q50" s="1018"/>
      <x:c r="R50" s="1018"/>
      <x:c r="S50" s="1018"/>
      <x:c r="T50" s="1025"/>
      <x:c r="U50" s="962" t="str">
        <x:f>IF($A50="","",IF(COUNTIF($A$14:$A$213,$A50)&gt;1,"DUPLICATE REVIEW ID",IF(OR($B50="",$C50="",$E50="",$F50="",$G50="",$I50="",$K50="",$M50="",$N50="",$O50="",$P50="",$Q50="",$R50="",$W50=""),"INCOMPLETE",IF(AND(OR($R50="Certify Current",$R50="Certify with Exception"),OR($S50="",$T50="")),"CERTIFICATION REQUIRED",IF(AND(NOT(OR($R50="Certify Current",$R50="Certify with Exception")),OR($S50&lt;&gt;"",$T50&lt;&gt;"")),"CERTIFICATION MISMATCH","COMPLETE")))))</x:f>
      </x:c>
      <x:c r="V50" s="1018"/>
      <x:c r="W50" s="1018"/>
    </x:row>
    <x:row r="51" ht="30" customHeight="1">
      <x:c r="A51" s="1018"/>
      <x:c r="B51" s="1025"/>
      <x:c r="C51" s="1018"/>
      <x:c r="D51" s="1021" t="str">
        <x:f>IF($C51="","",IFERROR(INDEX('20 RCC-003 MIAR Registry'!$C$14:$C$60,MATCH($C51,'20 RCC-003 MIAR Registry'!$B$14:$B$60,0)),"TICKER NOT FOUND"))</x:f>
      </x:c>
      <x:c r="E51" s="1018"/>
      <x:c r="F51" s="1018"/>
      <x:c r="G51" s="1018"/>
      <x:c r="H51" s="1021" t="str">
        <x:f>IF($C51="","",IFERROR(INDEX('20 RCC-003 MIAR Registry'!$M$14:$M$60,MATCH($C51,'20 RCC-003 MIAR Registry'!$B$14:$B$60,0)),""))</x:f>
      </x:c>
      <x:c r="I51" s="1018"/>
      <x:c r="J51" s="1027" t="str">
        <x:f>IF($C51="","",IFERROR(INDEX('20 RCC-003 MIAR Registry'!$K$14:$K$60,MATCH($C51,'20 RCC-003 MIAR Registry'!$B$14:$B$60,0)),""))</x:f>
      </x:c>
      <x:c r="K51" s="1023"/>
      <x:c r="L51" s="1027" t="str">
        <x:f>IF($C51="","",IFERROR(INDEX('20 RCC-003 MIAR Registry'!$L$14:$L$60,MATCH($C51,'20 RCC-003 MIAR Registry'!$B$14:$B$60,0)),""))</x:f>
      </x:c>
      <x:c r="M51" s="1023"/>
      <x:c r="N51" s="1018"/>
      <x:c r="O51" s="1018"/>
      <x:c r="P51" s="1018"/>
      <x:c r="Q51" s="1018"/>
      <x:c r="R51" s="1018"/>
      <x:c r="S51" s="1018"/>
      <x:c r="T51" s="1025"/>
      <x:c r="U51" s="962" t="str">
        <x:f>IF($A51="","",IF(COUNTIF($A$14:$A$213,$A51)&gt;1,"DUPLICATE REVIEW ID",IF(OR($B51="",$C51="",$E51="",$F51="",$G51="",$I51="",$K51="",$M51="",$N51="",$O51="",$P51="",$Q51="",$R51="",$W51=""),"INCOMPLETE",IF(AND(OR($R51="Certify Current",$R51="Certify with Exception"),OR($S51="",$T51="")),"CERTIFICATION REQUIRED",IF(AND(NOT(OR($R51="Certify Current",$R51="Certify with Exception")),OR($S51&lt;&gt;"",$T51&lt;&gt;"")),"CERTIFICATION MISMATCH","COMPLETE")))))</x:f>
      </x:c>
      <x:c r="V51" s="1018"/>
      <x:c r="W51" s="1018"/>
    </x:row>
    <x:row r="52" ht="30" customHeight="1">
      <x:c r="A52" s="1018"/>
      <x:c r="B52" s="1025"/>
      <x:c r="C52" s="1018"/>
      <x:c r="D52" s="1021" t="str">
        <x:f>IF($C52="","",IFERROR(INDEX('20 RCC-003 MIAR Registry'!$C$14:$C$60,MATCH($C52,'20 RCC-003 MIAR Registry'!$B$14:$B$60,0)),"TICKER NOT FOUND"))</x:f>
      </x:c>
      <x:c r="E52" s="1018"/>
      <x:c r="F52" s="1018"/>
      <x:c r="G52" s="1018"/>
      <x:c r="H52" s="1021" t="str">
        <x:f>IF($C52="","",IFERROR(INDEX('20 RCC-003 MIAR Registry'!$M$14:$M$60,MATCH($C52,'20 RCC-003 MIAR Registry'!$B$14:$B$60,0)),""))</x:f>
      </x:c>
      <x:c r="I52" s="1018"/>
      <x:c r="J52" s="1027" t="str">
        <x:f>IF($C52="","",IFERROR(INDEX('20 RCC-003 MIAR Registry'!$K$14:$K$60,MATCH($C52,'20 RCC-003 MIAR Registry'!$B$14:$B$60,0)),""))</x:f>
      </x:c>
      <x:c r="K52" s="1023"/>
      <x:c r="L52" s="1027" t="str">
        <x:f>IF($C52="","",IFERROR(INDEX('20 RCC-003 MIAR Registry'!$L$14:$L$60,MATCH($C52,'20 RCC-003 MIAR Registry'!$B$14:$B$60,0)),""))</x:f>
      </x:c>
      <x:c r="M52" s="1023"/>
      <x:c r="N52" s="1018"/>
      <x:c r="O52" s="1018"/>
      <x:c r="P52" s="1018"/>
      <x:c r="Q52" s="1018"/>
      <x:c r="R52" s="1018"/>
      <x:c r="S52" s="1018"/>
      <x:c r="T52" s="1025"/>
      <x:c r="U52" s="962" t="str">
        <x:f>IF($A52="","",IF(COUNTIF($A$14:$A$213,$A52)&gt;1,"DUPLICATE REVIEW ID",IF(OR($B52="",$C52="",$E52="",$F52="",$G52="",$I52="",$K52="",$M52="",$N52="",$O52="",$P52="",$Q52="",$R52="",$W52=""),"INCOMPLETE",IF(AND(OR($R52="Certify Current",$R52="Certify with Exception"),OR($S52="",$T52="")),"CERTIFICATION REQUIRED",IF(AND(NOT(OR($R52="Certify Current",$R52="Certify with Exception")),OR($S52&lt;&gt;"",$T52&lt;&gt;"")),"CERTIFICATION MISMATCH","COMPLETE")))))</x:f>
      </x:c>
      <x:c r="V52" s="1018"/>
      <x:c r="W52" s="1018"/>
    </x:row>
    <x:row r="53" ht="30" customHeight="1">
      <x:c r="A53" s="1018"/>
      <x:c r="B53" s="1025"/>
      <x:c r="C53" s="1018"/>
      <x:c r="D53" s="1021" t="str">
        <x:f>IF($C53="","",IFERROR(INDEX('20 RCC-003 MIAR Registry'!$C$14:$C$60,MATCH($C53,'20 RCC-003 MIAR Registry'!$B$14:$B$60,0)),"TICKER NOT FOUND"))</x:f>
      </x:c>
      <x:c r="E53" s="1018"/>
      <x:c r="F53" s="1018"/>
      <x:c r="G53" s="1018"/>
      <x:c r="H53" s="1021" t="str">
        <x:f>IF($C53="","",IFERROR(INDEX('20 RCC-003 MIAR Registry'!$M$14:$M$60,MATCH($C53,'20 RCC-003 MIAR Registry'!$B$14:$B$60,0)),""))</x:f>
      </x:c>
      <x:c r="I53" s="1018"/>
      <x:c r="J53" s="1027" t="str">
        <x:f>IF($C53="","",IFERROR(INDEX('20 RCC-003 MIAR Registry'!$K$14:$K$60,MATCH($C53,'20 RCC-003 MIAR Registry'!$B$14:$B$60,0)),""))</x:f>
      </x:c>
      <x:c r="K53" s="1023"/>
      <x:c r="L53" s="1027" t="str">
        <x:f>IF($C53="","",IFERROR(INDEX('20 RCC-003 MIAR Registry'!$L$14:$L$60,MATCH($C53,'20 RCC-003 MIAR Registry'!$B$14:$B$60,0)),""))</x:f>
      </x:c>
      <x:c r="M53" s="1023"/>
      <x:c r="N53" s="1018"/>
      <x:c r="O53" s="1018"/>
      <x:c r="P53" s="1018"/>
      <x:c r="Q53" s="1018"/>
      <x:c r="R53" s="1018"/>
      <x:c r="S53" s="1018"/>
      <x:c r="T53" s="1025"/>
      <x:c r="U53" s="962" t="str">
        <x:f>IF($A53="","",IF(COUNTIF($A$14:$A$213,$A53)&gt;1,"DUPLICATE REVIEW ID",IF(OR($B53="",$C53="",$E53="",$F53="",$G53="",$I53="",$K53="",$M53="",$N53="",$O53="",$P53="",$Q53="",$R53="",$W53=""),"INCOMPLETE",IF(AND(OR($R53="Certify Current",$R53="Certify with Exception"),OR($S53="",$T53="")),"CERTIFICATION REQUIRED",IF(AND(NOT(OR($R53="Certify Current",$R53="Certify with Exception")),OR($S53&lt;&gt;"",$T53&lt;&gt;"")),"CERTIFICATION MISMATCH","COMPLETE")))))</x:f>
      </x:c>
      <x:c r="V53" s="1018"/>
      <x:c r="W53" s="1018"/>
    </x:row>
    <x:row r="54" ht="30" customHeight="1">
      <x:c r="A54" s="1018"/>
      <x:c r="B54" s="1025"/>
      <x:c r="C54" s="1018"/>
      <x:c r="D54" s="1021" t="str">
        <x:f>IF($C54="","",IFERROR(INDEX('20 RCC-003 MIAR Registry'!$C$14:$C$60,MATCH($C54,'20 RCC-003 MIAR Registry'!$B$14:$B$60,0)),"TICKER NOT FOUND"))</x:f>
      </x:c>
      <x:c r="E54" s="1018"/>
      <x:c r="F54" s="1018"/>
      <x:c r="G54" s="1018"/>
      <x:c r="H54" s="1021" t="str">
        <x:f>IF($C54="","",IFERROR(INDEX('20 RCC-003 MIAR Registry'!$M$14:$M$60,MATCH($C54,'20 RCC-003 MIAR Registry'!$B$14:$B$60,0)),""))</x:f>
      </x:c>
      <x:c r="I54" s="1018"/>
      <x:c r="J54" s="1027" t="str">
        <x:f>IF($C54="","",IFERROR(INDEX('20 RCC-003 MIAR Registry'!$K$14:$K$60,MATCH($C54,'20 RCC-003 MIAR Registry'!$B$14:$B$60,0)),""))</x:f>
      </x:c>
      <x:c r="K54" s="1023"/>
      <x:c r="L54" s="1027" t="str">
        <x:f>IF($C54="","",IFERROR(INDEX('20 RCC-003 MIAR Registry'!$L$14:$L$60,MATCH($C54,'20 RCC-003 MIAR Registry'!$B$14:$B$60,0)),""))</x:f>
      </x:c>
      <x:c r="M54" s="1023"/>
      <x:c r="N54" s="1018"/>
      <x:c r="O54" s="1018"/>
      <x:c r="P54" s="1018"/>
      <x:c r="Q54" s="1018"/>
      <x:c r="R54" s="1018"/>
      <x:c r="S54" s="1018"/>
      <x:c r="T54" s="1025"/>
      <x:c r="U54" s="962" t="str">
        <x:f>IF($A54="","",IF(COUNTIF($A$14:$A$213,$A54)&gt;1,"DUPLICATE REVIEW ID",IF(OR($B54="",$C54="",$E54="",$F54="",$G54="",$I54="",$K54="",$M54="",$N54="",$O54="",$P54="",$Q54="",$R54="",$W54=""),"INCOMPLETE",IF(AND(OR($R54="Certify Current",$R54="Certify with Exception"),OR($S54="",$T54="")),"CERTIFICATION REQUIRED",IF(AND(NOT(OR($R54="Certify Current",$R54="Certify with Exception")),OR($S54&lt;&gt;"",$T54&lt;&gt;"")),"CERTIFICATION MISMATCH","COMPLETE")))))</x:f>
      </x:c>
      <x:c r="V54" s="1018"/>
      <x:c r="W54" s="1018"/>
    </x:row>
    <x:row r="55" ht="30" customHeight="1">
      <x:c r="A55" s="1018"/>
      <x:c r="B55" s="1025"/>
      <x:c r="C55" s="1018"/>
      <x:c r="D55" s="1021" t="str">
        <x:f>IF($C55="","",IFERROR(INDEX('20 RCC-003 MIAR Registry'!$C$14:$C$60,MATCH($C55,'20 RCC-003 MIAR Registry'!$B$14:$B$60,0)),"TICKER NOT FOUND"))</x:f>
      </x:c>
      <x:c r="E55" s="1018"/>
      <x:c r="F55" s="1018"/>
      <x:c r="G55" s="1018"/>
      <x:c r="H55" s="1021" t="str">
        <x:f>IF($C55="","",IFERROR(INDEX('20 RCC-003 MIAR Registry'!$M$14:$M$60,MATCH($C55,'20 RCC-003 MIAR Registry'!$B$14:$B$60,0)),""))</x:f>
      </x:c>
      <x:c r="I55" s="1018"/>
      <x:c r="J55" s="1027" t="str">
        <x:f>IF($C55="","",IFERROR(INDEX('20 RCC-003 MIAR Registry'!$K$14:$K$60,MATCH($C55,'20 RCC-003 MIAR Registry'!$B$14:$B$60,0)),""))</x:f>
      </x:c>
      <x:c r="K55" s="1023"/>
      <x:c r="L55" s="1027" t="str">
        <x:f>IF($C55="","",IFERROR(INDEX('20 RCC-003 MIAR Registry'!$L$14:$L$60,MATCH($C55,'20 RCC-003 MIAR Registry'!$B$14:$B$60,0)),""))</x:f>
      </x:c>
      <x:c r="M55" s="1023"/>
      <x:c r="N55" s="1018"/>
      <x:c r="O55" s="1018"/>
      <x:c r="P55" s="1018"/>
      <x:c r="Q55" s="1018"/>
      <x:c r="R55" s="1018"/>
      <x:c r="S55" s="1018"/>
      <x:c r="T55" s="1025"/>
      <x:c r="U55" s="962" t="str">
        <x:f>IF($A55="","",IF(COUNTIF($A$14:$A$213,$A55)&gt;1,"DUPLICATE REVIEW ID",IF(OR($B55="",$C55="",$E55="",$F55="",$G55="",$I55="",$K55="",$M55="",$N55="",$O55="",$P55="",$Q55="",$R55="",$W55=""),"INCOMPLETE",IF(AND(OR($R55="Certify Current",$R55="Certify with Exception"),OR($S55="",$T55="")),"CERTIFICATION REQUIRED",IF(AND(NOT(OR($R55="Certify Current",$R55="Certify with Exception")),OR($S55&lt;&gt;"",$T55&lt;&gt;"")),"CERTIFICATION MISMATCH","COMPLETE")))))</x:f>
      </x:c>
      <x:c r="V55" s="1018"/>
      <x:c r="W55" s="1018"/>
    </x:row>
    <x:row r="56" ht="30" customHeight="1">
      <x:c r="A56" s="1018"/>
      <x:c r="B56" s="1025"/>
      <x:c r="C56" s="1018"/>
      <x:c r="D56" s="1021" t="str">
        <x:f>IF($C56="","",IFERROR(INDEX('20 RCC-003 MIAR Registry'!$C$14:$C$60,MATCH($C56,'20 RCC-003 MIAR Registry'!$B$14:$B$60,0)),"TICKER NOT FOUND"))</x:f>
      </x:c>
      <x:c r="E56" s="1018"/>
      <x:c r="F56" s="1018"/>
      <x:c r="G56" s="1018"/>
      <x:c r="H56" s="1021" t="str">
        <x:f>IF($C56="","",IFERROR(INDEX('20 RCC-003 MIAR Registry'!$M$14:$M$60,MATCH($C56,'20 RCC-003 MIAR Registry'!$B$14:$B$60,0)),""))</x:f>
      </x:c>
      <x:c r="I56" s="1018"/>
      <x:c r="J56" s="1027" t="str">
        <x:f>IF($C56="","",IFERROR(INDEX('20 RCC-003 MIAR Registry'!$K$14:$K$60,MATCH($C56,'20 RCC-003 MIAR Registry'!$B$14:$B$60,0)),""))</x:f>
      </x:c>
      <x:c r="K56" s="1023"/>
      <x:c r="L56" s="1027" t="str">
        <x:f>IF($C56="","",IFERROR(INDEX('20 RCC-003 MIAR Registry'!$L$14:$L$60,MATCH($C56,'20 RCC-003 MIAR Registry'!$B$14:$B$60,0)),""))</x:f>
      </x:c>
      <x:c r="M56" s="1023"/>
      <x:c r="N56" s="1018"/>
      <x:c r="O56" s="1018"/>
      <x:c r="P56" s="1018"/>
      <x:c r="Q56" s="1018"/>
      <x:c r="R56" s="1018"/>
      <x:c r="S56" s="1018"/>
      <x:c r="T56" s="1025"/>
      <x:c r="U56" s="962" t="str">
        <x:f>IF($A56="","",IF(COUNTIF($A$14:$A$213,$A56)&gt;1,"DUPLICATE REVIEW ID",IF(OR($B56="",$C56="",$E56="",$F56="",$G56="",$I56="",$K56="",$M56="",$N56="",$O56="",$P56="",$Q56="",$R56="",$W56=""),"INCOMPLETE",IF(AND(OR($R56="Certify Current",$R56="Certify with Exception"),OR($S56="",$T56="")),"CERTIFICATION REQUIRED",IF(AND(NOT(OR($R56="Certify Current",$R56="Certify with Exception")),OR($S56&lt;&gt;"",$T56&lt;&gt;"")),"CERTIFICATION MISMATCH","COMPLETE")))))</x:f>
      </x:c>
      <x:c r="V56" s="1018"/>
      <x:c r="W56" s="1018"/>
    </x:row>
    <x:row r="57" ht="30" customHeight="1">
      <x:c r="A57" s="1018"/>
      <x:c r="B57" s="1025"/>
      <x:c r="C57" s="1018"/>
      <x:c r="D57" s="1021" t="str">
        <x:f>IF($C57="","",IFERROR(INDEX('20 RCC-003 MIAR Registry'!$C$14:$C$60,MATCH($C57,'20 RCC-003 MIAR Registry'!$B$14:$B$60,0)),"TICKER NOT FOUND"))</x:f>
      </x:c>
      <x:c r="E57" s="1018"/>
      <x:c r="F57" s="1018"/>
      <x:c r="G57" s="1018"/>
      <x:c r="H57" s="1021" t="str">
        <x:f>IF($C57="","",IFERROR(INDEX('20 RCC-003 MIAR Registry'!$M$14:$M$60,MATCH($C57,'20 RCC-003 MIAR Registry'!$B$14:$B$60,0)),""))</x:f>
      </x:c>
      <x:c r="I57" s="1018"/>
      <x:c r="J57" s="1027" t="str">
        <x:f>IF($C57="","",IFERROR(INDEX('20 RCC-003 MIAR Registry'!$K$14:$K$60,MATCH($C57,'20 RCC-003 MIAR Registry'!$B$14:$B$60,0)),""))</x:f>
      </x:c>
      <x:c r="K57" s="1023"/>
      <x:c r="L57" s="1027" t="str">
        <x:f>IF($C57="","",IFERROR(INDEX('20 RCC-003 MIAR Registry'!$L$14:$L$60,MATCH($C57,'20 RCC-003 MIAR Registry'!$B$14:$B$60,0)),""))</x:f>
      </x:c>
      <x:c r="M57" s="1023"/>
      <x:c r="N57" s="1018"/>
      <x:c r="O57" s="1018"/>
      <x:c r="P57" s="1018"/>
      <x:c r="Q57" s="1018"/>
      <x:c r="R57" s="1018"/>
      <x:c r="S57" s="1018"/>
      <x:c r="T57" s="1025"/>
      <x:c r="U57" s="962" t="str">
        <x:f>IF($A57="","",IF(COUNTIF($A$14:$A$213,$A57)&gt;1,"DUPLICATE REVIEW ID",IF(OR($B57="",$C57="",$E57="",$F57="",$G57="",$I57="",$K57="",$M57="",$N57="",$O57="",$P57="",$Q57="",$R57="",$W57=""),"INCOMPLETE",IF(AND(OR($R57="Certify Current",$R57="Certify with Exception"),OR($S57="",$T57="")),"CERTIFICATION REQUIRED",IF(AND(NOT(OR($R57="Certify Current",$R57="Certify with Exception")),OR($S57&lt;&gt;"",$T57&lt;&gt;"")),"CERTIFICATION MISMATCH","COMPLETE")))))</x:f>
      </x:c>
      <x:c r="V57" s="1018"/>
      <x:c r="W57" s="1018"/>
    </x:row>
    <x:row r="58" ht="30" customHeight="1">
      <x:c r="A58" s="1018"/>
      <x:c r="B58" s="1025"/>
      <x:c r="C58" s="1018"/>
      <x:c r="D58" s="1021" t="str">
        <x:f>IF($C58="","",IFERROR(INDEX('20 RCC-003 MIAR Registry'!$C$14:$C$60,MATCH($C58,'20 RCC-003 MIAR Registry'!$B$14:$B$60,0)),"TICKER NOT FOUND"))</x:f>
      </x:c>
      <x:c r="E58" s="1018"/>
      <x:c r="F58" s="1018"/>
      <x:c r="G58" s="1018"/>
      <x:c r="H58" s="1021" t="str">
        <x:f>IF($C58="","",IFERROR(INDEX('20 RCC-003 MIAR Registry'!$M$14:$M$60,MATCH($C58,'20 RCC-003 MIAR Registry'!$B$14:$B$60,0)),""))</x:f>
      </x:c>
      <x:c r="I58" s="1018"/>
      <x:c r="J58" s="1027" t="str">
        <x:f>IF($C58="","",IFERROR(INDEX('20 RCC-003 MIAR Registry'!$K$14:$K$60,MATCH($C58,'20 RCC-003 MIAR Registry'!$B$14:$B$60,0)),""))</x:f>
      </x:c>
      <x:c r="K58" s="1023"/>
      <x:c r="L58" s="1027" t="str">
        <x:f>IF($C58="","",IFERROR(INDEX('20 RCC-003 MIAR Registry'!$L$14:$L$60,MATCH($C58,'20 RCC-003 MIAR Registry'!$B$14:$B$60,0)),""))</x:f>
      </x:c>
      <x:c r="M58" s="1023"/>
      <x:c r="N58" s="1018"/>
      <x:c r="O58" s="1018"/>
      <x:c r="P58" s="1018"/>
      <x:c r="Q58" s="1018"/>
      <x:c r="R58" s="1018"/>
      <x:c r="S58" s="1018"/>
      <x:c r="T58" s="1025"/>
      <x:c r="U58" s="962" t="str">
        <x:f>IF($A58="","",IF(COUNTIF($A$14:$A$213,$A58)&gt;1,"DUPLICATE REVIEW ID",IF(OR($B58="",$C58="",$E58="",$F58="",$G58="",$I58="",$K58="",$M58="",$N58="",$O58="",$P58="",$Q58="",$R58="",$W58=""),"INCOMPLETE",IF(AND(OR($R58="Certify Current",$R58="Certify with Exception"),OR($S58="",$T58="")),"CERTIFICATION REQUIRED",IF(AND(NOT(OR($R58="Certify Current",$R58="Certify with Exception")),OR($S58&lt;&gt;"",$T58&lt;&gt;"")),"CERTIFICATION MISMATCH","COMPLETE")))))</x:f>
      </x:c>
      <x:c r="V58" s="1018"/>
      <x:c r="W58" s="1018"/>
    </x:row>
    <x:row r="59" ht="30" customHeight="1">
      <x:c r="A59" s="1018"/>
      <x:c r="B59" s="1025"/>
      <x:c r="C59" s="1018"/>
      <x:c r="D59" s="1021" t="str">
        <x:f>IF($C59="","",IFERROR(INDEX('20 RCC-003 MIAR Registry'!$C$14:$C$60,MATCH($C59,'20 RCC-003 MIAR Registry'!$B$14:$B$60,0)),"TICKER NOT FOUND"))</x:f>
      </x:c>
      <x:c r="E59" s="1018"/>
      <x:c r="F59" s="1018"/>
      <x:c r="G59" s="1018"/>
      <x:c r="H59" s="1021" t="str">
        <x:f>IF($C59="","",IFERROR(INDEX('20 RCC-003 MIAR Registry'!$M$14:$M$60,MATCH($C59,'20 RCC-003 MIAR Registry'!$B$14:$B$60,0)),""))</x:f>
      </x:c>
      <x:c r="I59" s="1018"/>
      <x:c r="J59" s="1027" t="str">
        <x:f>IF($C59="","",IFERROR(INDEX('20 RCC-003 MIAR Registry'!$K$14:$K$60,MATCH($C59,'20 RCC-003 MIAR Registry'!$B$14:$B$60,0)),""))</x:f>
      </x:c>
      <x:c r="K59" s="1023"/>
      <x:c r="L59" s="1027" t="str">
        <x:f>IF($C59="","",IFERROR(INDEX('20 RCC-003 MIAR Registry'!$L$14:$L$60,MATCH($C59,'20 RCC-003 MIAR Registry'!$B$14:$B$60,0)),""))</x:f>
      </x:c>
      <x:c r="M59" s="1023"/>
      <x:c r="N59" s="1018"/>
      <x:c r="O59" s="1018"/>
      <x:c r="P59" s="1018"/>
      <x:c r="Q59" s="1018"/>
      <x:c r="R59" s="1018"/>
      <x:c r="S59" s="1018"/>
      <x:c r="T59" s="1025"/>
      <x:c r="U59" s="962" t="str">
        <x:f>IF($A59="","",IF(COUNTIF($A$14:$A$213,$A59)&gt;1,"DUPLICATE REVIEW ID",IF(OR($B59="",$C59="",$E59="",$F59="",$G59="",$I59="",$K59="",$M59="",$N59="",$O59="",$P59="",$Q59="",$R59="",$W59=""),"INCOMPLETE",IF(AND(OR($R59="Certify Current",$R59="Certify with Exception"),OR($S59="",$T59="")),"CERTIFICATION REQUIRED",IF(AND(NOT(OR($R59="Certify Current",$R59="Certify with Exception")),OR($S59&lt;&gt;"",$T59&lt;&gt;"")),"CERTIFICATION MISMATCH","COMPLETE")))))</x:f>
      </x:c>
      <x:c r="V59" s="1018"/>
      <x:c r="W59" s="1018"/>
    </x:row>
    <x:row r="60" ht="30" customHeight="1">
      <x:c r="A60" s="1018"/>
      <x:c r="B60" s="1025"/>
      <x:c r="C60" s="1018"/>
      <x:c r="D60" s="1021" t="str">
        <x:f>IF($C60="","",IFERROR(INDEX('20 RCC-003 MIAR Registry'!$C$14:$C$60,MATCH($C60,'20 RCC-003 MIAR Registry'!$B$14:$B$60,0)),"TICKER NOT FOUND"))</x:f>
      </x:c>
      <x:c r="E60" s="1018"/>
      <x:c r="F60" s="1018"/>
      <x:c r="G60" s="1018"/>
      <x:c r="H60" s="1021" t="str">
        <x:f>IF($C60="","",IFERROR(INDEX('20 RCC-003 MIAR Registry'!$M$14:$M$60,MATCH($C60,'20 RCC-003 MIAR Registry'!$B$14:$B$60,0)),""))</x:f>
      </x:c>
      <x:c r="I60" s="1018"/>
      <x:c r="J60" s="1027" t="str">
        <x:f>IF($C60="","",IFERROR(INDEX('20 RCC-003 MIAR Registry'!$K$14:$K$60,MATCH($C60,'20 RCC-003 MIAR Registry'!$B$14:$B$60,0)),""))</x:f>
      </x:c>
      <x:c r="K60" s="1023"/>
      <x:c r="L60" s="1027" t="str">
        <x:f>IF($C60="","",IFERROR(INDEX('20 RCC-003 MIAR Registry'!$L$14:$L$60,MATCH($C60,'20 RCC-003 MIAR Registry'!$B$14:$B$60,0)),""))</x:f>
      </x:c>
      <x:c r="M60" s="1023"/>
      <x:c r="N60" s="1018"/>
      <x:c r="O60" s="1018"/>
      <x:c r="P60" s="1018"/>
      <x:c r="Q60" s="1018"/>
      <x:c r="R60" s="1018"/>
      <x:c r="S60" s="1018"/>
      <x:c r="T60" s="1025"/>
      <x:c r="U60" s="962" t="str">
        <x:f>IF($A60="","",IF(COUNTIF($A$14:$A$213,$A60)&gt;1,"DUPLICATE REVIEW ID",IF(OR($B60="",$C60="",$E60="",$F60="",$G60="",$I60="",$K60="",$M60="",$N60="",$O60="",$P60="",$Q60="",$R60="",$W60=""),"INCOMPLETE",IF(AND(OR($R60="Certify Current",$R60="Certify with Exception"),OR($S60="",$T60="")),"CERTIFICATION REQUIRED",IF(AND(NOT(OR($R60="Certify Current",$R60="Certify with Exception")),OR($S60&lt;&gt;"",$T60&lt;&gt;"")),"CERTIFICATION MISMATCH","COMPLETE")))))</x:f>
      </x:c>
      <x:c r="V60" s="1018"/>
      <x:c r="W60" s="1018"/>
    </x:row>
    <x:row r="61" ht="30" customHeight="1">
      <x:c r="A61" s="1018"/>
      <x:c r="B61" s="1025"/>
      <x:c r="C61" s="1018"/>
      <x:c r="D61" s="1021" t="str">
        <x:f>IF($C61="","",IFERROR(INDEX('20 RCC-003 MIAR Registry'!$C$14:$C$60,MATCH($C61,'20 RCC-003 MIAR Registry'!$B$14:$B$60,0)),"TICKER NOT FOUND"))</x:f>
      </x:c>
      <x:c r="E61" s="1018"/>
      <x:c r="F61" s="1018"/>
      <x:c r="G61" s="1018"/>
      <x:c r="H61" s="1021" t="str">
        <x:f>IF($C61="","",IFERROR(INDEX('20 RCC-003 MIAR Registry'!$M$14:$M$60,MATCH($C61,'20 RCC-003 MIAR Registry'!$B$14:$B$60,0)),""))</x:f>
      </x:c>
      <x:c r="I61" s="1018"/>
      <x:c r="J61" s="1027" t="str">
        <x:f>IF($C61="","",IFERROR(INDEX('20 RCC-003 MIAR Registry'!$K$14:$K$60,MATCH($C61,'20 RCC-003 MIAR Registry'!$B$14:$B$60,0)),""))</x:f>
      </x:c>
      <x:c r="K61" s="1023"/>
      <x:c r="L61" s="1027" t="str">
        <x:f>IF($C61="","",IFERROR(INDEX('20 RCC-003 MIAR Registry'!$L$14:$L$60,MATCH($C61,'20 RCC-003 MIAR Registry'!$B$14:$B$60,0)),""))</x:f>
      </x:c>
      <x:c r="M61" s="1023"/>
      <x:c r="N61" s="1018"/>
      <x:c r="O61" s="1018"/>
      <x:c r="P61" s="1018"/>
      <x:c r="Q61" s="1018"/>
      <x:c r="R61" s="1018"/>
      <x:c r="S61" s="1018"/>
      <x:c r="T61" s="1025"/>
      <x:c r="U61" s="962" t="str">
        <x:f>IF($A61="","",IF(COUNTIF($A$14:$A$213,$A61)&gt;1,"DUPLICATE REVIEW ID",IF(OR($B61="",$C61="",$E61="",$F61="",$G61="",$I61="",$K61="",$M61="",$N61="",$O61="",$P61="",$Q61="",$R61="",$W61=""),"INCOMPLETE",IF(AND(OR($R61="Certify Current",$R61="Certify with Exception"),OR($S61="",$T61="")),"CERTIFICATION REQUIRED",IF(AND(NOT(OR($R61="Certify Current",$R61="Certify with Exception")),OR($S61&lt;&gt;"",$T61&lt;&gt;"")),"CERTIFICATION MISMATCH","COMPLETE")))))</x:f>
      </x:c>
      <x:c r="V61" s="1018"/>
      <x:c r="W61" s="1018"/>
    </x:row>
    <x:row r="62" ht="30" customHeight="1">
      <x:c r="A62" s="1018"/>
      <x:c r="B62" s="1025"/>
      <x:c r="C62" s="1018"/>
      <x:c r="D62" s="1021" t="str">
        <x:f>IF($C62="","",IFERROR(INDEX('20 RCC-003 MIAR Registry'!$C$14:$C$60,MATCH($C62,'20 RCC-003 MIAR Registry'!$B$14:$B$60,0)),"TICKER NOT FOUND"))</x:f>
      </x:c>
      <x:c r="E62" s="1018"/>
      <x:c r="F62" s="1018"/>
      <x:c r="G62" s="1018"/>
      <x:c r="H62" s="1021" t="str">
        <x:f>IF($C62="","",IFERROR(INDEX('20 RCC-003 MIAR Registry'!$M$14:$M$60,MATCH($C62,'20 RCC-003 MIAR Registry'!$B$14:$B$60,0)),""))</x:f>
      </x:c>
      <x:c r="I62" s="1018"/>
      <x:c r="J62" s="1027" t="str">
        <x:f>IF($C62="","",IFERROR(INDEX('20 RCC-003 MIAR Registry'!$K$14:$K$60,MATCH($C62,'20 RCC-003 MIAR Registry'!$B$14:$B$60,0)),""))</x:f>
      </x:c>
      <x:c r="K62" s="1023"/>
      <x:c r="L62" s="1027" t="str">
        <x:f>IF($C62="","",IFERROR(INDEX('20 RCC-003 MIAR Registry'!$L$14:$L$60,MATCH($C62,'20 RCC-003 MIAR Registry'!$B$14:$B$60,0)),""))</x:f>
      </x:c>
      <x:c r="M62" s="1023"/>
      <x:c r="N62" s="1018"/>
      <x:c r="O62" s="1018"/>
      <x:c r="P62" s="1018"/>
      <x:c r="Q62" s="1018"/>
      <x:c r="R62" s="1018"/>
      <x:c r="S62" s="1018"/>
      <x:c r="T62" s="1025"/>
      <x:c r="U62" s="962" t="str">
        <x:f>IF($A62="","",IF(COUNTIF($A$14:$A$213,$A62)&gt;1,"DUPLICATE REVIEW ID",IF(OR($B62="",$C62="",$E62="",$F62="",$G62="",$I62="",$K62="",$M62="",$N62="",$O62="",$P62="",$Q62="",$R62="",$W62=""),"INCOMPLETE",IF(AND(OR($R62="Certify Current",$R62="Certify with Exception"),OR($S62="",$T62="")),"CERTIFICATION REQUIRED",IF(AND(NOT(OR($R62="Certify Current",$R62="Certify with Exception")),OR($S62&lt;&gt;"",$T62&lt;&gt;"")),"CERTIFICATION MISMATCH","COMPLETE")))))</x:f>
      </x:c>
      <x:c r="V62" s="1018"/>
      <x:c r="W62" s="1018"/>
    </x:row>
    <x:row r="63" ht="30" customHeight="1">
      <x:c r="A63" s="1018"/>
      <x:c r="B63" s="1025"/>
      <x:c r="C63" s="1018"/>
      <x:c r="D63" s="1021" t="str">
        <x:f>IF($C63="","",IFERROR(INDEX('20 RCC-003 MIAR Registry'!$C$14:$C$60,MATCH($C63,'20 RCC-003 MIAR Registry'!$B$14:$B$60,0)),"TICKER NOT FOUND"))</x:f>
      </x:c>
      <x:c r="E63" s="1018"/>
      <x:c r="F63" s="1018"/>
      <x:c r="G63" s="1018"/>
      <x:c r="H63" s="1021" t="str">
        <x:f>IF($C63="","",IFERROR(INDEX('20 RCC-003 MIAR Registry'!$M$14:$M$60,MATCH($C63,'20 RCC-003 MIAR Registry'!$B$14:$B$60,0)),""))</x:f>
      </x:c>
      <x:c r="I63" s="1018"/>
      <x:c r="J63" s="1027" t="str">
        <x:f>IF($C63="","",IFERROR(INDEX('20 RCC-003 MIAR Registry'!$K$14:$K$60,MATCH($C63,'20 RCC-003 MIAR Registry'!$B$14:$B$60,0)),""))</x:f>
      </x:c>
      <x:c r="K63" s="1023"/>
      <x:c r="L63" s="1027" t="str">
        <x:f>IF($C63="","",IFERROR(INDEX('20 RCC-003 MIAR Registry'!$L$14:$L$60,MATCH($C63,'20 RCC-003 MIAR Registry'!$B$14:$B$60,0)),""))</x:f>
      </x:c>
      <x:c r="M63" s="1023"/>
      <x:c r="N63" s="1018"/>
      <x:c r="O63" s="1018"/>
      <x:c r="P63" s="1018"/>
      <x:c r="Q63" s="1018"/>
      <x:c r="R63" s="1018"/>
      <x:c r="S63" s="1018"/>
      <x:c r="T63" s="1025"/>
      <x:c r="U63" s="962" t="str">
        <x:f>IF($A63="","",IF(COUNTIF($A$14:$A$213,$A63)&gt;1,"DUPLICATE REVIEW ID",IF(OR($B63="",$C63="",$E63="",$F63="",$G63="",$I63="",$K63="",$M63="",$N63="",$O63="",$P63="",$Q63="",$R63="",$W63=""),"INCOMPLETE",IF(AND(OR($R63="Certify Current",$R63="Certify with Exception"),OR($S63="",$T63="")),"CERTIFICATION REQUIRED",IF(AND(NOT(OR($R63="Certify Current",$R63="Certify with Exception")),OR($S63&lt;&gt;"",$T63&lt;&gt;"")),"CERTIFICATION MISMATCH","COMPLETE")))))</x:f>
      </x:c>
      <x:c r="V63" s="1018"/>
      <x:c r="W63" s="1018"/>
    </x:row>
    <x:row r="64" ht="30" customHeight="1">
      <x:c r="A64" s="1018"/>
      <x:c r="B64" s="1025"/>
      <x:c r="C64" s="1018"/>
      <x:c r="D64" s="1021" t="str">
        <x:f>IF($C64="","",IFERROR(INDEX('20 RCC-003 MIAR Registry'!$C$14:$C$60,MATCH($C64,'20 RCC-003 MIAR Registry'!$B$14:$B$60,0)),"TICKER NOT FOUND"))</x:f>
      </x:c>
      <x:c r="E64" s="1018"/>
      <x:c r="F64" s="1018"/>
      <x:c r="G64" s="1018"/>
      <x:c r="H64" s="1021" t="str">
        <x:f>IF($C64="","",IFERROR(INDEX('20 RCC-003 MIAR Registry'!$M$14:$M$60,MATCH($C64,'20 RCC-003 MIAR Registry'!$B$14:$B$60,0)),""))</x:f>
      </x:c>
      <x:c r="I64" s="1018"/>
      <x:c r="J64" s="1027" t="str">
        <x:f>IF($C64="","",IFERROR(INDEX('20 RCC-003 MIAR Registry'!$K$14:$K$60,MATCH($C64,'20 RCC-003 MIAR Registry'!$B$14:$B$60,0)),""))</x:f>
      </x:c>
      <x:c r="K64" s="1023"/>
      <x:c r="L64" s="1027" t="str">
        <x:f>IF($C64="","",IFERROR(INDEX('20 RCC-003 MIAR Registry'!$L$14:$L$60,MATCH($C64,'20 RCC-003 MIAR Registry'!$B$14:$B$60,0)),""))</x:f>
      </x:c>
      <x:c r="M64" s="1023"/>
      <x:c r="N64" s="1018"/>
      <x:c r="O64" s="1018"/>
      <x:c r="P64" s="1018"/>
      <x:c r="Q64" s="1018"/>
      <x:c r="R64" s="1018"/>
      <x:c r="S64" s="1018"/>
      <x:c r="T64" s="1025"/>
      <x:c r="U64" s="962" t="str">
        <x:f>IF($A64="","",IF(COUNTIF($A$14:$A$213,$A64)&gt;1,"DUPLICATE REVIEW ID",IF(OR($B64="",$C64="",$E64="",$F64="",$G64="",$I64="",$K64="",$M64="",$N64="",$O64="",$P64="",$Q64="",$R64="",$W64=""),"INCOMPLETE",IF(AND(OR($R64="Certify Current",$R64="Certify with Exception"),OR($S64="",$T64="")),"CERTIFICATION REQUIRED",IF(AND(NOT(OR($R64="Certify Current",$R64="Certify with Exception")),OR($S64&lt;&gt;"",$T64&lt;&gt;"")),"CERTIFICATION MISMATCH","COMPLETE")))))</x:f>
      </x:c>
      <x:c r="V64" s="1018"/>
      <x:c r="W64" s="1018"/>
    </x:row>
    <x:row r="65" ht="30" customHeight="1">
      <x:c r="A65" s="1018"/>
      <x:c r="B65" s="1025"/>
      <x:c r="C65" s="1018"/>
      <x:c r="D65" s="1021" t="str">
        <x:f>IF($C65="","",IFERROR(INDEX('20 RCC-003 MIAR Registry'!$C$14:$C$60,MATCH($C65,'20 RCC-003 MIAR Registry'!$B$14:$B$60,0)),"TICKER NOT FOUND"))</x:f>
      </x:c>
      <x:c r="E65" s="1018"/>
      <x:c r="F65" s="1018"/>
      <x:c r="G65" s="1018"/>
      <x:c r="H65" s="1021" t="str">
        <x:f>IF($C65="","",IFERROR(INDEX('20 RCC-003 MIAR Registry'!$M$14:$M$60,MATCH($C65,'20 RCC-003 MIAR Registry'!$B$14:$B$60,0)),""))</x:f>
      </x:c>
      <x:c r="I65" s="1018"/>
      <x:c r="J65" s="1027" t="str">
        <x:f>IF($C65="","",IFERROR(INDEX('20 RCC-003 MIAR Registry'!$K$14:$K$60,MATCH($C65,'20 RCC-003 MIAR Registry'!$B$14:$B$60,0)),""))</x:f>
      </x:c>
      <x:c r="K65" s="1023"/>
      <x:c r="L65" s="1027" t="str">
        <x:f>IF($C65="","",IFERROR(INDEX('20 RCC-003 MIAR Registry'!$L$14:$L$60,MATCH($C65,'20 RCC-003 MIAR Registry'!$B$14:$B$60,0)),""))</x:f>
      </x:c>
      <x:c r="M65" s="1023"/>
      <x:c r="N65" s="1018"/>
      <x:c r="O65" s="1018"/>
      <x:c r="P65" s="1018"/>
      <x:c r="Q65" s="1018"/>
      <x:c r="R65" s="1018"/>
      <x:c r="S65" s="1018"/>
      <x:c r="T65" s="1025"/>
      <x:c r="U65" s="962" t="str">
        <x:f>IF($A65="","",IF(COUNTIF($A$14:$A$213,$A65)&gt;1,"DUPLICATE REVIEW ID",IF(OR($B65="",$C65="",$E65="",$F65="",$G65="",$I65="",$K65="",$M65="",$N65="",$O65="",$P65="",$Q65="",$R65="",$W65=""),"INCOMPLETE",IF(AND(OR($R65="Certify Current",$R65="Certify with Exception"),OR($S65="",$T65="")),"CERTIFICATION REQUIRED",IF(AND(NOT(OR($R65="Certify Current",$R65="Certify with Exception")),OR($S65&lt;&gt;"",$T65&lt;&gt;"")),"CERTIFICATION MISMATCH","COMPLETE")))))</x:f>
      </x:c>
      <x:c r="V65" s="1018"/>
      <x:c r="W65" s="1018"/>
    </x:row>
    <x:row r="66" ht="30" customHeight="1">
      <x:c r="A66" s="1018"/>
      <x:c r="B66" s="1025"/>
      <x:c r="C66" s="1018"/>
      <x:c r="D66" s="1021" t="str">
        <x:f>IF($C66="","",IFERROR(INDEX('20 RCC-003 MIAR Registry'!$C$14:$C$60,MATCH($C66,'20 RCC-003 MIAR Registry'!$B$14:$B$60,0)),"TICKER NOT FOUND"))</x:f>
      </x:c>
      <x:c r="E66" s="1018"/>
      <x:c r="F66" s="1018"/>
      <x:c r="G66" s="1018"/>
      <x:c r="H66" s="1021" t="str">
        <x:f>IF($C66="","",IFERROR(INDEX('20 RCC-003 MIAR Registry'!$M$14:$M$60,MATCH($C66,'20 RCC-003 MIAR Registry'!$B$14:$B$60,0)),""))</x:f>
      </x:c>
      <x:c r="I66" s="1018"/>
      <x:c r="J66" s="1027" t="str">
        <x:f>IF($C66="","",IFERROR(INDEX('20 RCC-003 MIAR Registry'!$K$14:$K$60,MATCH($C66,'20 RCC-003 MIAR Registry'!$B$14:$B$60,0)),""))</x:f>
      </x:c>
      <x:c r="K66" s="1023"/>
      <x:c r="L66" s="1027" t="str">
        <x:f>IF($C66="","",IFERROR(INDEX('20 RCC-003 MIAR Registry'!$L$14:$L$60,MATCH($C66,'20 RCC-003 MIAR Registry'!$B$14:$B$60,0)),""))</x:f>
      </x:c>
      <x:c r="M66" s="1023"/>
      <x:c r="N66" s="1018"/>
      <x:c r="O66" s="1018"/>
      <x:c r="P66" s="1018"/>
      <x:c r="Q66" s="1018"/>
      <x:c r="R66" s="1018"/>
      <x:c r="S66" s="1018"/>
      <x:c r="T66" s="1025"/>
      <x:c r="U66" s="962" t="str">
        <x:f>IF($A66="","",IF(COUNTIF($A$14:$A$213,$A66)&gt;1,"DUPLICATE REVIEW ID",IF(OR($B66="",$C66="",$E66="",$F66="",$G66="",$I66="",$K66="",$M66="",$N66="",$O66="",$P66="",$Q66="",$R66="",$W66=""),"INCOMPLETE",IF(AND(OR($R66="Certify Current",$R66="Certify with Exception"),OR($S66="",$T66="")),"CERTIFICATION REQUIRED",IF(AND(NOT(OR($R66="Certify Current",$R66="Certify with Exception")),OR($S66&lt;&gt;"",$T66&lt;&gt;"")),"CERTIFICATION MISMATCH","COMPLETE")))))</x:f>
      </x:c>
      <x:c r="V66" s="1018"/>
      <x:c r="W66" s="1018"/>
    </x:row>
    <x:row r="67" ht="30" customHeight="1">
      <x:c r="A67" s="1018"/>
      <x:c r="B67" s="1025"/>
      <x:c r="C67" s="1018"/>
      <x:c r="D67" s="1021" t="str">
        <x:f>IF($C67="","",IFERROR(INDEX('20 RCC-003 MIAR Registry'!$C$14:$C$60,MATCH($C67,'20 RCC-003 MIAR Registry'!$B$14:$B$60,0)),"TICKER NOT FOUND"))</x:f>
      </x:c>
      <x:c r="E67" s="1018"/>
      <x:c r="F67" s="1018"/>
      <x:c r="G67" s="1018"/>
      <x:c r="H67" s="1021" t="str">
        <x:f>IF($C67="","",IFERROR(INDEX('20 RCC-003 MIAR Registry'!$M$14:$M$60,MATCH($C67,'20 RCC-003 MIAR Registry'!$B$14:$B$60,0)),""))</x:f>
      </x:c>
      <x:c r="I67" s="1018"/>
      <x:c r="J67" s="1027" t="str">
        <x:f>IF($C67="","",IFERROR(INDEX('20 RCC-003 MIAR Registry'!$K$14:$K$60,MATCH($C67,'20 RCC-003 MIAR Registry'!$B$14:$B$60,0)),""))</x:f>
      </x:c>
      <x:c r="K67" s="1023"/>
      <x:c r="L67" s="1027" t="str">
        <x:f>IF($C67="","",IFERROR(INDEX('20 RCC-003 MIAR Registry'!$L$14:$L$60,MATCH($C67,'20 RCC-003 MIAR Registry'!$B$14:$B$60,0)),""))</x:f>
      </x:c>
      <x:c r="M67" s="1023"/>
      <x:c r="N67" s="1018"/>
      <x:c r="O67" s="1018"/>
      <x:c r="P67" s="1018"/>
      <x:c r="Q67" s="1018"/>
      <x:c r="R67" s="1018"/>
      <x:c r="S67" s="1018"/>
      <x:c r="T67" s="1025"/>
      <x:c r="U67" s="962" t="str">
        <x:f>IF($A67="","",IF(COUNTIF($A$14:$A$213,$A67)&gt;1,"DUPLICATE REVIEW ID",IF(OR($B67="",$C67="",$E67="",$F67="",$G67="",$I67="",$K67="",$M67="",$N67="",$O67="",$P67="",$Q67="",$R67="",$W67=""),"INCOMPLETE",IF(AND(OR($R67="Certify Current",$R67="Certify with Exception"),OR($S67="",$T67="")),"CERTIFICATION REQUIRED",IF(AND(NOT(OR($R67="Certify Current",$R67="Certify with Exception")),OR($S67&lt;&gt;"",$T67&lt;&gt;"")),"CERTIFICATION MISMATCH","COMPLETE")))))</x:f>
      </x:c>
      <x:c r="V67" s="1018"/>
      <x:c r="W67" s="1018"/>
    </x:row>
    <x:row r="68" ht="30" customHeight="1">
      <x:c r="A68" s="1018"/>
      <x:c r="B68" s="1025"/>
      <x:c r="C68" s="1018"/>
      <x:c r="D68" s="1021" t="str">
        <x:f>IF($C68="","",IFERROR(INDEX('20 RCC-003 MIAR Registry'!$C$14:$C$60,MATCH($C68,'20 RCC-003 MIAR Registry'!$B$14:$B$60,0)),"TICKER NOT FOUND"))</x:f>
      </x:c>
      <x:c r="E68" s="1018"/>
      <x:c r="F68" s="1018"/>
      <x:c r="G68" s="1018"/>
      <x:c r="H68" s="1021" t="str">
        <x:f>IF($C68="","",IFERROR(INDEX('20 RCC-003 MIAR Registry'!$M$14:$M$60,MATCH($C68,'20 RCC-003 MIAR Registry'!$B$14:$B$60,0)),""))</x:f>
      </x:c>
      <x:c r="I68" s="1018"/>
      <x:c r="J68" s="1027" t="str">
        <x:f>IF($C68="","",IFERROR(INDEX('20 RCC-003 MIAR Registry'!$K$14:$K$60,MATCH($C68,'20 RCC-003 MIAR Registry'!$B$14:$B$60,0)),""))</x:f>
      </x:c>
      <x:c r="K68" s="1023"/>
      <x:c r="L68" s="1027" t="str">
        <x:f>IF($C68="","",IFERROR(INDEX('20 RCC-003 MIAR Registry'!$L$14:$L$60,MATCH($C68,'20 RCC-003 MIAR Registry'!$B$14:$B$60,0)),""))</x:f>
      </x:c>
      <x:c r="M68" s="1023"/>
      <x:c r="N68" s="1018"/>
      <x:c r="O68" s="1018"/>
      <x:c r="P68" s="1018"/>
      <x:c r="Q68" s="1018"/>
      <x:c r="R68" s="1018"/>
      <x:c r="S68" s="1018"/>
      <x:c r="T68" s="1025"/>
      <x:c r="U68" s="962" t="str">
        <x:f>IF($A68="","",IF(COUNTIF($A$14:$A$213,$A68)&gt;1,"DUPLICATE REVIEW ID",IF(OR($B68="",$C68="",$E68="",$F68="",$G68="",$I68="",$K68="",$M68="",$N68="",$O68="",$P68="",$Q68="",$R68="",$W68=""),"INCOMPLETE",IF(AND(OR($R68="Certify Current",$R68="Certify with Exception"),OR($S68="",$T68="")),"CERTIFICATION REQUIRED",IF(AND(NOT(OR($R68="Certify Current",$R68="Certify with Exception")),OR($S68&lt;&gt;"",$T68&lt;&gt;"")),"CERTIFICATION MISMATCH","COMPLETE")))))</x:f>
      </x:c>
      <x:c r="V68" s="1018"/>
      <x:c r="W68" s="1018"/>
    </x:row>
    <x:row r="69" ht="30" customHeight="1">
      <x:c r="A69" s="1018"/>
      <x:c r="B69" s="1025"/>
      <x:c r="C69" s="1018"/>
      <x:c r="D69" s="1021" t="str">
        <x:f>IF($C69="","",IFERROR(INDEX('20 RCC-003 MIAR Registry'!$C$14:$C$60,MATCH($C69,'20 RCC-003 MIAR Registry'!$B$14:$B$60,0)),"TICKER NOT FOUND"))</x:f>
      </x:c>
      <x:c r="E69" s="1018"/>
      <x:c r="F69" s="1018"/>
      <x:c r="G69" s="1018"/>
      <x:c r="H69" s="1021" t="str">
        <x:f>IF($C69="","",IFERROR(INDEX('20 RCC-003 MIAR Registry'!$M$14:$M$60,MATCH($C69,'20 RCC-003 MIAR Registry'!$B$14:$B$60,0)),""))</x:f>
      </x:c>
      <x:c r="I69" s="1018"/>
      <x:c r="J69" s="1027" t="str">
        <x:f>IF($C69="","",IFERROR(INDEX('20 RCC-003 MIAR Registry'!$K$14:$K$60,MATCH($C69,'20 RCC-003 MIAR Registry'!$B$14:$B$60,0)),""))</x:f>
      </x:c>
      <x:c r="K69" s="1023"/>
      <x:c r="L69" s="1027" t="str">
        <x:f>IF($C69="","",IFERROR(INDEX('20 RCC-003 MIAR Registry'!$L$14:$L$60,MATCH($C69,'20 RCC-003 MIAR Registry'!$B$14:$B$60,0)),""))</x:f>
      </x:c>
      <x:c r="M69" s="1023"/>
      <x:c r="N69" s="1018"/>
      <x:c r="O69" s="1018"/>
      <x:c r="P69" s="1018"/>
      <x:c r="Q69" s="1018"/>
      <x:c r="R69" s="1018"/>
      <x:c r="S69" s="1018"/>
      <x:c r="T69" s="1025"/>
      <x:c r="U69" s="962" t="str">
        <x:f>IF($A69="","",IF(COUNTIF($A$14:$A$213,$A69)&gt;1,"DUPLICATE REVIEW ID",IF(OR($B69="",$C69="",$E69="",$F69="",$G69="",$I69="",$K69="",$M69="",$N69="",$O69="",$P69="",$Q69="",$R69="",$W69=""),"INCOMPLETE",IF(AND(OR($R69="Certify Current",$R69="Certify with Exception"),OR($S69="",$T69="")),"CERTIFICATION REQUIRED",IF(AND(NOT(OR($R69="Certify Current",$R69="Certify with Exception")),OR($S69&lt;&gt;"",$T69&lt;&gt;"")),"CERTIFICATION MISMATCH","COMPLETE")))))</x:f>
      </x:c>
      <x:c r="V69" s="1018"/>
      <x:c r="W69" s="1018"/>
    </x:row>
    <x:row r="70" ht="30" customHeight="1">
      <x:c r="A70" s="1018"/>
      <x:c r="B70" s="1025"/>
      <x:c r="C70" s="1018"/>
      <x:c r="D70" s="1021" t="str">
        <x:f>IF($C70="","",IFERROR(INDEX('20 RCC-003 MIAR Registry'!$C$14:$C$60,MATCH($C70,'20 RCC-003 MIAR Registry'!$B$14:$B$60,0)),"TICKER NOT FOUND"))</x:f>
      </x:c>
      <x:c r="E70" s="1018"/>
      <x:c r="F70" s="1018"/>
      <x:c r="G70" s="1018"/>
      <x:c r="H70" s="1021" t="str">
        <x:f>IF($C70="","",IFERROR(INDEX('20 RCC-003 MIAR Registry'!$M$14:$M$60,MATCH($C70,'20 RCC-003 MIAR Registry'!$B$14:$B$60,0)),""))</x:f>
      </x:c>
      <x:c r="I70" s="1018"/>
      <x:c r="J70" s="1027" t="str">
        <x:f>IF($C70="","",IFERROR(INDEX('20 RCC-003 MIAR Registry'!$K$14:$K$60,MATCH($C70,'20 RCC-003 MIAR Registry'!$B$14:$B$60,0)),""))</x:f>
      </x:c>
      <x:c r="K70" s="1023"/>
      <x:c r="L70" s="1027" t="str">
        <x:f>IF($C70="","",IFERROR(INDEX('20 RCC-003 MIAR Registry'!$L$14:$L$60,MATCH($C70,'20 RCC-003 MIAR Registry'!$B$14:$B$60,0)),""))</x:f>
      </x:c>
      <x:c r="M70" s="1023"/>
      <x:c r="N70" s="1018"/>
      <x:c r="O70" s="1018"/>
      <x:c r="P70" s="1018"/>
      <x:c r="Q70" s="1018"/>
      <x:c r="R70" s="1018"/>
      <x:c r="S70" s="1018"/>
      <x:c r="T70" s="1025"/>
      <x:c r="U70" s="962" t="str">
        <x:f>IF($A70="","",IF(COUNTIF($A$14:$A$213,$A70)&gt;1,"DUPLICATE REVIEW ID",IF(OR($B70="",$C70="",$E70="",$F70="",$G70="",$I70="",$K70="",$M70="",$N70="",$O70="",$P70="",$Q70="",$R70="",$W70=""),"INCOMPLETE",IF(AND(OR($R70="Certify Current",$R70="Certify with Exception"),OR($S70="",$T70="")),"CERTIFICATION REQUIRED",IF(AND(NOT(OR($R70="Certify Current",$R70="Certify with Exception")),OR($S70&lt;&gt;"",$T70&lt;&gt;"")),"CERTIFICATION MISMATCH","COMPLETE")))))</x:f>
      </x:c>
      <x:c r="V70" s="1018"/>
      <x:c r="W70" s="1018"/>
    </x:row>
    <x:row r="71" ht="30" customHeight="1">
      <x:c r="A71" s="1018"/>
      <x:c r="B71" s="1025"/>
      <x:c r="C71" s="1018"/>
      <x:c r="D71" s="1021" t="str">
        <x:f>IF($C71="","",IFERROR(INDEX('20 RCC-003 MIAR Registry'!$C$14:$C$60,MATCH($C71,'20 RCC-003 MIAR Registry'!$B$14:$B$60,0)),"TICKER NOT FOUND"))</x:f>
      </x:c>
      <x:c r="E71" s="1018"/>
      <x:c r="F71" s="1018"/>
      <x:c r="G71" s="1018"/>
      <x:c r="H71" s="1021" t="str">
        <x:f>IF($C71="","",IFERROR(INDEX('20 RCC-003 MIAR Registry'!$M$14:$M$60,MATCH($C71,'20 RCC-003 MIAR Registry'!$B$14:$B$60,0)),""))</x:f>
      </x:c>
      <x:c r="I71" s="1018"/>
      <x:c r="J71" s="1027" t="str">
        <x:f>IF($C71="","",IFERROR(INDEX('20 RCC-003 MIAR Registry'!$K$14:$K$60,MATCH($C71,'20 RCC-003 MIAR Registry'!$B$14:$B$60,0)),""))</x:f>
      </x:c>
      <x:c r="K71" s="1023"/>
      <x:c r="L71" s="1027" t="str">
        <x:f>IF($C71="","",IFERROR(INDEX('20 RCC-003 MIAR Registry'!$L$14:$L$60,MATCH($C71,'20 RCC-003 MIAR Registry'!$B$14:$B$60,0)),""))</x:f>
      </x:c>
      <x:c r="M71" s="1023"/>
      <x:c r="N71" s="1018"/>
      <x:c r="O71" s="1018"/>
      <x:c r="P71" s="1018"/>
      <x:c r="Q71" s="1018"/>
      <x:c r="R71" s="1018"/>
      <x:c r="S71" s="1018"/>
      <x:c r="T71" s="1025"/>
      <x:c r="U71" s="962" t="str">
        <x:f>IF($A71="","",IF(COUNTIF($A$14:$A$213,$A71)&gt;1,"DUPLICATE REVIEW ID",IF(OR($B71="",$C71="",$E71="",$F71="",$G71="",$I71="",$K71="",$M71="",$N71="",$O71="",$P71="",$Q71="",$R71="",$W71=""),"INCOMPLETE",IF(AND(OR($R71="Certify Current",$R71="Certify with Exception"),OR($S71="",$T71="")),"CERTIFICATION REQUIRED",IF(AND(NOT(OR($R71="Certify Current",$R71="Certify with Exception")),OR($S71&lt;&gt;"",$T71&lt;&gt;"")),"CERTIFICATION MISMATCH","COMPLETE")))))</x:f>
      </x:c>
      <x:c r="V71" s="1018"/>
      <x:c r="W71" s="1018"/>
    </x:row>
    <x:row r="72" ht="30" customHeight="1">
      <x:c r="A72" s="1018"/>
      <x:c r="B72" s="1025"/>
      <x:c r="C72" s="1018"/>
      <x:c r="D72" s="1021" t="str">
        <x:f>IF($C72="","",IFERROR(INDEX('20 RCC-003 MIAR Registry'!$C$14:$C$60,MATCH($C72,'20 RCC-003 MIAR Registry'!$B$14:$B$60,0)),"TICKER NOT FOUND"))</x:f>
      </x:c>
      <x:c r="E72" s="1018"/>
      <x:c r="F72" s="1018"/>
      <x:c r="G72" s="1018"/>
      <x:c r="H72" s="1021" t="str">
        <x:f>IF($C72="","",IFERROR(INDEX('20 RCC-003 MIAR Registry'!$M$14:$M$60,MATCH($C72,'20 RCC-003 MIAR Registry'!$B$14:$B$60,0)),""))</x:f>
      </x:c>
      <x:c r="I72" s="1018"/>
      <x:c r="J72" s="1027" t="str">
        <x:f>IF($C72="","",IFERROR(INDEX('20 RCC-003 MIAR Registry'!$K$14:$K$60,MATCH($C72,'20 RCC-003 MIAR Registry'!$B$14:$B$60,0)),""))</x:f>
      </x:c>
      <x:c r="K72" s="1023"/>
      <x:c r="L72" s="1027" t="str">
        <x:f>IF($C72="","",IFERROR(INDEX('20 RCC-003 MIAR Registry'!$L$14:$L$60,MATCH($C72,'20 RCC-003 MIAR Registry'!$B$14:$B$60,0)),""))</x:f>
      </x:c>
      <x:c r="M72" s="1023"/>
      <x:c r="N72" s="1018"/>
      <x:c r="O72" s="1018"/>
      <x:c r="P72" s="1018"/>
      <x:c r="Q72" s="1018"/>
      <x:c r="R72" s="1018"/>
      <x:c r="S72" s="1018"/>
      <x:c r="T72" s="1025"/>
      <x:c r="U72" s="962" t="str">
        <x:f>IF($A72="","",IF(COUNTIF($A$14:$A$213,$A72)&gt;1,"DUPLICATE REVIEW ID",IF(OR($B72="",$C72="",$E72="",$F72="",$G72="",$I72="",$K72="",$M72="",$N72="",$O72="",$P72="",$Q72="",$R72="",$W72=""),"INCOMPLETE",IF(AND(OR($R72="Certify Current",$R72="Certify with Exception"),OR($S72="",$T72="")),"CERTIFICATION REQUIRED",IF(AND(NOT(OR($R72="Certify Current",$R72="Certify with Exception")),OR($S72&lt;&gt;"",$T72&lt;&gt;"")),"CERTIFICATION MISMATCH","COMPLETE")))))</x:f>
      </x:c>
      <x:c r="V72" s="1018"/>
      <x:c r="W72" s="1018"/>
    </x:row>
    <x:row r="73" ht="30" customHeight="1">
      <x:c r="A73" s="1018"/>
      <x:c r="B73" s="1025"/>
      <x:c r="C73" s="1018"/>
      <x:c r="D73" s="1021" t="str">
        <x:f>IF($C73="","",IFERROR(INDEX('20 RCC-003 MIAR Registry'!$C$14:$C$60,MATCH($C73,'20 RCC-003 MIAR Registry'!$B$14:$B$60,0)),"TICKER NOT FOUND"))</x:f>
      </x:c>
      <x:c r="E73" s="1018"/>
      <x:c r="F73" s="1018"/>
      <x:c r="G73" s="1018"/>
      <x:c r="H73" s="1021" t="str">
        <x:f>IF($C73="","",IFERROR(INDEX('20 RCC-003 MIAR Registry'!$M$14:$M$60,MATCH($C73,'20 RCC-003 MIAR Registry'!$B$14:$B$60,0)),""))</x:f>
      </x:c>
      <x:c r="I73" s="1018"/>
      <x:c r="J73" s="1027" t="str">
        <x:f>IF($C73="","",IFERROR(INDEX('20 RCC-003 MIAR Registry'!$K$14:$K$60,MATCH($C73,'20 RCC-003 MIAR Registry'!$B$14:$B$60,0)),""))</x:f>
      </x:c>
      <x:c r="K73" s="1023"/>
      <x:c r="L73" s="1027" t="str">
        <x:f>IF($C73="","",IFERROR(INDEX('20 RCC-003 MIAR Registry'!$L$14:$L$60,MATCH($C73,'20 RCC-003 MIAR Registry'!$B$14:$B$60,0)),""))</x:f>
      </x:c>
      <x:c r="M73" s="1023"/>
      <x:c r="N73" s="1018"/>
      <x:c r="O73" s="1018"/>
      <x:c r="P73" s="1018"/>
      <x:c r="Q73" s="1018"/>
      <x:c r="R73" s="1018"/>
      <x:c r="S73" s="1018"/>
      <x:c r="T73" s="1025"/>
      <x:c r="U73" s="962" t="str">
        <x:f>IF($A73="","",IF(COUNTIF($A$14:$A$213,$A73)&gt;1,"DUPLICATE REVIEW ID",IF(OR($B73="",$C73="",$E73="",$F73="",$G73="",$I73="",$K73="",$M73="",$N73="",$O73="",$P73="",$Q73="",$R73="",$W73=""),"INCOMPLETE",IF(AND(OR($R73="Certify Current",$R73="Certify with Exception"),OR($S73="",$T73="")),"CERTIFICATION REQUIRED",IF(AND(NOT(OR($R73="Certify Current",$R73="Certify with Exception")),OR($S73&lt;&gt;"",$T73&lt;&gt;"")),"CERTIFICATION MISMATCH","COMPLETE")))))</x:f>
      </x:c>
      <x:c r="V73" s="1018"/>
      <x:c r="W73" s="1018"/>
    </x:row>
    <x:row r="74" ht="30" customHeight="1">
      <x:c r="A74" s="1018"/>
      <x:c r="B74" s="1025"/>
      <x:c r="C74" s="1018"/>
      <x:c r="D74" s="1021" t="str">
        <x:f>IF($C74="","",IFERROR(INDEX('20 RCC-003 MIAR Registry'!$C$14:$C$60,MATCH($C74,'20 RCC-003 MIAR Registry'!$B$14:$B$60,0)),"TICKER NOT FOUND"))</x:f>
      </x:c>
      <x:c r="E74" s="1018"/>
      <x:c r="F74" s="1018"/>
      <x:c r="G74" s="1018"/>
      <x:c r="H74" s="1021" t="str">
        <x:f>IF($C74="","",IFERROR(INDEX('20 RCC-003 MIAR Registry'!$M$14:$M$60,MATCH($C74,'20 RCC-003 MIAR Registry'!$B$14:$B$60,0)),""))</x:f>
      </x:c>
      <x:c r="I74" s="1018"/>
      <x:c r="J74" s="1027" t="str">
        <x:f>IF($C74="","",IFERROR(INDEX('20 RCC-003 MIAR Registry'!$K$14:$K$60,MATCH($C74,'20 RCC-003 MIAR Registry'!$B$14:$B$60,0)),""))</x:f>
      </x:c>
      <x:c r="K74" s="1023"/>
      <x:c r="L74" s="1027" t="str">
        <x:f>IF($C74="","",IFERROR(INDEX('20 RCC-003 MIAR Registry'!$L$14:$L$60,MATCH($C74,'20 RCC-003 MIAR Registry'!$B$14:$B$60,0)),""))</x:f>
      </x:c>
      <x:c r="M74" s="1023"/>
      <x:c r="N74" s="1018"/>
      <x:c r="O74" s="1018"/>
      <x:c r="P74" s="1018"/>
      <x:c r="Q74" s="1018"/>
      <x:c r="R74" s="1018"/>
      <x:c r="S74" s="1018"/>
      <x:c r="T74" s="1025"/>
      <x:c r="U74" s="962" t="str">
        <x:f>IF($A74="","",IF(COUNTIF($A$14:$A$213,$A74)&gt;1,"DUPLICATE REVIEW ID",IF(OR($B74="",$C74="",$E74="",$F74="",$G74="",$I74="",$K74="",$M74="",$N74="",$O74="",$P74="",$Q74="",$R74="",$W74=""),"INCOMPLETE",IF(AND(OR($R74="Certify Current",$R74="Certify with Exception"),OR($S74="",$T74="")),"CERTIFICATION REQUIRED",IF(AND(NOT(OR($R74="Certify Current",$R74="Certify with Exception")),OR($S74&lt;&gt;"",$T74&lt;&gt;"")),"CERTIFICATION MISMATCH","COMPLETE")))))</x:f>
      </x:c>
      <x:c r="V74" s="1018"/>
      <x:c r="W74" s="1018"/>
    </x:row>
    <x:row r="75" ht="30" customHeight="1">
      <x:c r="A75" s="1018"/>
      <x:c r="B75" s="1025"/>
      <x:c r="C75" s="1018"/>
      <x:c r="D75" s="1021" t="str">
        <x:f>IF($C75="","",IFERROR(INDEX('20 RCC-003 MIAR Registry'!$C$14:$C$60,MATCH($C75,'20 RCC-003 MIAR Registry'!$B$14:$B$60,0)),"TICKER NOT FOUND"))</x:f>
      </x:c>
      <x:c r="E75" s="1018"/>
      <x:c r="F75" s="1018"/>
      <x:c r="G75" s="1018"/>
      <x:c r="H75" s="1021" t="str">
        <x:f>IF($C75="","",IFERROR(INDEX('20 RCC-003 MIAR Registry'!$M$14:$M$60,MATCH($C75,'20 RCC-003 MIAR Registry'!$B$14:$B$60,0)),""))</x:f>
      </x:c>
      <x:c r="I75" s="1018"/>
      <x:c r="J75" s="1027" t="str">
        <x:f>IF($C75="","",IFERROR(INDEX('20 RCC-003 MIAR Registry'!$K$14:$K$60,MATCH($C75,'20 RCC-003 MIAR Registry'!$B$14:$B$60,0)),""))</x:f>
      </x:c>
      <x:c r="K75" s="1023"/>
      <x:c r="L75" s="1027" t="str">
        <x:f>IF($C75="","",IFERROR(INDEX('20 RCC-003 MIAR Registry'!$L$14:$L$60,MATCH($C75,'20 RCC-003 MIAR Registry'!$B$14:$B$60,0)),""))</x:f>
      </x:c>
      <x:c r="M75" s="1023"/>
      <x:c r="N75" s="1018"/>
      <x:c r="O75" s="1018"/>
      <x:c r="P75" s="1018"/>
      <x:c r="Q75" s="1018"/>
      <x:c r="R75" s="1018"/>
      <x:c r="S75" s="1018"/>
      <x:c r="T75" s="1025"/>
      <x:c r="U75" s="962" t="str">
        <x:f>IF($A75="","",IF(COUNTIF($A$14:$A$213,$A75)&gt;1,"DUPLICATE REVIEW ID",IF(OR($B75="",$C75="",$E75="",$F75="",$G75="",$I75="",$K75="",$M75="",$N75="",$O75="",$P75="",$Q75="",$R75="",$W75=""),"INCOMPLETE",IF(AND(OR($R75="Certify Current",$R75="Certify with Exception"),OR($S75="",$T75="")),"CERTIFICATION REQUIRED",IF(AND(NOT(OR($R75="Certify Current",$R75="Certify with Exception")),OR($S75&lt;&gt;"",$T75&lt;&gt;"")),"CERTIFICATION MISMATCH","COMPLETE")))))</x:f>
      </x:c>
      <x:c r="V75" s="1018"/>
      <x:c r="W75" s="1018"/>
    </x:row>
    <x:row r="76" ht="30" customHeight="1">
      <x:c r="A76" s="1018"/>
      <x:c r="B76" s="1025"/>
      <x:c r="C76" s="1018"/>
      <x:c r="D76" s="1021" t="str">
        <x:f>IF($C76="","",IFERROR(INDEX('20 RCC-003 MIAR Registry'!$C$14:$C$60,MATCH($C76,'20 RCC-003 MIAR Registry'!$B$14:$B$60,0)),"TICKER NOT FOUND"))</x:f>
      </x:c>
      <x:c r="E76" s="1018"/>
      <x:c r="F76" s="1018"/>
      <x:c r="G76" s="1018"/>
      <x:c r="H76" s="1021" t="str">
        <x:f>IF($C76="","",IFERROR(INDEX('20 RCC-003 MIAR Registry'!$M$14:$M$60,MATCH($C76,'20 RCC-003 MIAR Registry'!$B$14:$B$60,0)),""))</x:f>
      </x:c>
      <x:c r="I76" s="1018"/>
      <x:c r="J76" s="1027" t="str">
        <x:f>IF($C76="","",IFERROR(INDEX('20 RCC-003 MIAR Registry'!$K$14:$K$60,MATCH($C76,'20 RCC-003 MIAR Registry'!$B$14:$B$60,0)),""))</x:f>
      </x:c>
      <x:c r="K76" s="1023"/>
      <x:c r="L76" s="1027" t="str">
        <x:f>IF($C76="","",IFERROR(INDEX('20 RCC-003 MIAR Registry'!$L$14:$L$60,MATCH($C76,'20 RCC-003 MIAR Registry'!$B$14:$B$60,0)),""))</x:f>
      </x:c>
      <x:c r="M76" s="1023"/>
      <x:c r="N76" s="1018"/>
      <x:c r="O76" s="1018"/>
      <x:c r="P76" s="1018"/>
      <x:c r="Q76" s="1018"/>
      <x:c r="R76" s="1018"/>
      <x:c r="S76" s="1018"/>
      <x:c r="T76" s="1025"/>
      <x:c r="U76" s="962" t="str">
        <x:f>IF($A76="","",IF(COUNTIF($A$14:$A$213,$A76)&gt;1,"DUPLICATE REVIEW ID",IF(OR($B76="",$C76="",$E76="",$F76="",$G76="",$I76="",$K76="",$M76="",$N76="",$O76="",$P76="",$Q76="",$R76="",$W76=""),"INCOMPLETE",IF(AND(OR($R76="Certify Current",$R76="Certify with Exception"),OR($S76="",$T76="")),"CERTIFICATION REQUIRED",IF(AND(NOT(OR($R76="Certify Current",$R76="Certify with Exception")),OR($S76&lt;&gt;"",$T76&lt;&gt;"")),"CERTIFICATION MISMATCH","COMPLETE")))))</x:f>
      </x:c>
      <x:c r="V76" s="1018"/>
      <x:c r="W76" s="1018"/>
    </x:row>
    <x:row r="77" ht="30" customHeight="1">
      <x:c r="A77" s="1018"/>
      <x:c r="B77" s="1025"/>
      <x:c r="C77" s="1018"/>
      <x:c r="D77" s="1021" t="str">
        <x:f>IF($C77="","",IFERROR(INDEX('20 RCC-003 MIAR Registry'!$C$14:$C$60,MATCH($C77,'20 RCC-003 MIAR Registry'!$B$14:$B$60,0)),"TICKER NOT FOUND"))</x:f>
      </x:c>
      <x:c r="E77" s="1018"/>
      <x:c r="F77" s="1018"/>
      <x:c r="G77" s="1018"/>
      <x:c r="H77" s="1021" t="str">
        <x:f>IF($C77="","",IFERROR(INDEX('20 RCC-003 MIAR Registry'!$M$14:$M$60,MATCH($C77,'20 RCC-003 MIAR Registry'!$B$14:$B$60,0)),""))</x:f>
      </x:c>
      <x:c r="I77" s="1018"/>
      <x:c r="J77" s="1027" t="str">
        <x:f>IF($C77="","",IFERROR(INDEX('20 RCC-003 MIAR Registry'!$K$14:$K$60,MATCH($C77,'20 RCC-003 MIAR Registry'!$B$14:$B$60,0)),""))</x:f>
      </x:c>
      <x:c r="K77" s="1023"/>
      <x:c r="L77" s="1027" t="str">
        <x:f>IF($C77="","",IFERROR(INDEX('20 RCC-003 MIAR Registry'!$L$14:$L$60,MATCH($C77,'20 RCC-003 MIAR Registry'!$B$14:$B$60,0)),""))</x:f>
      </x:c>
      <x:c r="M77" s="1023"/>
      <x:c r="N77" s="1018"/>
      <x:c r="O77" s="1018"/>
      <x:c r="P77" s="1018"/>
      <x:c r="Q77" s="1018"/>
      <x:c r="R77" s="1018"/>
      <x:c r="S77" s="1018"/>
      <x:c r="T77" s="1025"/>
      <x:c r="U77" s="962" t="str">
        <x:f>IF($A77="","",IF(COUNTIF($A$14:$A$213,$A77)&gt;1,"DUPLICATE REVIEW ID",IF(OR($B77="",$C77="",$E77="",$F77="",$G77="",$I77="",$K77="",$M77="",$N77="",$O77="",$P77="",$Q77="",$R77="",$W77=""),"INCOMPLETE",IF(AND(OR($R77="Certify Current",$R77="Certify with Exception"),OR($S77="",$T77="")),"CERTIFICATION REQUIRED",IF(AND(NOT(OR($R77="Certify Current",$R77="Certify with Exception")),OR($S77&lt;&gt;"",$T77&lt;&gt;"")),"CERTIFICATION MISMATCH","COMPLETE")))))</x:f>
      </x:c>
      <x:c r="V77" s="1018"/>
      <x:c r="W77" s="1018"/>
    </x:row>
    <x:row r="78" ht="30" customHeight="1">
      <x:c r="A78" s="1018"/>
      <x:c r="B78" s="1025"/>
      <x:c r="C78" s="1018"/>
      <x:c r="D78" s="1021" t="str">
        <x:f>IF($C78="","",IFERROR(INDEX('20 RCC-003 MIAR Registry'!$C$14:$C$60,MATCH($C78,'20 RCC-003 MIAR Registry'!$B$14:$B$60,0)),"TICKER NOT FOUND"))</x:f>
      </x:c>
      <x:c r="E78" s="1018"/>
      <x:c r="F78" s="1018"/>
      <x:c r="G78" s="1018"/>
      <x:c r="H78" s="1021" t="str">
        <x:f>IF($C78="","",IFERROR(INDEX('20 RCC-003 MIAR Registry'!$M$14:$M$60,MATCH($C78,'20 RCC-003 MIAR Registry'!$B$14:$B$60,0)),""))</x:f>
      </x:c>
      <x:c r="I78" s="1018"/>
      <x:c r="J78" s="1027" t="str">
        <x:f>IF($C78="","",IFERROR(INDEX('20 RCC-003 MIAR Registry'!$K$14:$K$60,MATCH($C78,'20 RCC-003 MIAR Registry'!$B$14:$B$60,0)),""))</x:f>
      </x:c>
      <x:c r="K78" s="1023"/>
      <x:c r="L78" s="1027" t="str">
        <x:f>IF($C78="","",IFERROR(INDEX('20 RCC-003 MIAR Registry'!$L$14:$L$60,MATCH($C78,'20 RCC-003 MIAR Registry'!$B$14:$B$60,0)),""))</x:f>
      </x:c>
      <x:c r="M78" s="1023"/>
      <x:c r="N78" s="1018"/>
      <x:c r="O78" s="1018"/>
      <x:c r="P78" s="1018"/>
      <x:c r="Q78" s="1018"/>
      <x:c r="R78" s="1018"/>
      <x:c r="S78" s="1018"/>
      <x:c r="T78" s="1025"/>
      <x:c r="U78" s="962" t="str">
        <x:f>IF($A78="","",IF(COUNTIF($A$14:$A$213,$A78)&gt;1,"DUPLICATE REVIEW ID",IF(OR($B78="",$C78="",$E78="",$F78="",$G78="",$I78="",$K78="",$M78="",$N78="",$O78="",$P78="",$Q78="",$R78="",$W78=""),"INCOMPLETE",IF(AND(OR($R78="Certify Current",$R78="Certify with Exception"),OR($S78="",$T78="")),"CERTIFICATION REQUIRED",IF(AND(NOT(OR($R78="Certify Current",$R78="Certify with Exception")),OR($S78&lt;&gt;"",$T78&lt;&gt;"")),"CERTIFICATION MISMATCH","COMPLETE")))))</x:f>
      </x:c>
      <x:c r="V78" s="1018"/>
      <x:c r="W78" s="1018"/>
    </x:row>
    <x:row r="79" ht="30" customHeight="1">
      <x:c r="A79" s="1018"/>
      <x:c r="B79" s="1025"/>
      <x:c r="C79" s="1018"/>
      <x:c r="D79" s="1021" t="str">
        <x:f>IF($C79="","",IFERROR(INDEX('20 RCC-003 MIAR Registry'!$C$14:$C$60,MATCH($C79,'20 RCC-003 MIAR Registry'!$B$14:$B$60,0)),"TICKER NOT FOUND"))</x:f>
      </x:c>
      <x:c r="E79" s="1018"/>
      <x:c r="F79" s="1018"/>
      <x:c r="G79" s="1018"/>
      <x:c r="H79" s="1021" t="str">
        <x:f>IF($C79="","",IFERROR(INDEX('20 RCC-003 MIAR Registry'!$M$14:$M$60,MATCH($C79,'20 RCC-003 MIAR Registry'!$B$14:$B$60,0)),""))</x:f>
      </x:c>
      <x:c r="I79" s="1018"/>
      <x:c r="J79" s="1027" t="str">
        <x:f>IF($C79="","",IFERROR(INDEX('20 RCC-003 MIAR Registry'!$K$14:$K$60,MATCH($C79,'20 RCC-003 MIAR Registry'!$B$14:$B$60,0)),""))</x:f>
      </x:c>
      <x:c r="K79" s="1023"/>
      <x:c r="L79" s="1027" t="str">
        <x:f>IF($C79="","",IFERROR(INDEX('20 RCC-003 MIAR Registry'!$L$14:$L$60,MATCH($C79,'20 RCC-003 MIAR Registry'!$B$14:$B$60,0)),""))</x:f>
      </x:c>
      <x:c r="M79" s="1023"/>
      <x:c r="N79" s="1018"/>
      <x:c r="O79" s="1018"/>
      <x:c r="P79" s="1018"/>
      <x:c r="Q79" s="1018"/>
      <x:c r="R79" s="1018"/>
      <x:c r="S79" s="1018"/>
      <x:c r="T79" s="1025"/>
      <x:c r="U79" s="962" t="str">
        <x:f>IF($A79="","",IF(COUNTIF($A$14:$A$213,$A79)&gt;1,"DUPLICATE REVIEW ID",IF(OR($B79="",$C79="",$E79="",$F79="",$G79="",$I79="",$K79="",$M79="",$N79="",$O79="",$P79="",$Q79="",$R79="",$W79=""),"INCOMPLETE",IF(AND(OR($R79="Certify Current",$R79="Certify with Exception"),OR($S79="",$T79="")),"CERTIFICATION REQUIRED",IF(AND(NOT(OR($R79="Certify Current",$R79="Certify with Exception")),OR($S79&lt;&gt;"",$T79&lt;&gt;"")),"CERTIFICATION MISMATCH","COMPLETE")))))</x:f>
      </x:c>
      <x:c r="V79" s="1018"/>
      <x:c r="W79" s="1018"/>
    </x:row>
    <x:row r="80" ht="30" customHeight="1">
      <x:c r="A80" s="1018"/>
      <x:c r="B80" s="1025"/>
      <x:c r="C80" s="1018"/>
      <x:c r="D80" s="1021" t="str">
        <x:f>IF($C80="","",IFERROR(INDEX('20 RCC-003 MIAR Registry'!$C$14:$C$60,MATCH($C80,'20 RCC-003 MIAR Registry'!$B$14:$B$60,0)),"TICKER NOT FOUND"))</x:f>
      </x:c>
      <x:c r="E80" s="1018"/>
      <x:c r="F80" s="1018"/>
      <x:c r="G80" s="1018"/>
      <x:c r="H80" s="1021" t="str">
        <x:f>IF($C80="","",IFERROR(INDEX('20 RCC-003 MIAR Registry'!$M$14:$M$60,MATCH($C80,'20 RCC-003 MIAR Registry'!$B$14:$B$60,0)),""))</x:f>
      </x:c>
      <x:c r="I80" s="1018"/>
      <x:c r="J80" s="1027" t="str">
        <x:f>IF($C80="","",IFERROR(INDEX('20 RCC-003 MIAR Registry'!$K$14:$K$60,MATCH($C80,'20 RCC-003 MIAR Registry'!$B$14:$B$60,0)),""))</x:f>
      </x:c>
      <x:c r="K80" s="1023"/>
      <x:c r="L80" s="1027" t="str">
        <x:f>IF($C80="","",IFERROR(INDEX('20 RCC-003 MIAR Registry'!$L$14:$L$60,MATCH($C80,'20 RCC-003 MIAR Registry'!$B$14:$B$60,0)),""))</x:f>
      </x:c>
      <x:c r="M80" s="1023"/>
      <x:c r="N80" s="1018"/>
      <x:c r="O80" s="1018"/>
      <x:c r="P80" s="1018"/>
      <x:c r="Q80" s="1018"/>
      <x:c r="R80" s="1018"/>
      <x:c r="S80" s="1018"/>
      <x:c r="T80" s="1025"/>
      <x:c r="U80" s="962" t="str">
        <x:f>IF($A80="","",IF(COUNTIF($A$14:$A$213,$A80)&gt;1,"DUPLICATE REVIEW ID",IF(OR($B80="",$C80="",$E80="",$F80="",$G80="",$I80="",$K80="",$M80="",$N80="",$O80="",$P80="",$Q80="",$R80="",$W80=""),"INCOMPLETE",IF(AND(OR($R80="Certify Current",$R80="Certify with Exception"),OR($S80="",$T80="")),"CERTIFICATION REQUIRED",IF(AND(NOT(OR($R80="Certify Current",$R80="Certify with Exception")),OR($S80&lt;&gt;"",$T80&lt;&gt;"")),"CERTIFICATION MISMATCH","COMPLETE")))))</x:f>
      </x:c>
      <x:c r="V80" s="1018"/>
      <x:c r="W80" s="1018"/>
    </x:row>
    <x:row r="81" ht="30" customHeight="1">
      <x:c r="A81" s="1018"/>
      <x:c r="B81" s="1025"/>
      <x:c r="C81" s="1018"/>
      <x:c r="D81" s="1021" t="str">
        <x:f>IF($C81="","",IFERROR(INDEX('20 RCC-003 MIAR Registry'!$C$14:$C$60,MATCH($C81,'20 RCC-003 MIAR Registry'!$B$14:$B$60,0)),"TICKER NOT FOUND"))</x:f>
      </x:c>
      <x:c r="E81" s="1018"/>
      <x:c r="F81" s="1018"/>
      <x:c r="G81" s="1018"/>
      <x:c r="H81" s="1021" t="str">
        <x:f>IF($C81="","",IFERROR(INDEX('20 RCC-003 MIAR Registry'!$M$14:$M$60,MATCH($C81,'20 RCC-003 MIAR Registry'!$B$14:$B$60,0)),""))</x:f>
      </x:c>
      <x:c r="I81" s="1018"/>
      <x:c r="J81" s="1027" t="str">
        <x:f>IF($C81="","",IFERROR(INDEX('20 RCC-003 MIAR Registry'!$K$14:$K$60,MATCH($C81,'20 RCC-003 MIAR Registry'!$B$14:$B$60,0)),""))</x:f>
      </x:c>
      <x:c r="K81" s="1023"/>
      <x:c r="L81" s="1027" t="str">
        <x:f>IF($C81="","",IFERROR(INDEX('20 RCC-003 MIAR Registry'!$L$14:$L$60,MATCH($C81,'20 RCC-003 MIAR Registry'!$B$14:$B$60,0)),""))</x:f>
      </x:c>
      <x:c r="M81" s="1023"/>
      <x:c r="N81" s="1018"/>
      <x:c r="O81" s="1018"/>
      <x:c r="P81" s="1018"/>
      <x:c r="Q81" s="1018"/>
      <x:c r="R81" s="1018"/>
      <x:c r="S81" s="1018"/>
      <x:c r="T81" s="1025"/>
      <x:c r="U81" s="962" t="str">
        <x:f>IF($A81="","",IF(COUNTIF($A$14:$A$213,$A81)&gt;1,"DUPLICATE REVIEW ID",IF(OR($B81="",$C81="",$E81="",$F81="",$G81="",$I81="",$K81="",$M81="",$N81="",$O81="",$P81="",$Q81="",$R81="",$W81=""),"INCOMPLETE",IF(AND(OR($R81="Certify Current",$R81="Certify with Exception"),OR($S81="",$T81="")),"CERTIFICATION REQUIRED",IF(AND(NOT(OR($R81="Certify Current",$R81="Certify with Exception")),OR($S81&lt;&gt;"",$T81&lt;&gt;"")),"CERTIFICATION MISMATCH","COMPLETE")))))</x:f>
      </x:c>
      <x:c r="V81" s="1018"/>
      <x:c r="W81" s="1018"/>
    </x:row>
    <x:row r="82" ht="30" customHeight="1">
      <x:c r="A82" s="1018"/>
      <x:c r="B82" s="1025"/>
      <x:c r="C82" s="1018"/>
      <x:c r="D82" s="1021" t="str">
        <x:f>IF($C82="","",IFERROR(INDEX('20 RCC-003 MIAR Registry'!$C$14:$C$60,MATCH($C82,'20 RCC-003 MIAR Registry'!$B$14:$B$60,0)),"TICKER NOT FOUND"))</x:f>
      </x:c>
      <x:c r="E82" s="1018"/>
      <x:c r="F82" s="1018"/>
      <x:c r="G82" s="1018"/>
      <x:c r="H82" s="1021" t="str">
        <x:f>IF($C82="","",IFERROR(INDEX('20 RCC-003 MIAR Registry'!$M$14:$M$60,MATCH($C82,'20 RCC-003 MIAR Registry'!$B$14:$B$60,0)),""))</x:f>
      </x:c>
      <x:c r="I82" s="1018"/>
      <x:c r="J82" s="1027" t="str">
        <x:f>IF($C82="","",IFERROR(INDEX('20 RCC-003 MIAR Registry'!$K$14:$K$60,MATCH($C82,'20 RCC-003 MIAR Registry'!$B$14:$B$60,0)),""))</x:f>
      </x:c>
      <x:c r="K82" s="1023"/>
      <x:c r="L82" s="1027" t="str">
        <x:f>IF($C82="","",IFERROR(INDEX('20 RCC-003 MIAR Registry'!$L$14:$L$60,MATCH($C82,'20 RCC-003 MIAR Registry'!$B$14:$B$60,0)),""))</x:f>
      </x:c>
      <x:c r="M82" s="1023"/>
      <x:c r="N82" s="1018"/>
      <x:c r="O82" s="1018"/>
      <x:c r="P82" s="1018"/>
      <x:c r="Q82" s="1018"/>
      <x:c r="R82" s="1018"/>
      <x:c r="S82" s="1018"/>
      <x:c r="T82" s="1025"/>
      <x:c r="U82" s="962" t="str">
        <x:f>IF($A82="","",IF(COUNTIF($A$14:$A$213,$A82)&gt;1,"DUPLICATE REVIEW ID",IF(OR($B82="",$C82="",$E82="",$F82="",$G82="",$I82="",$K82="",$M82="",$N82="",$O82="",$P82="",$Q82="",$R82="",$W82=""),"INCOMPLETE",IF(AND(OR($R82="Certify Current",$R82="Certify with Exception"),OR($S82="",$T82="")),"CERTIFICATION REQUIRED",IF(AND(NOT(OR($R82="Certify Current",$R82="Certify with Exception")),OR($S82&lt;&gt;"",$T82&lt;&gt;"")),"CERTIFICATION MISMATCH","COMPLETE")))))</x:f>
      </x:c>
      <x:c r="V82" s="1018"/>
      <x:c r="W82" s="1018"/>
    </x:row>
    <x:row r="83" ht="30" customHeight="1">
      <x:c r="A83" s="1018"/>
      <x:c r="B83" s="1025"/>
      <x:c r="C83" s="1018"/>
      <x:c r="D83" s="1021" t="str">
        <x:f>IF($C83="","",IFERROR(INDEX('20 RCC-003 MIAR Registry'!$C$14:$C$60,MATCH($C83,'20 RCC-003 MIAR Registry'!$B$14:$B$60,0)),"TICKER NOT FOUND"))</x:f>
      </x:c>
      <x:c r="E83" s="1018"/>
      <x:c r="F83" s="1018"/>
      <x:c r="G83" s="1018"/>
      <x:c r="H83" s="1021" t="str">
        <x:f>IF($C83="","",IFERROR(INDEX('20 RCC-003 MIAR Registry'!$M$14:$M$60,MATCH($C83,'20 RCC-003 MIAR Registry'!$B$14:$B$60,0)),""))</x:f>
      </x:c>
      <x:c r="I83" s="1018"/>
      <x:c r="J83" s="1027" t="str">
        <x:f>IF($C83="","",IFERROR(INDEX('20 RCC-003 MIAR Registry'!$K$14:$K$60,MATCH($C83,'20 RCC-003 MIAR Registry'!$B$14:$B$60,0)),""))</x:f>
      </x:c>
      <x:c r="K83" s="1023"/>
      <x:c r="L83" s="1027" t="str">
        <x:f>IF($C83="","",IFERROR(INDEX('20 RCC-003 MIAR Registry'!$L$14:$L$60,MATCH($C83,'20 RCC-003 MIAR Registry'!$B$14:$B$60,0)),""))</x:f>
      </x:c>
      <x:c r="M83" s="1023"/>
      <x:c r="N83" s="1018"/>
      <x:c r="O83" s="1018"/>
      <x:c r="P83" s="1018"/>
      <x:c r="Q83" s="1018"/>
      <x:c r="R83" s="1018"/>
      <x:c r="S83" s="1018"/>
      <x:c r="T83" s="1025"/>
      <x:c r="U83" s="962" t="str">
        <x:f>IF($A83="","",IF(COUNTIF($A$14:$A$213,$A83)&gt;1,"DUPLICATE REVIEW ID",IF(OR($B83="",$C83="",$E83="",$F83="",$G83="",$I83="",$K83="",$M83="",$N83="",$O83="",$P83="",$Q83="",$R83="",$W83=""),"INCOMPLETE",IF(AND(OR($R83="Certify Current",$R83="Certify with Exception"),OR($S83="",$T83="")),"CERTIFICATION REQUIRED",IF(AND(NOT(OR($R83="Certify Current",$R83="Certify with Exception")),OR($S83&lt;&gt;"",$T83&lt;&gt;"")),"CERTIFICATION MISMATCH","COMPLETE")))))</x:f>
      </x:c>
      <x:c r="V83" s="1018"/>
      <x:c r="W83" s="1018"/>
    </x:row>
    <x:row r="84" ht="30" customHeight="1">
      <x:c r="A84" s="1018"/>
      <x:c r="B84" s="1025"/>
      <x:c r="C84" s="1018"/>
      <x:c r="D84" s="1021" t="str">
        <x:f>IF($C84="","",IFERROR(INDEX('20 RCC-003 MIAR Registry'!$C$14:$C$60,MATCH($C84,'20 RCC-003 MIAR Registry'!$B$14:$B$60,0)),"TICKER NOT FOUND"))</x:f>
      </x:c>
      <x:c r="E84" s="1018"/>
      <x:c r="F84" s="1018"/>
      <x:c r="G84" s="1018"/>
      <x:c r="H84" s="1021" t="str">
        <x:f>IF($C84="","",IFERROR(INDEX('20 RCC-003 MIAR Registry'!$M$14:$M$60,MATCH($C84,'20 RCC-003 MIAR Registry'!$B$14:$B$60,0)),""))</x:f>
      </x:c>
      <x:c r="I84" s="1018"/>
      <x:c r="J84" s="1027" t="str">
        <x:f>IF($C84="","",IFERROR(INDEX('20 RCC-003 MIAR Registry'!$K$14:$K$60,MATCH($C84,'20 RCC-003 MIAR Registry'!$B$14:$B$60,0)),""))</x:f>
      </x:c>
      <x:c r="K84" s="1023"/>
      <x:c r="L84" s="1027" t="str">
        <x:f>IF($C84="","",IFERROR(INDEX('20 RCC-003 MIAR Registry'!$L$14:$L$60,MATCH($C84,'20 RCC-003 MIAR Registry'!$B$14:$B$60,0)),""))</x:f>
      </x:c>
      <x:c r="M84" s="1023"/>
      <x:c r="N84" s="1018"/>
      <x:c r="O84" s="1018"/>
      <x:c r="P84" s="1018"/>
      <x:c r="Q84" s="1018"/>
      <x:c r="R84" s="1018"/>
      <x:c r="S84" s="1018"/>
      <x:c r="T84" s="1025"/>
      <x:c r="U84" s="962" t="str">
        <x:f>IF($A84="","",IF(COUNTIF($A$14:$A$213,$A84)&gt;1,"DUPLICATE REVIEW ID",IF(OR($B84="",$C84="",$E84="",$F84="",$G84="",$I84="",$K84="",$M84="",$N84="",$O84="",$P84="",$Q84="",$R84="",$W84=""),"INCOMPLETE",IF(AND(OR($R84="Certify Current",$R84="Certify with Exception"),OR($S84="",$T84="")),"CERTIFICATION REQUIRED",IF(AND(NOT(OR($R84="Certify Current",$R84="Certify with Exception")),OR($S84&lt;&gt;"",$T84&lt;&gt;"")),"CERTIFICATION MISMATCH","COMPLETE")))))</x:f>
      </x:c>
      <x:c r="V84" s="1018"/>
      <x:c r="W84" s="1018"/>
    </x:row>
    <x:row r="85" ht="30" customHeight="1">
      <x:c r="A85" s="1018"/>
      <x:c r="B85" s="1025"/>
      <x:c r="C85" s="1018"/>
      <x:c r="D85" s="1021" t="str">
        <x:f>IF($C85="","",IFERROR(INDEX('20 RCC-003 MIAR Registry'!$C$14:$C$60,MATCH($C85,'20 RCC-003 MIAR Registry'!$B$14:$B$60,0)),"TICKER NOT FOUND"))</x:f>
      </x:c>
      <x:c r="E85" s="1018"/>
      <x:c r="F85" s="1018"/>
      <x:c r="G85" s="1018"/>
      <x:c r="H85" s="1021" t="str">
        <x:f>IF($C85="","",IFERROR(INDEX('20 RCC-003 MIAR Registry'!$M$14:$M$60,MATCH($C85,'20 RCC-003 MIAR Registry'!$B$14:$B$60,0)),""))</x:f>
      </x:c>
      <x:c r="I85" s="1018"/>
      <x:c r="J85" s="1027" t="str">
        <x:f>IF($C85="","",IFERROR(INDEX('20 RCC-003 MIAR Registry'!$K$14:$K$60,MATCH($C85,'20 RCC-003 MIAR Registry'!$B$14:$B$60,0)),""))</x:f>
      </x:c>
      <x:c r="K85" s="1023"/>
      <x:c r="L85" s="1027" t="str">
        <x:f>IF($C85="","",IFERROR(INDEX('20 RCC-003 MIAR Registry'!$L$14:$L$60,MATCH($C85,'20 RCC-003 MIAR Registry'!$B$14:$B$60,0)),""))</x:f>
      </x:c>
      <x:c r="M85" s="1023"/>
      <x:c r="N85" s="1018"/>
      <x:c r="O85" s="1018"/>
      <x:c r="P85" s="1018"/>
      <x:c r="Q85" s="1018"/>
      <x:c r="R85" s="1018"/>
      <x:c r="S85" s="1018"/>
      <x:c r="T85" s="1025"/>
      <x:c r="U85" s="962" t="str">
        <x:f>IF($A85="","",IF(COUNTIF($A$14:$A$213,$A85)&gt;1,"DUPLICATE REVIEW ID",IF(OR($B85="",$C85="",$E85="",$F85="",$G85="",$I85="",$K85="",$M85="",$N85="",$O85="",$P85="",$Q85="",$R85="",$W85=""),"INCOMPLETE",IF(AND(OR($R85="Certify Current",$R85="Certify with Exception"),OR($S85="",$T85="")),"CERTIFICATION REQUIRED",IF(AND(NOT(OR($R85="Certify Current",$R85="Certify with Exception")),OR($S85&lt;&gt;"",$T85&lt;&gt;"")),"CERTIFICATION MISMATCH","COMPLETE")))))</x:f>
      </x:c>
      <x:c r="V85" s="1018"/>
      <x:c r="W85" s="1018"/>
    </x:row>
    <x:row r="86" ht="30" customHeight="1">
      <x:c r="A86" s="1018"/>
      <x:c r="B86" s="1025"/>
      <x:c r="C86" s="1018"/>
      <x:c r="D86" s="1021" t="str">
        <x:f>IF($C86="","",IFERROR(INDEX('20 RCC-003 MIAR Registry'!$C$14:$C$60,MATCH($C86,'20 RCC-003 MIAR Registry'!$B$14:$B$60,0)),"TICKER NOT FOUND"))</x:f>
      </x:c>
      <x:c r="E86" s="1018"/>
      <x:c r="F86" s="1018"/>
      <x:c r="G86" s="1018"/>
      <x:c r="H86" s="1021" t="str">
        <x:f>IF($C86="","",IFERROR(INDEX('20 RCC-003 MIAR Registry'!$M$14:$M$60,MATCH($C86,'20 RCC-003 MIAR Registry'!$B$14:$B$60,0)),""))</x:f>
      </x:c>
      <x:c r="I86" s="1018"/>
      <x:c r="J86" s="1027" t="str">
        <x:f>IF($C86="","",IFERROR(INDEX('20 RCC-003 MIAR Registry'!$K$14:$K$60,MATCH($C86,'20 RCC-003 MIAR Registry'!$B$14:$B$60,0)),""))</x:f>
      </x:c>
      <x:c r="K86" s="1023"/>
      <x:c r="L86" s="1027" t="str">
        <x:f>IF($C86="","",IFERROR(INDEX('20 RCC-003 MIAR Registry'!$L$14:$L$60,MATCH($C86,'20 RCC-003 MIAR Registry'!$B$14:$B$60,0)),""))</x:f>
      </x:c>
      <x:c r="M86" s="1023"/>
      <x:c r="N86" s="1018"/>
      <x:c r="O86" s="1018"/>
      <x:c r="P86" s="1018"/>
      <x:c r="Q86" s="1018"/>
      <x:c r="R86" s="1018"/>
      <x:c r="S86" s="1018"/>
      <x:c r="T86" s="1025"/>
      <x:c r="U86" s="962" t="str">
        <x:f>IF($A86="","",IF(COUNTIF($A$14:$A$213,$A86)&gt;1,"DUPLICATE REVIEW ID",IF(OR($B86="",$C86="",$E86="",$F86="",$G86="",$I86="",$K86="",$M86="",$N86="",$O86="",$P86="",$Q86="",$R86="",$W86=""),"INCOMPLETE",IF(AND(OR($R86="Certify Current",$R86="Certify with Exception"),OR($S86="",$T86="")),"CERTIFICATION REQUIRED",IF(AND(NOT(OR($R86="Certify Current",$R86="Certify with Exception")),OR($S86&lt;&gt;"",$T86&lt;&gt;"")),"CERTIFICATION MISMATCH","COMPLETE")))))</x:f>
      </x:c>
      <x:c r="V86" s="1018"/>
      <x:c r="W86" s="1018"/>
    </x:row>
    <x:row r="87" ht="30" customHeight="1">
      <x:c r="A87" s="1018"/>
      <x:c r="B87" s="1025"/>
      <x:c r="C87" s="1018"/>
      <x:c r="D87" s="1021" t="str">
        <x:f>IF($C87="","",IFERROR(INDEX('20 RCC-003 MIAR Registry'!$C$14:$C$60,MATCH($C87,'20 RCC-003 MIAR Registry'!$B$14:$B$60,0)),"TICKER NOT FOUND"))</x:f>
      </x:c>
      <x:c r="E87" s="1018"/>
      <x:c r="F87" s="1018"/>
      <x:c r="G87" s="1018"/>
      <x:c r="H87" s="1021" t="str">
        <x:f>IF($C87="","",IFERROR(INDEX('20 RCC-003 MIAR Registry'!$M$14:$M$60,MATCH($C87,'20 RCC-003 MIAR Registry'!$B$14:$B$60,0)),""))</x:f>
      </x:c>
      <x:c r="I87" s="1018"/>
      <x:c r="J87" s="1027" t="str">
        <x:f>IF($C87="","",IFERROR(INDEX('20 RCC-003 MIAR Registry'!$K$14:$K$60,MATCH($C87,'20 RCC-003 MIAR Registry'!$B$14:$B$60,0)),""))</x:f>
      </x:c>
      <x:c r="K87" s="1023"/>
      <x:c r="L87" s="1027" t="str">
        <x:f>IF($C87="","",IFERROR(INDEX('20 RCC-003 MIAR Registry'!$L$14:$L$60,MATCH($C87,'20 RCC-003 MIAR Registry'!$B$14:$B$60,0)),""))</x:f>
      </x:c>
      <x:c r="M87" s="1023"/>
      <x:c r="N87" s="1018"/>
      <x:c r="O87" s="1018"/>
      <x:c r="P87" s="1018"/>
      <x:c r="Q87" s="1018"/>
      <x:c r="R87" s="1018"/>
      <x:c r="S87" s="1018"/>
      <x:c r="T87" s="1025"/>
      <x:c r="U87" s="962" t="str">
        <x:f>IF($A87="","",IF(COUNTIF($A$14:$A$213,$A87)&gt;1,"DUPLICATE REVIEW ID",IF(OR($B87="",$C87="",$E87="",$F87="",$G87="",$I87="",$K87="",$M87="",$N87="",$O87="",$P87="",$Q87="",$R87="",$W87=""),"INCOMPLETE",IF(AND(OR($R87="Certify Current",$R87="Certify with Exception"),OR($S87="",$T87="")),"CERTIFICATION REQUIRED",IF(AND(NOT(OR($R87="Certify Current",$R87="Certify with Exception")),OR($S87&lt;&gt;"",$T87&lt;&gt;"")),"CERTIFICATION MISMATCH","COMPLETE")))))</x:f>
      </x:c>
      <x:c r="V87" s="1018"/>
      <x:c r="W87" s="1018"/>
    </x:row>
    <x:row r="88" ht="30" customHeight="1">
      <x:c r="A88" s="1018"/>
      <x:c r="B88" s="1025"/>
      <x:c r="C88" s="1018"/>
      <x:c r="D88" s="1021" t="str">
        <x:f>IF($C88="","",IFERROR(INDEX('20 RCC-003 MIAR Registry'!$C$14:$C$60,MATCH($C88,'20 RCC-003 MIAR Registry'!$B$14:$B$60,0)),"TICKER NOT FOUND"))</x:f>
      </x:c>
      <x:c r="E88" s="1018"/>
      <x:c r="F88" s="1018"/>
      <x:c r="G88" s="1018"/>
      <x:c r="H88" s="1021" t="str">
        <x:f>IF($C88="","",IFERROR(INDEX('20 RCC-003 MIAR Registry'!$M$14:$M$60,MATCH($C88,'20 RCC-003 MIAR Registry'!$B$14:$B$60,0)),""))</x:f>
      </x:c>
      <x:c r="I88" s="1018"/>
      <x:c r="J88" s="1027" t="str">
        <x:f>IF($C88="","",IFERROR(INDEX('20 RCC-003 MIAR Registry'!$K$14:$K$60,MATCH($C88,'20 RCC-003 MIAR Registry'!$B$14:$B$60,0)),""))</x:f>
      </x:c>
      <x:c r="K88" s="1023"/>
      <x:c r="L88" s="1027" t="str">
        <x:f>IF($C88="","",IFERROR(INDEX('20 RCC-003 MIAR Registry'!$L$14:$L$60,MATCH($C88,'20 RCC-003 MIAR Registry'!$B$14:$B$60,0)),""))</x:f>
      </x:c>
      <x:c r="M88" s="1023"/>
      <x:c r="N88" s="1018"/>
      <x:c r="O88" s="1018"/>
      <x:c r="P88" s="1018"/>
      <x:c r="Q88" s="1018"/>
      <x:c r="R88" s="1018"/>
      <x:c r="S88" s="1018"/>
      <x:c r="T88" s="1025"/>
      <x:c r="U88" s="962" t="str">
        <x:f>IF($A88="","",IF(COUNTIF($A$14:$A$213,$A88)&gt;1,"DUPLICATE REVIEW ID",IF(OR($B88="",$C88="",$E88="",$F88="",$G88="",$I88="",$K88="",$M88="",$N88="",$O88="",$P88="",$Q88="",$R88="",$W88=""),"INCOMPLETE",IF(AND(OR($R88="Certify Current",$R88="Certify with Exception"),OR($S88="",$T88="")),"CERTIFICATION REQUIRED",IF(AND(NOT(OR($R88="Certify Current",$R88="Certify with Exception")),OR($S88&lt;&gt;"",$T88&lt;&gt;"")),"CERTIFICATION MISMATCH","COMPLETE")))))</x:f>
      </x:c>
      <x:c r="V88" s="1018"/>
      <x:c r="W88" s="1018"/>
    </x:row>
    <x:row r="89" ht="30" customHeight="1">
      <x:c r="A89" s="1018"/>
      <x:c r="B89" s="1025"/>
      <x:c r="C89" s="1018"/>
      <x:c r="D89" s="1021" t="str">
        <x:f>IF($C89="","",IFERROR(INDEX('20 RCC-003 MIAR Registry'!$C$14:$C$60,MATCH($C89,'20 RCC-003 MIAR Registry'!$B$14:$B$60,0)),"TICKER NOT FOUND"))</x:f>
      </x:c>
      <x:c r="E89" s="1018"/>
      <x:c r="F89" s="1018"/>
      <x:c r="G89" s="1018"/>
      <x:c r="H89" s="1021" t="str">
        <x:f>IF($C89="","",IFERROR(INDEX('20 RCC-003 MIAR Registry'!$M$14:$M$60,MATCH($C89,'20 RCC-003 MIAR Registry'!$B$14:$B$60,0)),""))</x:f>
      </x:c>
      <x:c r="I89" s="1018"/>
      <x:c r="J89" s="1027" t="str">
        <x:f>IF($C89="","",IFERROR(INDEX('20 RCC-003 MIAR Registry'!$K$14:$K$60,MATCH($C89,'20 RCC-003 MIAR Registry'!$B$14:$B$60,0)),""))</x:f>
      </x:c>
      <x:c r="K89" s="1023"/>
      <x:c r="L89" s="1027" t="str">
        <x:f>IF($C89="","",IFERROR(INDEX('20 RCC-003 MIAR Registry'!$L$14:$L$60,MATCH($C89,'20 RCC-003 MIAR Registry'!$B$14:$B$60,0)),""))</x:f>
      </x:c>
      <x:c r="M89" s="1023"/>
      <x:c r="N89" s="1018"/>
      <x:c r="O89" s="1018"/>
      <x:c r="P89" s="1018"/>
      <x:c r="Q89" s="1018"/>
      <x:c r="R89" s="1018"/>
      <x:c r="S89" s="1018"/>
      <x:c r="T89" s="1025"/>
      <x:c r="U89" s="962" t="str">
        <x:f>IF($A89="","",IF(COUNTIF($A$14:$A$213,$A89)&gt;1,"DUPLICATE REVIEW ID",IF(OR($B89="",$C89="",$E89="",$F89="",$G89="",$I89="",$K89="",$M89="",$N89="",$O89="",$P89="",$Q89="",$R89="",$W89=""),"INCOMPLETE",IF(AND(OR($R89="Certify Current",$R89="Certify with Exception"),OR($S89="",$T89="")),"CERTIFICATION REQUIRED",IF(AND(NOT(OR($R89="Certify Current",$R89="Certify with Exception")),OR($S89&lt;&gt;"",$T89&lt;&gt;"")),"CERTIFICATION MISMATCH","COMPLETE")))))</x:f>
      </x:c>
      <x:c r="V89" s="1018"/>
      <x:c r="W89" s="1018"/>
    </x:row>
    <x:row r="90" ht="30" customHeight="1">
      <x:c r="A90" s="1018"/>
      <x:c r="B90" s="1025"/>
      <x:c r="C90" s="1018"/>
      <x:c r="D90" s="1021" t="str">
        <x:f>IF($C90="","",IFERROR(INDEX('20 RCC-003 MIAR Registry'!$C$14:$C$60,MATCH($C90,'20 RCC-003 MIAR Registry'!$B$14:$B$60,0)),"TICKER NOT FOUND"))</x:f>
      </x:c>
      <x:c r="E90" s="1018"/>
      <x:c r="F90" s="1018"/>
      <x:c r="G90" s="1018"/>
      <x:c r="H90" s="1021" t="str">
        <x:f>IF($C90="","",IFERROR(INDEX('20 RCC-003 MIAR Registry'!$M$14:$M$60,MATCH($C90,'20 RCC-003 MIAR Registry'!$B$14:$B$60,0)),""))</x:f>
      </x:c>
      <x:c r="I90" s="1018"/>
      <x:c r="J90" s="1027" t="str">
        <x:f>IF($C90="","",IFERROR(INDEX('20 RCC-003 MIAR Registry'!$K$14:$K$60,MATCH($C90,'20 RCC-003 MIAR Registry'!$B$14:$B$60,0)),""))</x:f>
      </x:c>
      <x:c r="K90" s="1023"/>
      <x:c r="L90" s="1027" t="str">
        <x:f>IF($C90="","",IFERROR(INDEX('20 RCC-003 MIAR Registry'!$L$14:$L$60,MATCH($C90,'20 RCC-003 MIAR Registry'!$B$14:$B$60,0)),""))</x:f>
      </x:c>
      <x:c r="M90" s="1023"/>
      <x:c r="N90" s="1018"/>
      <x:c r="O90" s="1018"/>
      <x:c r="P90" s="1018"/>
      <x:c r="Q90" s="1018"/>
      <x:c r="R90" s="1018"/>
      <x:c r="S90" s="1018"/>
      <x:c r="T90" s="1025"/>
      <x:c r="U90" s="962" t="str">
        <x:f>IF($A90="","",IF(COUNTIF($A$14:$A$213,$A90)&gt;1,"DUPLICATE REVIEW ID",IF(OR($B90="",$C90="",$E90="",$F90="",$G90="",$I90="",$K90="",$M90="",$N90="",$O90="",$P90="",$Q90="",$R90="",$W90=""),"INCOMPLETE",IF(AND(OR($R90="Certify Current",$R90="Certify with Exception"),OR($S90="",$T90="")),"CERTIFICATION REQUIRED",IF(AND(NOT(OR($R90="Certify Current",$R90="Certify with Exception")),OR($S90&lt;&gt;"",$T90&lt;&gt;"")),"CERTIFICATION MISMATCH","COMPLETE")))))</x:f>
      </x:c>
      <x:c r="V90" s="1018"/>
      <x:c r="W90" s="1018"/>
    </x:row>
    <x:row r="91" ht="30" customHeight="1">
      <x:c r="A91" s="1018"/>
      <x:c r="B91" s="1025"/>
      <x:c r="C91" s="1018"/>
      <x:c r="D91" s="1021" t="str">
        <x:f>IF($C91="","",IFERROR(INDEX('20 RCC-003 MIAR Registry'!$C$14:$C$60,MATCH($C91,'20 RCC-003 MIAR Registry'!$B$14:$B$60,0)),"TICKER NOT FOUND"))</x:f>
      </x:c>
      <x:c r="E91" s="1018"/>
      <x:c r="F91" s="1018"/>
      <x:c r="G91" s="1018"/>
      <x:c r="H91" s="1021" t="str">
        <x:f>IF($C91="","",IFERROR(INDEX('20 RCC-003 MIAR Registry'!$M$14:$M$60,MATCH($C91,'20 RCC-003 MIAR Registry'!$B$14:$B$60,0)),""))</x:f>
      </x:c>
      <x:c r="I91" s="1018"/>
      <x:c r="J91" s="1027" t="str">
        <x:f>IF($C91="","",IFERROR(INDEX('20 RCC-003 MIAR Registry'!$K$14:$K$60,MATCH($C91,'20 RCC-003 MIAR Registry'!$B$14:$B$60,0)),""))</x:f>
      </x:c>
      <x:c r="K91" s="1023"/>
      <x:c r="L91" s="1027" t="str">
        <x:f>IF($C91="","",IFERROR(INDEX('20 RCC-003 MIAR Registry'!$L$14:$L$60,MATCH($C91,'20 RCC-003 MIAR Registry'!$B$14:$B$60,0)),""))</x:f>
      </x:c>
      <x:c r="M91" s="1023"/>
      <x:c r="N91" s="1018"/>
      <x:c r="O91" s="1018"/>
      <x:c r="P91" s="1018"/>
      <x:c r="Q91" s="1018"/>
      <x:c r="R91" s="1018"/>
      <x:c r="S91" s="1018"/>
      <x:c r="T91" s="1025"/>
      <x:c r="U91" s="962" t="str">
        <x:f>IF($A91="","",IF(COUNTIF($A$14:$A$213,$A91)&gt;1,"DUPLICATE REVIEW ID",IF(OR($B91="",$C91="",$E91="",$F91="",$G91="",$I91="",$K91="",$M91="",$N91="",$O91="",$P91="",$Q91="",$R91="",$W91=""),"INCOMPLETE",IF(AND(OR($R91="Certify Current",$R91="Certify with Exception"),OR($S91="",$T91="")),"CERTIFICATION REQUIRED",IF(AND(NOT(OR($R91="Certify Current",$R91="Certify with Exception")),OR($S91&lt;&gt;"",$T91&lt;&gt;"")),"CERTIFICATION MISMATCH","COMPLETE")))))</x:f>
      </x:c>
      <x:c r="V91" s="1018"/>
      <x:c r="W91" s="1018"/>
    </x:row>
    <x:row r="92" ht="30" customHeight="1">
      <x:c r="A92" s="1018"/>
      <x:c r="B92" s="1025"/>
      <x:c r="C92" s="1018"/>
      <x:c r="D92" s="1021" t="str">
        <x:f>IF($C92="","",IFERROR(INDEX('20 RCC-003 MIAR Registry'!$C$14:$C$60,MATCH($C92,'20 RCC-003 MIAR Registry'!$B$14:$B$60,0)),"TICKER NOT FOUND"))</x:f>
      </x:c>
      <x:c r="E92" s="1018"/>
      <x:c r="F92" s="1018"/>
      <x:c r="G92" s="1018"/>
      <x:c r="H92" s="1021" t="str">
        <x:f>IF($C92="","",IFERROR(INDEX('20 RCC-003 MIAR Registry'!$M$14:$M$60,MATCH($C92,'20 RCC-003 MIAR Registry'!$B$14:$B$60,0)),""))</x:f>
      </x:c>
      <x:c r="I92" s="1018"/>
      <x:c r="J92" s="1027" t="str">
        <x:f>IF($C92="","",IFERROR(INDEX('20 RCC-003 MIAR Registry'!$K$14:$K$60,MATCH($C92,'20 RCC-003 MIAR Registry'!$B$14:$B$60,0)),""))</x:f>
      </x:c>
      <x:c r="K92" s="1023"/>
      <x:c r="L92" s="1027" t="str">
        <x:f>IF($C92="","",IFERROR(INDEX('20 RCC-003 MIAR Registry'!$L$14:$L$60,MATCH($C92,'20 RCC-003 MIAR Registry'!$B$14:$B$60,0)),""))</x:f>
      </x:c>
      <x:c r="M92" s="1023"/>
      <x:c r="N92" s="1018"/>
      <x:c r="O92" s="1018"/>
      <x:c r="P92" s="1018"/>
      <x:c r="Q92" s="1018"/>
      <x:c r="R92" s="1018"/>
      <x:c r="S92" s="1018"/>
      <x:c r="T92" s="1025"/>
      <x:c r="U92" s="962" t="str">
        <x:f>IF($A92="","",IF(COUNTIF($A$14:$A$213,$A92)&gt;1,"DUPLICATE REVIEW ID",IF(OR($B92="",$C92="",$E92="",$F92="",$G92="",$I92="",$K92="",$M92="",$N92="",$O92="",$P92="",$Q92="",$R92="",$W92=""),"INCOMPLETE",IF(AND(OR($R92="Certify Current",$R92="Certify with Exception"),OR($S92="",$T92="")),"CERTIFICATION REQUIRED",IF(AND(NOT(OR($R92="Certify Current",$R92="Certify with Exception")),OR($S92&lt;&gt;"",$T92&lt;&gt;"")),"CERTIFICATION MISMATCH","COMPLETE")))))</x:f>
      </x:c>
      <x:c r="V92" s="1018"/>
      <x:c r="W92" s="1018"/>
    </x:row>
    <x:row r="93" ht="30" customHeight="1">
      <x:c r="A93" s="1018"/>
      <x:c r="B93" s="1025"/>
      <x:c r="C93" s="1018"/>
      <x:c r="D93" s="1021" t="str">
        <x:f>IF($C93="","",IFERROR(INDEX('20 RCC-003 MIAR Registry'!$C$14:$C$60,MATCH($C93,'20 RCC-003 MIAR Registry'!$B$14:$B$60,0)),"TICKER NOT FOUND"))</x:f>
      </x:c>
      <x:c r="E93" s="1018"/>
      <x:c r="F93" s="1018"/>
      <x:c r="G93" s="1018"/>
      <x:c r="H93" s="1021" t="str">
        <x:f>IF($C93="","",IFERROR(INDEX('20 RCC-003 MIAR Registry'!$M$14:$M$60,MATCH($C93,'20 RCC-003 MIAR Registry'!$B$14:$B$60,0)),""))</x:f>
      </x:c>
      <x:c r="I93" s="1018"/>
      <x:c r="J93" s="1027" t="str">
        <x:f>IF($C93="","",IFERROR(INDEX('20 RCC-003 MIAR Registry'!$K$14:$K$60,MATCH($C93,'20 RCC-003 MIAR Registry'!$B$14:$B$60,0)),""))</x:f>
      </x:c>
      <x:c r="K93" s="1023"/>
      <x:c r="L93" s="1027" t="str">
        <x:f>IF($C93="","",IFERROR(INDEX('20 RCC-003 MIAR Registry'!$L$14:$L$60,MATCH($C93,'20 RCC-003 MIAR Registry'!$B$14:$B$60,0)),""))</x:f>
      </x:c>
      <x:c r="M93" s="1023"/>
      <x:c r="N93" s="1018"/>
      <x:c r="O93" s="1018"/>
      <x:c r="P93" s="1018"/>
      <x:c r="Q93" s="1018"/>
      <x:c r="R93" s="1018"/>
      <x:c r="S93" s="1018"/>
      <x:c r="T93" s="1025"/>
      <x:c r="U93" s="962" t="str">
        <x:f>IF($A93="","",IF(COUNTIF($A$14:$A$213,$A93)&gt;1,"DUPLICATE REVIEW ID",IF(OR($B93="",$C93="",$E93="",$F93="",$G93="",$I93="",$K93="",$M93="",$N93="",$O93="",$P93="",$Q93="",$R93="",$W93=""),"INCOMPLETE",IF(AND(OR($R93="Certify Current",$R93="Certify with Exception"),OR($S93="",$T93="")),"CERTIFICATION REQUIRED",IF(AND(NOT(OR($R93="Certify Current",$R93="Certify with Exception")),OR($S93&lt;&gt;"",$T93&lt;&gt;"")),"CERTIFICATION MISMATCH","COMPLETE")))))</x:f>
      </x:c>
      <x:c r="V93" s="1018"/>
      <x:c r="W93" s="1018"/>
    </x:row>
    <x:row r="94" ht="30" customHeight="1">
      <x:c r="A94" s="1018"/>
      <x:c r="B94" s="1025"/>
      <x:c r="C94" s="1018"/>
      <x:c r="D94" s="1021" t="str">
        <x:f>IF($C94="","",IFERROR(INDEX('20 RCC-003 MIAR Registry'!$C$14:$C$60,MATCH($C94,'20 RCC-003 MIAR Registry'!$B$14:$B$60,0)),"TICKER NOT FOUND"))</x:f>
      </x:c>
      <x:c r="E94" s="1018"/>
      <x:c r="F94" s="1018"/>
      <x:c r="G94" s="1018"/>
      <x:c r="H94" s="1021" t="str">
        <x:f>IF($C94="","",IFERROR(INDEX('20 RCC-003 MIAR Registry'!$M$14:$M$60,MATCH($C94,'20 RCC-003 MIAR Registry'!$B$14:$B$60,0)),""))</x:f>
      </x:c>
      <x:c r="I94" s="1018"/>
      <x:c r="J94" s="1027" t="str">
        <x:f>IF($C94="","",IFERROR(INDEX('20 RCC-003 MIAR Registry'!$K$14:$K$60,MATCH($C94,'20 RCC-003 MIAR Registry'!$B$14:$B$60,0)),""))</x:f>
      </x:c>
      <x:c r="K94" s="1023"/>
      <x:c r="L94" s="1027" t="str">
        <x:f>IF($C94="","",IFERROR(INDEX('20 RCC-003 MIAR Registry'!$L$14:$L$60,MATCH($C94,'20 RCC-003 MIAR Registry'!$B$14:$B$60,0)),""))</x:f>
      </x:c>
      <x:c r="M94" s="1023"/>
      <x:c r="N94" s="1018"/>
      <x:c r="O94" s="1018"/>
      <x:c r="P94" s="1018"/>
      <x:c r="Q94" s="1018"/>
      <x:c r="R94" s="1018"/>
      <x:c r="S94" s="1018"/>
      <x:c r="T94" s="1025"/>
      <x:c r="U94" s="962" t="str">
        <x:f>IF($A94="","",IF(COUNTIF($A$14:$A$213,$A94)&gt;1,"DUPLICATE REVIEW ID",IF(OR($B94="",$C94="",$E94="",$F94="",$G94="",$I94="",$K94="",$M94="",$N94="",$O94="",$P94="",$Q94="",$R94="",$W94=""),"INCOMPLETE",IF(AND(OR($R94="Certify Current",$R94="Certify with Exception"),OR($S94="",$T94="")),"CERTIFICATION REQUIRED",IF(AND(NOT(OR($R94="Certify Current",$R94="Certify with Exception")),OR($S94&lt;&gt;"",$T94&lt;&gt;"")),"CERTIFICATION MISMATCH","COMPLETE")))))</x:f>
      </x:c>
      <x:c r="V94" s="1018"/>
      <x:c r="W94" s="1018"/>
    </x:row>
    <x:row r="95" ht="30" customHeight="1">
      <x:c r="A95" s="1018"/>
      <x:c r="B95" s="1025"/>
      <x:c r="C95" s="1018"/>
      <x:c r="D95" s="1021" t="str">
        <x:f>IF($C95="","",IFERROR(INDEX('20 RCC-003 MIAR Registry'!$C$14:$C$60,MATCH($C95,'20 RCC-003 MIAR Registry'!$B$14:$B$60,0)),"TICKER NOT FOUND"))</x:f>
      </x:c>
      <x:c r="E95" s="1018"/>
      <x:c r="F95" s="1018"/>
      <x:c r="G95" s="1018"/>
      <x:c r="H95" s="1021" t="str">
        <x:f>IF($C95="","",IFERROR(INDEX('20 RCC-003 MIAR Registry'!$M$14:$M$60,MATCH($C95,'20 RCC-003 MIAR Registry'!$B$14:$B$60,0)),""))</x:f>
      </x:c>
      <x:c r="I95" s="1018"/>
      <x:c r="J95" s="1027" t="str">
        <x:f>IF($C95="","",IFERROR(INDEX('20 RCC-003 MIAR Registry'!$K$14:$K$60,MATCH($C95,'20 RCC-003 MIAR Registry'!$B$14:$B$60,0)),""))</x:f>
      </x:c>
      <x:c r="K95" s="1023"/>
      <x:c r="L95" s="1027" t="str">
        <x:f>IF($C95="","",IFERROR(INDEX('20 RCC-003 MIAR Registry'!$L$14:$L$60,MATCH($C95,'20 RCC-003 MIAR Registry'!$B$14:$B$60,0)),""))</x:f>
      </x:c>
      <x:c r="M95" s="1023"/>
      <x:c r="N95" s="1018"/>
      <x:c r="O95" s="1018"/>
      <x:c r="P95" s="1018"/>
      <x:c r="Q95" s="1018"/>
      <x:c r="R95" s="1018"/>
      <x:c r="S95" s="1018"/>
      <x:c r="T95" s="1025"/>
      <x:c r="U95" s="962" t="str">
        <x:f>IF($A95="","",IF(COUNTIF($A$14:$A$213,$A95)&gt;1,"DUPLICATE REVIEW ID",IF(OR($B95="",$C95="",$E95="",$F95="",$G95="",$I95="",$K95="",$M95="",$N95="",$O95="",$P95="",$Q95="",$R95="",$W95=""),"INCOMPLETE",IF(AND(OR($R95="Certify Current",$R95="Certify with Exception"),OR($S95="",$T95="")),"CERTIFICATION REQUIRED",IF(AND(NOT(OR($R95="Certify Current",$R95="Certify with Exception")),OR($S95&lt;&gt;"",$T95&lt;&gt;"")),"CERTIFICATION MISMATCH","COMPLETE")))))</x:f>
      </x:c>
      <x:c r="V95" s="1018"/>
      <x:c r="W95" s="1018"/>
    </x:row>
    <x:row r="96" ht="30" customHeight="1">
      <x:c r="A96" s="1018"/>
      <x:c r="B96" s="1025"/>
      <x:c r="C96" s="1018"/>
      <x:c r="D96" s="1021" t="str">
        <x:f>IF($C96="","",IFERROR(INDEX('20 RCC-003 MIAR Registry'!$C$14:$C$60,MATCH($C96,'20 RCC-003 MIAR Registry'!$B$14:$B$60,0)),"TICKER NOT FOUND"))</x:f>
      </x:c>
      <x:c r="E96" s="1018"/>
      <x:c r="F96" s="1018"/>
      <x:c r="G96" s="1018"/>
      <x:c r="H96" s="1021" t="str">
        <x:f>IF($C96="","",IFERROR(INDEX('20 RCC-003 MIAR Registry'!$M$14:$M$60,MATCH($C96,'20 RCC-003 MIAR Registry'!$B$14:$B$60,0)),""))</x:f>
      </x:c>
      <x:c r="I96" s="1018"/>
      <x:c r="J96" s="1027" t="str">
        <x:f>IF($C96="","",IFERROR(INDEX('20 RCC-003 MIAR Registry'!$K$14:$K$60,MATCH($C96,'20 RCC-003 MIAR Registry'!$B$14:$B$60,0)),""))</x:f>
      </x:c>
      <x:c r="K96" s="1023"/>
      <x:c r="L96" s="1027" t="str">
        <x:f>IF($C96="","",IFERROR(INDEX('20 RCC-003 MIAR Registry'!$L$14:$L$60,MATCH($C96,'20 RCC-003 MIAR Registry'!$B$14:$B$60,0)),""))</x:f>
      </x:c>
      <x:c r="M96" s="1023"/>
      <x:c r="N96" s="1018"/>
      <x:c r="O96" s="1018"/>
      <x:c r="P96" s="1018"/>
      <x:c r="Q96" s="1018"/>
      <x:c r="R96" s="1018"/>
      <x:c r="S96" s="1018"/>
      <x:c r="T96" s="1025"/>
      <x:c r="U96" s="962" t="str">
        <x:f>IF($A96="","",IF(COUNTIF($A$14:$A$213,$A96)&gt;1,"DUPLICATE REVIEW ID",IF(OR($B96="",$C96="",$E96="",$F96="",$G96="",$I96="",$K96="",$M96="",$N96="",$O96="",$P96="",$Q96="",$R96="",$W96=""),"INCOMPLETE",IF(AND(OR($R96="Certify Current",$R96="Certify with Exception"),OR($S96="",$T96="")),"CERTIFICATION REQUIRED",IF(AND(NOT(OR($R96="Certify Current",$R96="Certify with Exception")),OR($S96&lt;&gt;"",$T96&lt;&gt;"")),"CERTIFICATION MISMATCH","COMPLETE")))))</x:f>
      </x:c>
      <x:c r="V96" s="1018"/>
      <x:c r="W96" s="1018"/>
    </x:row>
    <x:row r="97" ht="30" customHeight="1">
      <x:c r="A97" s="1018"/>
      <x:c r="B97" s="1025"/>
      <x:c r="C97" s="1018"/>
      <x:c r="D97" s="1021" t="str">
        <x:f>IF($C97="","",IFERROR(INDEX('20 RCC-003 MIAR Registry'!$C$14:$C$60,MATCH($C97,'20 RCC-003 MIAR Registry'!$B$14:$B$60,0)),"TICKER NOT FOUND"))</x:f>
      </x:c>
      <x:c r="E97" s="1018"/>
      <x:c r="F97" s="1018"/>
      <x:c r="G97" s="1018"/>
      <x:c r="H97" s="1021" t="str">
        <x:f>IF($C97="","",IFERROR(INDEX('20 RCC-003 MIAR Registry'!$M$14:$M$60,MATCH($C97,'20 RCC-003 MIAR Registry'!$B$14:$B$60,0)),""))</x:f>
      </x:c>
      <x:c r="I97" s="1018"/>
      <x:c r="J97" s="1027" t="str">
        <x:f>IF($C97="","",IFERROR(INDEX('20 RCC-003 MIAR Registry'!$K$14:$K$60,MATCH($C97,'20 RCC-003 MIAR Registry'!$B$14:$B$60,0)),""))</x:f>
      </x:c>
      <x:c r="K97" s="1023"/>
      <x:c r="L97" s="1027" t="str">
        <x:f>IF($C97="","",IFERROR(INDEX('20 RCC-003 MIAR Registry'!$L$14:$L$60,MATCH($C97,'20 RCC-003 MIAR Registry'!$B$14:$B$60,0)),""))</x:f>
      </x:c>
      <x:c r="M97" s="1023"/>
      <x:c r="N97" s="1018"/>
      <x:c r="O97" s="1018"/>
      <x:c r="P97" s="1018"/>
      <x:c r="Q97" s="1018"/>
      <x:c r="R97" s="1018"/>
      <x:c r="S97" s="1018"/>
      <x:c r="T97" s="1025"/>
      <x:c r="U97" s="962" t="str">
        <x:f>IF($A97="","",IF(COUNTIF($A$14:$A$213,$A97)&gt;1,"DUPLICATE REVIEW ID",IF(OR($B97="",$C97="",$E97="",$F97="",$G97="",$I97="",$K97="",$M97="",$N97="",$O97="",$P97="",$Q97="",$R97="",$W97=""),"INCOMPLETE",IF(AND(OR($R97="Certify Current",$R97="Certify with Exception"),OR($S97="",$T97="")),"CERTIFICATION REQUIRED",IF(AND(NOT(OR($R97="Certify Current",$R97="Certify with Exception")),OR($S97&lt;&gt;"",$T97&lt;&gt;"")),"CERTIFICATION MISMATCH","COMPLETE")))))</x:f>
      </x:c>
      <x:c r="V97" s="1018"/>
      <x:c r="W97" s="1018"/>
    </x:row>
    <x:row r="98" ht="30" customHeight="1">
      <x:c r="A98" s="1018"/>
      <x:c r="B98" s="1025"/>
      <x:c r="C98" s="1018"/>
      <x:c r="D98" s="1021" t="str">
        <x:f>IF($C98="","",IFERROR(INDEX('20 RCC-003 MIAR Registry'!$C$14:$C$60,MATCH($C98,'20 RCC-003 MIAR Registry'!$B$14:$B$60,0)),"TICKER NOT FOUND"))</x:f>
      </x:c>
      <x:c r="E98" s="1018"/>
      <x:c r="F98" s="1018"/>
      <x:c r="G98" s="1018"/>
      <x:c r="H98" s="1021" t="str">
        <x:f>IF($C98="","",IFERROR(INDEX('20 RCC-003 MIAR Registry'!$M$14:$M$60,MATCH($C98,'20 RCC-003 MIAR Registry'!$B$14:$B$60,0)),""))</x:f>
      </x:c>
      <x:c r="I98" s="1018"/>
      <x:c r="J98" s="1027" t="str">
        <x:f>IF($C98="","",IFERROR(INDEX('20 RCC-003 MIAR Registry'!$K$14:$K$60,MATCH($C98,'20 RCC-003 MIAR Registry'!$B$14:$B$60,0)),""))</x:f>
      </x:c>
      <x:c r="K98" s="1023"/>
      <x:c r="L98" s="1027" t="str">
        <x:f>IF($C98="","",IFERROR(INDEX('20 RCC-003 MIAR Registry'!$L$14:$L$60,MATCH($C98,'20 RCC-003 MIAR Registry'!$B$14:$B$60,0)),""))</x:f>
      </x:c>
      <x:c r="M98" s="1023"/>
      <x:c r="N98" s="1018"/>
      <x:c r="O98" s="1018"/>
      <x:c r="P98" s="1018"/>
      <x:c r="Q98" s="1018"/>
      <x:c r="R98" s="1018"/>
      <x:c r="S98" s="1018"/>
      <x:c r="T98" s="1025"/>
      <x:c r="U98" s="962" t="str">
        <x:f>IF($A98="","",IF(COUNTIF($A$14:$A$213,$A98)&gt;1,"DUPLICATE REVIEW ID",IF(OR($B98="",$C98="",$E98="",$F98="",$G98="",$I98="",$K98="",$M98="",$N98="",$O98="",$P98="",$Q98="",$R98="",$W98=""),"INCOMPLETE",IF(AND(OR($R98="Certify Current",$R98="Certify with Exception"),OR($S98="",$T98="")),"CERTIFICATION REQUIRED",IF(AND(NOT(OR($R98="Certify Current",$R98="Certify with Exception")),OR($S98&lt;&gt;"",$T98&lt;&gt;"")),"CERTIFICATION MISMATCH","COMPLETE")))))</x:f>
      </x:c>
      <x:c r="V98" s="1018"/>
      <x:c r="W98" s="1018"/>
    </x:row>
    <x:row r="99" ht="30" customHeight="1">
      <x:c r="A99" s="1018"/>
      <x:c r="B99" s="1025"/>
      <x:c r="C99" s="1018"/>
      <x:c r="D99" s="1021" t="str">
        <x:f>IF($C99="","",IFERROR(INDEX('20 RCC-003 MIAR Registry'!$C$14:$C$60,MATCH($C99,'20 RCC-003 MIAR Registry'!$B$14:$B$60,0)),"TICKER NOT FOUND"))</x:f>
      </x:c>
      <x:c r="E99" s="1018"/>
      <x:c r="F99" s="1018"/>
      <x:c r="G99" s="1018"/>
      <x:c r="H99" s="1021" t="str">
        <x:f>IF($C99="","",IFERROR(INDEX('20 RCC-003 MIAR Registry'!$M$14:$M$60,MATCH($C99,'20 RCC-003 MIAR Registry'!$B$14:$B$60,0)),""))</x:f>
      </x:c>
      <x:c r="I99" s="1018"/>
      <x:c r="J99" s="1027" t="str">
        <x:f>IF($C99="","",IFERROR(INDEX('20 RCC-003 MIAR Registry'!$K$14:$K$60,MATCH($C99,'20 RCC-003 MIAR Registry'!$B$14:$B$60,0)),""))</x:f>
      </x:c>
      <x:c r="K99" s="1023"/>
      <x:c r="L99" s="1027" t="str">
        <x:f>IF($C99="","",IFERROR(INDEX('20 RCC-003 MIAR Registry'!$L$14:$L$60,MATCH($C99,'20 RCC-003 MIAR Registry'!$B$14:$B$60,0)),""))</x:f>
      </x:c>
      <x:c r="M99" s="1023"/>
      <x:c r="N99" s="1018"/>
      <x:c r="O99" s="1018"/>
      <x:c r="P99" s="1018"/>
      <x:c r="Q99" s="1018"/>
      <x:c r="R99" s="1018"/>
      <x:c r="S99" s="1018"/>
      <x:c r="T99" s="1025"/>
      <x:c r="U99" s="962" t="str">
        <x:f>IF($A99="","",IF(COUNTIF($A$14:$A$213,$A99)&gt;1,"DUPLICATE REVIEW ID",IF(OR($B99="",$C99="",$E99="",$F99="",$G99="",$I99="",$K99="",$M99="",$N99="",$O99="",$P99="",$Q99="",$R99="",$W99=""),"INCOMPLETE",IF(AND(OR($R99="Certify Current",$R99="Certify with Exception"),OR($S99="",$T99="")),"CERTIFICATION REQUIRED",IF(AND(NOT(OR($R99="Certify Current",$R99="Certify with Exception")),OR($S99&lt;&gt;"",$T99&lt;&gt;"")),"CERTIFICATION MISMATCH","COMPLETE")))))</x:f>
      </x:c>
      <x:c r="V99" s="1018"/>
      <x:c r="W99" s="1018"/>
    </x:row>
    <x:row r="100" ht="30" customHeight="1">
      <x:c r="A100" s="1018"/>
      <x:c r="B100" s="1025"/>
      <x:c r="C100" s="1018"/>
      <x:c r="D100" s="1021" t="str">
        <x:f>IF($C100="","",IFERROR(INDEX('20 RCC-003 MIAR Registry'!$C$14:$C$60,MATCH($C100,'20 RCC-003 MIAR Registry'!$B$14:$B$60,0)),"TICKER NOT FOUND"))</x:f>
      </x:c>
      <x:c r="E100" s="1018"/>
      <x:c r="F100" s="1018"/>
      <x:c r="G100" s="1018"/>
      <x:c r="H100" s="1021" t="str">
        <x:f>IF($C100="","",IFERROR(INDEX('20 RCC-003 MIAR Registry'!$M$14:$M$60,MATCH($C100,'20 RCC-003 MIAR Registry'!$B$14:$B$60,0)),""))</x:f>
      </x:c>
      <x:c r="I100" s="1018"/>
      <x:c r="J100" s="1027" t="str">
        <x:f>IF($C100="","",IFERROR(INDEX('20 RCC-003 MIAR Registry'!$K$14:$K$60,MATCH($C100,'20 RCC-003 MIAR Registry'!$B$14:$B$60,0)),""))</x:f>
      </x:c>
      <x:c r="K100" s="1023"/>
      <x:c r="L100" s="1027" t="str">
        <x:f>IF($C100="","",IFERROR(INDEX('20 RCC-003 MIAR Registry'!$L$14:$L$60,MATCH($C100,'20 RCC-003 MIAR Registry'!$B$14:$B$60,0)),""))</x:f>
      </x:c>
      <x:c r="M100" s="1023"/>
      <x:c r="N100" s="1018"/>
      <x:c r="O100" s="1018"/>
      <x:c r="P100" s="1018"/>
      <x:c r="Q100" s="1018"/>
      <x:c r="R100" s="1018"/>
      <x:c r="S100" s="1018"/>
      <x:c r="T100" s="1025"/>
      <x:c r="U100" s="962" t="str">
        <x:f>IF($A100="","",IF(COUNTIF($A$14:$A$213,$A100)&gt;1,"DUPLICATE REVIEW ID",IF(OR($B100="",$C100="",$E100="",$F100="",$G100="",$I100="",$K100="",$M100="",$N100="",$O100="",$P100="",$Q100="",$R100="",$W100=""),"INCOMPLETE",IF(AND(OR($R100="Certify Current",$R100="Certify with Exception"),OR($S100="",$T100="")),"CERTIFICATION REQUIRED",IF(AND(NOT(OR($R100="Certify Current",$R100="Certify with Exception")),OR($S100&lt;&gt;"",$T100&lt;&gt;"")),"CERTIFICATION MISMATCH","COMPLETE")))))</x:f>
      </x:c>
      <x:c r="V100" s="1018"/>
      <x:c r="W100" s="1018"/>
    </x:row>
    <x:row r="101" ht="30" customHeight="1">
      <x:c r="A101" s="1018"/>
      <x:c r="B101" s="1025"/>
      <x:c r="C101" s="1018"/>
      <x:c r="D101" s="1021" t="str">
        <x:f>IF($C101="","",IFERROR(INDEX('20 RCC-003 MIAR Registry'!$C$14:$C$60,MATCH($C101,'20 RCC-003 MIAR Registry'!$B$14:$B$60,0)),"TICKER NOT FOUND"))</x:f>
      </x:c>
      <x:c r="E101" s="1018"/>
      <x:c r="F101" s="1018"/>
      <x:c r="G101" s="1018"/>
      <x:c r="H101" s="1021" t="str">
        <x:f>IF($C101="","",IFERROR(INDEX('20 RCC-003 MIAR Registry'!$M$14:$M$60,MATCH($C101,'20 RCC-003 MIAR Registry'!$B$14:$B$60,0)),""))</x:f>
      </x:c>
      <x:c r="I101" s="1018"/>
      <x:c r="J101" s="1027" t="str">
        <x:f>IF($C101="","",IFERROR(INDEX('20 RCC-003 MIAR Registry'!$K$14:$K$60,MATCH($C101,'20 RCC-003 MIAR Registry'!$B$14:$B$60,0)),""))</x:f>
      </x:c>
      <x:c r="K101" s="1023"/>
      <x:c r="L101" s="1027" t="str">
        <x:f>IF($C101="","",IFERROR(INDEX('20 RCC-003 MIAR Registry'!$L$14:$L$60,MATCH($C101,'20 RCC-003 MIAR Registry'!$B$14:$B$60,0)),""))</x:f>
      </x:c>
      <x:c r="M101" s="1023"/>
      <x:c r="N101" s="1018"/>
      <x:c r="O101" s="1018"/>
      <x:c r="P101" s="1018"/>
      <x:c r="Q101" s="1018"/>
      <x:c r="R101" s="1018"/>
      <x:c r="S101" s="1018"/>
      <x:c r="T101" s="1025"/>
      <x:c r="U101" s="962" t="str">
        <x:f>IF($A101="","",IF(COUNTIF($A$14:$A$213,$A101)&gt;1,"DUPLICATE REVIEW ID",IF(OR($B101="",$C101="",$E101="",$F101="",$G101="",$I101="",$K101="",$M101="",$N101="",$O101="",$P101="",$Q101="",$R101="",$W101=""),"INCOMPLETE",IF(AND(OR($R101="Certify Current",$R101="Certify with Exception"),OR($S101="",$T101="")),"CERTIFICATION REQUIRED",IF(AND(NOT(OR($R101="Certify Current",$R101="Certify with Exception")),OR($S101&lt;&gt;"",$T101&lt;&gt;"")),"CERTIFICATION MISMATCH","COMPLETE")))))</x:f>
      </x:c>
      <x:c r="V101" s="1018"/>
      <x:c r="W101" s="1018"/>
    </x:row>
    <x:row r="102" ht="30" customHeight="1">
      <x:c r="A102" s="1018"/>
      <x:c r="B102" s="1025"/>
      <x:c r="C102" s="1018"/>
      <x:c r="D102" s="1021" t="str">
        <x:f>IF($C102="","",IFERROR(INDEX('20 RCC-003 MIAR Registry'!$C$14:$C$60,MATCH($C102,'20 RCC-003 MIAR Registry'!$B$14:$B$60,0)),"TICKER NOT FOUND"))</x:f>
      </x:c>
      <x:c r="E102" s="1018"/>
      <x:c r="F102" s="1018"/>
      <x:c r="G102" s="1018"/>
      <x:c r="H102" s="1021" t="str">
        <x:f>IF($C102="","",IFERROR(INDEX('20 RCC-003 MIAR Registry'!$M$14:$M$60,MATCH($C102,'20 RCC-003 MIAR Registry'!$B$14:$B$60,0)),""))</x:f>
      </x:c>
      <x:c r="I102" s="1018"/>
      <x:c r="J102" s="1027" t="str">
        <x:f>IF($C102="","",IFERROR(INDEX('20 RCC-003 MIAR Registry'!$K$14:$K$60,MATCH($C102,'20 RCC-003 MIAR Registry'!$B$14:$B$60,0)),""))</x:f>
      </x:c>
      <x:c r="K102" s="1023"/>
      <x:c r="L102" s="1027" t="str">
        <x:f>IF($C102="","",IFERROR(INDEX('20 RCC-003 MIAR Registry'!$L$14:$L$60,MATCH($C102,'20 RCC-003 MIAR Registry'!$B$14:$B$60,0)),""))</x:f>
      </x:c>
      <x:c r="M102" s="1023"/>
      <x:c r="N102" s="1018"/>
      <x:c r="O102" s="1018"/>
      <x:c r="P102" s="1018"/>
      <x:c r="Q102" s="1018"/>
      <x:c r="R102" s="1018"/>
      <x:c r="S102" s="1018"/>
      <x:c r="T102" s="1025"/>
      <x:c r="U102" s="962" t="str">
        <x:f>IF($A102="","",IF(COUNTIF($A$14:$A$213,$A102)&gt;1,"DUPLICATE REVIEW ID",IF(OR($B102="",$C102="",$E102="",$F102="",$G102="",$I102="",$K102="",$M102="",$N102="",$O102="",$P102="",$Q102="",$R102="",$W102=""),"INCOMPLETE",IF(AND(OR($R102="Certify Current",$R102="Certify with Exception"),OR($S102="",$T102="")),"CERTIFICATION REQUIRED",IF(AND(NOT(OR($R102="Certify Current",$R102="Certify with Exception")),OR($S102&lt;&gt;"",$T102&lt;&gt;"")),"CERTIFICATION MISMATCH","COMPLETE")))))</x:f>
      </x:c>
      <x:c r="V102" s="1018"/>
      <x:c r="W102" s="1018"/>
    </x:row>
    <x:row r="103" ht="30" customHeight="1">
      <x:c r="A103" s="1018"/>
      <x:c r="B103" s="1025"/>
      <x:c r="C103" s="1018"/>
      <x:c r="D103" s="1021" t="str">
        <x:f>IF($C103="","",IFERROR(INDEX('20 RCC-003 MIAR Registry'!$C$14:$C$60,MATCH($C103,'20 RCC-003 MIAR Registry'!$B$14:$B$60,0)),"TICKER NOT FOUND"))</x:f>
      </x:c>
      <x:c r="E103" s="1018"/>
      <x:c r="F103" s="1018"/>
      <x:c r="G103" s="1018"/>
      <x:c r="H103" s="1021" t="str">
        <x:f>IF($C103="","",IFERROR(INDEX('20 RCC-003 MIAR Registry'!$M$14:$M$60,MATCH($C103,'20 RCC-003 MIAR Registry'!$B$14:$B$60,0)),""))</x:f>
      </x:c>
      <x:c r="I103" s="1018"/>
      <x:c r="J103" s="1027" t="str">
        <x:f>IF($C103="","",IFERROR(INDEX('20 RCC-003 MIAR Registry'!$K$14:$K$60,MATCH($C103,'20 RCC-003 MIAR Registry'!$B$14:$B$60,0)),""))</x:f>
      </x:c>
      <x:c r="K103" s="1023"/>
      <x:c r="L103" s="1027" t="str">
        <x:f>IF($C103="","",IFERROR(INDEX('20 RCC-003 MIAR Registry'!$L$14:$L$60,MATCH($C103,'20 RCC-003 MIAR Registry'!$B$14:$B$60,0)),""))</x:f>
      </x:c>
      <x:c r="M103" s="1023"/>
      <x:c r="N103" s="1018"/>
      <x:c r="O103" s="1018"/>
      <x:c r="P103" s="1018"/>
      <x:c r="Q103" s="1018"/>
      <x:c r="R103" s="1018"/>
      <x:c r="S103" s="1018"/>
      <x:c r="T103" s="1025"/>
      <x:c r="U103" s="962" t="str">
        <x:f>IF($A103="","",IF(COUNTIF($A$14:$A$213,$A103)&gt;1,"DUPLICATE REVIEW ID",IF(OR($B103="",$C103="",$E103="",$F103="",$G103="",$I103="",$K103="",$M103="",$N103="",$O103="",$P103="",$Q103="",$R103="",$W103=""),"INCOMPLETE",IF(AND(OR($R103="Certify Current",$R103="Certify with Exception"),OR($S103="",$T103="")),"CERTIFICATION REQUIRED",IF(AND(NOT(OR($R103="Certify Current",$R103="Certify with Exception")),OR($S103&lt;&gt;"",$T103&lt;&gt;"")),"CERTIFICATION MISMATCH","COMPLETE")))))</x:f>
      </x:c>
      <x:c r="V103" s="1018"/>
      <x:c r="W103" s="1018"/>
    </x:row>
    <x:row r="104" ht="30" customHeight="1">
      <x:c r="A104" s="1018"/>
      <x:c r="B104" s="1025"/>
      <x:c r="C104" s="1018"/>
      <x:c r="D104" s="1021" t="str">
        <x:f>IF($C104="","",IFERROR(INDEX('20 RCC-003 MIAR Registry'!$C$14:$C$60,MATCH($C104,'20 RCC-003 MIAR Registry'!$B$14:$B$60,0)),"TICKER NOT FOUND"))</x:f>
      </x:c>
      <x:c r="E104" s="1018"/>
      <x:c r="F104" s="1018"/>
      <x:c r="G104" s="1018"/>
      <x:c r="H104" s="1021" t="str">
        <x:f>IF($C104="","",IFERROR(INDEX('20 RCC-003 MIAR Registry'!$M$14:$M$60,MATCH($C104,'20 RCC-003 MIAR Registry'!$B$14:$B$60,0)),""))</x:f>
      </x:c>
      <x:c r="I104" s="1018"/>
      <x:c r="J104" s="1027" t="str">
        <x:f>IF($C104="","",IFERROR(INDEX('20 RCC-003 MIAR Registry'!$K$14:$K$60,MATCH($C104,'20 RCC-003 MIAR Registry'!$B$14:$B$60,0)),""))</x:f>
      </x:c>
      <x:c r="K104" s="1023"/>
      <x:c r="L104" s="1027" t="str">
        <x:f>IF($C104="","",IFERROR(INDEX('20 RCC-003 MIAR Registry'!$L$14:$L$60,MATCH($C104,'20 RCC-003 MIAR Registry'!$B$14:$B$60,0)),""))</x:f>
      </x:c>
      <x:c r="M104" s="1023"/>
      <x:c r="N104" s="1018"/>
      <x:c r="O104" s="1018"/>
      <x:c r="P104" s="1018"/>
      <x:c r="Q104" s="1018"/>
      <x:c r="R104" s="1018"/>
      <x:c r="S104" s="1018"/>
      <x:c r="T104" s="1025"/>
      <x:c r="U104" s="962" t="str">
        <x:f>IF($A104="","",IF(COUNTIF($A$14:$A$213,$A104)&gt;1,"DUPLICATE REVIEW ID",IF(OR($B104="",$C104="",$E104="",$F104="",$G104="",$I104="",$K104="",$M104="",$N104="",$O104="",$P104="",$Q104="",$R104="",$W104=""),"INCOMPLETE",IF(AND(OR($R104="Certify Current",$R104="Certify with Exception"),OR($S104="",$T104="")),"CERTIFICATION REQUIRED",IF(AND(NOT(OR($R104="Certify Current",$R104="Certify with Exception")),OR($S104&lt;&gt;"",$T104&lt;&gt;"")),"CERTIFICATION MISMATCH","COMPLETE")))))</x:f>
      </x:c>
      <x:c r="V104" s="1018"/>
      <x:c r="W104" s="1018"/>
    </x:row>
    <x:row r="105" ht="30" customHeight="1">
      <x:c r="A105" s="1018"/>
      <x:c r="B105" s="1025"/>
      <x:c r="C105" s="1018"/>
      <x:c r="D105" s="1021" t="str">
        <x:f>IF($C105="","",IFERROR(INDEX('20 RCC-003 MIAR Registry'!$C$14:$C$60,MATCH($C105,'20 RCC-003 MIAR Registry'!$B$14:$B$60,0)),"TICKER NOT FOUND"))</x:f>
      </x:c>
      <x:c r="E105" s="1018"/>
      <x:c r="F105" s="1018"/>
      <x:c r="G105" s="1018"/>
      <x:c r="H105" s="1021" t="str">
        <x:f>IF($C105="","",IFERROR(INDEX('20 RCC-003 MIAR Registry'!$M$14:$M$60,MATCH($C105,'20 RCC-003 MIAR Registry'!$B$14:$B$60,0)),""))</x:f>
      </x:c>
      <x:c r="I105" s="1018"/>
      <x:c r="J105" s="1027" t="str">
        <x:f>IF($C105="","",IFERROR(INDEX('20 RCC-003 MIAR Registry'!$K$14:$K$60,MATCH($C105,'20 RCC-003 MIAR Registry'!$B$14:$B$60,0)),""))</x:f>
      </x:c>
      <x:c r="K105" s="1023"/>
      <x:c r="L105" s="1027" t="str">
        <x:f>IF($C105="","",IFERROR(INDEX('20 RCC-003 MIAR Registry'!$L$14:$L$60,MATCH($C105,'20 RCC-003 MIAR Registry'!$B$14:$B$60,0)),""))</x:f>
      </x:c>
      <x:c r="M105" s="1023"/>
      <x:c r="N105" s="1018"/>
      <x:c r="O105" s="1018"/>
      <x:c r="P105" s="1018"/>
      <x:c r="Q105" s="1018"/>
      <x:c r="R105" s="1018"/>
      <x:c r="S105" s="1018"/>
      <x:c r="T105" s="1025"/>
      <x:c r="U105" s="962" t="str">
        <x:f>IF($A105="","",IF(COUNTIF($A$14:$A$213,$A105)&gt;1,"DUPLICATE REVIEW ID",IF(OR($B105="",$C105="",$E105="",$F105="",$G105="",$I105="",$K105="",$M105="",$N105="",$O105="",$P105="",$Q105="",$R105="",$W105=""),"INCOMPLETE",IF(AND(OR($R105="Certify Current",$R105="Certify with Exception"),OR($S105="",$T105="")),"CERTIFICATION REQUIRED",IF(AND(NOT(OR($R105="Certify Current",$R105="Certify with Exception")),OR($S105&lt;&gt;"",$T105&lt;&gt;"")),"CERTIFICATION MISMATCH","COMPLETE")))))</x:f>
      </x:c>
      <x:c r="V105" s="1018"/>
      <x:c r="W105" s="1018"/>
    </x:row>
    <x:row r="106" ht="30" customHeight="1">
      <x:c r="A106" s="1018"/>
      <x:c r="B106" s="1025"/>
      <x:c r="C106" s="1018"/>
      <x:c r="D106" s="1021" t="str">
        <x:f>IF($C106="","",IFERROR(INDEX('20 RCC-003 MIAR Registry'!$C$14:$C$60,MATCH($C106,'20 RCC-003 MIAR Registry'!$B$14:$B$60,0)),"TICKER NOT FOUND"))</x:f>
      </x:c>
      <x:c r="E106" s="1018"/>
      <x:c r="F106" s="1018"/>
      <x:c r="G106" s="1018"/>
      <x:c r="H106" s="1021" t="str">
        <x:f>IF($C106="","",IFERROR(INDEX('20 RCC-003 MIAR Registry'!$M$14:$M$60,MATCH($C106,'20 RCC-003 MIAR Registry'!$B$14:$B$60,0)),""))</x:f>
      </x:c>
      <x:c r="I106" s="1018"/>
      <x:c r="J106" s="1027" t="str">
        <x:f>IF($C106="","",IFERROR(INDEX('20 RCC-003 MIAR Registry'!$K$14:$K$60,MATCH($C106,'20 RCC-003 MIAR Registry'!$B$14:$B$60,0)),""))</x:f>
      </x:c>
      <x:c r="K106" s="1023"/>
      <x:c r="L106" s="1027" t="str">
        <x:f>IF($C106="","",IFERROR(INDEX('20 RCC-003 MIAR Registry'!$L$14:$L$60,MATCH($C106,'20 RCC-003 MIAR Registry'!$B$14:$B$60,0)),""))</x:f>
      </x:c>
      <x:c r="M106" s="1023"/>
      <x:c r="N106" s="1018"/>
      <x:c r="O106" s="1018"/>
      <x:c r="P106" s="1018"/>
      <x:c r="Q106" s="1018"/>
      <x:c r="R106" s="1018"/>
      <x:c r="S106" s="1018"/>
      <x:c r="T106" s="1025"/>
      <x:c r="U106" s="962" t="str">
        <x:f>IF($A106="","",IF(COUNTIF($A$14:$A$213,$A106)&gt;1,"DUPLICATE REVIEW ID",IF(OR($B106="",$C106="",$E106="",$F106="",$G106="",$I106="",$K106="",$M106="",$N106="",$O106="",$P106="",$Q106="",$R106="",$W106=""),"INCOMPLETE",IF(AND(OR($R106="Certify Current",$R106="Certify with Exception"),OR($S106="",$T106="")),"CERTIFICATION REQUIRED",IF(AND(NOT(OR($R106="Certify Current",$R106="Certify with Exception")),OR($S106&lt;&gt;"",$T106&lt;&gt;"")),"CERTIFICATION MISMATCH","COMPLETE")))))</x:f>
      </x:c>
      <x:c r="V106" s="1018"/>
      <x:c r="W106" s="1018"/>
    </x:row>
    <x:row r="107" ht="30" customHeight="1">
      <x:c r="A107" s="1018"/>
      <x:c r="B107" s="1025"/>
      <x:c r="C107" s="1018"/>
      <x:c r="D107" s="1021" t="str">
        <x:f>IF($C107="","",IFERROR(INDEX('20 RCC-003 MIAR Registry'!$C$14:$C$60,MATCH($C107,'20 RCC-003 MIAR Registry'!$B$14:$B$60,0)),"TICKER NOT FOUND"))</x:f>
      </x:c>
      <x:c r="E107" s="1018"/>
      <x:c r="F107" s="1018"/>
      <x:c r="G107" s="1018"/>
      <x:c r="H107" s="1021" t="str">
        <x:f>IF($C107="","",IFERROR(INDEX('20 RCC-003 MIAR Registry'!$M$14:$M$60,MATCH($C107,'20 RCC-003 MIAR Registry'!$B$14:$B$60,0)),""))</x:f>
      </x:c>
      <x:c r="I107" s="1018"/>
      <x:c r="J107" s="1027" t="str">
        <x:f>IF($C107="","",IFERROR(INDEX('20 RCC-003 MIAR Registry'!$K$14:$K$60,MATCH($C107,'20 RCC-003 MIAR Registry'!$B$14:$B$60,0)),""))</x:f>
      </x:c>
      <x:c r="K107" s="1023"/>
      <x:c r="L107" s="1027" t="str">
        <x:f>IF($C107="","",IFERROR(INDEX('20 RCC-003 MIAR Registry'!$L$14:$L$60,MATCH($C107,'20 RCC-003 MIAR Registry'!$B$14:$B$60,0)),""))</x:f>
      </x:c>
      <x:c r="M107" s="1023"/>
      <x:c r="N107" s="1018"/>
      <x:c r="O107" s="1018"/>
      <x:c r="P107" s="1018"/>
      <x:c r="Q107" s="1018"/>
      <x:c r="R107" s="1018"/>
      <x:c r="S107" s="1018"/>
      <x:c r="T107" s="1025"/>
      <x:c r="U107" s="962" t="str">
        <x:f>IF($A107="","",IF(COUNTIF($A$14:$A$213,$A107)&gt;1,"DUPLICATE REVIEW ID",IF(OR($B107="",$C107="",$E107="",$F107="",$G107="",$I107="",$K107="",$M107="",$N107="",$O107="",$P107="",$Q107="",$R107="",$W107=""),"INCOMPLETE",IF(AND(OR($R107="Certify Current",$R107="Certify with Exception"),OR($S107="",$T107="")),"CERTIFICATION REQUIRED",IF(AND(NOT(OR($R107="Certify Current",$R107="Certify with Exception")),OR($S107&lt;&gt;"",$T107&lt;&gt;"")),"CERTIFICATION MISMATCH","COMPLETE")))))</x:f>
      </x:c>
      <x:c r="V107" s="1018"/>
      <x:c r="W107" s="1018"/>
    </x:row>
    <x:row r="108" ht="30" customHeight="1">
      <x:c r="A108" s="1018"/>
      <x:c r="B108" s="1025"/>
      <x:c r="C108" s="1018"/>
      <x:c r="D108" s="1021" t="str">
        <x:f>IF($C108="","",IFERROR(INDEX('20 RCC-003 MIAR Registry'!$C$14:$C$60,MATCH($C108,'20 RCC-003 MIAR Registry'!$B$14:$B$60,0)),"TICKER NOT FOUND"))</x:f>
      </x:c>
      <x:c r="E108" s="1018"/>
      <x:c r="F108" s="1018"/>
      <x:c r="G108" s="1018"/>
      <x:c r="H108" s="1021" t="str">
        <x:f>IF($C108="","",IFERROR(INDEX('20 RCC-003 MIAR Registry'!$M$14:$M$60,MATCH($C108,'20 RCC-003 MIAR Registry'!$B$14:$B$60,0)),""))</x:f>
      </x:c>
      <x:c r="I108" s="1018"/>
      <x:c r="J108" s="1027" t="str">
        <x:f>IF($C108="","",IFERROR(INDEX('20 RCC-003 MIAR Registry'!$K$14:$K$60,MATCH($C108,'20 RCC-003 MIAR Registry'!$B$14:$B$60,0)),""))</x:f>
      </x:c>
      <x:c r="K108" s="1023"/>
      <x:c r="L108" s="1027" t="str">
        <x:f>IF($C108="","",IFERROR(INDEX('20 RCC-003 MIAR Registry'!$L$14:$L$60,MATCH($C108,'20 RCC-003 MIAR Registry'!$B$14:$B$60,0)),""))</x:f>
      </x:c>
      <x:c r="M108" s="1023"/>
      <x:c r="N108" s="1018"/>
      <x:c r="O108" s="1018"/>
      <x:c r="P108" s="1018"/>
      <x:c r="Q108" s="1018"/>
      <x:c r="R108" s="1018"/>
      <x:c r="S108" s="1018"/>
      <x:c r="T108" s="1025"/>
      <x:c r="U108" s="962" t="str">
        <x:f>IF($A108="","",IF(COUNTIF($A$14:$A$213,$A108)&gt;1,"DUPLICATE REVIEW ID",IF(OR($B108="",$C108="",$E108="",$F108="",$G108="",$I108="",$K108="",$M108="",$N108="",$O108="",$P108="",$Q108="",$R108="",$W108=""),"INCOMPLETE",IF(AND(OR($R108="Certify Current",$R108="Certify with Exception"),OR($S108="",$T108="")),"CERTIFICATION REQUIRED",IF(AND(NOT(OR($R108="Certify Current",$R108="Certify with Exception")),OR($S108&lt;&gt;"",$T108&lt;&gt;"")),"CERTIFICATION MISMATCH","COMPLETE")))))</x:f>
      </x:c>
      <x:c r="V108" s="1018"/>
      <x:c r="W108" s="1018"/>
    </x:row>
    <x:row r="109" ht="30" customHeight="1">
      <x:c r="A109" s="1018"/>
      <x:c r="B109" s="1025"/>
      <x:c r="C109" s="1018"/>
      <x:c r="D109" s="1021" t="str">
        <x:f>IF($C109="","",IFERROR(INDEX('20 RCC-003 MIAR Registry'!$C$14:$C$60,MATCH($C109,'20 RCC-003 MIAR Registry'!$B$14:$B$60,0)),"TICKER NOT FOUND"))</x:f>
      </x:c>
      <x:c r="E109" s="1018"/>
      <x:c r="F109" s="1018"/>
      <x:c r="G109" s="1018"/>
      <x:c r="H109" s="1021" t="str">
        <x:f>IF($C109="","",IFERROR(INDEX('20 RCC-003 MIAR Registry'!$M$14:$M$60,MATCH($C109,'20 RCC-003 MIAR Registry'!$B$14:$B$60,0)),""))</x:f>
      </x:c>
      <x:c r="I109" s="1018"/>
      <x:c r="J109" s="1027" t="str">
        <x:f>IF($C109="","",IFERROR(INDEX('20 RCC-003 MIAR Registry'!$K$14:$K$60,MATCH($C109,'20 RCC-003 MIAR Registry'!$B$14:$B$60,0)),""))</x:f>
      </x:c>
      <x:c r="K109" s="1023"/>
      <x:c r="L109" s="1027" t="str">
        <x:f>IF($C109="","",IFERROR(INDEX('20 RCC-003 MIAR Registry'!$L$14:$L$60,MATCH($C109,'20 RCC-003 MIAR Registry'!$B$14:$B$60,0)),""))</x:f>
      </x:c>
      <x:c r="M109" s="1023"/>
      <x:c r="N109" s="1018"/>
      <x:c r="O109" s="1018"/>
      <x:c r="P109" s="1018"/>
      <x:c r="Q109" s="1018"/>
      <x:c r="R109" s="1018"/>
      <x:c r="S109" s="1018"/>
      <x:c r="T109" s="1025"/>
      <x:c r="U109" s="962" t="str">
        <x:f>IF($A109="","",IF(COUNTIF($A$14:$A$213,$A109)&gt;1,"DUPLICATE REVIEW ID",IF(OR($B109="",$C109="",$E109="",$F109="",$G109="",$I109="",$K109="",$M109="",$N109="",$O109="",$P109="",$Q109="",$R109="",$W109=""),"INCOMPLETE",IF(AND(OR($R109="Certify Current",$R109="Certify with Exception"),OR($S109="",$T109="")),"CERTIFICATION REQUIRED",IF(AND(NOT(OR($R109="Certify Current",$R109="Certify with Exception")),OR($S109&lt;&gt;"",$T109&lt;&gt;"")),"CERTIFICATION MISMATCH","COMPLETE")))))</x:f>
      </x:c>
      <x:c r="V109" s="1018"/>
      <x:c r="W109" s="1018"/>
    </x:row>
    <x:row r="110" ht="30" customHeight="1">
      <x:c r="A110" s="1018"/>
      <x:c r="B110" s="1025"/>
      <x:c r="C110" s="1018"/>
      <x:c r="D110" s="1021" t="str">
        <x:f>IF($C110="","",IFERROR(INDEX('20 RCC-003 MIAR Registry'!$C$14:$C$60,MATCH($C110,'20 RCC-003 MIAR Registry'!$B$14:$B$60,0)),"TICKER NOT FOUND"))</x:f>
      </x:c>
      <x:c r="E110" s="1018"/>
      <x:c r="F110" s="1018"/>
      <x:c r="G110" s="1018"/>
      <x:c r="H110" s="1021" t="str">
        <x:f>IF($C110="","",IFERROR(INDEX('20 RCC-003 MIAR Registry'!$M$14:$M$60,MATCH($C110,'20 RCC-003 MIAR Registry'!$B$14:$B$60,0)),""))</x:f>
      </x:c>
      <x:c r="I110" s="1018"/>
      <x:c r="J110" s="1027" t="str">
        <x:f>IF($C110="","",IFERROR(INDEX('20 RCC-003 MIAR Registry'!$K$14:$K$60,MATCH($C110,'20 RCC-003 MIAR Registry'!$B$14:$B$60,0)),""))</x:f>
      </x:c>
      <x:c r="K110" s="1023"/>
      <x:c r="L110" s="1027" t="str">
        <x:f>IF($C110="","",IFERROR(INDEX('20 RCC-003 MIAR Registry'!$L$14:$L$60,MATCH($C110,'20 RCC-003 MIAR Registry'!$B$14:$B$60,0)),""))</x:f>
      </x:c>
      <x:c r="M110" s="1023"/>
      <x:c r="N110" s="1018"/>
      <x:c r="O110" s="1018"/>
      <x:c r="P110" s="1018"/>
      <x:c r="Q110" s="1018"/>
      <x:c r="R110" s="1018"/>
      <x:c r="S110" s="1018"/>
      <x:c r="T110" s="1025"/>
      <x:c r="U110" s="962" t="str">
        <x:f>IF($A110="","",IF(COUNTIF($A$14:$A$213,$A110)&gt;1,"DUPLICATE REVIEW ID",IF(OR($B110="",$C110="",$E110="",$F110="",$G110="",$I110="",$K110="",$M110="",$N110="",$O110="",$P110="",$Q110="",$R110="",$W110=""),"INCOMPLETE",IF(AND(OR($R110="Certify Current",$R110="Certify with Exception"),OR($S110="",$T110="")),"CERTIFICATION REQUIRED",IF(AND(NOT(OR($R110="Certify Current",$R110="Certify with Exception")),OR($S110&lt;&gt;"",$T110&lt;&gt;"")),"CERTIFICATION MISMATCH","COMPLETE")))))</x:f>
      </x:c>
      <x:c r="V110" s="1018"/>
      <x:c r="W110" s="1018"/>
    </x:row>
    <x:row r="111" ht="30" customHeight="1">
      <x:c r="A111" s="1018"/>
      <x:c r="B111" s="1025"/>
      <x:c r="C111" s="1018"/>
      <x:c r="D111" s="1021" t="str">
        <x:f>IF($C111="","",IFERROR(INDEX('20 RCC-003 MIAR Registry'!$C$14:$C$60,MATCH($C111,'20 RCC-003 MIAR Registry'!$B$14:$B$60,0)),"TICKER NOT FOUND"))</x:f>
      </x:c>
      <x:c r="E111" s="1018"/>
      <x:c r="F111" s="1018"/>
      <x:c r="G111" s="1018"/>
      <x:c r="H111" s="1021" t="str">
        <x:f>IF($C111="","",IFERROR(INDEX('20 RCC-003 MIAR Registry'!$M$14:$M$60,MATCH($C111,'20 RCC-003 MIAR Registry'!$B$14:$B$60,0)),""))</x:f>
      </x:c>
      <x:c r="I111" s="1018"/>
      <x:c r="J111" s="1027" t="str">
        <x:f>IF($C111="","",IFERROR(INDEX('20 RCC-003 MIAR Registry'!$K$14:$K$60,MATCH($C111,'20 RCC-003 MIAR Registry'!$B$14:$B$60,0)),""))</x:f>
      </x:c>
      <x:c r="K111" s="1023"/>
      <x:c r="L111" s="1027" t="str">
        <x:f>IF($C111="","",IFERROR(INDEX('20 RCC-003 MIAR Registry'!$L$14:$L$60,MATCH($C111,'20 RCC-003 MIAR Registry'!$B$14:$B$60,0)),""))</x:f>
      </x:c>
      <x:c r="M111" s="1023"/>
      <x:c r="N111" s="1018"/>
      <x:c r="O111" s="1018"/>
      <x:c r="P111" s="1018"/>
      <x:c r="Q111" s="1018"/>
      <x:c r="R111" s="1018"/>
      <x:c r="S111" s="1018"/>
      <x:c r="T111" s="1025"/>
      <x:c r="U111" s="962" t="str">
        <x:f>IF($A111="","",IF(COUNTIF($A$14:$A$213,$A111)&gt;1,"DUPLICATE REVIEW ID",IF(OR($B111="",$C111="",$E111="",$F111="",$G111="",$I111="",$K111="",$M111="",$N111="",$O111="",$P111="",$Q111="",$R111="",$W111=""),"INCOMPLETE",IF(AND(OR($R111="Certify Current",$R111="Certify with Exception"),OR($S111="",$T111="")),"CERTIFICATION REQUIRED",IF(AND(NOT(OR($R111="Certify Current",$R111="Certify with Exception")),OR($S111&lt;&gt;"",$T111&lt;&gt;"")),"CERTIFICATION MISMATCH","COMPLETE")))))</x:f>
      </x:c>
      <x:c r="V111" s="1018"/>
      <x:c r="W111" s="1018"/>
    </x:row>
    <x:row r="112" ht="30" customHeight="1">
      <x:c r="A112" s="1018"/>
      <x:c r="B112" s="1025"/>
      <x:c r="C112" s="1018"/>
      <x:c r="D112" s="1021" t="str">
        <x:f>IF($C112="","",IFERROR(INDEX('20 RCC-003 MIAR Registry'!$C$14:$C$60,MATCH($C112,'20 RCC-003 MIAR Registry'!$B$14:$B$60,0)),"TICKER NOT FOUND"))</x:f>
      </x:c>
      <x:c r="E112" s="1018"/>
      <x:c r="F112" s="1018"/>
      <x:c r="G112" s="1018"/>
      <x:c r="H112" s="1021" t="str">
        <x:f>IF($C112="","",IFERROR(INDEX('20 RCC-003 MIAR Registry'!$M$14:$M$60,MATCH($C112,'20 RCC-003 MIAR Registry'!$B$14:$B$60,0)),""))</x:f>
      </x:c>
      <x:c r="I112" s="1018"/>
      <x:c r="J112" s="1027" t="str">
        <x:f>IF($C112="","",IFERROR(INDEX('20 RCC-003 MIAR Registry'!$K$14:$K$60,MATCH($C112,'20 RCC-003 MIAR Registry'!$B$14:$B$60,0)),""))</x:f>
      </x:c>
      <x:c r="K112" s="1023"/>
      <x:c r="L112" s="1027" t="str">
        <x:f>IF($C112="","",IFERROR(INDEX('20 RCC-003 MIAR Registry'!$L$14:$L$60,MATCH($C112,'20 RCC-003 MIAR Registry'!$B$14:$B$60,0)),""))</x:f>
      </x:c>
      <x:c r="M112" s="1023"/>
      <x:c r="N112" s="1018"/>
      <x:c r="O112" s="1018"/>
      <x:c r="P112" s="1018"/>
      <x:c r="Q112" s="1018"/>
      <x:c r="R112" s="1018"/>
      <x:c r="S112" s="1018"/>
      <x:c r="T112" s="1025"/>
      <x:c r="U112" s="962" t="str">
        <x:f>IF($A112="","",IF(COUNTIF($A$14:$A$213,$A112)&gt;1,"DUPLICATE REVIEW ID",IF(OR($B112="",$C112="",$E112="",$F112="",$G112="",$I112="",$K112="",$M112="",$N112="",$O112="",$P112="",$Q112="",$R112="",$W112=""),"INCOMPLETE",IF(AND(OR($R112="Certify Current",$R112="Certify with Exception"),OR($S112="",$T112="")),"CERTIFICATION REQUIRED",IF(AND(NOT(OR($R112="Certify Current",$R112="Certify with Exception")),OR($S112&lt;&gt;"",$T112&lt;&gt;"")),"CERTIFICATION MISMATCH","COMPLETE")))))</x:f>
      </x:c>
      <x:c r="V112" s="1018"/>
      <x:c r="W112" s="1018"/>
    </x:row>
    <x:row r="113" ht="30" customHeight="1">
      <x:c r="A113" s="1018"/>
      <x:c r="B113" s="1025"/>
      <x:c r="C113" s="1018"/>
      <x:c r="D113" s="1021" t="str">
        <x:f>IF($C113="","",IFERROR(INDEX('20 RCC-003 MIAR Registry'!$C$14:$C$60,MATCH($C113,'20 RCC-003 MIAR Registry'!$B$14:$B$60,0)),"TICKER NOT FOUND"))</x:f>
      </x:c>
      <x:c r="E113" s="1018"/>
      <x:c r="F113" s="1018"/>
      <x:c r="G113" s="1018"/>
      <x:c r="H113" s="1021" t="str">
        <x:f>IF($C113="","",IFERROR(INDEX('20 RCC-003 MIAR Registry'!$M$14:$M$60,MATCH($C113,'20 RCC-003 MIAR Registry'!$B$14:$B$60,0)),""))</x:f>
      </x:c>
      <x:c r="I113" s="1018"/>
      <x:c r="J113" s="1027" t="str">
        <x:f>IF($C113="","",IFERROR(INDEX('20 RCC-003 MIAR Registry'!$K$14:$K$60,MATCH($C113,'20 RCC-003 MIAR Registry'!$B$14:$B$60,0)),""))</x:f>
      </x:c>
      <x:c r="K113" s="1023"/>
      <x:c r="L113" s="1027" t="str">
        <x:f>IF($C113="","",IFERROR(INDEX('20 RCC-003 MIAR Registry'!$L$14:$L$60,MATCH($C113,'20 RCC-003 MIAR Registry'!$B$14:$B$60,0)),""))</x:f>
      </x:c>
      <x:c r="M113" s="1023"/>
      <x:c r="N113" s="1018"/>
      <x:c r="O113" s="1018"/>
      <x:c r="P113" s="1018"/>
      <x:c r="Q113" s="1018"/>
      <x:c r="R113" s="1018"/>
      <x:c r="S113" s="1018"/>
      <x:c r="T113" s="1025"/>
      <x:c r="U113" s="962" t="str">
        <x:f>IF($A113="","",IF(COUNTIF($A$14:$A$213,$A113)&gt;1,"DUPLICATE REVIEW ID",IF(OR($B113="",$C113="",$E113="",$F113="",$G113="",$I113="",$K113="",$M113="",$N113="",$O113="",$P113="",$Q113="",$R113="",$W113=""),"INCOMPLETE",IF(AND(OR($R113="Certify Current",$R113="Certify with Exception"),OR($S113="",$T113="")),"CERTIFICATION REQUIRED",IF(AND(NOT(OR($R113="Certify Current",$R113="Certify with Exception")),OR($S113&lt;&gt;"",$T113&lt;&gt;"")),"CERTIFICATION MISMATCH","COMPLETE")))))</x:f>
      </x:c>
      <x:c r="V113" s="1018"/>
      <x:c r="W113" s="1018"/>
    </x:row>
    <x:row r="114" ht="30" customHeight="1">
      <x:c r="A114" s="1018"/>
      <x:c r="B114" s="1025"/>
      <x:c r="C114" s="1018"/>
      <x:c r="D114" s="1021" t="str">
        <x:f>IF($C114="","",IFERROR(INDEX('20 RCC-003 MIAR Registry'!$C$14:$C$60,MATCH($C114,'20 RCC-003 MIAR Registry'!$B$14:$B$60,0)),"TICKER NOT FOUND"))</x:f>
      </x:c>
      <x:c r="E114" s="1018"/>
      <x:c r="F114" s="1018"/>
      <x:c r="G114" s="1018"/>
      <x:c r="H114" s="1021" t="str">
        <x:f>IF($C114="","",IFERROR(INDEX('20 RCC-003 MIAR Registry'!$M$14:$M$60,MATCH($C114,'20 RCC-003 MIAR Registry'!$B$14:$B$60,0)),""))</x:f>
      </x:c>
      <x:c r="I114" s="1018"/>
      <x:c r="J114" s="1027" t="str">
        <x:f>IF($C114="","",IFERROR(INDEX('20 RCC-003 MIAR Registry'!$K$14:$K$60,MATCH($C114,'20 RCC-003 MIAR Registry'!$B$14:$B$60,0)),""))</x:f>
      </x:c>
      <x:c r="K114" s="1023"/>
      <x:c r="L114" s="1027" t="str">
        <x:f>IF($C114="","",IFERROR(INDEX('20 RCC-003 MIAR Registry'!$L$14:$L$60,MATCH($C114,'20 RCC-003 MIAR Registry'!$B$14:$B$60,0)),""))</x:f>
      </x:c>
      <x:c r="M114" s="1023"/>
      <x:c r="N114" s="1018"/>
      <x:c r="O114" s="1018"/>
      <x:c r="P114" s="1018"/>
      <x:c r="Q114" s="1018"/>
      <x:c r="R114" s="1018"/>
      <x:c r="S114" s="1018"/>
      <x:c r="T114" s="1025"/>
      <x:c r="U114" s="962" t="str">
        <x:f>IF($A114="","",IF(COUNTIF($A$14:$A$213,$A114)&gt;1,"DUPLICATE REVIEW ID",IF(OR($B114="",$C114="",$E114="",$F114="",$G114="",$I114="",$K114="",$M114="",$N114="",$O114="",$P114="",$Q114="",$R114="",$W114=""),"INCOMPLETE",IF(AND(OR($R114="Certify Current",$R114="Certify with Exception"),OR($S114="",$T114="")),"CERTIFICATION REQUIRED",IF(AND(NOT(OR($R114="Certify Current",$R114="Certify with Exception")),OR($S114&lt;&gt;"",$T114&lt;&gt;"")),"CERTIFICATION MISMATCH","COMPLETE")))))</x:f>
      </x:c>
      <x:c r="V114" s="1018"/>
      <x:c r="W114" s="1018"/>
    </x:row>
    <x:row r="115" ht="30" customHeight="1">
      <x:c r="A115" s="1018"/>
      <x:c r="B115" s="1025"/>
      <x:c r="C115" s="1018"/>
      <x:c r="D115" s="1021" t="str">
        <x:f>IF($C115="","",IFERROR(INDEX('20 RCC-003 MIAR Registry'!$C$14:$C$60,MATCH($C115,'20 RCC-003 MIAR Registry'!$B$14:$B$60,0)),"TICKER NOT FOUND"))</x:f>
      </x:c>
      <x:c r="E115" s="1018"/>
      <x:c r="F115" s="1018"/>
      <x:c r="G115" s="1018"/>
      <x:c r="H115" s="1021" t="str">
        <x:f>IF($C115="","",IFERROR(INDEX('20 RCC-003 MIAR Registry'!$M$14:$M$60,MATCH($C115,'20 RCC-003 MIAR Registry'!$B$14:$B$60,0)),""))</x:f>
      </x:c>
      <x:c r="I115" s="1018"/>
      <x:c r="J115" s="1027" t="str">
        <x:f>IF($C115="","",IFERROR(INDEX('20 RCC-003 MIAR Registry'!$K$14:$K$60,MATCH($C115,'20 RCC-003 MIAR Registry'!$B$14:$B$60,0)),""))</x:f>
      </x:c>
      <x:c r="K115" s="1023"/>
      <x:c r="L115" s="1027" t="str">
        <x:f>IF($C115="","",IFERROR(INDEX('20 RCC-003 MIAR Registry'!$L$14:$L$60,MATCH($C115,'20 RCC-003 MIAR Registry'!$B$14:$B$60,0)),""))</x:f>
      </x:c>
      <x:c r="M115" s="1023"/>
      <x:c r="N115" s="1018"/>
      <x:c r="O115" s="1018"/>
      <x:c r="P115" s="1018"/>
      <x:c r="Q115" s="1018"/>
      <x:c r="R115" s="1018"/>
      <x:c r="S115" s="1018"/>
      <x:c r="T115" s="1025"/>
      <x:c r="U115" s="962" t="str">
        <x:f>IF($A115="","",IF(COUNTIF($A$14:$A$213,$A115)&gt;1,"DUPLICATE REVIEW ID",IF(OR($B115="",$C115="",$E115="",$F115="",$G115="",$I115="",$K115="",$M115="",$N115="",$O115="",$P115="",$Q115="",$R115="",$W115=""),"INCOMPLETE",IF(AND(OR($R115="Certify Current",$R115="Certify with Exception"),OR($S115="",$T115="")),"CERTIFICATION REQUIRED",IF(AND(NOT(OR($R115="Certify Current",$R115="Certify with Exception")),OR($S115&lt;&gt;"",$T115&lt;&gt;"")),"CERTIFICATION MISMATCH","COMPLETE")))))</x:f>
      </x:c>
      <x:c r="V115" s="1018"/>
      <x:c r="W115" s="1018"/>
    </x:row>
    <x:row r="116" ht="30" customHeight="1">
      <x:c r="A116" s="1018"/>
      <x:c r="B116" s="1025"/>
      <x:c r="C116" s="1018"/>
      <x:c r="D116" s="1021" t="str">
        <x:f>IF($C116="","",IFERROR(INDEX('20 RCC-003 MIAR Registry'!$C$14:$C$60,MATCH($C116,'20 RCC-003 MIAR Registry'!$B$14:$B$60,0)),"TICKER NOT FOUND"))</x:f>
      </x:c>
      <x:c r="E116" s="1018"/>
      <x:c r="F116" s="1018"/>
      <x:c r="G116" s="1018"/>
      <x:c r="H116" s="1021" t="str">
        <x:f>IF($C116="","",IFERROR(INDEX('20 RCC-003 MIAR Registry'!$M$14:$M$60,MATCH($C116,'20 RCC-003 MIAR Registry'!$B$14:$B$60,0)),""))</x:f>
      </x:c>
      <x:c r="I116" s="1018"/>
      <x:c r="J116" s="1027" t="str">
        <x:f>IF($C116="","",IFERROR(INDEX('20 RCC-003 MIAR Registry'!$K$14:$K$60,MATCH($C116,'20 RCC-003 MIAR Registry'!$B$14:$B$60,0)),""))</x:f>
      </x:c>
      <x:c r="K116" s="1023"/>
      <x:c r="L116" s="1027" t="str">
        <x:f>IF($C116="","",IFERROR(INDEX('20 RCC-003 MIAR Registry'!$L$14:$L$60,MATCH($C116,'20 RCC-003 MIAR Registry'!$B$14:$B$60,0)),""))</x:f>
      </x:c>
      <x:c r="M116" s="1023"/>
      <x:c r="N116" s="1018"/>
      <x:c r="O116" s="1018"/>
      <x:c r="P116" s="1018"/>
      <x:c r="Q116" s="1018"/>
      <x:c r="R116" s="1018"/>
      <x:c r="S116" s="1018"/>
      <x:c r="T116" s="1025"/>
      <x:c r="U116" s="962" t="str">
        <x:f>IF($A116="","",IF(COUNTIF($A$14:$A$213,$A116)&gt;1,"DUPLICATE REVIEW ID",IF(OR($B116="",$C116="",$E116="",$F116="",$G116="",$I116="",$K116="",$M116="",$N116="",$O116="",$P116="",$Q116="",$R116="",$W116=""),"INCOMPLETE",IF(AND(OR($R116="Certify Current",$R116="Certify with Exception"),OR($S116="",$T116="")),"CERTIFICATION REQUIRED",IF(AND(NOT(OR($R116="Certify Current",$R116="Certify with Exception")),OR($S116&lt;&gt;"",$T116&lt;&gt;"")),"CERTIFICATION MISMATCH","COMPLETE")))))</x:f>
      </x:c>
      <x:c r="V116" s="1018"/>
      <x:c r="W116" s="1018"/>
    </x:row>
    <x:row r="117" ht="30" customHeight="1">
      <x:c r="A117" s="1018"/>
      <x:c r="B117" s="1025"/>
      <x:c r="C117" s="1018"/>
      <x:c r="D117" s="1021" t="str">
        <x:f>IF($C117="","",IFERROR(INDEX('20 RCC-003 MIAR Registry'!$C$14:$C$60,MATCH($C117,'20 RCC-003 MIAR Registry'!$B$14:$B$60,0)),"TICKER NOT FOUND"))</x:f>
      </x:c>
      <x:c r="E117" s="1018"/>
      <x:c r="F117" s="1018"/>
      <x:c r="G117" s="1018"/>
      <x:c r="H117" s="1021" t="str">
        <x:f>IF($C117="","",IFERROR(INDEX('20 RCC-003 MIAR Registry'!$M$14:$M$60,MATCH($C117,'20 RCC-003 MIAR Registry'!$B$14:$B$60,0)),""))</x:f>
      </x:c>
      <x:c r="I117" s="1018"/>
      <x:c r="J117" s="1027" t="str">
        <x:f>IF($C117="","",IFERROR(INDEX('20 RCC-003 MIAR Registry'!$K$14:$K$60,MATCH($C117,'20 RCC-003 MIAR Registry'!$B$14:$B$60,0)),""))</x:f>
      </x:c>
      <x:c r="K117" s="1023"/>
      <x:c r="L117" s="1027" t="str">
        <x:f>IF($C117="","",IFERROR(INDEX('20 RCC-003 MIAR Registry'!$L$14:$L$60,MATCH($C117,'20 RCC-003 MIAR Registry'!$B$14:$B$60,0)),""))</x:f>
      </x:c>
      <x:c r="M117" s="1023"/>
      <x:c r="N117" s="1018"/>
      <x:c r="O117" s="1018"/>
      <x:c r="P117" s="1018"/>
      <x:c r="Q117" s="1018"/>
      <x:c r="R117" s="1018"/>
      <x:c r="S117" s="1018"/>
      <x:c r="T117" s="1025"/>
      <x:c r="U117" s="962" t="str">
        <x:f>IF($A117="","",IF(COUNTIF($A$14:$A$213,$A117)&gt;1,"DUPLICATE REVIEW ID",IF(OR($B117="",$C117="",$E117="",$F117="",$G117="",$I117="",$K117="",$M117="",$N117="",$O117="",$P117="",$Q117="",$R117="",$W117=""),"INCOMPLETE",IF(AND(OR($R117="Certify Current",$R117="Certify with Exception"),OR($S117="",$T117="")),"CERTIFICATION REQUIRED",IF(AND(NOT(OR($R117="Certify Current",$R117="Certify with Exception")),OR($S117&lt;&gt;"",$T117&lt;&gt;"")),"CERTIFICATION MISMATCH","COMPLETE")))))</x:f>
      </x:c>
      <x:c r="V117" s="1018"/>
      <x:c r="W117" s="1018"/>
    </x:row>
    <x:row r="118" ht="30" customHeight="1">
      <x:c r="A118" s="1018"/>
      <x:c r="B118" s="1025"/>
      <x:c r="C118" s="1018"/>
      <x:c r="D118" s="1021" t="str">
        <x:f>IF($C118="","",IFERROR(INDEX('20 RCC-003 MIAR Registry'!$C$14:$C$60,MATCH($C118,'20 RCC-003 MIAR Registry'!$B$14:$B$60,0)),"TICKER NOT FOUND"))</x:f>
      </x:c>
      <x:c r="E118" s="1018"/>
      <x:c r="F118" s="1018"/>
      <x:c r="G118" s="1018"/>
      <x:c r="H118" s="1021" t="str">
        <x:f>IF($C118="","",IFERROR(INDEX('20 RCC-003 MIAR Registry'!$M$14:$M$60,MATCH($C118,'20 RCC-003 MIAR Registry'!$B$14:$B$60,0)),""))</x:f>
      </x:c>
      <x:c r="I118" s="1018"/>
      <x:c r="J118" s="1027" t="str">
        <x:f>IF($C118="","",IFERROR(INDEX('20 RCC-003 MIAR Registry'!$K$14:$K$60,MATCH($C118,'20 RCC-003 MIAR Registry'!$B$14:$B$60,0)),""))</x:f>
      </x:c>
      <x:c r="K118" s="1023"/>
      <x:c r="L118" s="1027" t="str">
        <x:f>IF($C118="","",IFERROR(INDEX('20 RCC-003 MIAR Registry'!$L$14:$L$60,MATCH($C118,'20 RCC-003 MIAR Registry'!$B$14:$B$60,0)),""))</x:f>
      </x:c>
      <x:c r="M118" s="1023"/>
      <x:c r="N118" s="1018"/>
      <x:c r="O118" s="1018"/>
      <x:c r="P118" s="1018"/>
      <x:c r="Q118" s="1018"/>
      <x:c r="R118" s="1018"/>
      <x:c r="S118" s="1018"/>
      <x:c r="T118" s="1025"/>
      <x:c r="U118" s="962" t="str">
        <x:f>IF($A118="","",IF(COUNTIF($A$14:$A$213,$A118)&gt;1,"DUPLICATE REVIEW ID",IF(OR($B118="",$C118="",$E118="",$F118="",$G118="",$I118="",$K118="",$M118="",$N118="",$O118="",$P118="",$Q118="",$R118="",$W118=""),"INCOMPLETE",IF(AND(OR($R118="Certify Current",$R118="Certify with Exception"),OR($S118="",$T118="")),"CERTIFICATION REQUIRED",IF(AND(NOT(OR($R118="Certify Current",$R118="Certify with Exception")),OR($S118&lt;&gt;"",$T118&lt;&gt;"")),"CERTIFICATION MISMATCH","COMPLETE")))))</x:f>
      </x:c>
      <x:c r="V118" s="1018"/>
      <x:c r="W118" s="1018"/>
    </x:row>
    <x:row r="119" ht="30" customHeight="1">
      <x:c r="A119" s="1018"/>
      <x:c r="B119" s="1025"/>
      <x:c r="C119" s="1018"/>
      <x:c r="D119" s="1021" t="str">
        <x:f>IF($C119="","",IFERROR(INDEX('20 RCC-003 MIAR Registry'!$C$14:$C$60,MATCH($C119,'20 RCC-003 MIAR Registry'!$B$14:$B$60,0)),"TICKER NOT FOUND"))</x:f>
      </x:c>
      <x:c r="E119" s="1018"/>
      <x:c r="F119" s="1018"/>
      <x:c r="G119" s="1018"/>
      <x:c r="H119" s="1021" t="str">
        <x:f>IF($C119="","",IFERROR(INDEX('20 RCC-003 MIAR Registry'!$M$14:$M$60,MATCH($C119,'20 RCC-003 MIAR Registry'!$B$14:$B$60,0)),""))</x:f>
      </x:c>
      <x:c r="I119" s="1018"/>
      <x:c r="J119" s="1027" t="str">
        <x:f>IF($C119="","",IFERROR(INDEX('20 RCC-003 MIAR Registry'!$K$14:$K$60,MATCH($C119,'20 RCC-003 MIAR Registry'!$B$14:$B$60,0)),""))</x:f>
      </x:c>
      <x:c r="K119" s="1023"/>
      <x:c r="L119" s="1027" t="str">
        <x:f>IF($C119="","",IFERROR(INDEX('20 RCC-003 MIAR Registry'!$L$14:$L$60,MATCH($C119,'20 RCC-003 MIAR Registry'!$B$14:$B$60,0)),""))</x:f>
      </x:c>
      <x:c r="M119" s="1023"/>
      <x:c r="N119" s="1018"/>
      <x:c r="O119" s="1018"/>
      <x:c r="P119" s="1018"/>
      <x:c r="Q119" s="1018"/>
      <x:c r="R119" s="1018"/>
      <x:c r="S119" s="1018"/>
      <x:c r="T119" s="1025"/>
      <x:c r="U119" s="962" t="str">
        <x:f>IF($A119="","",IF(COUNTIF($A$14:$A$213,$A119)&gt;1,"DUPLICATE REVIEW ID",IF(OR($B119="",$C119="",$E119="",$F119="",$G119="",$I119="",$K119="",$M119="",$N119="",$O119="",$P119="",$Q119="",$R119="",$W119=""),"INCOMPLETE",IF(AND(OR($R119="Certify Current",$R119="Certify with Exception"),OR($S119="",$T119="")),"CERTIFICATION REQUIRED",IF(AND(NOT(OR($R119="Certify Current",$R119="Certify with Exception")),OR($S119&lt;&gt;"",$T119&lt;&gt;"")),"CERTIFICATION MISMATCH","COMPLETE")))))</x:f>
      </x:c>
      <x:c r="V119" s="1018"/>
      <x:c r="W119" s="1018"/>
    </x:row>
    <x:row r="120" ht="30" customHeight="1">
      <x:c r="A120" s="1018"/>
      <x:c r="B120" s="1025"/>
      <x:c r="C120" s="1018"/>
      <x:c r="D120" s="1021" t="str">
        <x:f>IF($C120="","",IFERROR(INDEX('20 RCC-003 MIAR Registry'!$C$14:$C$60,MATCH($C120,'20 RCC-003 MIAR Registry'!$B$14:$B$60,0)),"TICKER NOT FOUND"))</x:f>
      </x:c>
      <x:c r="E120" s="1018"/>
      <x:c r="F120" s="1018"/>
      <x:c r="G120" s="1018"/>
      <x:c r="H120" s="1021" t="str">
        <x:f>IF($C120="","",IFERROR(INDEX('20 RCC-003 MIAR Registry'!$M$14:$M$60,MATCH($C120,'20 RCC-003 MIAR Registry'!$B$14:$B$60,0)),""))</x:f>
      </x:c>
      <x:c r="I120" s="1018"/>
      <x:c r="J120" s="1027" t="str">
        <x:f>IF($C120="","",IFERROR(INDEX('20 RCC-003 MIAR Registry'!$K$14:$K$60,MATCH($C120,'20 RCC-003 MIAR Registry'!$B$14:$B$60,0)),""))</x:f>
      </x:c>
      <x:c r="K120" s="1023"/>
      <x:c r="L120" s="1027" t="str">
        <x:f>IF($C120="","",IFERROR(INDEX('20 RCC-003 MIAR Registry'!$L$14:$L$60,MATCH($C120,'20 RCC-003 MIAR Registry'!$B$14:$B$60,0)),""))</x:f>
      </x:c>
      <x:c r="M120" s="1023"/>
      <x:c r="N120" s="1018"/>
      <x:c r="O120" s="1018"/>
      <x:c r="P120" s="1018"/>
      <x:c r="Q120" s="1018"/>
      <x:c r="R120" s="1018"/>
      <x:c r="S120" s="1018"/>
      <x:c r="T120" s="1025"/>
      <x:c r="U120" s="962" t="str">
        <x:f>IF($A120="","",IF(COUNTIF($A$14:$A$213,$A120)&gt;1,"DUPLICATE REVIEW ID",IF(OR($B120="",$C120="",$E120="",$F120="",$G120="",$I120="",$K120="",$M120="",$N120="",$O120="",$P120="",$Q120="",$R120="",$W120=""),"INCOMPLETE",IF(AND(OR($R120="Certify Current",$R120="Certify with Exception"),OR($S120="",$T120="")),"CERTIFICATION REQUIRED",IF(AND(NOT(OR($R120="Certify Current",$R120="Certify with Exception")),OR($S120&lt;&gt;"",$T120&lt;&gt;"")),"CERTIFICATION MISMATCH","COMPLETE")))))</x:f>
      </x:c>
      <x:c r="V120" s="1018"/>
      <x:c r="W120" s="1018"/>
    </x:row>
    <x:row r="121" ht="30" customHeight="1">
      <x:c r="A121" s="1018"/>
      <x:c r="B121" s="1025"/>
      <x:c r="C121" s="1018"/>
      <x:c r="D121" s="1021" t="str">
        <x:f>IF($C121="","",IFERROR(INDEX('20 RCC-003 MIAR Registry'!$C$14:$C$60,MATCH($C121,'20 RCC-003 MIAR Registry'!$B$14:$B$60,0)),"TICKER NOT FOUND"))</x:f>
      </x:c>
      <x:c r="E121" s="1018"/>
      <x:c r="F121" s="1018"/>
      <x:c r="G121" s="1018"/>
      <x:c r="H121" s="1021" t="str">
        <x:f>IF($C121="","",IFERROR(INDEX('20 RCC-003 MIAR Registry'!$M$14:$M$60,MATCH($C121,'20 RCC-003 MIAR Registry'!$B$14:$B$60,0)),""))</x:f>
      </x:c>
      <x:c r="I121" s="1018"/>
      <x:c r="J121" s="1027" t="str">
        <x:f>IF($C121="","",IFERROR(INDEX('20 RCC-003 MIAR Registry'!$K$14:$K$60,MATCH($C121,'20 RCC-003 MIAR Registry'!$B$14:$B$60,0)),""))</x:f>
      </x:c>
      <x:c r="K121" s="1023"/>
      <x:c r="L121" s="1027" t="str">
        <x:f>IF($C121="","",IFERROR(INDEX('20 RCC-003 MIAR Registry'!$L$14:$L$60,MATCH($C121,'20 RCC-003 MIAR Registry'!$B$14:$B$60,0)),""))</x:f>
      </x:c>
      <x:c r="M121" s="1023"/>
      <x:c r="N121" s="1018"/>
      <x:c r="O121" s="1018"/>
      <x:c r="P121" s="1018"/>
      <x:c r="Q121" s="1018"/>
      <x:c r="R121" s="1018"/>
      <x:c r="S121" s="1018"/>
      <x:c r="T121" s="1025"/>
      <x:c r="U121" s="962" t="str">
        <x:f>IF($A121="","",IF(COUNTIF($A$14:$A$213,$A121)&gt;1,"DUPLICATE REVIEW ID",IF(OR($B121="",$C121="",$E121="",$F121="",$G121="",$I121="",$K121="",$M121="",$N121="",$O121="",$P121="",$Q121="",$R121="",$W121=""),"INCOMPLETE",IF(AND(OR($R121="Certify Current",$R121="Certify with Exception"),OR($S121="",$T121="")),"CERTIFICATION REQUIRED",IF(AND(NOT(OR($R121="Certify Current",$R121="Certify with Exception")),OR($S121&lt;&gt;"",$T121&lt;&gt;"")),"CERTIFICATION MISMATCH","COMPLETE")))))</x:f>
      </x:c>
      <x:c r="V121" s="1018"/>
      <x:c r="W121" s="1018"/>
    </x:row>
    <x:row r="122" ht="30" customHeight="1">
      <x:c r="A122" s="1018"/>
      <x:c r="B122" s="1025"/>
      <x:c r="C122" s="1018"/>
      <x:c r="D122" s="1021" t="str">
        <x:f>IF($C122="","",IFERROR(INDEX('20 RCC-003 MIAR Registry'!$C$14:$C$60,MATCH($C122,'20 RCC-003 MIAR Registry'!$B$14:$B$60,0)),"TICKER NOT FOUND"))</x:f>
      </x:c>
      <x:c r="E122" s="1018"/>
      <x:c r="F122" s="1018"/>
      <x:c r="G122" s="1018"/>
      <x:c r="H122" s="1021" t="str">
        <x:f>IF($C122="","",IFERROR(INDEX('20 RCC-003 MIAR Registry'!$M$14:$M$60,MATCH($C122,'20 RCC-003 MIAR Registry'!$B$14:$B$60,0)),""))</x:f>
      </x:c>
      <x:c r="I122" s="1018"/>
      <x:c r="J122" s="1027" t="str">
        <x:f>IF($C122="","",IFERROR(INDEX('20 RCC-003 MIAR Registry'!$K$14:$K$60,MATCH($C122,'20 RCC-003 MIAR Registry'!$B$14:$B$60,0)),""))</x:f>
      </x:c>
      <x:c r="K122" s="1023"/>
      <x:c r="L122" s="1027" t="str">
        <x:f>IF($C122="","",IFERROR(INDEX('20 RCC-003 MIAR Registry'!$L$14:$L$60,MATCH($C122,'20 RCC-003 MIAR Registry'!$B$14:$B$60,0)),""))</x:f>
      </x:c>
      <x:c r="M122" s="1023"/>
      <x:c r="N122" s="1018"/>
      <x:c r="O122" s="1018"/>
      <x:c r="P122" s="1018"/>
      <x:c r="Q122" s="1018"/>
      <x:c r="R122" s="1018"/>
      <x:c r="S122" s="1018"/>
      <x:c r="T122" s="1025"/>
      <x:c r="U122" s="962" t="str">
        <x:f>IF($A122="","",IF(COUNTIF($A$14:$A$213,$A122)&gt;1,"DUPLICATE REVIEW ID",IF(OR($B122="",$C122="",$E122="",$F122="",$G122="",$I122="",$K122="",$M122="",$N122="",$O122="",$P122="",$Q122="",$R122="",$W122=""),"INCOMPLETE",IF(AND(OR($R122="Certify Current",$R122="Certify with Exception"),OR($S122="",$T122="")),"CERTIFICATION REQUIRED",IF(AND(NOT(OR($R122="Certify Current",$R122="Certify with Exception")),OR($S122&lt;&gt;"",$T122&lt;&gt;"")),"CERTIFICATION MISMATCH","COMPLETE")))))</x:f>
      </x:c>
      <x:c r="V122" s="1018"/>
      <x:c r="W122" s="1018"/>
    </x:row>
    <x:row r="123" ht="30" customHeight="1">
      <x:c r="A123" s="1018"/>
      <x:c r="B123" s="1025"/>
      <x:c r="C123" s="1018"/>
      <x:c r="D123" s="1021" t="str">
        <x:f>IF($C123="","",IFERROR(INDEX('20 RCC-003 MIAR Registry'!$C$14:$C$60,MATCH($C123,'20 RCC-003 MIAR Registry'!$B$14:$B$60,0)),"TICKER NOT FOUND"))</x:f>
      </x:c>
      <x:c r="E123" s="1018"/>
      <x:c r="F123" s="1018"/>
      <x:c r="G123" s="1018"/>
      <x:c r="H123" s="1021" t="str">
        <x:f>IF($C123="","",IFERROR(INDEX('20 RCC-003 MIAR Registry'!$M$14:$M$60,MATCH($C123,'20 RCC-003 MIAR Registry'!$B$14:$B$60,0)),""))</x:f>
      </x:c>
      <x:c r="I123" s="1018"/>
      <x:c r="J123" s="1027" t="str">
        <x:f>IF($C123="","",IFERROR(INDEX('20 RCC-003 MIAR Registry'!$K$14:$K$60,MATCH($C123,'20 RCC-003 MIAR Registry'!$B$14:$B$60,0)),""))</x:f>
      </x:c>
      <x:c r="K123" s="1023"/>
      <x:c r="L123" s="1027" t="str">
        <x:f>IF($C123="","",IFERROR(INDEX('20 RCC-003 MIAR Registry'!$L$14:$L$60,MATCH($C123,'20 RCC-003 MIAR Registry'!$B$14:$B$60,0)),""))</x:f>
      </x:c>
      <x:c r="M123" s="1023"/>
      <x:c r="N123" s="1018"/>
      <x:c r="O123" s="1018"/>
      <x:c r="P123" s="1018"/>
      <x:c r="Q123" s="1018"/>
      <x:c r="R123" s="1018"/>
      <x:c r="S123" s="1018"/>
      <x:c r="T123" s="1025"/>
      <x:c r="U123" s="962" t="str">
        <x:f>IF($A123="","",IF(COUNTIF($A$14:$A$213,$A123)&gt;1,"DUPLICATE REVIEW ID",IF(OR($B123="",$C123="",$E123="",$F123="",$G123="",$I123="",$K123="",$M123="",$N123="",$O123="",$P123="",$Q123="",$R123="",$W123=""),"INCOMPLETE",IF(AND(OR($R123="Certify Current",$R123="Certify with Exception"),OR($S123="",$T123="")),"CERTIFICATION REQUIRED",IF(AND(NOT(OR($R123="Certify Current",$R123="Certify with Exception")),OR($S123&lt;&gt;"",$T123&lt;&gt;"")),"CERTIFICATION MISMATCH","COMPLETE")))))</x:f>
      </x:c>
      <x:c r="V123" s="1018"/>
      <x:c r="W123" s="1018"/>
    </x:row>
    <x:row r="124" ht="30" customHeight="1">
      <x:c r="A124" s="1018"/>
      <x:c r="B124" s="1025"/>
      <x:c r="C124" s="1018"/>
      <x:c r="D124" s="1021" t="str">
        <x:f>IF($C124="","",IFERROR(INDEX('20 RCC-003 MIAR Registry'!$C$14:$C$60,MATCH($C124,'20 RCC-003 MIAR Registry'!$B$14:$B$60,0)),"TICKER NOT FOUND"))</x:f>
      </x:c>
      <x:c r="E124" s="1018"/>
      <x:c r="F124" s="1018"/>
      <x:c r="G124" s="1018"/>
      <x:c r="H124" s="1021" t="str">
        <x:f>IF($C124="","",IFERROR(INDEX('20 RCC-003 MIAR Registry'!$M$14:$M$60,MATCH($C124,'20 RCC-003 MIAR Registry'!$B$14:$B$60,0)),""))</x:f>
      </x:c>
      <x:c r="I124" s="1018"/>
      <x:c r="J124" s="1027" t="str">
        <x:f>IF($C124="","",IFERROR(INDEX('20 RCC-003 MIAR Registry'!$K$14:$K$60,MATCH($C124,'20 RCC-003 MIAR Registry'!$B$14:$B$60,0)),""))</x:f>
      </x:c>
      <x:c r="K124" s="1023"/>
      <x:c r="L124" s="1027" t="str">
        <x:f>IF($C124="","",IFERROR(INDEX('20 RCC-003 MIAR Registry'!$L$14:$L$60,MATCH($C124,'20 RCC-003 MIAR Registry'!$B$14:$B$60,0)),""))</x:f>
      </x:c>
      <x:c r="M124" s="1023"/>
      <x:c r="N124" s="1018"/>
      <x:c r="O124" s="1018"/>
      <x:c r="P124" s="1018"/>
      <x:c r="Q124" s="1018"/>
      <x:c r="R124" s="1018"/>
      <x:c r="S124" s="1018"/>
      <x:c r="T124" s="1025"/>
      <x:c r="U124" s="962" t="str">
        <x:f>IF($A124="","",IF(COUNTIF($A$14:$A$213,$A124)&gt;1,"DUPLICATE REVIEW ID",IF(OR($B124="",$C124="",$E124="",$F124="",$G124="",$I124="",$K124="",$M124="",$N124="",$O124="",$P124="",$Q124="",$R124="",$W124=""),"INCOMPLETE",IF(AND(OR($R124="Certify Current",$R124="Certify with Exception"),OR($S124="",$T124="")),"CERTIFICATION REQUIRED",IF(AND(NOT(OR($R124="Certify Current",$R124="Certify with Exception")),OR($S124&lt;&gt;"",$T124&lt;&gt;"")),"CERTIFICATION MISMATCH","COMPLETE")))))</x:f>
      </x:c>
      <x:c r="V124" s="1018"/>
      <x:c r="W124" s="1018"/>
    </x:row>
    <x:row r="125" ht="30" customHeight="1">
      <x:c r="A125" s="1018"/>
      <x:c r="B125" s="1025"/>
      <x:c r="C125" s="1018"/>
      <x:c r="D125" s="1021" t="str">
        <x:f>IF($C125="","",IFERROR(INDEX('20 RCC-003 MIAR Registry'!$C$14:$C$60,MATCH($C125,'20 RCC-003 MIAR Registry'!$B$14:$B$60,0)),"TICKER NOT FOUND"))</x:f>
      </x:c>
      <x:c r="E125" s="1018"/>
      <x:c r="F125" s="1018"/>
      <x:c r="G125" s="1018"/>
      <x:c r="H125" s="1021" t="str">
        <x:f>IF($C125="","",IFERROR(INDEX('20 RCC-003 MIAR Registry'!$M$14:$M$60,MATCH($C125,'20 RCC-003 MIAR Registry'!$B$14:$B$60,0)),""))</x:f>
      </x:c>
      <x:c r="I125" s="1018"/>
      <x:c r="J125" s="1027" t="str">
        <x:f>IF($C125="","",IFERROR(INDEX('20 RCC-003 MIAR Registry'!$K$14:$K$60,MATCH($C125,'20 RCC-003 MIAR Registry'!$B$14:$B$60,0)),""))</x:f>
      </x:c>
      <x:c r="K125" s="1023"/>
      <x:c r="L125" s="1027" t="str">
        <x:f>IF($C125="","",IFERROR(INDEX('20 RCC-003 MIAR Registry'!$L$14:$L$60,MATCH($C125,'20 RCC-003 MIAR Registry'!$B$14:$B$60,0)),""))</x:f>
      </x:c>
      <x:c r="M125" s="1023"/>
      <x:c r="N125" s="1018"/>
      <x:c r="O125" s="1018"/>
      <x:c r="P125" s="1018"/>
      <x:c r="Q125" s="1018"/>
      <x:c r="R125" s="1018"/>
      <x:c r="S125" s="1018"/>
      <x:c r="T125" s="1025"/>
      <x:c r="U125" s="962" t="str">
        <x:f>IF($A125="","",IF(COUNTIF($A$14:$A$213,$A125)&gt;1,"DUPLICATE REVIEW ID",IF(OR($B125="",$C125="",$E125="",$F125="",$G125="",$I125="",$K125="",$M125="",$N125="",$O125="",$P125="",$Q125="",$R125="",$W125=""),"INCOMPLETE",IF(AND(OR($R125="Certify Current",$R125="Certify with Exception"),OR($S125="",$T125="")),"CERTIFICATION REQUIRED",IF(AND(NOT(OR($R125="Certify Current",$R125="Certify with Exception")),OR($S125&lt;&gt;"",$T125&lt;&gt;"")),"CERTIFICATION MISMATCH","COMPLETE")))))</x:f>
      </x:c>
      <x:c r="V125" s="1018"/>
      <x:c r="W125" s="1018"/>
    </x:row>
    <x:row r="126" ht="30" customHeight="1">
      <x:c r="A126" s="1018"/>
      <x:c r="B126" s="1025"/>
      <x:c r="C126" s="1018"/>
      <x:c r="D126" s="1021" t="str">
        <x:f>IF($C126="","",IFERROR(INDEX('20 RCC-003 MIAR Registry'!$C$14:$C$60,MATCH($C126,'20 RCC-003 MIAR Registry'!$B$14:$B$60,0)),"TICKER NOT FOUND"))</x:f>
      </x:c>
      <x:c r="E126" s="1018"/>
      <x:c r="F126" s="1018"/>
      <x:c r="G126" s="1018"/>
      <x:c r="H126" s="1021" t="str">
        <x:f>IF($C126="","",IFERROR(INDEX('20 RCC-003 MIAR Registry'!$M$14:$M$60,MATCH($C126,'20 RCC-003 MIAR Registry'!$B$14:$B$60,0)),""))</x:f>
      </x:c>
      <x:c r="I126" s="1018"/>
      <x:c r="J126" s="1027" t="str">
        <x:f>IF($C126="","",IFERROR(INDEX('20 RCC-003 MIAR Registry'!$K$14:$K$60,MATCH($C126,'20 RCC-003 MIAR Registry'!$B$14:$B$60,0)),""))</x:f>
      </x:c>
      <x:c r="K126" s="1023"/>
      <x:c r="L126" s="1027" t="str">
        <x:f>IF($C126="","",IFERROR(INDEX('20 RCC-003 MIAR Registry'!$L$14:$L$60,MATCH($C126,'20 RCC-003 MIAR Registry'!$B$14:$B$60,0)),""))</x:f>
      </x:c>
      <x:c r="M126" s="1023"/>
      <x:c r="N126" s="1018"/>
      <x:c r="O126" s="1018"/>
      <x:c r="P126" s="1018"/>
      <x:c r="Q126" s="1018"/>
      <x:c r="R126" s="1018"/>
      <x:c r="S126" s="1018"/>
      <x:c r="T126" s="1025"/>
      <x:c r="U126" s="962" t="str">
        <x:f>IF($A126="","",IF(COUNTIF($A$14:$A$213,$A126)&gt;1,"DUPLICATE REVIEW ID",IF(OR($B126="",$C126="",$E126="",$F126="",$G126="",$I126="",$K126="",$M126="",$N126="",$O126="",$P126="",$Q126="",$R126="",$W126=""),"INCOMPLETE",IF(AND(OR($R126="Certify Current",$R126="Certify with Exception"),OR($S126="",$T126="")),"CERTIFICATION REQUIRED",IF(AND(NOT(OR($R126="Certify Current",$R126="Certify with Exception")),OR($S126&lt;&gt;"",$T126&lt;&gt;"")),"CERTIFICATION MISMATCH","COMPLETE")))))</x:f>
      </x:c>
      <x:c r="V126" s="1018"/>
      <x:c r="W126" s="1018"/>
    </x:row>
    <x:row r="127" ht="30" customHeight="1">
      <x:c r="A127" s="1018"/>
      <x:c r="B127" s="1025"/>
      <x:c r="C127" s="1018"/>
      <x:c r="D127" s="1021" t="str">
        <x:f>IF($C127="","",IFERROR(INDEX('20 RCC-003 MIAR Registry'!$C$14:$C$60,MATCH($C127,'20 RCC-003 MIAR Registry'!$B$14:$B$60,0)),"TICKER NOT FOUND"))</x:f>
      </x:c>
      <x:c r="E127" s="1018"/>
      <x:c r="F127" s="1018"/>
      <x:c r="G127" s="1018"/>
      <x:c r="H127" s="1021" t="str">
        <x:f>IF($C127="","",IFERROR(INDEX('20 RCC-003 MIAR Registry'!$M$14:$M$60,MATCH($C127,'20 RCC-003 MIAR Registry'!$B$14:$B$60,0)),""))</x:f>
      </x:c>
      <x:c r="I127" s="1018"/>
      <x:c r="J127" s="1027" t="str">
        <x:f>IF($C127="","",IFERROR(INDEX('20 RCC-003 MIAR Registry'!$K$14:$K$60,MATCH($C127,'20 RCC-003 MIAR Registry'!$B$14:$B$60,0)),""))</x:f>
      </x:c>
      <x:c r="K127" s="1023"/>
      <x:c r="L127" s="1027" t="str">
        <x:f>IF($C127="","",IFERROR(INDEX('20 RCC-003 MIAR Registry'!$L$14:$L$60,MATCH($C127,'20 RCC-003 MIAR Registry'!$B$14:$B$60,0)),""))</x:f>
      </x:c>
      <x:c r="M127" s="1023"/>
      <x:c r="N127" s="1018"/>
      <x:c r="O127" s="1018"/>
      <x:c r="P127" s="1018"/>
      <x:c r="Q127" s="1018"/>
      <x:c r="R127" s="1018"/>
      <x:c r="S127" s="1018"/>
      <x:c r="T127" s="1025"/>
      <x:c r="U127" s="962" t="str">
        <x:f>IF($A127="","",IF(COUNTIF($A$14:$A$213,$A127)&gt;1,"DUPLICATE REVIEW ID",IF(OR($B127="",$C127="",$E127="",$F127="",$G127="",$I127="",$K127="",$M127="",$N127="",$O127="",$P127="",$Q127="",$R127="",$W127=""),"INCOMPLETE",IF(AND(OR($R127="Certify Current",$R127="Certify with Exception"),OR($S127="",$T127="")),"CERTIFICATION REQUIRED",IF(AND(NOT(OR($R127="Certify Current",$R127="Certify with Exception")),OR($S127&lt;&gt;"",$T127&lt;&gt;"")),"CERTIFICATION MISMATCH","COMPLETE")))))</x:f>
      </x:c>
      <x:c r="V127" s="1018"/>
      <x:c r="W127" s="1018"/>
    </x:row>
    <x:row r="128" ht="30" customHeight="1">
      <x:c r="A128" s="1018"/>
      <x:c r="B128" s="1025"/>
      <x:c r="C128" s="1018"/>
      <x:c r="D128" s="1021" t="str">
        <x:f>IF($C128="","",IFERROR(INDEX('20 RCC-003 MIAR Registry'!$C$14:$C$60,MATCH($C128,'20 RCC-003 MIAR Registry'!$B$14:$B$60,0)),"TICKER NOT FOUND"))</x:f>
      </x:c>
      <x:c r="E128" s="1018"/>
      <x:c r="F128" s="1018"/>
      <x:c r="G128" s="1018"/>
      <x:c r="H128" s="1021" t="str">
        <x:f>IF($C128="","",IFERROR(INDEX('20 RCC-003 MIAR Registry'!$M$14:$M$60,MATCH($C128,'20 RCC-003 MIAR Registry'!$B$14:$B$60,0)),""))</x:f>
      </x:c>
      <x:c r="I128" s="1018"/>
      <x:c r="J128" s="1027" t="str">
        <x:f>IF($C128="","",IFERROR(INDEX('20 RCC-003 MIAR Registry'!$K$14:$K$60,MATCH($C128,'20 RCC-003 MIAR Registry'!$B$14:$B$60,0)),""))</x:f>
      </x:c>
      <x:c r="K128" s="1023"/>
      <x:c r="L128" s="1027" t="str">
        <x:f>IF($C128="","",IFERROR(INDEX('20 RCC-003 MIAR Registry'!$L$14:$L$60,MATCH($C128,'20 RCC-003 MIAR Registry'!$B$14:$B$60,0)),""))</x:f>
      </x:c>
      <x:c r="M128" s="1023"/>
      <x:c r="N128" s="1018"/>
      <x:c r="O128" s="1018"/>
      <x:c r="P128" s="1018"/>
      <x:c r="Q128" s="1018"/>
      <x:c r="R128" s="1018"/>
      <x:c r="S128" s="1018"/>
      <x:c r="T128" s="1025"/>
      <x:c r="U128" s="962" t="str">
        <x:f>IF($A128="","",IF(COUNTIF($A$14:$A$213,$A128)&gt;1,"DUPLICATE REVIEW ID",IF(OR($B128="",$C128="",$E128="",$F128="",$G128="",$I128="",$K128="",$M128="",$N128="",$O128="",$P128="",$Q128="",$R128="",$W128=""),"INCOMPLETE",IF(AND(OR($R128="Certify Current",$R128="Certify with Exception"),OR($S128="",$T128="")),"CERTIFICATION REQUIRED",IF(AND(NOT(OR($R128="Certify Current",$R128="Certify with Exception")),OR($S128&lt;&gt;"",$T128&lt;&gt;"")),"CERTIFICATION MISMATCH","COMPLETE")))))</x:f>
      </x:c>
      <x:c r="V128" s="1018"/>
      <x:c r="W128" s="1018"/>
    </x:row>
    <x:row r="129" ht="30" customHeight="1">
      <x:c r="A129" s="1018"/>
      <x:c r="B129" s="1025"/>
      <x:c r="C129" s="1018"/>
      <x:c r="D129" s="1021" t="str">
        <x:f>IF($C129="","",IFERROR(INDEX('20 RCC-003 MIAR Registry'!$C$14:$C$60,MATCH($C129,'20 RCC-003 MIAR Registry'!$B$14:$B$60,0)),"TICKER NOT FOUND"))</x:f>
      </x:c>
      <x:c r="E129" s="1018"/>
      <x:c r="F129" s="1018"/>
      <x:c r="G129" s="1018"/>
      <x:c r="H129" s="1021" t="str">
        <x:f>IF($C129="","",IFERROR(INDEX('20 RCC-003 MIAR Registry'!$M$14:$M$60,MATCH($C129,'20 RCC-003 MIAR Registry'!$B$14:$B$60,0)),""))</x:f>
      </x:c>
      <x:c r="I129" s="1018"/>
      <x:c r="J129" s="1027" t="str">
        <x:f>IF($C129="","",IFERROR(INDEX('20 RCC-003 MIAR Registry'!$K$14:$K$60,MATCH($C129,'20 RCC-003 MIAR Registry'!$B$14:$B$60,0)),""))</x:f>
      </x:c>
      <x:c r="K129" s="1023"/>
      <x:c r="L129" s="1027" t="str">
        <x:f>IF($C129="","",IFERROR(INDEX('20 RCC-003 MIAR Registry'!$L$14:$L$60,MATCH($C129,'20 RCC-003 MIAR Registry'!$B$14:$B$60,0)),""))</x:f>
      </x:c>
      <x:c r="M129" s="1023"/>
      <x:c r="N129" s="1018"/>
      <x:c r="O129" s="1018"/>
      <x:c r="P129" s="1018"/>
      <x:c r="Q129" s="1018"/>
      <x:c r="R129" s="1018"/>
      <x:c r="S129" s="1018"/>
      <x:c r="T129" s="1025"/>
      <x:c r="U129" s="962" t="str">
        <x:f>IF($A129="","",IF(COUNTIF($A$14:$A$213,$A129)&gt;1,"DUPLICATE REVIEW ID",IF(OR($B129="",$C129="",$E129="",$F129="",$G129="",$I129="",$K129="",$M129="",$N129="",$O129="",$P129="",$Q129="",$R129="",$W129=""),"INCOMPLETE",IF(AND(OR($R129="Certify Current",$R129="Certify with Exception"),OR($S129="",$T129="")),"CERTIFICATION REQUIRED",IF(AND(NOT(OR($R129="Certify Current",$R129="Certify with Exception")),OR($S129&lt;&gt;"",$T129&lt;&gt;"")),"CERTIFICATION MISMATCH","COMPLETE")))))</x:f>
      </x:c>
      <x:c r="V129" s="1018"/>
      <x:c r="W129" s="1018"/>
    </x:row>
    <x:row r="130" ht="30" customHeight="1">
      <x:c r="A130" s="1018"/>
      <x:c r="B130" s="1025"/>
      <x:c r="C130" s="1018"/>
      <x:c r="D130" s="1021" t="str">
        <x:f>IF($C130="","",IFERROR(INDEX('20 RCC-003 MIAR Registry'!$C$14:$C$60,MATCH($C130,'20 RCC-003 MIAR Registry'!$B$14:$B$60,0)),"TICKER NOT FOUND"))</x:f>
      </x:c>
      <x:c r="E130" s="1018"/>
      <x:c r="F130" s="1018"/>
      <x:c r="G130" s="1018"/>
      <x:c r="H130" s="1021" t="str">
        <x:f>IF($C130="","",IFERROR(INDEX('20 RCC-003 MIAR Registry'!$M$14:$M$60,MATCH($C130,'20 RCC-003 MIAR Registry'!$B$14:$B$60,0)),""))</x:f>
      </x:c>
      <x:c r="I130" s="1018"/>
      <x:c r="J130" s="1027" t="str">
        <x:f>IF($C130="","",IFERROR(INDEX('20 RCC-003 MIAR Registry'!$K$14:$K$60,MATCH($C130,'20 RCC-003 MIAR Registry'!$B$14:$B$60,0)),""))</x:f>
      </x:c>
      <x:c r="K130" s="1023"/>
      <x:c r="L130" s="1027" t="str">
        <x:f>IF($C130="","",IFERROR(INDEX('20 RCC-003 MIAR Registry'!$L$14:$L$60,MATCH($C130,'20 RCC-003 MIAR Registry'!$B$14:$B$60,0)),""))</x:f>
      </x:c>
      <x:c r="M130" s="1023"/>
      <x:c r="N130" s="1018"/>
      <x:c r="O130" s="1018"/>
      <x:c r="P130" s="1018"/>
      <x:c r="Q130" s="1018"/>
      <x:c r="R130" s="1018"/>
      <x:c r="S130" s="1018"/>
      <x:c r="T130" s="1025"/>
      <x:c r="U130" s="962" t="str">
        <x:f>IF($A130="","",IF(COUNTIF($A$14:$A$213,$A130)&gt;1,"DUPLICATE REVIEW ID",IF(OR($B130="",$C130="",$E130="",$F130="",$G130="",$I130="",$K130="",$M130="",$N130="",$O130="",$P130="",$Q130="",$R130="",$W130=""),"INCOMPLETE",IF(AND(OR($R130="Certify Current",$R130="Certify with Exception"),OR($S130="",$T130="")),"CERTIFICATION REQUIRED",IF(AND(NOT(OR($R130="Certify Current",$R130="Certify with Exception")),OR($S130&lt;&gt;"",$T130&lt;&gt;"")),"CERTIFICATION MISMATCH","COMPLETE")))))</x:f>
      </x:c>
      <x:c r="V130" s="1018"/>
      <x:c r="W130" s="1018"/>
    </x:row>
    <x:row r="131" ht="30" customHeight="1">
      <x:c r="A131" s="1018"/>
      <x:c r="B131" s="1025"/>
      <x:c r="C131" s="1018"/>
      <x:c r="D131" s="1021" t="str">
        <x:f>IF($C131="","",IFERROR(INDEX('20 RCC-003 MIAR Registry'!$C$14:$C$60,MATCH($C131,'20 RCC-003 MIAR Registry'!$B$14:$B$60,0)),"TICKER NOT FOUND"))</x:f>
      </x:c>
      <x:c r="E131" s="1018"/>
      <x:c r="F131" s="1018"/>
      <x:c r="G131" s="1018"/>
      <x:c r="H131" s="1021" t="str">
        <x:f>IF($C131="","",IFERROR(INDEX('20 RCC-003 MIAR Registry'!$M$14:$M$60,MATCH($C131,'20 RCC-003 MIAR Registry'!$B$14:$B$60,0)),""))</x:f>
      </x:c>
      <x:c r="I131" s="1018"/>
      <x:c r="J131" s="1027" t="str">
        <x:f>IF($C131="","",IFERROR(INDEX('20 RCC-003 MIAR Registry'!$K$14:$K$60,MATCH($C131,'20 RCC-003 MIAR Registry'!$B$14:$B$60,0)),""))</x:f>
      </x:c>
      <x:c r="K131" s="1023"/>
      <x:c r="L131" s="1027" t="str">
        <x:f>IF($C131="","",IFERROR(INDEX('20 RCC-003 MIAR Registry'!$L$14:$L$60,MATCH($C131,'20 RCC-003 MIAR Registry'!$B$14:$B$60,0)),""))</x:f>
      </x:c>
      <x:c r="M131" s="1023"/>
      <x:c r="N131" s="1018"/>
      <x:c r="O131" s="1018"/>
      <x:c r="P131" s="1018"/>
      <x:c r="Q131" s="1018"/>
      <x:c r="R131" s="1018"/>
      <x:c r="S131" s="1018"/>
      <x:c r="T131" s="1025"/>
      <x:c r="U131" s="962" t="str">
        <x:f>IF($A131="","",IF(COUNTIF($A$14:$A$213,$A131)&gt;1,"DUPLICATE REVIEW ID",IF(OR($B131="",$C131="",$E131="",$F131="",$G131="",$I131="",$K131="",$M131="",$N131="",$O131="",$P131="",$Q131="",$R131="",$W131=""),"INCOMPLETE",IF(AND(OR($R131="Certify Current",$R131="Certify with Exception"),OR($S131="",$T131="")),"CERTIFICATION REQUIRED",IF(AND(NOT(OR($R131="Certify Current",$R131="Certify with Exception")),OR($S131&lt;&gt;"",$T131&lt;&gt;"")),"CERTIFICATION MISMATCH","COMPLETE")))))</x:f>
      </x:c>
      <x:c r="V131" s="1018"/>
      <x:c r="W131" s="1018"/>
    </x:row>
    <x:row r="132" ht="30" customHeight="1">
      <x:c r="A132" s="1018"/>
      <x:c r="B132" s="1025"/>
      <x:c r="C132" s="1018"/>
      <x:c r="D132" s="1021" t="str">
        <x:f>IF($C132="","",IFERROR(INDEX('20 RCC-003 MIAR Registry'!$C$14:$C$60,MATCH($C132,'20 RCC-003 MIAR Registry'!$B$14:$B$60,0)),"TICKER NOT FOUND"))</x:f>
      </x:c>
      <x:c r="E132" s="1018"/>
      <x:c r="F132" s="1018"/>
      <x:c r="G132" s="1018"/>
      <x:c r="H132" s="1021" t="str">
        <x:f>IF($C132="","",IFERROR(INDEX('20 RCC-003 MIAR Registry'!$M$14:$M$60,MATCH($C132,'20 RCC-003 MIAR Registry'!$B$14:$B$60,0)),""))</x:f>
      </x:c>
      <x:c r="I132" s="1018"/>
      <x:c r="J132" s="1027" t="str">
        <x:f>IF($C132="","",IFERROR(INDEX('20 RCC-003 MIAR Registry'!$K$14:$K$60,MATCH($C132,'20 RCC-003 MIAR Registry'!$B$14:$B$60,0)),""))</x:f>
      </x:c>
      <x:c r="K132" s="1023"/>
      <x:c r="L132" s="1027" t="str">
        <x:f>IF($C132="","",IFERROR(INDEX('20 RCC-003 MIAR Registry'!$L$14:$L$60,MATCH($C132,'20 RCC-003 MIAR Registry'!$B$14:$B$60,0)),""))</x:f>
      </x:c>
      <x:c r="M132" s="1023"/>
      <x:c r="N132" s="1018"/>
      <x:c r="O132" s="1018"/>
      <x:c r="P132" s="1018"/>
      <x:c r="Q132" s="1018"/>
      <x:c r="R132" s="1018"/>
      <x:c r="S132" s="1018"/>
      <x:c r="T132" s="1025"/>
      <x:c r="U132" s="962" t="str">
        <x:f>IF($A132="","",IF(COUNTIF($A$14:$A$213,$A132)&gt;1,"DUPLICATE REVIEW ID",IF(OR($B132="",$C132="",$E132="",$F132="",$G132="",$I132="",$K132="",$M132="",$N132="",$O132="",$P132="",$Q132="",$R132="",$W132=""),"INCOMPLETE",IF(AND(OR($R132="Certify Current",$R132="Certify with Exception"),OR($S132="",$T132="")),"CERTIFICATION REQUIRED",IF(AND(NOT(OR($R132="Certify Current",$R132="Certify with Exception")),OR($S132&lt;&gt;"",$T132&lt;&gt;"")),"CERTIFICATION MISMATCH","COMPLETE")))))</x:f>
      </x:c>
      <x:c r="V132" s="1018"/>
      <x:c r="W132" s="1018"/>
    </x:row>
    <x:row r="133" ht="30" customHeight="1">
      <x:c r="A133" s="1018"/>
      <x:c r="B133" s="1025"/>
      <x:c r="C133" s="1018"/>
      <x:c r="D133" s="1021" t="str">
        <x:f>IF($C133="","",IFERROR(INDEX('20 RCC-003 MIAR Registry'!$C$14:$C$60,MATCH($C133,'20 RCC-003 MIAR Registry'!$B$14:$B$60,0)),"TICKER NOT FOUND"))</x:f>
      </x:c>
      <x:c r="E133" s="1018"/>
      <x:c r="F133" s="1018"/>
      <x:c r="G133" s="1018"/>
      <x:c r="H133" s="1021" t="str">
        <x:f>IF($C133="","",IFERROR(INDEX('20 RCC-003 MIAR Registry'!$M$14:$M$60,MATCH($C133,'20 RCC-003 MIAR Registry'!$B$14:$B$60,0)),""))</x:f>
      </x:c>
      <x:c r="I133" s="1018"/>
      <x:c r="J133" s="1027" t="str">
        <x:f>IF($C133="","",IFERROR(INDEX('20 RCC-003 MIAR Registry'!$K$14:$K$60,MATCH($C133,'20 RCC-003 MIAR Registry'!$B$14:$B$60,0)),""))</x:f>
      </x:c>
      <x:c r="K133" s="1023"/>
      <x:c r="L133" s="1027" t="str">
        <x:f>IF($C133="","",IFERROR(INDEX('20 RCC-003 MIAR Registry'!$L$14:$L$60,MATCH($C133,'20 RCC-003 MIAR Registry'!$B$14:$B$60,0)),""))</x:f>
      </x:c>
      <x:c r="M133" s="1023"/>
      <x:c r="N133" s="1018"/>
      <x:c r="O133" s="1018"/>
      <x:c r="P133" s="1018"/>
      <x:c r="Q133" s="1018"/>
      <x:c r="R133" s="1018"/>
      <x:c r="S133" s="1018"/>
      <x:c r="T133" s="1025"/>
      <x:c r="U133" s="962" t="str">
        <x:f>IF($A133="","",IF(COUNTIF($A$14:$A$213,$A133)&gt;1,"DUPLICATE REVIEW ID",IF(OR($B133="",$C133="",$E133="",$F133="",$G133="",$I133="",$K133="",$M133="",$N133="",$O133="",$P133="",$Q133="",$R133="",$W133=""),"INCOMPLETE",IF(AND(OR($R133="Certify Current",$R133="Certify with Exception"),OR($S133="",$T133="")),"CERTIFICATION REQUIRED",IF(AND(NOT(OR($R133="Certify Current",$R133="Certify with Exception")),OR($S133&lt;&gt;"",$T133&lt;&gt;"")),"CERTIFICATION MISMATCH","COMPLETE")))))</x:f>
      </x:c>
      <x:c r="V133" s="1018"/>
      <x:c r="W133" s="1018"/>
    </x:row>
    <x:row r="134" ht="30" customHeight="1">
      <x:c r="A134" s="1018"/>
      <x:c r="B134" s="1025"/>
      <x:c r="C134" s="1018"/>
      <x:c r="D134" s="1021" t="str">
        <x:f>IF($C134="","",IFERROR(INDEX('20 RCC-003 MIAR Registry'!$C$14:$C$60,MATCH($C134,'20 RCC-003 MIAR Registry'!$B$14:$B$60,0)),"TICKER NOT FOUND"))</x:f>
      </x:c>
      <x:c r="E134" s="1018"/>
      <x:c r="F134" s="1018"/>
      <x:c r="G134" s="1018"/>
      <x:c r="H134" s="1021" t="str">
        <x:f>IF($C134="","",IFERROR(INDEX('20 RCC-003 MIAR Registry'!$M$14:$M$60,MATCH($C134,'20 RCC-003 MIAR Registry'!$B$14:$B$60,0)),""))</x:f>
      </x:c>
      <x:c r="I134" s="1018"/>
      <x:c r="J134" s="1027" t="str">
        <x:f>IF($C134="","",IFERROR(INDEX('20 RCC-003 MIAR Registry'!$K$14:$K$60,MATCH($C134,'20 RCC-003 MIAR Registry'!$B$14:$B$60,0)),""))</x:f>
      </x:c>
      <x:c r="K134" s="1023"/>
      <x:c r="L134" s="1027" t="str">
        <x:f>IF($C134="","",IFERROR(INDEX('20 RCC-003 MIAR Registry'!$L$14:$L$60,MATCH($C134,'20 RCC-003 MIAR Registry'!$B$14:$B$60,0)),""))</x:f>
      </x:c>
      <x:c r="M134" s="1023"/>
      <x:c r="N134" s="1018"/>
      <x:c r="O134" s="1018"/>
      <x:c r="P134" s="1018"/>
      <x:c r="Q134" s="1018"/>
      <x:c r="R134" s="1018"/>
      <x:c r="S134" s="1018"/>
      <x:c r="T134" s="1025"/>
      <x:c r="U134" s="962" t="str">
        <x:f>IF($A134="","",IF(COUNTIF($A$14:$A$213,$A134)&gt;1,"DUPLICATE REVIEW ID",IF(OR($B134="",$C134="",$E134="",$F134="",$G134="",$I134="",$K134="",$M134="",$N134="",$O134="",$P134="",$Q134="",$R134="",$W134=""),"INCOMPLETE",IF(AND(OR($R134="Certify Current",$R134="Certify with Exception"),OR($S134="",$T134="")),"CERTIFICATION REQUIRED",IF(AND(NOT(OR($R134="Certify Current",$R134="Certify with Exception")),OR($S134&lt;&gt;"",$T134&lt;&gt;"")),"CERTIFICATION MISMATCH","COMPLETE")))))</x:f>
      </x:c>
      <x:c r="V134" s="1018"/>
      <x:c r="W134" s="1018"/>
    </x:row>
    <x:row r="135" ht="30" customHeight="1">
      <x:c r="A135" s="1018"/>
      <x:c r="B135" s="1025"/>
      <x:c r="C135" s="1018"/>
      <x:c r="D135" s="1021" t="str">
        <x:f>IF($C135="","",IFERROR(INDEX('20 RCC-003 MIAR Registry'!$C$14:$C$60,MATCH($C135,'20 RCC-003 MIAR Registry'!$B$14:$B$60,0)),"TICKER NOT FOUND"))</x:f>
      </x:c>
      <x:c r="E135" s="1018"/>
      <x:c r="F135" s="1018"/>
      <x:c r="G135" s="1018"/>
      <x:c r="H135" s="1021" t="str">
        <x:f>IF($C135="","",IFERROR(INDEX('20 RCC-003 MIAR Registry'!$M$14:$M$60,MATCH($C135,'20 RCC-003 MIAR Registry'!$B$14:$B$60,0)),""))</x:f>
      </x:c>
      <x:c r="I135" s="1018"/>
      <x:c r="J135" s="1027" t="str">
        <x:f>IF($C135="","",IFERROR(INDEX('20 RCC-003 MIAR Registry'!$K$14:$K$60,MATCH($C135,'20 RCC-003 MIAR Registry'!$B$14:$B$60,0)),""))</x:f>
      </x:c>
      <x:c r="K135" s="1023"/>
      <x:c r="L135" s="1027" t="str">
        <x:f>IF($C135="","",IFERROR(INDEX('20 RCC-003 MIAR Registry'!$L$14:$L$60,MATCH($C135,'20 RCC-003 MIAR Registry'!$B$14:$B$60,0)),""))</x:f>
      </x:c>
      <x:c r="M135" s="1023"/>
      <x:c r="N135" s="1018"/>
      <x:c r="O135" s="1018"/>
      <x:c r="P135" s="1018"/>
      <x:c r="Q135" s="1018"/>
      <x:c r="R135" s="1018"/>
      <x:c r="S135" s="1018"/>
      <x:c r="T135" s="1025"/>
      <x:c r="U135" s="962" t="str">
        <x:f>IF($A135="","",IF(COUNTIF($A$14:$A$213,$A135)&gt;1,"DUPLICATE REVIEW ID",IF(OR($B135="",$C135="",$E135="",$F135="",$G135="",$I135="",$K135="",$M135="",$N135="",$O135="",$P135="",$Q135="",$R135="",$W135=""),"INCOMPLETE",IF(AND(OR($R135="Certify Current",$R135="Certify with Exception"),OR($S135="",$T135="")),"CERTIFICATION REQUIRED",IF(AND(NOT(OR($R135="Certify Current",$R135="Certify with Exception")),OR($S135&lt;&gt;"",$T135&lt;&gt;"")),"CERTIFICATION MISMATCH","COMPLETE")))))</x:f>
      </x:c>
      <x:c r="V135" s="1018"/>
      <x:c r="W135" s="1018"/>
    </x:row>
    <x:row r="136" ht="30" customHeight="1">
      <x:c r="A136" s="1018"/>
      <x:c r="B136" s="1025"/>
      <x:c r="C136" s="1018"/>
      <x:c r="D136" s="1021" t="str">
        <x:f>IF($C136="","",IFERROR(INDEX('20 RCC-003 MIAR Registry'!$C$14:$C$60,MATCH($C136,'20 RCC-003 MIAR Registry'!$B$14:$B$60,0)),"TICKER NOT FOUND"))</x:f>
      </x:c>
      <x:c r="E136" s="1018"/>
      <x:c r="F136" s="1018"/>
      <x:c r="G136" s="1018"/>
      <x:c r="H136" s="1021" t="str">
        <x:f>IF($C136="","",IFERROR(INDEX('20 RCC-003 MIAR Registry'!$M$14:$M$60,MATCH($C136,'20 RCC-003 MIAR Registry'!$B$14:$B$60,0)),""))</x:f>
      </x:c>
      <x:c r="I136" s="1018"/>
      <x:c r="J136" s="1027" t="str">
        <x:f>IF($C136="","",IFERROR(INDEX('20 RCC-003 MIAR Registry'!$K$14:$K$60,MATCH($C136,'20 RCC-003 MIAR Registry'!$B$14:$B$60,0)),""))</x:f>
      </x:c>
      <x:c r="K136" s="1023"/>
      <x:c r="L136" s="1027" t="str">
        <x:f>IF($C136="","",IFERROR(INDEX('20 RCC-003 MIAR Registry'!$L$14:$L$60,MATCH($C136,'20 RCC-003 MIAR Registry'!$B$14:$B$60,0)),""))</x:f>
      </x:c>
      <x:c r="M136" s="1023"/>
      <x:c r="N136" s="1018"/>
      <x:c r="O136" s="1018"/>
      <x:c r="P136" s="1018"/>
      <x:c r="Q136" s="1018"/>
      <x:c r="R136" s="1018"/>
      <x:c r="S136" s="1018"/>
      <x:c r="T136" s="1025"/>
      <x:c r="U136" s="962" t="str">
        <x:f>IF($A136="","",IF(COUNTIF($A$14:$A$213,$A136)&gt;1,"DUPLICATE REVIEW ID",IF(OR($B136="",$C136="",$E136="",$F136="",$G136="",$I136="",$K136="",$M136="",$N136="",$O136="",$P136="",$Q136="",$R136="",$W136=""),"INCOMPLETE",IF(AND(OR($R136="Certify Current",$R136="Certify with Exception"),OR($S136="",$T136="")),"CERTIFICATION REQUIRED",IF(AND(NOT(OR($R136="Certify Current",$R136="Certify with Exception")),OR($S136&lt;&gt;"",$T136&lt;&gt;"")),"CERTIFICATION MISMATCH","COMPLETE")))))</x:f>
      </x:c>
      <x:c r="V136" s="1018"/>
      <x:c r="W136" s="1018"/>
    </x:row>
    <x:row r="137" ht="30" customHeight="1">
      <x:c r="A137" s="1018"/>
      <x:c r="B137" s="1025"/>
      <x:c r="C137" s="1018"/>
      <x:c r="D137" s="1021" t="str">
        <x:f>IF($C137="","",IFERROR(INDEX('20 RCC-003 MIAR Registry'!$C$14:$C$60,MATCH($C137,'20 RCC-003 MIAR Registry'!$B$14:$B$60,0)),"TICKER NOT FOUND"))</x:f>
      </x:c>
      <x:c r="E137" s="1018"/>
      <x:c r="F137" s="1018"/>
      <x:c r="G137" s="1018"/>
      <x:c r="H137" s="1021" t="str">
        <x:f>IF($C137="","",IFERROR(INDEX('20 RCC-003 MIAR Registry'!$M$14:$M$60,MATCH($C137,'20 RCC-003 MIAR Registry'!$B$14:$B$60,0)),""))</x:f>
      </x:c>
      <x:c r="I137" s="1018"/>
      <x:c r="J137" s="1027" t="str">
        <x:f>IF($C137="","",IFERROR(INDEX('20 RCC-003 MIAR Registry'!$K$14:$K$60,MATCH($C137,'20 RCC-003 MIAR Registry'!$B$14:$B$60,0)),""))</x:f>
      </x:c>
      <x:c r="K137" s="1023"/>
      <x:c r="L137" s="1027" t="str">
        <x:f>IF($C137="","",IFERROR(INDEX('20 RCC-003 MIAR Registry'!$L$14:$L$60,MATCH($C137,'20 RCC-003 MIAR Registry'!$B$14:$B$60,0)),""))</x:f>
      </x:c>
      <x:c r="M137" s="1023"/>
      <x:c r="N137" s="1018"/>
      <x:c r="O137" s="1018"/>
      <x:c r="P137" s="1018"/>
      <x:c r="Q137" s="1018"/>
      <x:c r="R137" s="1018"/>
      <x:c r="S137" s="1018"/>
      <x:c r="T137" s="1025"/>
      <x:c r="U137" s="962" t="str">
        <x:f>IF($A137="","",IF(COUNTIF($A$14:$A$213,$A137)&gt;1,"DUPLICATE REVIEW ID",IF(OR($B137="",$C137="",$E137="",$F137="",$G137="",$I137="",$K137="",$M137="",$N137="",$O137="",$P137="",$Q137="",$R137="",$W137=""),"INCOMPLETE",IF(AND(OR($R137="Certify Current",$R137="Certify with Exception"),OR($S137="",$T137="")),"CERTIFICATION REQUIRED",IF(AND(NOT(OR($R137="Certify Current",$R137="Certify with Exception")),OR($S137&lt;&gt;"",$T137&lt;&gt;"")),"CERTIFICATION MISMATCH","COMPLETE")))))</x:f>
      </x:c>
      <x:c r="V137" s="1018"/>
      <x:c r="W137" s="1018"/>
    </x:row>
    <x:row r="138" ht="30" customHeight="1">
      <x:c r="A138" s="1018"/>
      <x:c r="B138" s="1025"/>
      <x:c r="C138" s="1018"/>
      <x:c r="D138" s="1021" t="str">
        <x:f>IF($C138="","",IFERROR(INDEX('20 RCC-003 MIAR Registry'!$C$14:$C$60,MATCH($C138,'20 RCC-003 MIAR Registry'!$B$14:$B$60,0)),"TICKER NOT FOUND"))</x:f>
      </x:c>
      <x:c r="E138" s="1018"/>
      <x:c r="F138" s="1018"/>
      <x:c r="G138" s="1018"/>
      <x:c r="H138" s="1021" t="str">
        <x:f>IF($C138="","",IFERROR(INDEX('20 RCC-003 MIAR Registry'!$M$14:$M$60,MATCH($C138,'20 RCC-003 MIAR Registry'!$B$14:$B$60,0)),""))</x:f>
      </x:c>
      <x:c r="I138" s="1018"/>
      <x:c r="J138" s="1027" t="str">
        <x:f>IF($C138="","",IFERROR(INDEX('20 RCC-003 MIAR Registry'!$K$14:$K$60,MATCH($C138,'20 RCC-003 MIAR Registry'!$B$14:$B$60,0)),""))</x:f>
      </x:c>
      <x:c r="K138" s="1023"/>
      <x:c r="L138" s="1027" t="str">
        <x:f>IF($C138="","",IFERROR(INDEX('20 RCC-003 MIAR Registry'!$L$14:$L$60,MATCH($C138,'20 RCC-003 MIAR Registry'!$B$14:$B$60,0)),""))</x:f>
      </x:c>
      <x:c r="M138" s="1023"/>
      <x:c r="N138" s="1018"/>
      <x:c r="O138" s="1018"/>
      <x:c r="P138" s="1018"/>
      <x:c r="Q138" s="1018"/>
      <x:c r="R138" s="1018"/>
      <x:c r="S138" s="1018"/>
      <x:c r="T138" s="1025"/>
      <x:c r="U138" s="962" t="str">
        <x:f>IF($A138="","",IF(COUNTIF($A$14:$A$213,$A138)&gt;1,"DUPLICATE REVIEW ID",IF(OR($B138="",$C138="",$E138="",$F138="",$G138="",$I138="",$K138="",$M138="",$N138="",$O138="",$P138="",$Q138="",$R138="",$W138=""),"INCOMPLETE",IF(AND(OR($R138="Certify Current",$R138="Certify with Exception"),OR($S138="",$T138="")),"CERTIFICATION REQUIRED",IF(AND(NOT(OR($R138="Certify Current",$R138="Certify with Exception")),OR($S138&lt;&gt;"",$T138&lt;&gt;"")),"CERTIFICATION MISMATCH","COMPLETE")))))</x:f>
      </x:c>
      <x:c r="V138" s="1018"/>
      <x:c r="W138" s="1018"/>
    </x:row>
    <x:row r="139" ht="30" customHeight="1">
      <x:c r="A139" s="1018"/>
      <x:c r="B139" s="1025"/>
      <x:c r="C139" s="1018"/>
      <x:c r="D139" s="1021" t="str">
        <x:f>IF($C139="","",IFERROR(INDEX('20 RCC-003 MIAR Registry'!$C$14:$C$60,MATCH($C139,'20 RCC-003 MIAR Registry'!$B$14:$B$60,0)),"TICKER NOT FOUND"))</x:f>
      </x:c>
      <x:c r="E139" s="1018"/>
      <x:c r="F139" s="1018"/>
      <x:c r="G139" s="1018"/>
      <x:c r="H139" s="1021" t="str">
        <x:f>IF($C139="","",IFERROR(INDEX('20 RCC-003 MIAR Registry'!$M$14:$M$60,MATCH($C139,'20 RCC-003 MIAR Registry'!$B$14:$B$60,0)),""))</x:f>
      </x:c>
      <x:c r="I139" s="1018"/>
      <x:c r="J139" s="1027" t="str">
        <x:f>IF($C139="","",IFERROR(INDEX('20 RCC-003 MIAR Registry'!$K$14:$K$60,MATCH($C139,'20 RCC-003 MIAR Registry'!$B$14:$B$60,0)),""))</x:f>
      </x:c>
      <x:c r="K139" s="1023"/>
      <x:c r="L139" s="1027" t="str">
        <x:f>IF($C139="","",IFERROR(INDEX('20 RCC-003 MIAR Registry'!$L$14:$L$60,MATCH($C139,'20 RCC-003 MIAR Registry'!$B$14:$B$60,0)),""))</x:f>
      </x:c>
      <x:c r="M139" s="1023"/>
      <x:c r="N139" s="1018"/>
      <x:c r="O139" s="1018"/>
      <x:c r="P139" s="1018"/>
      <x:c r="Q139" s="1018"/>
      <x:c r="R139" s="1018"/>
      <x:c r="S139" s="1018"/>
      <x:c r="T139" s="1025"/>
      <x:c r="U139" s="962" t="str">
        <x:f>IF($A139="","",IF(COUNTIF($A$14:$A$213,$A139)&gt;1,"DUPLICATE REVIEW ID",IF(OR($B139="",$C139="",$E139="",$F139="",$G139="",$I139="",$K139="",$M139="",$N139="",$O139="",$P139="",$Q139="",$R139="",$W139=""),"INCOMPLETE",IF(AND(OR($R139="Certify Current",$R139="Certify with Exception"),OR($S139="",$T139="")),"CERTIFICATION REQUIRED",IF(AND(NOT(OR($R139="Certify Current",$R139="Certify with Exception")),OR($S139&lt;&gt;"",$T139&lt;&gt;"")),"CERTIFICATION MISMATCH","COMPLETE")))))</x:f>
      </x:c>
      <x:c r="V139" s="1018"/>
      <x:c r="W139" s="1018"/>
    </x:row>
    <x:row r="140" ht="30" customHeight="1">
      <x:c r="A140" s="1018"/>
      <x:c r="B140" s="1025"/>
      <x:c r="C140" s="1018"/>
      <x:c r="D140" s="1021" t="str">
        <x:f>IF($C140="","",IFERROR(INDEX('20 RCC-003 MIAR Registry'!$C$14:$C$60,MATCH($C140,'20 RCC-003 MIAR Registry'!$B$14:$B$60,0)),"TICKER NOT FOUND"))</x:f>
      </x:c>
      <x:c r="E140" s="1018"/>
      <x:c r="F140" s="1018"/>
      <x:c r="G140" s="1018"/>
      <x:c r="H140" s="1021" t="str">
        <x:f>IF($C140="","",IFERROR(INDEX('20 RCC-003 MIAR Registry'!$M$14:$M$60,MATCH($C140,'20 RCC-003 MIAR Registry'!$B$14:$B$60,0)),""))</x:f>
      </x:c>
      <x:c r="I140" s="1018"/>
      <x:c r="J140" s="1027" t="str">
        <x:f>IF($C140="","",IFERROR(INDEX('20 RCC-003 MIAR Registry'!$K$14:$K$60,MATCH($C140,'20 RCC-003 MIAR Registry'!$B$14:$B$60,0)),""))</x:f>
      </x:c>
      <x:c r="K140" s="1023"/>
      <x:c r="L140" s="1027" t="str">
        <x:f>IF($C140="","",IFERROR(INDEX('20 RCC-003 MIAR Registry'!$L$14:$L$60,MATCH($C140,'20 RCC-003 MIAR Registry'!$B$14:$B$60,0)),""))</x:f>
      </x:c>
      <x:c r="M140" s="1023"/>
      <x:c r="N140" s="1018"/>
      <x:c r="O140" s="1018"/>
      <x:c r="P140" s="1018"/>
      <x:c r="Q140" s="1018"/>
      <x:c r="R140" s="1018"/>
      <x:c r="S140" s="1018"/>
      <x:c r="T140" s="1025"/>
      <x:c r="U140" s="962" t="str">
        <x:f>IF($A140="","",IF(COUNTIF($A$14:$A$213,$A140)&gt;1,"DUPLICATE REVIEW ID",IF(OR($B140="",$C140="",$E140="",$F140="",$G140="",$I140="",$K140="",$M140="",$N140="",$O140="",$P140="",$Q140="",$R140="",$W140=""),"INCOMPLETE",IF(AND(OR($R140="Certify Current",$R140="Certify with Exception"),OR($S140="",$T140="")),"CERTIFICATION REQUIRED",IF(AND(NOT(OR($R140="Certify Current",$R140="Certify with Exception")),OR($S140&lt;&gt;"",$T140&lt;&gt;"")),"CERTIFICATION MISMATCH","COMPLETE")))))</x:f>
      </x:c>
      <x:c r="V140" s="1018"/>
      <x:c r="W140" s="1018"/>
    </x:row>
    <x:row r="141" ht="30" customHeight="1">
      <x:c r="A141" s="1018"/>
      <x:c r="B141" s="1025"/>
      <x:c r="C141" s="1018"/>
      <x:c r="D141" s="1021" t="str">
        <x:f>IF($C141="","",IFERROR(INDEX('20 RCC-003 MIAR Registry'!$C$14:$C$60,MATCH($C141,'20 RCC-003 MIAR Registry'!$B$14:$B$60,0)),"TICKER NOT FOUND"))</x:f>
      </x:c>
      <x:c r="E141" s="1018"/>
      <x:c r="F141" s="1018"/>
      <x:c r="G141" s="1018"/>
      <x:c r="H141" s="1021" t="str">
        <x:f>IF($C141="","",IFERROR(INDEX('20 RCC-003 MIAR Registry'!$M$14:$M$60,MATCH($C141,'20 RCC-003 MIAR Registry'!$B$14:$B$60,0)),""))</x:f>
      </x:c>
      <x:c r="I141" s="1018"/>
      <x:c r="J141" s="1027" t="str">
        <x:f>IF($C141="","",IFERROR(INDEX('20 RCC-003 MIAR Registry'!$K$14:$K$60,MATCH($C141,'20 RCC-003 MIAR Registry'!$B$14:$B$60,0)),""))</x:f>
      </x:c>
      <x:c r="K141" s="1023"/>
      <x:c r="L141" s="1027" t="str">
        <x:f>IF($C141="","",IFERROR(INDEX('20 RCC-003 MIAR Registry'!$L$14:$L$60,MATCH($C141,'20 RCC-003 MIAR Registry'!$B$14:$B$60,0)),""))</x:f>
      </x:c>
      <x:c r="M141" s="1023"/>
      <x:c r="N141" s="1018"/>
      <x:c r="O141" s="1018"/>
      <x:c r="P141" s="1018"/>
      <x:c r="Q141" s="1018"/>
      <x:c r="R141" s="1018"/>
      <x:c r="S141" s="1018"/>
      <x:c r="T141" s="1025"/>
      <x:c r="U141" s="962" t="str">
        <x:f>IF($A141="","",IF(COUNTIF($A$14:$A$213,$A141)&gt;1,"DUPLICATE REVIEW ID",IF(OR($B141="",$C141="",$E141="",$F141="",$G141="",$I141="",$K141="",$M141="",$N141="",$O141="",$P141="",$Q141="",$R141="",$W141=""),"INCOMPLETE",IF(AND(OR($R141="Certify Current",$R141="Certify with Exception"),OR($S141="",$T141="")),"CERTIFICATION REQUIRED",IF(AND(NOT(OR($R141="Certify Current",$R141="Certify with Exception")),OR($S141&lt;&gt;"",$T141&lt;&gt;"")),"CERTIFICATION MISMATCH","COMPLETE")))))</x:f>
      </x:c>
      <x:c r="V141" s="1018"/>
      <x:c r="W141" s="1018"/>
    </x:row>
    <x:row r="142" ht="30" customHeight="1">
      <x:c r="A142" s="1018"/>
      <x:c r="B142" s="1025"/>
      <x:c r="C142" s="1018"/>
      <x:c r="D142" s="1021" t="str">
        <x:f>IF($C142="","",IFERROR(INDEX('20 RCC-003 MIAR Registry'!$C$14:$C$60,MATCH($C142,'20 RCC-003 MIAR Registry'!$B$14:$B$60,0)),"TICKER NOT FOUND"))</x:f>
      </x:c>
      <x:c r="E142" s="1018"/>
      <x:c r="F142" s="1018"/>
      <x:c r="G142" s="1018"/>
      <x:c r="H142" s="1021" t="str">
        <x:f>IF($C142="","",IFERROR(INDEX('20 RCC-003 MIAR Registry'!$M$14:$M$60,MATCH($C142,'20 RCC-003 MIAR Registry'!$B$14:$B$60,0)),""))</x:f>
      </x:c>
      <x:c r="I142" s="1018"/>
      <x:c r="J142" s="1027" t="str">
        <x:f>IF($C142="","",IFERROR(INDEX('20 RCC-003 MIAR Registry'!$K$14:$K$60,MATCH($C142,'20 RCC-003 MIAR Registry'!$B$14:$B$60,0)),""))</x:f>
      </x:c>
      <x:c r="K142" s="1023"/>
      <x:c r="L142" s="1027" t="str">
        <x:f>IF($C142="","",IFERROR(INDEX('20 RCC-003 MIAR Registry'!$L$14:$L$60,MATCH($C142,'20 RCC-003 MIAR Registry'!$B$14:$B$60,0)),""))</x:f>
      </x:c>
      <x:c r="M142" s="1023"/>
      <x:c r="N142" s="1018"/>
      <x:c r="O142" s="1018"/>
      <x:c r="P142" s="1018"/>
      <x:c r="Q142" s="1018"/>
      <x:c r="R142" s="1018"/>
      <x:c r="S142" s="1018"/>
      <x:c r="T142" s="1025"/>
      <x:c r="U142" s="962" t="str">
        <x:f>IF($A142="","",IF(COUNTIF($A$14:$A$213,$A142)&gt;1,"DUPLICATE REVIEW ID",IF(OR($B142="",$C142="",$E142="",$F142="",$G142="",$I142="",$K142="",$M142="",$N142="",$O142="",$P142="",$Q142="",$R142="",$W142=""),"INCOMPLETE",IF(AND(OR($R142="Certify Current",$R142="Certify with Exception"),OR($S142="",$T142="")),"CERTIFICATION REQUIRED",IF(AND(NOT(OR($R142="Certify Current",$R142="Certify with Exception")),OR($S142&lt;&gt;"",$T142&lt;&gt;"")),"CERTIFICATION MISMATCH","COMPLETE")))))</x:f>
      </x:c>
      <x:c r="V142" s="1018"/>
      <x:c r="W142" s="1018"/>
    </x:row>
    <x:row r="143" ht="30" customHeight="1">
      <x:c r="A143" s="1018"/>
      <x:c r="B143" s="1025"/>
      <x:c r="C143" s="1018"/>
      <x:c r="D143" s="1021" t="str">
        <x:f>IF($C143="","",IFERROR(INDEX('20 RCC-003 MIAR Registry'!$C$14:$C$60,MATCH($C143,'20 RCC-003 MIAR Registry'!$B$14:$B$60,0)),"TICKER NOT FOUND"))</x:f>
      </x:c>
      <x:c r="E143" s="1018"/>
      <x:c r="F143" s="1018"/>
      <x:c r="G143" s="1018"/>
      <x:c r="H143" s="1021" t="str">
        <x:f>IF($C143="","",IFERROR(INDEX('20 RCC-003 MIAR Registry'!$M$14:$M$60,MATCH($C143,'20 RCC-003 MIAR Registry'!$B$14:$B$60,0)),""))</x:f>
      </x:c>
      <x:c r="I143" s="1018"/>
      <x:c r="J143" s="1027" t="str">
        <x:f>IF($C143="","",IFERROR(INDEX('20 RCC-003 MIAR Registry'!$K$14:$K$60,MATCH($C143,'20 RCC-003 MIAR Registry'!$B$14:$B$60,0)),""))</x:f>
      </x:c>
      <x:c r="K143" s="1023"/>
      <x:c r="L143" s="1027" t="str">
        <x:f>IF($C143="","",IFERROR(INDEX('20 RCC-003 MIAR Registry'!$L$14:$L$60,MATCH($C143,'20 RCC-003 MIAR Registry'!$B$14:$B$60,0)),""))</x:f>
      </x:c>
      <x:c r="M143" s="1023"/>
      <x:c r="N143" s="1018"/>
      <x:c r="O143" s="1018"/>
      <x:c r="P143" s="1018"/>
      <x:c r="Q143" s="1018"/>
      <x:c r="R143" s="1018"/>
      <x:c r="S143" s="1018"/>
      <x:c r="T143" s="1025"/>
      <x:c r="U143" s="962" t="str">
        <x:f>IF($A143="","",IF(COUNTIF($A$14:$A$213,$A143)&gt;1,"DUPLICATE REVIEW ID",IF(OR($B143="",$C143="",$E143="",$F143="",$G143="",$I143="",$K143="",$M143="",$N143="",$O143="",$P143="",$Q143="",$R143="",$W143=""),"INCOMPLETE",IF(AND(OR($R143="Certify Current",$R143="Certify with Exception"),OR($S143="",$T143="")),"CERTIFICATION REQUIRED",IF(AND(NOT(OR($R143="Certify Current",$R143="Certify with Exception")),OR($S143&lt;&gt;"",$T143&lt;&gt;"")),"CERTIFICATION MISMATCH","COMPLETE")))))</x:f>
      </x:c>
      <x:c r="V143" s="1018"/>
      <x:c r="W143" s="1018"/>
    </x:row>
    <x:row r="144" ht="30" customHeight="1">
      <x:c r="A144" s="1018"/>
      <x:c r="B144" s="1025"/>
      <x:c r="C144" s="1018"/>
      <x:c r="D144" s="1021" t="str">
        <x:f>IF($C144="","",IFERROR(INDEX('20 RCC-003 MIAR Registry'!$C$14:$C$60,MATCH($C144,'20 RCC-003 MIAR Registry'!$B$14:$B$60,0)),"TICKER NOT FOUND"))</x:f>
      </x:c>
      <x:c r="E144" s="1018"/>
      <x:c r="F144" s="1018"/>
      <x:c r="G144" s="1018"/>
      <x:c r="H144" s="1021" t="str">
        <x:f>IF($C144="","",IFERROR(INDEX('20 RCC-003 MIAR Registry'!$M$14:$M$60,MATCH($C144,'20 RCC-003 MIAR Registry'!$B$14:$B$60,0)),""))</x:f>
      </x:c>
      <x:c r="I144" s="1018"/>
      <x:c r="J144" s="1027" t="str">
        <x:f>IF($C144="","",IFERROR(INDEX('20 RCC-003 MIAR Registry'!$K$14:$K$60,MATCH($C144,'20 RCC-003 MIAR Registry'!$B$14:$B$60,0)),""))</x:f>
      </x:c>
      <x:c r="K144" s="1023"/>
      <x:c r="L144" s="1027" t="str">
        <x:f>IF($C144="","",IFERROR(INDEX('20 RCC-003 MIAR Registry'!$L$14:$L$60,MATCH($C144,'20 RCC-003 MIAR Registry'!$B$14:$B$60,0)),""))</x:f>
      </x:c>
      <x:c r="M144" s="1023"/>
      <x:c r="N144" s="1018"/>
      <x:c r="O144" s="1018"/>
      <x:c r="P144" s="1018"/>
      <x:c r="Q144" s="1018"/>
      <x:c r="R144" s="1018"/>
      <x:c r="S144" s="1018"/>
      <x:c r="T144" s="1025"/>
      <x:c r="U144" s="962" t="str">
        <x:f>IF($A144="","",IF(COUNTIF($A$14:$A$213,$A144)&gt;1,"DUPLICATE REVIEW ID",IF(OR($B144="",$C144="",$E144="",$F144="",$G144="",$I144="",$K144="",$M144="",$N144="",$O144="",$P144="",$Q144="",$R144="",$W144=""),"INCOMPLETE",IF(AND(OR($R144="Certify Current",$R144="Certify with Exception"),OR($S144="",$T144="")),"CERTIFICATION REQUIRED",IF(AND(NOT(OR($R144="Certify Current",$R144="Certify with Exception")),OR($S144&lt;&gt;"",$T144&lt;&gt;"")),"CERTIFICATION MISMATCH","COMPLETE")))))</x:f>
      </x:c>
      <x:c r="V144" s="1018"/>
      <x:c r="W144" s="1018"/>
    </x:row>
    <x:row r="145" ht="30" customHeight="1">
      <x:c r="A145" s="1018"/>
      <x:c r="B145" s="1025"/>
      <x:c r="C145" s="1018"/>
      <x:c r="D145" s="1021" t="str">
        <x:f>IF($C145="","",IFERROR(INDEX('20 RCC-003 MIAR Registry'!$C$14:$C$60,MATCH($C145,'20 RCC-003 MIAR Registry'!$B$14:$B$60,0)),"TICKER NOT FOUND"))</x:f>
      </x:c>
      <x:c r="E145" s="1018"/>
      <x:c r="F145" s="1018"/>
      <x:c r="G145" s="1018"/>
      <x:c r="H145" s="1021" t="str">
        <x:f>IF($C145="","",IFERROR(INDEX('20 RCC-003 MIAR Registry'!$M$14:$M$60,MATCH($C145,'20 RCC-003 MIAR Registry'!$B$14:$B$60,0)),""))</x:f>
      </x:c>
      <x:c r="I145" s="1018"/>
      <x:c r="J145" s="1027" t="str">
        <x:f>IF($C145="","",IFERROR(INDEX('20 RCC-003 MIAR Registry'!$K$14:$K$60,MATCH($C145,'20 RCC-003 MIAR Registry'!$B$14:$B$60,0)),""))</x:f>
      </x:c>
      <x:c r="K145" s="1023"/>
      <x:c r="L145" s="1027" t="str">
        <x:f>IF($C145="","",IFERROR(INDEX('20 RCC-003 MIAR Registry'!$L$14:$L$60,MATCH($C145,'20 RCC-003 MIAR Registry'!$B$14:$B$60,0)),""))</x:f>
      </x:c>
      <x:c r="M145" s="1023"/>
      <x:c r="N145" s="1018"/>
      <x:c r="O145" s="1018"/>
      <x:c r="P145" s="1018"/>
      <x:c r="Q145" s="1018"/>
      <x:c r="R145" s="1018"/>
      <x:c r="S145" s="1018"/>
      <x:c r="T145" s="1025"/>
      <x:c r="U145" s="962" t="str">
        <x:f>IF($A145="","",IF(COUNTIF($A$14:$A$213,$A145)&gt;1,"DUPLICATE REVIEW ID",IF(OR($B145="",$C145="",$E145="",$F145="",$G145="",$I145="",$K145="",$M145="",$N145="",$O145="",$P145="",$Q145="",$R145="",$W145=""),"INCOMPLETE",IF(AND(OR($R145="Certify Current",$R145="Certify with Exception"),OR($S145="",$T145="")),"CERTIFICATION REQUIRED",IF(AND(NOT(OR($R145="Certify Current",$R145="Certify with Exception")),OR($S145&lt;&gt;"",$T145&lt;&gt;"")),"CERTIFICATION MISMATCH","COMPLETE")))))</x:f>
      </x:c>
      <x:c r="V145" s="1018"/>
      <x:c r="W145" s="1018"/>
    </x:row>
    <x:row r="146" ht="30" customHeight="1">
      <x:c r="A146" s="1018"/>
      <x:c r="B146" s="1025"/>
      <x:c r="C146" s="1018"/>
      <x:c r="D146" s="1021" t="str">
        <x:f>IF($C146="","",IFERROR(INDEX('20 RCC-003 MIAR Registry'!$C$14:$C$60,MATCH($C146,'20 RCC-003 MIAR Registry'!$B$14:$B$60,0)),"TICKER NOT FOUND"))</x:f>
      </x:c>
      <x:c r="E146" s="1018"/>
      <x:c r="F146" s="1018"/>
      <x:c r="G146" s="1018"/>
      <x:c r="H146" s="1021" t="str">
        <x:f>IF($C146="","",IFERROR(INDEX('20 RCC-003 MIAR Registry'!$M$14:$M$60,MATCH($C146,'20 RCC-003 MIAR Registry'!$B$14:$B$60,0)),""))</x:f>
      </x:c>
      <x:c r="I146" s="1018"/>
      <x:c r="J146" s="1027" t="str">
        <x:f>IF($C146="","",IFERROR(INDEX('20 RCC-003 MIAR Registry'!$K$14:$K$60,MATCH($C146,'20 RCC-003 MIAR Registry'!$B$14:$B$60,0)),""))</x:f>
      </x:c>
      <x:c r="K146" s="1023"/>
      <x:c r="L146" s="1027" t="str">
        <x:f>IF($C146="","",IFERROR(INDEX('20 RCC-003 MIAR Registry'!$L$14:$L$60,MATCH($C146,'20 RCC-003 MIAR Registry'!$B$14:$B$60,0)),""))</x:f>
      </x:c>
      <x:c r="M146" s="1023"/>
      <x:c r="N146" s="1018"/>
      <x:c r="O146" s="1018"/>
      <x:c r="P146" s="1018"/>
      <x:c r="Q146" s="1018"/>
      <x:c r="R146" s="1018"/>
      <x:c r="S146" s="1018"/>
      <x:c r="T146" s="1025"/>
      <x:c r="U146" s="962" t="str">
        <x:f>IF($A146="","",IF(COUNTIF($A$14:$A$213,$A146)&gt;1,"DUPLICATE REVIEW ID",IF(OR($B146="",$C146="",$E146="",$F146="",$G146="",$I146="",$K146="",$M146="",$N146="",$O146="",$P146="",$Q146="",$R146="",$W146=""),"INCOMPLETE",IF(AND(OR($R146="Certify Current",$R146="Certify with Exception"),OR($S146="",$T146="")),"CERTIFICATION REQUIRED",IF(AND(NOT(OR($R146="Certify Current",$R146="Certify with Exception")),OR($S146&lt;&gt;"",$T146&lt;&gt;"")),"CERTIFICATION MISMATCH","COMPLETE")))))</x:f>
      </x:c>
      <x:c r="V146" s="1018"/>
      <x:c r="W146" s="1018"/>
    </x:row>
    <x:row r="147" ht="30" customHeight="1">
      <x:c r="A147" s="1018"/>
      <x:c r="B147" s="1025"/>
      <x:c r="C147" s="1018"/>
      <x:c r="D147" s="1021" t="str">
        <x:f>IF($C147="","",IFERROR(INDEX('20 RCC-003 MIAR Registry'!$C$14:$C$60,MATCH($C147,'20 RCC-003 MIAR Registry'!$B$14:$B$60,0)),"TICKER NOT FOUND"))</x:f>
      </x:c>
      <x:c r="E147" s="1018"/>
      <x:c r="F147" s="1018"/>
      <x:c r="G147" s="1018"/>
      <x:c r="H147" s="1021" t="str">
        <x:f>IF($C147="","",IFERROR(INDEX('20 RCC-003 MIAR Registry'!$M$14:$M$60,MATCH($C147,'20 RCC-003 MIAR Registry'!$B$14:$B$60,0)),""))</x:f>
      </x:c>
      <x:c r="I147" s="1018"/>
      <x:c r="J147" s="1027" t="str">
        <x:f>IF($C147="","",IFERROR(INDEX('20 RCC-003 MIAR Registry'!$K$14:$K$60,MATCH($C147,'20 RCC-003 MIAR Registry'!$B$14:$B$60,0)),""))</x:f>
      </x:c>
      <x:c r="K147" s="1023"/>
      <x:c r="L147" s="1027" t="str">
        <x:f>IF($C147="","",IFERROR(INDEX('20 RCC-003 MIAR Registry'!$L$14:$L$60,MATCH($C147,'20 RCC-003 MIAR Registry'!$B$14:$B$60,0)),""))</x:f>
      </x:c>
      <x:c r="M147" s="1023"/>
      <x:c r="N147" s="1018"/>
      <x:c r="O147" s="1018"/>
      <x:c r="P147" s="1018"/>
      <x:c r="Q147" s="1018"/>
      <x:c r="R147" s="1018"/>
      <x:c r="S147" s="1018"/>
      <x:c r="T147" s="1025"/>
      <x:c r="U147" s="962" t="str">
        <x:f>IF($A147="","",IF(COUNTIF($A$14:$A$213,$A147)&gt;1,"DUPLICATE REVIEW ID",IF(OR($B147="",$C147="",$E147="",$F147="",$G147="",$I147="",$K147="",$M147="",$N147="",$O147="",$P147="",$Q147="",$R147="",$W147=""),"INCOMPLETE",IF(AND(OR($R147="Certify Current",$R147="Certify with Exception"),OR($S147="",$T147="")),"CERTIFICATION REQUIRED",IF(AND(NOT(OR($R147="Certify Current",$R147="Certify with Exception")),OR($S147&lt;&gt;"",$T147&lt;&gt;"")),"CERTIFICATION MISMATCH","COMPLETE")))))</x:f>
      </x:c>
      <x:c r="V147" s="1018"/>
      <x:c r="W147" s="1018"/>
    </x:row>
    <x:row r="148" ht="30" customHeight="1">
      <x:c r="A148" s="1018"/>
      <x:c r="B148" s="1025"/>
      <x:c r="C148" s="1018"/>
      <x:c r="D148" s="1021" t="str">
        <x:f>IF($C148="","",IFERROR(INDEX('20 RCC-003 MIAR Registry'!$C$14:$C$60,MATCH($C148,'20 RCC-003 MIAR Registry'!$B$14:$B$60,0)),"TICKER NOT FOUND"))</x:f>
      </x:c>
      <x:c r="E148" s="1018"/>
      <x:c r="F148" s="1018"/>
      <x:c r="G148" s="1018"/>
      <x:c r="H148" s="1021" t="str">
        <x:f>IF($C148="","",IFERROR(INDEX('20 RCC-003 MIAR Registry'!$M$14:$M$60,MATCH($C148,'20 RCC-003 MIAR Registry'!$B$14:$B$60,0)),""))</x:f>
      </x:c>
      <x:c r="I148" s="1018"/>
      <x:c r="J148" s="1027" t="str">
        <x:f>IF($C148="","",IFERROR(INDEX('20 RCC-003 MIAR Registry'!$K$14:$K$60,MATCH($C148,'20 RCC-003 MIAR Registry'!$B$14:$B$60,0)),""))</x:f>
      </x:c>
      <x:c r="K148" s="1023"/>
      <x:c r="L148" s="1027" t="str">
        <x:f>IF($C148="","",IFERROR(INDEX('20 RCC-003 MIAR Registry'!$L$14:$L$60,MATCH($C148,'20 RCC-003 MIAR Registry'!$B$14:$B$60,0)),""))</x:f>
      </x:c>
      <x:c r="M148" s="1023"/>
      <x:c r="N148" s="1018"/>
      <x:c r="O148" s="1018"/>
      <x:c r="P148" s="1018"/>
      <x:c r="Q148" s="1018"/>
      <x:c r="R148" s="1018"/>
      <x:c r="S148" s="1018"/>
      <x:c r="T148" s="1025"/>
      <x:c r="U148" s="962" t="str">
        <x:f>IF($A148="","",IF(COUNTIF($A$14:$A$213,$A148)&gt;1,"DUPLICATE REVIEW ID",IF(OR($B148="",$C148="",$E148="",$F148="",$G148="",$I148="",$K148="",$M148="",$N148="",$O148="",$P148="",$Q148="",$R148="",$W148=""),"INCOMPLETE",IF(AND(OR($R148="Certify Current",$R148="Certify with Exception"),OR($S148="",$T148="")),"CERTIFICATION REQUIRED",IF(AND(NOT(OR($R148="Certify Current",$R148="Certify with Exception")),OR($S148&lt;&gt;"",$T148&lt;&gt;"")),"CERTIFICATION MISMATCH","COMPLETE")))))</x:f>
      </x:c>
      <x:c r="V148" s="1018"/>
      <x:c r="W148" s="1018"/>
    </x:row>
    <x:row r="149" ht="30" customHeight="1">
      <x:c r="A149" s="1018"/>
      <x:c r="B149" s="1025"/>
      <x:c r="C149" s="1018"/>
      <x:c r="D149" s="1021" t="str">
        <x:f>IF($C149="","",IFERROR(INDEX('20 RCC-003 MIAR Registry'!$C$14:$C$60,MATCH($C149,'20 RCC-003 MIAR Registry'!$B$14:$B$60,0)),"TICKER NOT FOUND"))</x:f>
      </x:c>
      <x:c r="E149" s="1018"/>
      <x:c r="F149" s="1018"/>
      <x:c r="G149" s="1018"/>
      <x:c r="H149" s="1021" t="str">
        <x:f>IF($C149="","",IFERROR(INDEX('20 RCC-003 MIAR Registry'!$M$14:$M$60,MATCH($C149,'20 RCC-003 MIAR Registry'!$B$14:$B$60,0)),""))</x:f>
      </x:c>
      <x:c r="I149" s="1018"/>
      <x:c r="J149" s="1027" t="str">
        <x:f>IF($C149="","",IFERROR(INDEX('20 RCC-003 MIAR Registry'!$K$14:$K$60,MATCH($C149,'20 RCC-003 MIAR Registry'!$B$14:$B$60,0)),""))</x:f>
      </x:c>
      <x:c r="K149" s="1023"/>
      <x:c r="L149" s="1027" t="str">
        <x:f>IF($C149="","",IFERROR(INDEX('20 RCC-003 MIAR Registry'!$L$14:$L$60,MATCH($C149,'20 RCC-003 MIAR Registry'!$B$14:$B$60,0)),""))</x:f>
      </x:c>
      <x:c r="M149" s="1023"/>
      <x:c r="N149" s="1018"/>
      <x:c r="O149" s="1018"/>
      <x:c r="P149" s="1018"/>
      <x:c r="Q149" s="1018"/>
      <x:c r="R149" s="1018"/>
      <x:c r="S149" s="1018"/>
      <x:c r="T149" s="1025"/>
      <x:c r="U149" s="962" t="str">
        <x:f>IF($A149="","",IF(COUNTIF($A$14:$A$213,$A149)&gt;1,"DUPLICATE REVIEW ID",IF(OR($B149="",$C149="",$E149="",$F149="",$G149="",$I149="",$K149="",$M149="",$N149="",$O149="",$P149="",$Q149="",$R149="",$W149=""),"INCOMPLETE",IF(AND(OR($R149="Certify Current",$R149="Certify with Exception"),OR($S149="",$T149="")),"CERTIFICATION REQUIRED",IF(AND(NOT(OR($R149="Certify Current",$R149="Certify with Exception")),OR($S149&lt;&gt;"",$T149&lt;&gt;"")),"CERTIFICATION MISMATCH","COMPLETE")))))</x:f>
      </x:c>
      <x:c r="V149" s="1018"/>
      <x:c r="W149" s="1018"/>
    </x:row>
    <x:row r="150" ht="30" customHeight="1">
      <x:c r="A150" s="1018"/>
      <x:c r="B150" s="1025"/>
      <x:c r="C150" s="1018"/>
      <x:c r="D150" s="1021" t="str">
        <x:f>IF($C150="","",IFERROR(INDEX('20 RCC-003 MIAR Registry'!$C$14:$C$60,MATCH($C150,'20 RCC-003 MIAR Registry'!$B$14:$B$60,0)),"TICKER NOT FOUND"))</x:f>
      </x:c>
      <x:c r="E150" s="1018"/>
      <x:c r="F150" s="1018"/>
      <x:c r="G150" s="1018"/>
      <x:c r="H150" s="1021" t="str">
        <x:f>IF($C150="","",IFERROR(INDEX('20 RCC-003 MIAR Registry'!$M$14:$M$60,MATCH($C150,'20 RCC-003 MIAR Registry'!$B$14:$B$60,0)),""))</x:f>
      </x:c>
      <x:c r="I150" s="1018"/>
      <x:c r="J150" s="1027" t="str">
        <x:f>IF($C150="","",IFERROR(INDEX('20 RCC-003 MIAR Registry'!$K$14:$K$60,MATCH($C150,'20 RCC-003 MIAR Registry'!$B$14:$B$60,0)),""))</x:f>
      </x:c>
      <x:c r="K150" s="1023"/>
      <x:c r="L150" s="1027" t="str">
        <x:f>IF($C150="","",IFERROR(INDEX('20 RCC-003 MIAR Registry'!$L$14:$L$60,MATCH($C150,'20 RCC-003 MIAR Registry'!$B$14:$B$60,0)),""))</x:f>
      </x:c>
      <x:c r="M150" s="1023"/>
      <x:c r="N150" s="1018"/>
      <x:c r="O150" s="1018"/>
      <x:c r="P150" s="1018"/>
      <x:c r="Q150" s="1018"/>
      <x:c r="R150" s="1018"/>
      <x:c r="S150" s="1018"/>
      <x:c r="T150" s="1025"/>
      <x:c r="U150" s="962" t="str">
        <x:f>IF($A150="","",IF(COUNTIF($A$14:$A$213,$A150)&gt;1,"DUPLICATE REVIEW ID",IF(OR($B150="",$C150="",$E150="",$F150="",$G150="",$I150="",$K150="",$M150="",$N150="",$O150="",$P150="",$Q150="",$R150="",$W150=""),"INCOMPLETE",IF(AND(OR($R150="Certify Current",$R150="Certify with Exception"),OR($S150="",$T150="")),"CERTIFICATION REQUIRED",IF(AND(NOT(OR($R150="Certify Current",$R150="Certify with Exception")),OR($S150&lt;&gt;"",$T150&lt;&gt;"")),"CERTIFICATION MISMATCH","COMPLETE")))))</x:f>
      </x:c>
      <x:c r="V150" s="1018"/>
      <x:c r="W150" s="1018"/>
    </x:row>
    <x:row r="151" ht="30" customHeight="1">
      <x:c r="A151" s="1018"/>
      <x:c r="B151" s="1025"/>
      <x:c r="C151" s="1018"/>
      <x:c r="D151" s="1021" t="str">
        <x:f>IF($C151="","",IFERROR(INDEX('20 RCC-003 MIAR Registry'!$C$14:$C$60,MATCH($C151,'20 RCC-003 MIAR Registry'!$B$14:$B$60,0)),"TICKER NOT FOUND"))</x:f>
      </x:c>
      <x:c r="E151" s="1018"/>
      <x:c r="F151" s="1018"/>
      <x:c r="G151" s="1018"/>
      <x:c r="H151" s="1021" t="str">
        <x:f>IF($C151="","",IFERROR(INDEX('20 RCC-003 MIAR Registry'!$M$14:$M$60,MATCH($C151,'20 RCC-003 MIAR Registry'!$B$14:$B$60,0)),""))</x:f>
      </x:c>
      <x:c r="I151" s="1018"/>
      <x:c r="J151" s="1027" t="str">
        <x:f>IF($C151="","",IFERROR(INDEX('20 RCC-003 MIAR Registry'!$K$14:$K$60,MATCH($C151,'20 RCC-003 MIAR Registry'!$B$14:$B$60,0)),""))</x:f>
      </x:c>
      <x:c r="K151" s="1023"/>
      <x:c r="L151" s="1027" t="str">
        <x:f>IF($C151="","",IFERROR(INDEX('20 RCC-003 MIAR Registry'!$L$14:$L$60,MATCH($C151,'20 RCC-003 MIAR Registry'!$B$14:$B$60,0)),""))</x:f>
      </x:c>
      <x:c r="M151" s="1023"/>
      <x:c r="N151" s="1018"/>
      <x:c r="O151" s="1018"/>
      <x:c r="P151" s="1018"/>
      <x:c r="Q151" s="1018"/>
      <x:c r="R151" s="1018"/>
      <x:c r="S151" s="1018"/>
      <x:c r="T151" s="1025"/>
      <x:c r="U151" s="962" t="str">
        <x:f>IF($A151="","",IF(COUNTIF($A$14:$A$213,$A151)&gt;1,"DUPLICATE REVIEW ID",IF(OR($B151="",$C151="",$E151="",$F151="",$G151="",$I151="",$K151="",$M151="",$N151="",$O151="",$P151="",$Q151="",$R151="",$W151=""),"INCOMPLETE",IF(AND(OR($R151="Certify Current",$R151="Certify with Exception"),OR($S151="",$T151="")),"CERTIFICATION REQUIRED",IF(AND(NOT(OR($R151="Certify Current",$R151="Certify with Exception")),OR($S151&lt;&gt;"",$T151&lt;&gt;"")),"CERTIFICATION MISMATCH","COMPLETE")))))</x:f>
      </x:c>
      <x:c r="V151" s="1018"/>
      <x:c r="W151" s="1018"/>
    </x:row>
    <x:row r="152" ht="30" customHeight="1">
      <x:c r="A152" s="1018"/>
      <x:c r="B152" s="1025"/>
      <x:c r="C152" s="1018"/>
      <x:c r="D152" s="1021" t="str">
        <x:f>IF($C152="","",IFERROR(INDEX('20 RCC-003 MIAR Registry'!$C$14:$C$60,MATCH($C152,'20 RCC-003 MIAR Registry'!$B$14:$B$60,0)),"TICKER NOT FOUND"))</x:f>
      </x:c>
      <x:c r="E152" s="1018"/>
      <x:c r="F152" s="1018"/>
      <x:c r="G152" s="1018"/>
      <x:c r="H152" s="1021" t="str">
        <x:f>IF($C152="","",IFERROR(INDEX('20 RCC-003 MIAR Registry'!$M$14:$M$60,MATCH($C152,'20 RCC-003 MIAR Registry'!$B$14:$B$60,0)),""))</x:f>
      </x:c>
      <x:c r="I152" s="1018"/>
      <x:c r="J152" s="1027" t="str">
        <x:f>IF($C152="","",IFERROR(INDEX('20 RCC-003 MIAR Registry'!$K$14:$K$60,MATCH($C152,'20 RCC-003 MIAR Registry'!$B$14:$B$60,0)),""))</x:f>
      </x:c>
      <x:c r="K152" s="1023"/>
      <x:c r="L152" s="1027" t="str">
        <x:f>IF($C152="","",IFERROR(INDEX('20 RCC-003 MIAR Registry'!$L$14:$L$60,MATCH($C152,'20 RCC-003 MIAR Registry'!$B$14:$B$60,0)),""))</x:f>
      </x:c>
      <x:c r="M152" s="1023"/>
      <x:c r="N152" s="1018"/>
      <x:c r="O152" s="1018"/>
      <x:c r="P152" s="1018"/>
      <x:c r="Q152" s="1018"/>
      <x:c r="R152" s="1018"/>
      <x:c r="S152" s="1018"/>
      <x:c r="T152" s="1025"/>
      <x:c r="U152" s="962" t="str">
        <x:f>IF($A152="","",IF(COUNTIF($A$14:$A$213,$A152)&gt;1,"DUPLICATE REVIEW ID",IF(OR($B152="",$C152="",$E152="",$F152="",$G152="",$I152="",$K152="",$M152="",$N152="",$O152="",$P152="",$Q152="",$R152="",$W152=""),"INCOMPLETE",IF(AND(OR($R152="Certify Current",$R152="Certify with Exception"),OR($S152="",$T152="")),"CERTIFICATION REQUIRED",IF(AND(NOT(OR($R152="Certify Current",$R152="Certify with Exception")),OR($S152&lt;&gt;"",$T152&lt;&gt;"")),"CERTIFICATION MISMATCH","COMPLETE")))))</x:f>
      </x:c>
      <x:c r="V152" s="1018"/>
      <x:c r="W152" s="1018"/>
    </x:row>
    <x:row r="153" ht="30" customHeight="1">
      <x:c r="A153" s="1018"/>
      <x:c r="B153" s="1025"/>
      <x:c r="C153" s="1018"/>
      <x:c r="D153" s="1021" t="str">
        <x:f>IF($C153="","",IFERROR(INDEX('20 RCC-003 MIAR Registry'!$C$14:$C$60,MATCH($C153,'20 RCC-003 MIAR Registry'!$B$14:$B$60,0)),"TICKER NOT FOUND"))</x:f>
      </x:c>
      <x:c r="E153" s="1018"/>
      <x:c r="F153" s="1018"/>
      <x:c r="G153" s="1018"/>
      <x:c r="H153" s="1021" t="str">
        <x:f>IF($C153="","",IFERROR(INDEX('20 RCC-003 MIAR Registry'!$M$14:$M$60,MATCH($C153,'20 RCC-003 MIAR Registry'!$B$14:$B$60,0)),""))</x:f>
      </x:c>
      <x:c r="I153" s="1018"/>
      <x:c r="J153" s="1027" t="str">
        <x:f>IF($C153="","",IFERROR(INDEX('20 RCC-003 MIAR Registry'!$K$14:$K$60,MATCH($C153,'20 RCC-003 MIAR Registry'!$B$14:$B$60,0)),""))</x:f>
      </x:c>
      <x:c r="K153" s="1023"/>
      <x:c r="L153" s="1027" t="str">
        <x:f>IF($C153="","",IFERROR(INDEX('20 RCC-003 MIAR Registry'!$L$14:$L$60,MATCH($C153,'20 RCC-003 MIAR Registry'!$B$14:$B$60,0)),""))</x:f>
      </x:c>
      <x:c r="M153" s="1023"/>
      <x:c r="N153" s="1018"/>
      <x:c r="O153" s="1018"/>
      <x:c r="P153" s="1018"/>
      <x:c r="Q153" s="1018"/>
      <x:c r="R153" s="1018"/>
      <x:c r="S153" s="1018"/>
      <x:c r="T153" s="1025"/>
      <x:c r="U153" s="962" t="str">
        <x:f>IF($A153="","",IF(COUNTIF($A$14:$A$213,$A153)&gt;1,"DUPLICATE REVIEW ID",IF(OR($B153="",$C153="",$E153="",$F153="",$G153="",$I153="",$K153="",$M153="",$N153="",$O153="",$P153="",$Q153="",$R153="",$W153=""),"INCOMPLETE",IF(AND(OR($R153="Certify Current",$R153="Certify with Exception"),OR($S153="",$T153="")),"CERTIFICATION REQUIRED",IF(AND(NOT(OR($R153="Certify Current",$R153="Certify with Exception")),OR($S153&lt;&gt;"",$T153&lt;&gt;"")),"CERTIFICATION MISMATCH","COMPLETE")))))</x:f>
      </x:c>
      <x:c r="V153" s="1018"/>
      <x:c r="W153" s="1018"/>
    </x:row>
    <x:row r="154" ht="30" customHeight="1">
      <x:c r="A154" s="1018"/>
      <x:c r="B154" s="1025"/>
      <x:c r="C154" s="1018"/>
      <x:c r="D154" s="1021" t="str">
        <x:f>IF($C154="","",IFERROR(INDEX('20 RCC-003 MIAR Registry'!$C$14:$C$60,MATCH($C154,'20 RCC-003 MIAR Registry'!$B$14:$B$60,0)),"TICKER NOT FOUND"))</x:f>
      </x:c>
      <x:c r="E154" s="1018"/>
      <x:c r="F154" s="1018"/>
      <x:c r="G154" s="1018"/>
      <x:c r="H154" s="1021" t="str">
        <x:f>IF($C154="","",IFERROR(INDEX('20 RCC-003 MIAR Registry'!$M$14:$M$60,MATCH($C154,'20 RCC-003 MIAR Registry'!$B$14:$B$60,0)),""))</x:f>
      </x:c>
      <x:c r="I154" s="1018"/>
      <x:c r="J154" s="1027" t="str">
        <x:f>IF($C154="","",IFERROR(INDEX('20 RCC-003 MIAR Registry'!$K$14:$K$60,MATCH($C154,'20 RCC-003 MIAR Registry'!$B$14:$B$60,0)),""))</x:f>
      </x:c>
      <x:c r="K154" s="1023"/>
      <x:c r="L154" s="1027" t="str">
        <x:f>IF($C154="","",IFERROR(INDEX('20 RCC-003 MIAR Registry'!$L$14:$L$60,MATCH($C154,'20 RCC-003 MIAR Registry'!$B$14:$B$60,0)),""))</x:f>
      </x:c>
      <x:c r="M154" s="1023"/>
      <x:c r="N154" s="1018"/>
      <x:c r="O154" s="1018"/>
      <x:c r="P154" s="1018"/>
      <x:c r="Q154" s="1018"/>
      <x:c r="R154" s="1018"/>
      <x:c r="S154" s="1018"/>
      <x:c r="T154" s="1025"/>
      <x:c r="U154" s="962" t="str">
        <x:f>IF($A154="","",IF(COUNTIF($A$14:$A$213,$A154)&gt;1,"DUPLICATE REVIEW ID",IF(OR($B154="",$C154="",$E154="",$F154="",$G154="",$I154="",$K154="",$M154="",$N154="",$O154="",$P154="",$Q154="",$R154="",$W154=""),"INCOMPLETE",IF(AND(OR($R154="Certify Current",$R154="Certify with Exception"),OR($S154="",$T154="")),"CERTIFICATION REQUIRED",IF(AND(NOT(OR($R154="Certify Current",$R154="Certify with Exception")),OR($S154&lt;&gt;"",$T154&lt;&gt;"")),"CERTIFICATION MISMATCH","COMPLETE")))))</x:f>
      </x:c>
      <x:c r="V154" s="1018"/>
      <x:c r="W154" s="1018"/>
    </x:row>
    <x:row r="155" ht="30" customHeight="1">
      <x:c r="A155" s="1018"/>
      <x:c r="B155" s="1025"/>
      <x:c r="C155" s="1018"/>
      <x:c r="D155" s="1021" t="str">
        <x:f>IF($C155="","",IFERROR(INDEX('20 RCC-003 MIAR Registry'!$C$14:$C$60,MATCH($C155,'20 RCC-003 MIAR Registry'!$B$14:$B$60,0)),"TICKER NOT FOUND"))</x:f>
      </x:c>
      <x:c r="E155" s="1018"/>
      <x:c r="F155" s="1018"/>
      <x:c r="G155" s="1018"/>
      <x:c r="H155" s="1021" t="str">
        <x:f>IF($C155="","",IFERROR(INDEX('20 RCC-003 MIAR Registry'!$M$14:$M$60,MATCH($C155,'20 RCC-003 MIAR Registry'!$B$14:$B$60,0)),""))</x:f>
      </x:c>
      <x:c r="I155" s="1018"/>
      <x:c r="J155" s="1027" t="str">
        <x:f>IF($C155="","",IFERROR(INDEX('20 RCC-003 MIAR Registry'!$K$14:$K$60,MATCH($C155,'20 RCC-003 MIAR Registry'!$B$14:$B$60,0)),""))</x:f>
      </x:c>
      <x:c r="K155" s="1023"/>
      <x:c r="L155" s="1027" t="str">
        <x:f>IF($C155="","",IFERROR(INDEX('20 RCC-003 MIAR Registry'!$L$14:$L$60,MATCH($C155,'20 RCC-003 MIAR Registry'!$B$14:$B$60,0)),""))</x:f>
      </x:c>
      <x:c r="M155" s="1023"/>
      <x:c r="N155" s="1018"/>
      <x:c r="O155" s="1018"/>
      <x:c r="P155" s="1018"/>
      <x:c r="Q155" s="1018"/>
      <x:c r="R155" s="1018"/>
      <x:c r="S155" s="1018"/>
      <x:c r="T155" s="1025"/>
      <x:c r="U155" s="962" t="str">
        <x:f>IF($A155="","",IF(COUNTIF($A$14:$A$213,$A155)&gt;1,"DUPLICATE REVIEW ID",IF(OR($B155="",$C155="",$E155="",$F155="",$G155="",$I155="",$K155="",$M155="",$N155="",$O155="",$P155="",$Q155="",$R155="",$W155=""),"INCOMPLETE",IF(AND(OR($R155="Certify Current",$R155="Certify with Exception"),OR($S155="",$T155="")),"CERTIFICATION REQUIRED",IF(AND(NOT(OR($R155="Certify Current",$R155="Certify with Exception")),OR($S155&lt;&gt;"",$T155&lt;&gt;"")),"CERTIFICATION MISMATCH","COMPLETE")))))</x:f>
      </x:c>
      <x:c r="V155" s="1018"/>
      <x:c r="W155" s="1018"/>
    </x:row>
    <x:row r="156" ht="30" customHeight="1">
      <x:c r="A156" s="1018"/>
      <x:c r="B156" s="1025"/>
      <x:c r="C156" s="1018"/>
      <x:c r="D156" s="1021" t="str">
        <x:f>IF($C156="","",IFERROR(INDEX('20 RCC-003 MIAR Registry'!$C$14:$C$60,MATCH($C156,'20 RCC-003 MIAR Registry'!$B$14:$B$60,0)),"TICKER NOT FOUND"))</x:f>
      </x:c>
      <x:c r="E156" s="1018"/>
      <x:c r="F156" s="1018"/>
      <x:c r="G156" s="1018"/>
      <x:c r="H156" s="1021" t="str">
        <x:f>IF($C156="","",IFERROR(INDEX('20 RCC-003 MIAR Registry'!$M$14:$M$60,MATCH($C156,'20 RCC-003 MIAR Registry'!$B$14:$B$60,0)),""))</x:f>
      </x:c>
      <x:c r="I156" s="1018"/>
      <x:c r="J156" s="1027" t="str">
        <x:f>IF($C156="","",IFERROR(INDEX('20 RCC-003 MIAR Registry'!$K$14:$K$60,MATCH($C156,'20 RCC-003 MIAR Registry'!$B$14:$B$60,0)),""))</x:f>
      </x:c>
      <x:c r="K156" s="1023"/>
      <x:c r="L156" s="1027" t="str">
        <x:f>IF($C156="","",IFERROR(INDEX('20 RCC-003 MIAR Registry'!$L$14:$L$60,MATCH($C156,'20 RCC-003 MIAR Registry'!$B$14:$B$60,0)),""))</x:f>
      </x:c>
      <x:c r="M156" s="1023"/>
      <x:c r="N156" s="1018"/>
      <x:c r="O156" s="1018"/>
      <x:c r="P156" s="1018"/>
      <x:c r="Q156" s="1018"/>
      <x:c r="R156" s="1018"/>
      <x:c r="S156" s="1018"/>
      <x:c r="T156" s="1025"/>
      <x:c r="U156" s="962" t="str">
        <x:f>IF($A156="","",IF(COUNTIF($A$14:$A$213,$A156)&gt;1,"DUPLICATE REVIEW ID",IF(OR($B156="",$C156="",$E156="",$F156="",$G156="",$I156="",$K156="",$M156="",$N156="",$O156="",$P156="",$Q156="",$R156="",$W156=""),"INCOMPLETE",IF(AND(OR($R156="Certify Current",$R156="Certify with Exception"),OR($S156="",$T156="")),"CERTIFICATION REQUIRED",IF(AND(NOT(OR($R156="Certify Current",$R156="Certify with Exception")),OR($S156&lt;&gt;"",$T156&lt;&gt;"")),"CERTIFICATION MISMATCH","COMPLETE")))))</x:f>
      </x:c>
      <x:c r="V156" s="1018"/>
      <x:c r="W156" s="1018"/>
    </x:row>
    <x:row r="157" ht="30" customHeight="1">
      <x:c r="A157" s="1018"/>
      <x:c r="B157" s="1025"/>
      <x:c r="C157" s="1018"/>
      <x:c r="D157" s="1021" t="str">
        <x:f>IF($C157="","",IFERROR(INDEX('20 RCC-003 MIAR Registry'!$C$14:$C$60,MATCH($C157,'20 RCC-003 MIAR Registry'!$B$14:$B$60,0)),"TICKER NOT FOUND"))</x:f>
      </x:c>
      <x:c r="E157" s="1018"/>
      <x:c r="F157" s="1018"/>
      <x:c r="G157" s="1018"/>
      <x:c r="H157" s="1021" t="str">
        <x:f>IF($C157="","",IFERROR(INDEX('20 RCC-003 MIAR Registry'!$M$14:$M$60,MATCH($C157,'20 RCC-003 MIAR Registry'!$B$14:$B$60,0)),""))</x:f>
      </x:c>
      <x:c r="I157" s="1018"/>
      <x:c r="J157" s="1027" t="str">
        <x:f>IF($C157="","",IFERROR(INDEX('20 RCC-003 MIAR Registry'!$K$14:$K$60,MATCH($C157,'20 RCC-003 MIAR Registry'!$B$14:$B$60,0)),""))</x:f>
      </x:c>
      <x:c r="K157" s="1023"/>
      <x:c r="L157" s="1027" t="str">
        <x:f>IF($C157="","",IFERROR(INDEX('20 RCC-003 MIAR Registry'!$L$14:$L$60,MATCH($C157,'20 RCC-003 MIAR Registry'!$B$14:$B$60,0)),""))</x:f>
      </x:c>
      <x:c r="M157" s="1023"/>
      <x:c r="N157" s="1018"/>
      <x:c r="O157" s="1018"/>
      <x:c r="P157" s="1018"/>
      <x:c r="Q157" s="1018"/>
      <x:c r="R157" s="1018"/>
      <x:c r="S157" s="1018"/>
      <x:c r="T157" s="1025"/>
      <x:c r="U157" s="962" t="str">
        <x:f>IF($A157="","",IF(COUNTIF($A$14:$A$213,$A157)&gt;1,"DUPLICATE REVIEW ID",IF(OR($B157="",$C157="",$E157="",$F157="",$G157="",$I157="",$K157="",$M157="",$N157="",$O157="",$P157="",$Q157="",$R157="",$W157=""),"INCOMPLETE",IF(AND(OR($R157="Certify Current",$R157="Certify with Exception"),OR($S157="",$T157="")),"CERTIFICATION REQUIRED",IF(AND(NOT(OR($R157="Certify Current",$R157="Certify with Exception")),OR($S157&lt;&gt;"",$T157&lt;&gt;"")),"CERTIFICATION MISMATCH","COMPLETE")))))</x:f>
      </x:c>
      <x:c r="V157" s="1018"/>
      <x:c r="W157" s="1018"/>
    </x:row>
    <x:row r="158" ht="30" customHeight="1">
      <x:c r="A158" s="1018"/>
      <x:c r="B158" s="1025"/>
      <x:c r="C158" s="1018"/>
      <x:c r="D158" s="1021" t="str">
        <x:f>IF($C158="","",IFERROR(INDEX('20 RCC-003 MIAR Registry'!$C$14:$C$60,MATCH($C158,'20 RCC-003 MIAR Registry'!$B$14:$B$60,0)),"TICKER NOT FOUND"))</x:f>
      </x:c>
      <x:c r="E158" s="1018"/>
      <x:c r="F158" s="1018"/>
      <x:c r="G158" s="1018"/>
      <x:c r="H158" s="1021" t="str">
        <x:f>IF($C158="","",IFERROR(INDEX('20 RCC-003 MIAR Registry'!$M$14:$M$60,MATCH($C158,'20 RCC-003 MIAR Registry'!$B$14:$B$60,0)),""))</x:f>
      </x:c>
      <x:c r="I158" s="1018"/>
      <x:c r="J158" s="1027" t="str">
        <x:f>IF($C158="","",IFERROR(INDEX('20 RCC-003 MIAR Registry'!$K$14:$K$60,MATCH($C158,'20 RCC-003 MIAR Registry'!$B$14:$B$60,0)),""))</x:f>
      </x:c>
      <x:c r="K158" s="1023"/>
      <x:c r="L158" s="1027" t="str">
        <x:f>IF($C158="","",IFERROR(INDEX('20 RCC-003 MIAR Registry'!$L$14:$L$60,MATCH($C158,'20 RCC-003 MIAR Registry'!$B$14:$B$60,0)),""))</x:f>
      </x:c>
      <x:c r="M158" s="1023"/>
      <x:c r="N158" s="1018"/>
      <x:c r="O158" s="1018"/>
      <x:c r="P158" s="1018"/>
      <x:c r="Q158" s="1018"/>
      <x:c r="R158" s="1018"/>
      <x:c r="S158" s="1018"/>
      <x:c r="T158" s="1025"/>
      <x:c r="U158" s="962" t="str">
        <x:f>IF($A158="","",IF(COUNTIF($A$14:$A$213,$A158)&gt;1,"DUPLICATE REVIEW ID",IF(OR($B158="",$C158="",$E158="",$F158="",$G158="",$I158="",$K158="",$M158="",$N158="",$O158="",$P158="",$Q158="",$R158="",$W158=""),"INCOMPLETE",IF(AND(OR($R158="Certify Current",$R158="Certify with Exception"),OR($S158="",$T158="")),"CERTIFICATION REQUIRED",IF(AND(NOT(OR($R158="Certify Current",$R158="Certify with Exception")),OR($S158&lt;&gt;"",$T158&lt;&gt;"")),"CERTIFICATION MISMATCH","COMPLETE")))))</x:f>
      </x:c>
      <x:c r="V158" s="1018"/>
      <x:c r="W158" s="1018"/>
    </x:row>
    <x:row r="159" ht="30" customHeight="1">
      <x:c r="A159" s="1018"/>
      <x:c r="B159" s="1025"/>
      <x:c r="C159" s="1018"/>
      <x:c r="D159" s="1021" t="str">
        <x:f>IF($C159="","",IFERROR(INDEX('20 RCC-003 MIAR Registry'!$C$14:$C$60,MATCH($C159,'20 RCC-003 MIAR Registry'!$B$14:$B$60,0)),"TICKER NOT FOUND"))</x:f>
      </x:c>
      <x:c r="E159" s="1018"/>
      <x:c r="F159" s="1018"/>
      <x:c r="G159" s="1018"/>
      <x:c r="H159" s="1021" t="str">
        <x:f>IF($C159="","",IFERROR(INDEX('20 RCC-003 MIAR Registry'!$M$14:$M$60,MATCH($C159,'20 RCC-003 MIAR Registry'!$B$14:$B$60,0)),""))</x:f>
      </x:c>
      <x:c r="I159" s="1018"/>
      <x:c r="J159" s="1027" t="str">
        <x:f>IF($C159="","",IFERROR(INDEX('20 RCC-003 MIAR Registry'!$K$14:$K$60,MATCH($C159,'20 RCC-003 MIAR Registry'!$B$14:$B$60,0)),""))</x:f>
      </x:c>
      <x:c r="K159" s="1023"/>
      <x:c r="L159" s="1027" t="str">
        <x:f>IF($C159="","",IFERROR(INDEX('20 RCC-003 MIAR Registry'!$L$14:$L$60,MATCH($C159,'20 RCC-003 MIAR Registry'!$B$14:$B$60,0)),""))</x:f>
      </x:c>
      <x:c r="M159" s="1023"/>
      <x:c r="N159" s="1018"/>
      <x:c r="O159" s="1018"/>
      <x:c r="P159" s="1018"/>
      <x:c r="Q159" s="1018"/>
      <x:c r="R159" s="1018"/>
      <x:c r="S159" s="1018"/>
      <x:c r="T159" s="1025"/>
      <x:c r="U159" s="962" t="str">
        <x:f>IF($A159="","",IF(COUNTIF($A$14:$A$213,$A159)&gt;1,"DUPLICATE REVIEW ID",IF(OR($B159="",$C159="",$E159="",$F159="",$G159="",$I159="",$K159="",$M159="",$N159="",$O159="",$P159="",$Q159="",$R159="",$W159=""),"INCOMPLETE",IF(AND(OR($R159="Certify Current",$R159="Certify with Exception"),OR($S159="",$T159="")),"CERTIFICATION REQUIRED",IF(AND(NOT(OR($R159="Certify Current",$R159="Certify with Exception")),OR($S159&lt;&gt;"",$T159&lt;&gt;"")),"CERTIFICATION MISMATCH","COMPLETE")))))</x:f>
      </x:c>
      <x:c r="V159" s="1018"/>
      <x:c r="W159" s="1018"/>
    </x:row>
    <x:row r="160" ht="30" customHeight="1">
      <x:c r="A160" s="1018"/>
      <x:c r="B160" s="1025"/>
      <x:c r="C160" s="1018"/>
      <x:c r="D160" s="1021" t="str">
        <x:f>IF($C160="","",IFERROR(INDEX('20 RCC-003 MIAR Registry'!$C$14:$C$60,MATCH($C160,'20 RCC-003 MIAR Registry'!$B$14:$B$60,0)),"TICKER NOT FOUND"))</x:f>
      </x:c>
      <x:c r="E160" s="1018"/>
      <x:c r="F160" s="1018"/>
      <x:c r="G160" s="1018"/>
      <x:c r="H160" s="1021" t="str">
        <x:f>IF($C160="","",IFERROR(INDEX('20 RCC-003 MIAR Registry'!$M$14:$M$60,MATCH($C160,'20 RCC-003 MIAR Registry'!$B$14:$B$60,0)),""))</x:f>
      </x:c>
      <x:c r="I160" s="1018"/>
      <x:c r="J160" s="1027" t="str">
        <x:f>IF($C160="","",IFERROR(INDEX('20 RCC-003 MIAR Registry'!$K$14:$K$60,MATCH($C160,'20 RCC-003 MIAR Registry'!$B$14:$B$60,0)),""))</x:f>
      </x:c>
      <x:c r="K160" s="1023"/>
      <x:c r="L160" s="1027" t="str">
        <x:f>IF($C160="","",IFERROR(INDEX('20 RCC-003 MIAR Registry'!$L$14:$L$60,MATCH($C160,'20 RCC-003 MIAR Registry'!$B$14:$B$60,0)),""))</x:f>
      </x:c>
      <x:c r="M160" s="1023"/>
      <x:c r="N160" s="1018"/>
      <x:c r="O160" s="1018"/>
      <x:c r="P160" s="1018"/>
      <x:c r="Q160" s="1018"/>
      <x:c r="R160" s="1018"/>
      <x:c r="S160" s="1018"/>
      <x:c r="T160" s="1025"/>
      <x:c r="U160" s="962" t="str">
        <x:f>IF($A160="","",IF(COUNTIF($A$14:$A$213,$A160)&gt;1,"DUPLICATE REVIEW ID",IF(OR($B160="",$C160="",$E160="",$F160="",$G160="",$I160="",$K160="",$M160="",$N160="",$O160="",$P160="",$Q160="",$R160="",$W160=""),"INCOMPLETE",IF(AND(OR($R160="Certify Current",$R160="Certify with Exception"),OR($S160="",$T160="")),"CERTIFICATION REQUIRED",IF(AND(NOT(OR($R160="Certify Current",$R160="Certify with Exception")),OR($S160&lt;&gt;"",$T160&lt;&gt;"")),"CERTIFICATION MISMATCH","COMPLETE")))))</x:f>
      </x:c>
      <x:c r="V160" s="1018"/>
      <x:c r="W160" s="1018"/>
    </x:row>
    <x:row r="161" ht="30" customHeight="1">
      <x:c r="A161" s="1018"/>
      <x:c r="B161" s="1025"/>
      <x:c r="C161" s="1018"/>
      <x:c r="D161" s="1021" t="str">
        <x:f>IF($C161="","",IFERROR(INDEX('20 RCC-003 MIAR Registry'!$C$14:$C$60,MATCH($C161,'20 RCC-003 MIAR Registry'!$B$14:$B$60,0)),"TICKER NOT FOUND"))</x:f>
      </x:c>
      <x:c r="E161" s="1018"/>
      <x:c r="F161" s="1018"/>
      <x:c r="G161" s="1018"/>
      <x:c r="H161" s="1021" t="str">
        <x:f>IF($C161="","",IFERROR(INDEX('20 RCC-003 MIAR Registry'!$M$14:$M$60,MATCH($C161,'20 RCC-003 MIAR Registry'!$B$14:$B$60,0)),""))</x:f>
      </x:c>
      <x:c r="I161" s="1018"/>
      <x:c r="J161" s="1027" t="str">
        <x:f>IF($C161="","",IFERROR(INDEX('20 RCC-003 MIAR Registry'!$K$14:$K$60,MATCH($C161,'20 RCC-003 MIAR Registry'!$B$14:$B$60,0)),""))</x:f>
      </x:c>
      <x:c r="K161" s="1023"/>
      <x:c r="L161" s="1027" t="str">
        <x:f>IF($C161="","",IFERROR(INDEX('20 RCC-003 MIAR Registry'!$L$14:$L$60,MATCH($C161,'20 RCC-003 MIAR Registry'!$B$14:$B$60,0)),""))</x:f>
      </x:c>
      <x:c r="M161" s="1023"/>
      <x:c r="N161" s="1018"/>
      <x:c r="O161" s="1018"/>
      <x:c r="P161" s="1018"/>
      <x:c r="Q161" s="1018"/>
      <x:c r="R161" s="1018"/>
      <x:c r="S161" s="1018"/>
      <x:c r="T161" s="1025"/>
      <x:c r="U161" s="962" t="str">
        <x:f>IF($A161="","",IF(COUNTIF($A$14:$A$213,$A161)&gt;1,"DUPLICATE REVIEW ID",IF(OR($B161="",$C161="",$E161="",$F161="",$G161="",$I161="",$K161="",$M161="",$N161="",$O161="",$P161="",$Q161="",$R161="",$W161=""),"INCOMPLETE",IF(AND(OR($R161="Certify Current",$R161="Certify with Exception"),OR($S161="",$T161="")),"CERTIFICATION REQUIRED",IF(AND(NOT(OR($R161="Certify Current",$R161="Certify with Exception")),OR($S161&lt;&gt;"",$T161&lt;&gt;"")),"CERTIFICATION MISMATCH","COMPLETE")))))</x:f>
      </x:c>
      <x:c r="V161" s="1018"/>
      <x:c r="W161" s="1018"/>
    </x:row>
    <x:row r="162" ht="30" customHeight="1">
      <x:c r="A162" s="1018"/>
      <x:c r="B162" s="1025"/>
      <x:c r="C162" s="1018"/>
      <x:c r="D162" s="1021" t="str">
        <x:f>IF($C162="","",IFERROR(INDEX('20 RCC-003 MIAR Registry'!$C$14:$C$60,MATCH($C162,'20 RCC-003 MIAR Registry'!$B$14:$B$60,0)),"TICKER NOT FOUND"))</x:f>
      </x:c>
      <x:c r="E162" s="1018"/>
      <x:c r="F162" s="1018"/>
      <x:c r="G162" s="1018"/>
      <x:c r="H162" s="1021" t="str">
        <x:f>IF($C162="","",IFERROR(INDEX('20 RCC-003 MIAR Registry'!$M$14:$M$60,MATCH($C162,'20 RCC-003 MIAR Registry'!$B$14:$B$60,0)),""))</x:f>
      </x:c>
      <x:c r="I162" s="1018"/>
      <x:c r="J162" s="1027" t="str">
        <x:f>IF($C162="","",IFERROR(INDEX('20 RCC-003 MIAR Registry'!$K$14:$K$60,MATCH($C162,'20 RCC-003 MIAR Registry'!$B$14:$B$60,0)),""))</x:f>
      </x:c>
      <x:c r="K162" s="1023"/>
      <x:c r="L162" s="1027" t="str">
        <x:f>IF($C162="","",IFERROR(INDEX('20 RCC-003 MIAR Registry'!$L$14:$L$60,MATCH($C162,'20 RCC-003 MIAR Registry'!$B$14:$B$60,0)),""))</x:f>
      </x:c>
      <x:c r="M162" s="1023"/>
      <x:c r="N162" s="1018"/>
      <x:c r="O162" s="1018"/>
      <x:c r="P162" s="1018"/>
      <x:c r="Q162" s="1018"/>
      <x:c r="R162" s="1018"/>
      <x:c r="S162" s="1018"/>
      <x:c r="T162" s="1025"/>
      <x:c r="U162" s="962" t="str">
        <x:f>IF($A162="","",IF(COUNTIF($A$14:$A$213,$A162)&gt;1,"DUPLICATE REVIEW ID",IF(OR($B162="",$C162="",$E162="",$F162="",$G162="",$I162="",$K162="",$M162="",$N162="",$O162="",$P162="",$Q162="",$R162="",$W162=""),"INCOMPLETE",IF(AND(OR($R162="Certify Current",$R162="Certify with Exception"),OR($S162="",$T162="")),"CERTIFICATION REQUIRED",IF(AND(NOT(OR($R162="Certify Current",$R162="Certify with Exception")),OR($S162&lt;&gt;"",$T162&lt;&gt;"")),"CERTIFICATION MISMATCH","COMPLETE")))))</x:f>
      </x:c>
      <x:c r="V162" s="1018"/>
      <x:c r="W162" s="1018"/>
    </x:row>
    <x:row r="163" ht="30" customHeight="1">
      <x:c r="A163" s="1018"/>
      <x:c r="B163" s="1025"/>
      <x:c r="C163" s="1018"/>
      <x:c r="D163" s="1021" t="str">
        <x:f>IF($C163="","",IFERROR(INDEX('20 RCC-003 MIAR Registry'!$C$14:$C$60,MATCH($C163,'20 RCC-003 MIAR Registry'!$B$14:$B$60,0)),"TICKER NOT FOUND"))</x:f>
      </x:c>
      <x:c r="E163" s="1018"/>
      <x:c r="F163" s="1018"/>
      <x:c r="G163" s="1018"/>
      <x:c r="H163" s="1021" t="str">
        <x:f>IF($C163="","",IFERROR(INDEX('20 RCC-003 MIAR Registry'!$M$14:$M$60,MATCH($C163,'20 RCC-003 MIAR Registry'!$B$14:$B$60,0)),""))</x:f>
      </x:c>
      <x:c r="I163" s="1018"/>
      <x:c r="J163" s="1027" t="str">
        <x:f>IF($C163="","",IFERROR(INDEX('20 RCC-003 MIAR Registry'!$K$14:$K$60,MATCH($C163,'20 RCC-003 MIAR Registry'!$B$14:$B$60,0)),""))</x:f>
      </x:c>
      <x:c r="K163" s="1023"/>
      <x:c r="L163" s="1027" t="str">
        <x:f>IF($C163="","",IFERROR(INDEX('20 RCC-003 MIAR Registry'!$L$14:$L$60,MATCH($C163,'20 RCC-003 MIAR Registry'!$B$14:$B$60,0)),""))</x:f>
      </x:c>
      <x:c r="M163" s="1023"/>
      <x:c r="N163" s="1018"/>
      <x:c r="O163" s="1018"/>
      <x:c r="P163" s="1018"/>
      <x:c r="Q163" s="1018"/>
      <x:c r="R163" s="1018"/>
      <x:c r="S163" s="1018"/>
      <x:c r="T163" s="1025"/>
      <x:c r="U163" s="962" t="str">
        <x:f>IF($A163="","",IF(COUNTIF($A$14:$A$213,$A163)&gt;1,"DUPLICATE REVIEW ID",IF(OR($B163="",$C163="",$E163="",$F163="",$G163="",$I163="",$K163="",$M163="",$N163="",$O163="",$P163="",$Q163="",$R163="",$W163=""),"INCOMPLETE",IF(AND(OR($R163="Certify Current",$R163="Certify with Exception"),OR($S163="",$T163="")),"CERTIFICATION REQUIRED",IF(AND(NOT(OR($R163="Certify Current",$R163="Certify with Exception")),OR($S163&lt;&gt;"",$T163&lt;&gt;"")),"CERTIFICATION MISMATCH","COMPLETE")))))</x:f>
      </x:c>
      <x:c r="V163" s="1018"/>
      <x:c r="W163" s="1018"/>
    </x:row>
    <x:row r="164" ht="30" customHeight="1">
      <x:c r="A164" s="1018"/>
      <x:c r="B164" s="1025"/>
      <x:c r="C164" s="1018"/>
      <x:c r="D164" s="1021" t="str">
        <x:f>IF($C164="","",IFERROR(INDEX('20 RCC-003 MIAR Registry'!$C$14:$C$60,MATCH($C164,'20 RCC-003 MIAR Registry'!$B$14:$B$60,0)),"TICKER NOT FOUND"))</x:f>
      </x:c>
      <x:c r="E164" s="1018"/>
      <x:c r="F164" s="1018"/>
      <x:c r="G164" s="1018"/>
      <x:c r="H164" s="1021" t="str">
        <x:f>IF($C164="","",IFERROR(INDEX('20 RCC-003 MIAR Registry'!$M$14:$M$60,MATCH($C164,'20 RCC-003 MIAR Registry'!$B$14:$B$60,0)),""))</x:f>
      </x:c>
      <x:c r="I164" s="1018"/>
      <x:c r="J164" s="1027" t="str">
        <x:f>IF($C164="","",IFERROR(INDEX('20 RCC-003 MIAR Registry'!$K$14:$K$60,MATCH($C164,'20 RCC-003 MIAR Registry'!$B$14:$B$60,0)),""))</x:f>
      </x:c>
      <x:c r="K164" s="1023"/>
      <x:c r="L164" s="1027" t="str">
        <x:f>IF($C164="","",IFERROR(INDEX('20 RCC-003 MIAR Registry'!$L$14:$L$60,MATCH($C164,'20 RCC-003 MIAR Registry'!$B$14:$B$60,0)),""))</x:f>
      </x:c>
      <x:c r="M164" s="1023"/>
      <x:c r="N164" s="1018"/>
      <x:c r="O164" s="1018"/>
      <x:c r="P164" s="1018"/>
      <x:c r="Q164" s="1018"/>
      <x:c r="R164" s="1018"/>
      <x:c r="S164" s="1018"/>
      <x:c r="T164" s="1025"/>
      <x:c r="U164" s="962" t="str">
        <x:f>IF($A164="","",IF(COUNTIF($A$14:$A$213,$A164)&gt;1,"DUPLICATE REVIEW ID",IF(OR($B164="",$C164="",$E164="",$F164="",$G164="",$I164="",$K164="",$M164="",$N164="",$O164="",$P164="",$Q164="",$R164="",$W164=""),"INCOMPLETE",IF(AND(OR($R164="Certify Current",$R164="Certify with Exception"),OR($S164="",$T164="")),"CERTIFICATION REQUIRED",IF(AND(NOT(OR($R164="Certify Current",$R164="Certify with Exception")),OR($S164&lt;&gt;"",$T164&lt;&gt;"")),"CERTIFICATION MISMATCH","COMPLETE")))))</x:f>
      </x:c>
      <x:c r="V164" s="1018"/>
      <x:c r="W164" s="1018"/>
    </x:row>
    <x:row r="165" ht="30" customHeight="1">
      <x:c r="A165" s="1018"/>
      <x:c r="B165" s="1025"/>
      <x:c r="C165" s="1018"/>
      <x:c r="D165" s="1021" t="str">
        <x:f>IF($C165="","",IFERROR(INDEX('20 RCC-003 MIAR Registry'!$C$14:$C$60,MATCH($C165,'20 RCC-003 MIAR Registry'!$B$14:$B$60,0)),"TICKER NOT FOUND"))</x:f>
      </x:c>
      <x:c r="E165" s="1018"/>
      <x:c r="F165" s="1018"/>
      <x:c r="G165" s="1018"/>
      <x:c r="H165" s="1021" t="str">
        <x:f>IF($C165="","",IFERROR(INDEX('20 RCC-003 MIAR Registry'!$M$14:$M$60,MATCH($C165,'20 RCC-003 MIAR Registry'!$B$14:$B$60,0)),""))</x:f>
      </x:c>
      <x:c r="I165" s="1018"/>
      <x:c r="J165" s="1027" t="str">
        <x:f>IF($C165="","",IFERROR(INDEX('20 RCC-003 MIAR Registry'!$K$14:$K$60,MATCH($C165,'20 RCC-003 MIAR Registry'!$B$14:$B$60,0)),""))</x:f>
      </x:c>
      <x:c r="K165" s="1023"/>
      <x:c r="L165" s="1027" t="str">
        <x:f>IF($C165="","",IFERROR(INDEX('20 RCC-003 MIAR Registry'!$L$14:$L$60,MATCH($C165,'20 RCC-003 MIAR Registry'!$B$14:$B$60,0)),""))</x:f>
      </x:c>
      <x:c r="M165" s="1023"/>
      <x:c r="N165" s="1018"/>
      <x:c r="O165" s="1018"/>
      <x:c r="P165" s="1018"/>
      <x:c r="Q165" s="1018"/>
      <x:c r="R165" s="1018"/>
      <x:c r="S165" s="1018"/>
      <x:c r="T165" s="1025"/>
      <x:c r="U165" s="962" t="str">
        <x:f>IF($A165="","",IF(COUNTIF($A$14:$A$213,$A165)&gt;1,"DUPLICATE REVIEW ID",IF(OR($B165="",$C165="",$E165="",$F165="",$G165="",$I165="",$K165="",$M165="",$N165="",$O165="",$P165="",$Q165="",$R165="",$W165=""),"INCOMPLETE",IF(AND(OR($R165="Certify Current",$R165="Certify with Exception"),OR($S165="",$T165="")),"CERTIFICATION REQUIRED",IF(AND(NOT(OR($R165="Certify Current",$R165="Certify with Exception")),OR($S165&lt;&gt;"",$T165&lt;&gt;"")),"CERTIFICATION MISMATCH","COMPLETE")))))</x:f>
      </x:c>
      <x:c r="V165" s="1018"/>
      <x:c r="W165" s="1018"/>
    </x:row>
    <x:row r="166" ht="30" customHeight="1">
      <x:c r="A166" s="1018"/>
      <x:c r="B166" s="1025"/>
      <x:c r="C166" s="1018"/>
      <x:c r="D166" s="1021" t="str">
        <x:f>IF($C166="","",IFERROR(INDEX('20 RCC-003 MIAR Registry'!$C$14:$C$60,MATCH($C166,'20 RCC-003 MIAR Registry'!$B$14:$B$60,0)),"TICKER NOT FOUND"))</x:f>
      </x:c>
      <x:c r="E166" s="1018"/>
      <x:c r="F166" s="1018"/>
      <x:c r="G166" s="1018"/>
      <x:c r="H166" s="1021" t="str">
        <x:f>IF($C166="","",IFERROR(INDEX('20 RCC-003 MIAR Registry'!$M$14:$M$60,MATCH($C166,'20 RCC-003 MIAR Registry'!$B$14:$B$60,0)),""))</x:f>
      </x:c>
      <x:c r="I166" s="1018"/>
      <x:c r="J166" s="1027" t="str">
        <x:f>IF($C166="","",IFERROR(INDEX('20 RCC-003 MIAR Registry'!$K$14:$K$60,MATCH($C166,'20 RCC-003 MIAR Registry'!$B$14:$B$60,0)),""))</x:f>
      </x:c>
      <x:c r="K166" s="1023"/>
      <x:c r="L166" s="1027" t="str">
        <x:f>IF($C166="","",IFERROR(INDEX('20 RCC-003 MIAR Registry'!$L$14:$L$60,MATCH($C166,'20 RCC-003 MIAR Registry'!$B$14:$B$60,0)),""))</x:f>
      </x:c>
      <x:c r="M166" s="1023"/>
      <x:c r="N166" s="1018"/>
      <x:c r="O166" s="1018"/>
      <x:c r="P166" s="1018"/>
      <x:c r="Q166" s="1018"/>
      <x:c r="R166" s="1018"/>
      <x:c r="S166" s="1018"/>
      <x:c r="T166" s="1025"/>
      <x:c r="U166" s="962" t="str">
        <x:f>IF($A166="","",IF(COUNTIF($A$14:$A$213,$A166)&gt;1,"DUPLICATE REVIEW ID",IF(OR($B166="",$C166="",$E166="",$F166="",$G166="",$I166="",$K166="",$M166="",$N166="",$O166="",$P166="",$Q166="",$R166="",$W166=""),"INCOMPLETE",IF(AND(OR($R166="Certify Current",$R166="Certify with Exception"),OR($S166="",$T166="")),"CERTIFICATION REQUIRED",IF(AND(NOT(OR($R166="Certify Current",$R166="Certify with Exception")),OR($S166&lt;&gt;"",$T166&lt;&gt;"")),"CERTIFICATION MISMATCH","COMPLETE")))))</x:f>
      </x:c>
      <x:c r="V166" s="1018"/>
      <x:c r="W166" s="1018"/>
    </x:row>
    <x:row r="167" ht="30" customHeight="1">
      <x:c r="A167" s="1018"/>
      <x:c r="B167" s="1025"/>
      <x:c r="C167" s="1018"/>
      <x:c r="D167" s="1021" t="str">
        <x:f>IF($C167="","",IFERROR(INDEX('20 RCC-003 MIAR Registry'!$C$14:$C$60,MATCH($C167,'20 RCC-003 MIAR Registry'!$B$14:$B$60,0)),"TICKER NOT FOUND"))</x:f>
      </x:c>
      <x:c r="E167" s="1018"/>
      <x:c r="F167" s="1018"/>
      <x:c r="G167" s="1018"/>
      <x:c r="H167" s="1021" t="str">
        <x:f>IF($C167="","",IFERROR(INDEX('20 RCC-003 MIAR Registry'!$M$14:$M$60,MATCH($C167,'20 RCC-003 MIAR Registry'!$B$14:$B$60,0)),""))</x:f>
      </x:c>
      <x:c r="I167" s="1018"/>
      <x:c r="J167" s="1027" t="str">
        <x:f>IF($C167="","",IFERROR(INDEX('20 RCC-003 MIAR Registry'!$K$14:$K$60,MATCH($C167,'20 RCC-003 MIAR Registry'!$B$14:$B$60,0)),""))</x:f>
      </x:c>
      <x:c r="K167" s="1023"/>
      <x:c r="L167" s="1027" t="str">
        <x:f>IF($C167="","",IFERROR(INDEX('20 RCC-003 MIAR Registry'!$L$14:$L$60,MATCH($C167,'20 RCC-003 MIAR Registry'!$B$14:$B$60,0)),""))</x:f>
      </x:c>
      <x:c r="M167" s="1023"/>
      <x:c r="N167" s="1018"/>
      <x:c r="O167" s="1018"/>
      <x:c r="P167" s="1018"/>
      <x:c r="Q167" s="1018"/>
      <x:c r="R167" s="1018"/>
      <x:c r="S167" s="1018"/>
      <x:c r="T167" s="1025"/>
      <x:c r="U167" s="962" t="str">
        <x:f>IF($A167="","",IF(COUNTIF($A$14:$A$213,$A167)&gt;1,"DUPLICATE REVIEW ID",IF(OR($B167="",$C167="",$E167="",$F167="",$G167="",$I167="",$K167="",$M167="",$N167="",$O167="",$P167="",$Q167="",$R167="",$W167=""),"INCOMPLETE",IF(AND(OR($R167="Certify Current",$R167="Certify with Exception"),OR($S167="",$T167="")),"CERTIFICATION REQUIRED",IF(AND(NOT(OR($R167="Certify Current",$R167="Certify with Exception")),OR($S167&lt;&gt;"",$T167&lt;&gt;"")),"CERTIFICATION MISMATCH","COMPLETE")))))</x:f>
      </x:c>
      <x:c r="V167" s="1018"/>
      <x:c r="W167" s="1018"/>
    </x:row>
    <x:row r="168" ht="30" customHeight="1">
      <x:c r="A168" s="1018"/>
      <x:c r="B168" s="1025"/>
      <x:c r="C168" s="1018"/>
      <x:c r="D168" s="1021" t="str">
        <x:f>IF($C168="","",IFERROR(INDEX('20 RCC-003 MIAR Registry'!$C$14:$C$60,MATCH($C168,'20 RCC-003 MIAR Registry'!$B$14:$B$60,0)),"TICKER NOT FOUND"))</x:f>
      </x:c>
      <x:c r="E168" s="1018"/>
      <x:c r="F168" s="1018"/>
      <x:c r="G168" s="1018"/>
      <x:c r="H168" s="1021" t="str">
        <x:f>IF($C168="","",IFERROR(INDEX('20 RCC-003 MIAR Registry'!$M$14:$M$60,MATCH($C168,'20 RCC-003 MIAR Registry'!$B$14:$B$60,0)),""))</x:f>
      </x:c>
      <x:c r="I168" s="1018"/>
      <x:c r="J168" s="1027" t="str">
        <x:f>IF($C168="","",IFERROR(INDEX('20 RCC-003 MIAR Registry'!$K$14:$K$60,MATCH($C168,'20 RCC-003 MIAR Registry'!$B$14:$B$60,0)),""))</x:f>
      </x:c>
      <x:c r="K168" s="1023"/>
      <x:c r="L168" s="1027" t="str">
        <x:f>IF($C168="","",IFERROR(INDEX('20 RCC-003 MIAR Registry'!$L$14:$L$60,MATCH($C168,'20 RCC-003 MIAR Registry'!$B$14:$B$60,0)),""))</x:f>
      </x:c>
      <x:c r="M168" s="1023"/>
      <x:c r="N168" s="1018"/>
      <x:c r="O168" s="1018"/>
      <x:c r="P168" s="1018"/>
      <x:c r="Q168" s="1018"/>
      <x:c r="R168" s="1018"/>
      <x:c r="S168" s="1018"/>
      <x:c r="T168" s="1025"/>
      <x:c r="U168" s="962" t="str">
        <x:f>IF($A168="","",IF(COUNTIF($A$14:$A$213,$A168)&gt;1,"DUPLICATE REVIEW ID",IF(OR($B168="",$C168="",$E168="",$F168="",$G168="",$I168="",$K168="",$M168="",$N168="",$O168="",$P168="",$Q168="",$R168="",$W168=""),"INCOMPLETE",IF(AND(OR($R168="Certify Current",$R168="Certify with Exception"),OR($S168="",$T168="")),"CERTIFICATION REQUIRED",IF(AND(NOT(OR($R168="Certify Current",$R168="Certify with Exception")),OR($S168&lt;&gt;"",$T168&lt;&gt;"")),"CERTIFICATION MISMATCH","COMPLETE")))))</x:f>
      </x:c>
      <x:c r="V168" s="1018"/>
      <x:c r="W168" s="1018"/>
    </x:row>
    <x:row r="169" ht="30" customHeight="1">
      <x:c r="A169" s="1018"/>
      <x:c r="B169" s="1025"/>
      <x:c r="C169" s="1018"/>
      <x:c r="D169" s="1021" t="str">
        <x:f>IF($C169="","",IFERROR(INDEX('20 RCC-003 MIAR Registry'!$C$14:$C$60,MATCH($C169,'20 RCC-003 MIAR Registry'!$B$14:$B$60,0)),"TICKER NOT FOUND"))</x:f>
      </x:c>
      <x:c r="E169" s="1018"/>
      <x:c r="F169" s="1018"/>
      <x:c r="G169" s="1018"/>
      <x:c r="H169" s="1021" t="str">
        <x:f>IF($C169="","",IFERROR(INDEX('20 RCC-003 MIAR Registry'!$M$14:$M$60,MATCH($C169,'20 RCC-003 MIAR Registry'!$B$14:$B$60,0)),""))</x:f>
      </x:c>
      <x:c r="I169" s="1018"/>
      <x:c r="J169" s="1027" t="str">
        <x:f>IF($C169="","",IFERROR(INDEX('20 RCC-003 MIAR Registry'!$K$14:$K$60,MATCH($C169,'20 RCC-003 MIAR Registry'!$B$14:$B$60,0)),""))</x:f>
      </x:c>
      <x:c r="K169" s="1023"/>
      <x:c r="L169" s="1027" t="str">
        <x:f>IF($C169="","",IFERROR(INDEX('20 RCC-003 MIAR Registry'!$L$14:$L$60,MATCH($C169,'20 RCC-003 MIAR Registry'!$B$14:$B$60,0)),""))</x:f>
      </x:c>
      <x:c r="M169" s="1023"/>
      <x:c r="N169" s="1018"/>
      <x:c r="O169" s="1018"/>
      <x:c r="P169" s="1018"/>
      <x:c r="Q169" s="1018"/>
      <x:c r="R169" s="1018"/>
      <x:c r="S169" s="1018"/>
      <x:c r="T169" s="1025"/>
      <x:c r="U169" s="962" t="str">
        <x:f>IF($A169="","",IF(COUNTIF($A$14:$A$213,$A169)&gt;1,"DUPLICATE REVIEW ID",IF(OR($B169="",$C169="",$E169="",$F169="",$G169="",$I169="",$K169="",$M169="",$N169="",$O169="",$P169="",$Q169="",$R169="",$W169=""),"INCOMPLETE",IF(AND(OR($R169="Certify Current",$R169="Certify with Exception"),OR($S169="",$T169="")),"CERTIFICATION REQUIRED",IF(AND(NOT(OR($R169="Certify Current",$R169="Certify with Exception")),OR($S169&lt;&gt;"",$T169&lt;&gt;"")),"CERTIFICATION MISMATCH","COMPLETE")))))</x:f>
      </x:c>
      <x:c r="V169" s="1018"/>
      <x:c r="W169" s="1018"/>
    </x:row>
    <x:row r="170" ht="30" customHeight="1">
      <x:c r="A170" s="1018"/>
      <x:c r="B170" s="1025"/>
      <x:c r="C170" s="1018"/>
      <x:c r="D170" s="1021" t="str">
        <x:f>IF($C170="","",IFERROR(INDEX('20 RCC-003 MIAR Registry'!$C$14:$C$60,MATCH($C170,'20 RCC-003 MIAR Registry'!$B$14:$B$60,0)),"TICKER NOT FOUND"))</x:f>
      </x:c>
      <x:c r="E170" s="1018"/>
      <x:c r="F170" s="1018"/>
      <x:c r="G170" s="1018"/>
      <x:c r="H170" s="1021" t="str">
        <x:f>IF($C170="","",IFERROR(INDEX('20 RCC-003 MIAR Registry'!$M$14:$M$60,MATCH($C170,'20 RCC-003 MIAR Registry'!$B$14:$B$60,0)),""))</x:f>
      </x:c>
      <x:c r="I170" s="1018"/>
      <x:c r="J170" s="1027" t="str">
        <x:f>IF($C170="","",IFERROR(INDEX('20 RCC-003 MIAR Registry'!$K$14:$K$60,MATCH($C170,'20 RCC-003 MIAR Registry'!$B$14:$B$60,0)),""))</x:f>
      </x:c>
      <x:c r="K170" s="1023"/>
      <x:c r="L170" s="1027" t="str">
        <x:f>IF($C170="","",IFERROR(INDEX('20 RCC-003 MIAR Registry'!$L$14:$L$60,MATCH($C170,'20 RCC-003 MIAR Registry'!$B$14:$B$60,0)),""))</x:f>
      </x:c>
      <x:c r="M170" s="1023"/>
      <x:c r="N170" s="1018"/>
      <x:c r="O170" s="1018"/>
      <x:c r="P170" s="1018"/>
      <x:c r="Q170" s="1018"/>
      <x:c r="R170" s="1018"/>
      <x:c r="S170" s="1018"/>
      <x:c r="T170" s="1025"/>
      <x:c r="U170" s="962" t="str">
        <x:f>IF($A170="","",IF(COUNTIF($A$14:$A$213,$A170)&gt;1,"DUPLICATE REVIEW ID",IF(OR($B170="",$C170="",$E170="",$F170="",$G170="",$I170="",$K170="",$M170="",$N170="",$O170="",$P170="",$Q170="",$R170="",$W170=""),"INCOMPLETE",IF(AND(OR($R170="Certify Current",$R170="Certify with Exception"),OR($S170="",$T170="")),"CERTIFICATION REQUIRED",IF(AND(NOT(OR($R170="Certify Current",$R170="Certify with Exception")),OR($S170&lt;&gt;"",$T170&lt;&gt;"")),"CERTIFICATION MISMATCH","COMPLETE")))))</x:f>
      </x:c>
      <x:c r="V170" s="1018"/>
      <x:c r="W170" s="1018"/>
    </x:row>
    <x:row r="171" ht="30" customHeight="1">
      <x:c r="A171" s="1018"/>
      <x:c r="B171" s="1025"/>
      <x:c r="C171" s="1018"/>
      <x:c r="D171" s="1021" t="str">
        <x:f>IF($C171="","",IFERROR(INDEX('20 RCC-003 MIAR Registry'!$C$14:$C$60,MATCH($C171,'20 RCC-003 MIAR Registry'!$B$14:$B$60,0)),"TICKER NOT FOUND"))</x:f>
      </x:c>
      <x:c r="E171" s="1018"/>
      <x:c r="F171" s="1018"/>
      <x:c r="G171" s="1018"/>
      <x:c r="H171" s="1021" t="str">
        <x:f>IF($C171="","",IFERROR(INDEX('20 RCC-003 MIAR Registry'!$M$14:$M$60,MATCH($C171,'20 RCC-003 MIAR Registry'!$B$14:$B$60,0)),""))</x:f>
      </x:c>
      <x:c r="I171" s="1018"/>
      <x:c r="J171" s="1027" t="str">
        <x:f>IF($C171="","",IFERROR(INDEX('20 RCC-003 MIAR Registry'!$K$14:$K$60,MATCH($C171,'20 RCC-003 MIAR Registry'!$B$14:$B$60,0)),""))</x:f>
      </x:c>
      <x:c r="K171" s="1023"/>
      <x:c r="L171" s="1027" t="str">
        <x:f>IF($C171="","",IFERROR(INDEX('20 RCC-003 MIAR Registry'!$L$14:$L$60,MATCH($C171,'20 RCC-003 MIAR Registry'!$B$14:$B$60,0)),""))</x:f>
      </x:c>
      <x:c r="M171" s="1023"/>
      <x:c r="N171" s="1018"/>
      <x:c r="O171" s="1018"/>
      <x:c r="P171" s="1018"/>
      <x:c r="Q171" s="1018"/>
      <x:c r="R171" s="1018"/>
      <x:c r="S171" s="1018"/>
      <x:c r="T171" s="1025"/>
      <x:c r="U171" s="962" t="str">
        <x:f>IF($A171="","",IF(COUNTIF($A$14:$A$213,$A171)&gt;1,"DUPLICATE REVIEW ID",IF(OR($B171="",$C171="",$E171="",$F171="",$G171="",$I171="",$K171="",$M171="",$N171="",$O171="",$P171="",$Q171="",$R171="",$W171=""),"INCOMPLETE",IF(AND(OR($R171="Certify Current",$R171="Certify with Exception"),OR($S171="",$T171="")),"CERTIFICATION REQUIRED",IF(AND(NOT(OR($R171="Certify Current",$R171="Certify with Exception")),OR($S171&lt;&gt;"",$T171&lt;&gt;"")),"CERTIFICATION MISMATCH","COMPLETE")))))</x:f>
      </x:c>
      <x:c r="V171" s="1018"/>
      <x:c r="W171" s="1018"/>
    </x:row>
    <x:row r="172" ht="30" customHeight="1">
      <x:c r="A172" s="1018"/>
      <x:c r="B172" s="1025"/>
      <x:c r="C172" s="1018"/>
      <x:c r="D172" s="1021" t="str">
        <x:f>IF($C172="","",IFERROR(INDEX('20 RCC-003 MIAR Registry'!$C$14:$C$60,MATCH($C172,'20 RCC-003 MIAR Registry'!$B$14:$B$60,0)),"TICKER NOT FOUND"))</x:f>
      </x:c>
      <x:c r="E172" s="1018"/>
      <x:c r="F172" s="1018"/>
      <x:c r="G172" s="1018"/>
      <x:c r="H172" s="1021" t="str">
        <x:f>IF($C172="","",IFERROR(INDEX('20 RCC-003 MIAR Registry'!$M$14:$M$60,MATCH($C172,'20 RCC-003 MIAR Registry'!$B$14:$B$60,0)),""))</x:f>
      </x:c>
      <x:c r="I172" s="1018"/>
      <x:c r="J172" s="1027" t="str">
        <x:f>IF($C172="","",IFERROR(INDEX('20 RCC-003 MIAR Registry'!$K$14:$K$60,MATCH($C172,'20 RCC-003 MIAR Registry'!$B$14:$B$60,0)),""))</x:f>
      </x:c>
      <x:c r="K172" s="1023"/>
      <x:c r="L172" s="1027" t="str">
        <x:f>IF($C172="","",IFERROR(INDEX('20 RCC-003 MIAR Registry'!$L$14:$L$60,MATCH($C172,'20 RCC-003 MIAR Registry'!$B$14:$B$60,0)),""))</x:f>
      </x:c>
      <x:c r="M172" s="1023"/>
      <x:c r="N172" s="1018"/>
      <x:c r="O172" s="1018"/>
      <x:c r="P172" s="1018"/>
      <x:c r="Q172" s="1018"/>
      <x:c r="R172" s="1018"/>
      <x:c r="S172" s="1018"/>
      <x:c r="T172" s="1025"/>
      <x:c r="U172" s="962" t="str">
        <x:f>IF($A172="","",IF(COUNTIF($A$14:$A$213,$A172)&gt;1,"DUPLICATE REVIEW ID",IF(OR($B172="",$C172="",$E172="",$F172="",$G172="",$I172="",$K172="",$M172="",$N172="",$O172="",$P172="",$Q172="",$R172="",$W172=""),"INCOMPLETE",IF(AND(OR($R172="Certify Current",$R172="Certify with Exception"),OR($S172="",$T172="")),"CERTIFICATION REQUIRED",IF(AND(NOT(OR($R172="Certify Current",$R172="Certify with Exception")),OR($S172&lt;&gt;"",$T172&lt;&gt;"")),"CERTIFICATION MISMATCH","COMPLETE")))))</x:f>
      </x:c>
      <x:c r="V172" s="1018"/>
      <x:c r="W172" s="1018"/>
    </x:row>
    <x:row r="173" ht="30" customHeight="1">
      <x:c r="A173" s="1018"/>
      <x:c r="B173" s="1025"/>
      <x:c r="C173" s="1018"/>
      <x:c r="D173" s="1021" t="str">
        <x:f>IF($C173="","",IFERROR(INDEX('20 RCC-003 MIAR Registry'!$C$14:$C$60,MATCH($C173,'20 RCC-003 MIAR Registry'!$B$14:$B$60,0)),"TICKER NOT FOUND"))</x:f>
      </x:c>
      <x:c r="E173" s="1018"/>
      <x:c r="F173" s="1018"/>
      <x:c r="G173" s="1018"/>
      <x:c r="H173" s="1021" t="str">
        <x:f>IF($C173="","",IFERROR(INDEX('20 RCC-003 MIAR Registry'!$M$14:$M$60,MATCH($C173,'20 RCC-003 MIAR Registry'!$B$14:$B$60,0)),""))</x:f>
      </x:c>
      <x:c r="I173" s="1018"/>
      <x:c r="J173" s="1027" t="str">
        <x:f>IF($C173="","",IFERROR(INDEX('20 RCC-003 MIAR Registry'!$K$14:$K$60,MATCH($C173,'20 RCC-003 MIAR Registry'!$B$14:$B$60,0)),""))</x:f>
      </x:c>
      <x:c r="K173" s="1023"/>
      <x:c r="L173" s="1027" t="str">
        <x:f>IF($C173="","",IFERROR(INDEX('20 RCC-003 MIAR Registry'!$L$14:$L$60,MATCH($C173,'20 RCC-003 MIAR Registry'!$B$14:$B$60,0)),""))</x:f>
      </x:c>
      <x:c r="M173" s="1023"/>
      <x:c r="N173" s="1018"/>
      <x:c r="O173" s="1018"/>
      <x:c r="P173" s="1018"/>
      <x:c r="Q173" s="1018"/>
      <x:c r="R173" s="1018"/>
      <x:c r="S173" s="1018"/>
      <x:c r="T173" s="1025"/>
      <x:c r="U173" s="962" t="str">
        <x:f>IF($A173="","",IF(COUNTIF($A$14:$A$213,$A173)&gt;1,"DUPLICATE REVIEW ID",IF(OR($B173="",$C173="",$E173="",$F173="",$G173="",$I173="",$K173="",$M173="",$N173="",$O173="",$P173="",$Q173="",$R173="",$W173=""),"INCOMPLETE",IF(AND(OR($R173="Certify Current",$R173="Certify with Exception"),OR($S173="",$T173="")),"CERTIFICATION REQUIRED",IF(AND(NOT(OR($R173="Certify Current",$R173="Certify with Exception")),OR($S173&lt;&gt;"",$T173&lt;&gt;"")),"CERTIFICATION MISMATCH","COMPLETE")))))</x:f>
      </x:c>
      <x:c r="V173" s="1018"/>
      <x:c r="W173" s="1018"/>
    </x:row>
    <x:row r="174" ht="30" customHeight="1">
      <x:c r="A174" s="1018"/>
      <x:c r="B174" s="1025"/>
      <x:c r="C174" s="1018"/>
      <x:c r="D174" s="1021" t="str">
        <x:f>IF($C174="","",IFERROR(INDEX('20 RCC-003 MIAR Registry'!$C$14:$C$60,MATCH($C174,'20 RCC-003 MIAR Registry'!$B$14:$B$60,0)),"TICKER NOT FOUND"))</x:f>
      </x:c>
      <x:c r="E174" s="1018"/>
      <x:c r="F174" s="1018"/>
      <x:c r="G174" s="1018"/>
      <x:c r="H174" s="1021" t="str">
        <x:f>IF($C174="","",IFERROR(INDEX('20 RCC-003 MIAR Registry'!$M$14:$M$60,MATCH($C174,'20 RCC-003 MIAR Registry'!$B$14:$B$60,0)),""))</x:f>
      </x:c>
      <x:c r="I174" s="1018"/>
      <x:c r="J174" s="1027" t="str">
        <x:f>IF($C174="","",IFERROR(INDEX('20 RCC-003 MIAR Registry'!$K$14:$K$60,MATCH($C174,'20 RCC-003 MIAR Registry'!$B$14:$B$60,0)),""))</x:f>
      </x:c>
      <x:c r="K174" s="1023"/>
      <x:c r="L174" s="1027" t="str">
        <x:f>IF($C174="","",IFERROR(INDEX('20 RCC-003 MIAR Registry'!$L$14:$L$60,MATCH($C174,'20 RCC-003 MIAR Registry'!$B$14:$B$60,0)),""))</x:f>
      </x:c>
      <x:c r="M174" s="1023"/>
      <x:c r="N174" s="1018"/>
      <x:c r="O174" s="1018"/>
      <x:c r="P174" s="1018"/>
      <x:c r="Q174" s="1018"/>
      <x:c r="R174" s="1018"/>
      <x:c r="S174" s="1018"/>
      <x:c r="T174" s="1025"/>
      <x:c r="U174" s="962" t="str">
        <x:f>IF($A174="","",IF(COUNTIF($A$14:$A$213,$A174)&gt;1,"DUPLICATE REVIEW ID",IF(OR($B174="",$C174="",$E174="",$F174="",$G174="",$I174="",$K174="",$M174="",$N174="",$O174="",$P174="",$Q174="",$R174="",$W174=""),"INCOMPLETE",IF(AND(OR($R174="Certify Current",$R174="Certify with Exception"),OR($S174="",$T174="")),"CERTIFICATION REQUIRED",IF(AND(NOT(OR($R174="Certify Current",$R174="Certify with Exception")),OR($S174&lt;&gt;"",$T174&lt;&gt;"")),"CERTIFICATION MISMATCH","COMPLETE")))))</x:f>
      </x:c>
      <x:c r="V174" s="1018"/>
      <x:c r="W174" s="1018"/>
    </x:row>
    <x:row r="175" ht="30" customHeight="1">
      <x:c r="A175" s="1018"/>
      <x:c r="B175" s="1025"/>
      <x:c r="C175" s="1018"/>
      <x:c r="D175" s="1021" t="str">
        <x:f>IF($C175="","",IFERROR(INDEX('20 RCC-003 MIAR Registry'!$C$14:$C$60,MATCH($C175,'20 RCC-003 MIAR Registry'!$B$14:$B$60,0)),"TICKER NOT FOUND"))</x:f>
      </x:c>
      <x:c r="E175" s="1018"/>
      <x:c r="F175" s="1018"/>
      <x:c r="G175" s="1018"/>
      <x:c r="H175" s="1021" t="str">
        <x:f>IF($C175="","",IFERROR(INDEX('20 RCC-003 MIAR Registry'!$M$14:$M$60,MATCH($C175,'20 RCC-003 MIAR Registry'!$B$14:$B$60,0)),""))</x:f>
      </x:c>
      <x:c r="I175" s="1018"/>
      <x:c r="J175" s="1027" t="str">
        <x:f>IF($C175="","",IFERROR(INDEX('20 RCC-003 MIAR Registry'!$K$14:$K$60,MATCH($C175,'20 RCC-003 MIAR Registry'!$B$14:$B$60,0)),""))</x:f>
      </x:c>
      <x:c r="K175" s="1023"/>
      <x:c r="L175" s="1027" t="str">
        <x:f>IF($C175="","",IFERROR(INDEX('20 RCC-003 MIAR Registry'!$L$14:$L$60,MATCH($C175,'20 RCC-003 MIAR Registry'!$B$14:$B$60,0)),""))</x:f>
      </x:c>
      <x:c r="M175" s="1023"/>
      <x:c r="N175" s="1018"/>
      <x:c r="O175" s="1018"/>
      <x:c r="P175" s="1018"/>
      <x:c r="Q175" s="1018"/>
      <x:c r="R175" s="1018"/>
      <x:c r="S175" s="1018"/>
      <x:c r="T175" s="1025"/>
      <x:c r="U175" s="962" t="str">
        <x:f>IF($A175="","",IF(COUNTIF($A$14:$A$213,$A175)&gt;1,"DUPLICATE REVIEW ID",IF(OR($B175="",$C175="",$E175="",$F175="",$G175="",$I175="",$K175="",$M175="",$N175="",$O175="",$P175="",$Q175="",$R175="",$W175=""),"INCOMPLETE",IF(AND(OR($R175="Certify Current",$R175="Certify with Exception"),OR($S175="",$T175="")),"CERTIFICATION REQUIRED",IF(AND(NOT(OR($R175="Certify Current",$R175="Certify with Exception")),OR($S175&lt;&gt;"",$T175&lt;&gt;"")),"CERTIFICATION MISMATCH","COMPLETE")))))</x:f>
      </x:c>
      <x:c r="V175" s="1018"/>
      <x:c r="W175" s="1018"/>
    </x:row>
    <x:row r="176" ht="30" customHeight="1">
      <x:c r="A176" s="1018"/>
      <x:c r="B176" s="1025"/>
      <x:c r="C176" s="1018"/>
      <x:c r="D176" s="1021" t="str">
        <x:f>IF($C176="","",IFERROR(INDEX('20 RCC-003 MIAR Registry'!$C$14:$C$60,MATCH($C176,'20 RCC-003 MIAR Registry'!$B$14:$B$60,0)),"TICKER NOT FOUND"))</x:f>
      </x:c>
      <x:c r="E176" s="1018"/>
      <x:c r="F176" s="1018"/>
      <x:c r="G176" s="1018"/>
      <x:c r="H176" s="1021" t="str">
        <x:f>IF($C176="","",IFERROR(INDEX('20 RCC-003 MIAR Registry'!$M$14:$M$60,MATCH($C176,'20 RCC-003 MIAR Registry'!$B$14:$B$60,0)),""))</x:f>
      </x:c>
      <x:c r="I176" s="1018"/>
      <x:c r="J176" s="1027" t="str">
        <x:f>IF($C176="","",IFERROR(INDEX('20 RCC-003 MIAR Registry'!$K$14:$K$60,MATCH($C176,'20 RCC-003 MIAR Registry'!$B$14:$B$60,0)),""))</x:f>
      </x:c>
      <x:c r="K176" s="1023"/>
      <x:c r="L176" s="1027" t="str">
        <x:f>IF($C176="","",IFERROR(INDEX('20 RCC-003 MIAR Registry'!$L$14:$L$60,MATCH($C176,'20 RCC-003 MIAR Registry'!$B$14:$B$60,0)),""))</x:f>
      </x:c>
      <x:c r="M176" s="1023"/>
      <x:c r="N176" s="1018"/>
      <x:c r="O176" s="1018"/>
      <x:c r="P176" s="1018"/>
      <x:c r="Q176" s="1018"/>
      <x:c r="R176" s="1018"/>
      <x:c r="S176" s="1018"/>
      <x:c r="T176" s="1025"/>
      <x:c r="U176" s="962" t="str">
        <x:f>IF($A176="","",IF(COUNTIF($A$14:$A$213,$A176)&gt;1,"DUPLICATE REVIEW ID",IF(OR($B176="",$C176="",$E176="",$F176="",$G176="",$I176="",$K176="",$M176="",$N176="",$O176="",$P176="",$Q176="",$R176="",$W176=""),"INCOMPLETE",IF(AND(OR($R176="Certify Current",$R176="Certify with Exception"),OR($S176="",$T176="")),"CERTIFICATION REQUIRED",IF(AND(NOT(OR($R176="Certify Current",$R176="Certify with Exception")),OR($S176&lt;&gt;"",$T176&lt;&gt;"")),"CERTIFICATION MISMATCH","COMPLETE")))))</x:f>
      </x:c>
      <x:c r="V176" s="1018"/>
      <x:c r="W176" s="1018"/>
    </x:row>
    <x:row r="177" ht="30" customHeight="1">
      <x:c r="A177" s="1018"/>
      <x:c r="B177" s="1025"/>
      <x:c r="C177" s="1018"/>
      <x:c r="D177" s="1021" t="str">
        <x:f>IF($C177="","",IFERROR(INDEX('20 RCC-003 MIAR Registry'!$C$14:$C$60,MATCH($C177,'20 RCC-003 MIAR Registry'!$B$14:$B$60,0)),"TICKER NOT FOUND"))</x:f>
      </x:c>
      <x:c r="E177" s="1018"/>
      <x:c r="F177" s="1018"/>
      <x:c r="G177" s="1018"/>
      <x:c r="H177" s="1021" t="str">
        <x:f>IF($C177="","",IFERROR(INDEX('20 RCC-003 MIAR Registry'!$M$14:$M$60,MATCH($C177,'20 RCC-003 MIAR Registry'!$B$14:$B$60,0)),""))</x:f>
      </x:c>
      <x:c r="I177" s="1018"/>
      <x:c r="J177" s="1027" t="str">
        <x:f>IF($C177="","",IFERROR(INDEX('20 RCC-003 MIAR Registry'!$K$14:$K$60,MATCH($C177,'20 RCC-003 MIAR Registry'!$B$14:$B$60,0)),""))</x:f>
      </x:c>
      <x:c r="K177" s="1023"/>
      <x:c r="L177" s="1027" t="str">
        <x:f>IF($C177="","",IFERROR(INDEX('20 RCC-003 MIAR Registry'!$L$14:$L$60,MATCH($C177,'20 RCC-003 MIAR Registry'!$B$14:$B$60,0)),""))</x:f>
      </x:c>
      <x:c r="M177" s="1023"/>
      <x:c r="N177" s="1018"/>
      <x:c r="O177" s="1018"/>
      <x:c r="P177" s="1018"/>
      <x:c r="Q177" s="1018"/>
      <x:c r="R177" s="1018"/>
      <x:c r="S177" s="1018"/>
      <x:c r="T177" s="1025"/>
      <x:c r="U177" s="962" t="str">
        <x:f>IF($A177="","",IF(COUNTIF($A$14:$A$213,$A177)&gt;1,"DUPLICATE REVIEW ID",IF(OR($B177="",$C177="",$E177="",$F177="",$G177="",$I177="",$K177="",$M177="",$N177="",$O177="",$P177="",$Q177="",$R177="",$W177=""),"INCOMPLETE",IF(AND(OR($R177="Certify Current",$R177="Certify with Exception"),OR($S177="",$T177="")),"CERTIFICATION REQUIRED",IF(AND(NOT(OR($R177="Certify Current",$R177="Certify with Exception")),OR($S177&lt;&gt;"",$T177&lt;&gt;"")),"CERTIFICATION MISMATCH","COMPLETE")))))</x:f>
      </x:c>
      <x:c r="V177" s="1018"/>
      <x:c r="W177" s="1018"/>
    </x:row>
    <x:row r="178" ht="30" customHeight="1">
      <x:c r="A178" s="1018"/>
      <x:c r="B178" s="1025"/>
      <x:c r="C178" s="1018"/>
      <x:c r="D178" s="1021" t="str">
        <x:f>IF($C178="","",IFERROR(INDEX('20 RCC-003 MIAR Registry'!$C$14:$C$60,MATCH($C178,'20 RCC-003 MIAR Registry'!$B$14:$B$60,0)),"TICKER NOT FOUND"))</x:f>
      </x:c>
      <x:c r="E178" s="1018"/>
      <x:c r="F178" s="1018"/>
      <x:c r="G178" s="1018"/>
      <x:c r="H178" s="1021" t="str">
        <x:f>IF($C178="","",IFERROR(INDEX('20 RCC-003 MIAR Registry'!$M$14:$M$60,MATCH($C178,'20 RCC-003 MIAR Registry'!$B$14:$B$60,0)),""))</x:f>
      </x:c>
      <x:c r="I178" s="1018"/>
      <x:c r="J178" s="1027" t="str">
        <x:f>IF($C178="","",IFERROR(INDEX('20 RCC-003 MIAR Registry'!$K$14:$K$60,MATCH($C178,'20 RCC-003 MIAR Registry'!$B$14:$B$60,0)),""))</x:f>
      </x:c>
      <x:c r="K178" s="1023"/>
      <x:c r="L178" s="1027" t="str">
        <x:f>IF($C178="","",IFERROR(INDEX('20 RCC-003 MIAR Registry'!$L$14:$L$60,MATCH($C178,'20 RCC-003 MIAR Registry'!$B$14:$B$60,0)),""))</x:f>
      </x:c>
      <x:c r="M178" s="1023"/>
      <x:c r="N178" s="1018"/>
      <x:c r="O178" s="1018"/>
      <x:c r="P178" s="1018"/>
      <x:c r="Q178" s="1018"/>
      <x:c r="R178" s="1018"/>
      <x:c r="S178" s="1018"/>
      <x:c r="T178" s="1025"/>
      <x:c r="U178" s="962" t="str">
        <x:f>IF($A178="","",IF(COUNTIF($A$14:$A$213,$A178)&gt;1,"DUPLICATE REVIEW ID",IF(OR($B178="",$C178="",$E178="",$F178="",$G178="",$I178="",$K178="",$M178="",$N178="",$O178="",$P178="",$Q178="",$R178="",$W178=""),"INCOMPLETE",IF(AND(OR($R178="Certify Current",$R178="Certify with Exception"),OR($S178="",$T178="")),"CERTIFICATION REQUIRED",IF(AND(NOT(OR($R178="Certify Current",$R178="Certify with Exception")),OR($S178&lt;&gt;"",$T178&lt;&gt;"")),"CERTIFICATION MISMATCH","COMPLETE")))))</x:f>
      </x:c>
      <x:c r="V178" s="1018"/>
      <x:c r="W178" s="1018"/>
    </x:row>
    <x:row r="179" ht="30" customHeight="1">
      <x:c r="A179" s="1018"/>
      <x:c r="B179" s="1025"/>
      <x:c r="C179" s="1018"/>
      <x:c r="D179" s="1021" t="str">
        <x:f>IF($C179="","",IFERROR(INDEX('20 RCC-003 MIAR Registry'!$C$14:$C$60,MATCH($C179,'20 RCC-003 MIAR Registry'!$B$14:$B$60,0)),"TICKER NOT FOUND"))</x:f>
      </x:c>
      <x:c r="E179" s="1018"/>
      <x:c r="F179" s="1018"/>
      <x:c r="G179" s="1018"/>
      <x:c r="H179" s="1021" t="str">
        <x:f>IF($C179="","",IFERROR(INDEX('20 RCC-003 MIAR Registry'!$M$14:$M$60,MATCH($C179,'20 RCC-003 MIAR Registry'!$B$14:$B$60,0)),""))</x:f>
      </x:c>
      <x:c r="I179" s="1018"/>
      <x:c r="J179" s="1027" t="str">
        <x:f>IF($C179="","",IFERROR(INDEX('20 RCC-003 MIAR Registry'!$K$14:$K$60,MATCH($C179,'20 RCC-003 MIAR Registry'!$B$14:$B$60,0)),""))</x:f>
      </x:c>
      <x:c r="K179" s="1023"/>
      <x:c r="L179" s="1027" t="str">
        <x:f>IF($C179="","",IFERROR(INDEX('20 RCC-003 MIAR Registry'!$L$14:$L$60,MATCH($C179,'20 RCC-003 MIAR Registry'!$B$14:$B$60,0)),""))</x:f>
      </x:c>
      <x:c r="M179" s="1023"/>
      <x:c r="N179" s="1018"/>
      <x:c r="O179" s="1018"/>
      <x:c r="P179" s="1018"/>
      <x:c r="Q179" s="1018"/>
      <x:c r="R179" s="1018"/>
      <x:c r="S179" s="1018"/>
      <x:c r="T179" s="1025"/>
      <x:c r="U179" s="962" t="str">
        <x:f>IF($A179="","",IF(COUNTIF($A$14:$A$213,$A179)&gt;1,"DUPLICATE REVIEW ID",IF(OR($B179="",$C179="",$E179="",$F179="",$G179="",$I179="",$K179="",$M179="",$N179="",$O179="",$P179="",$Q179="",$R179="",$W179=""),"INCOMPLETE",IF(AND(OR($R179="Certify Current",$R179="Certify with Exception"),OR($S179="",$T179="")),"CERTIFICATION REQUIRED",IF(AND(NOT(OR($R179="Certify Current",$R179="Certify with Exception")),OR($S179&lt;&gt;"",$T179&lt;&gt;"")),"CERTIFICATION MISMATCH","COMPLETE")))))</x:f>
      </x:c>
      <x:c r="V179" s="1018"/>
      <x:c r="W179" s="1018"/>
    </x:row>
    <x:row r="180" ht="30" customHeight="1">
      <x:c r="A180" s="1018"/>
      <x:c r="B180" s="1025"/>
      <x:c r="C180" s="1018"/>
      <x:c r="D180" s="1021" t="str">
        <x:f>IF($C180="","",IFERROR(INDEX('20 RCC-003 MIAR Registry'!$C$14:$C$60,MATCH($C180,'20 RCC-003 MIAR Registry'!$B$14:$B$60,0)),"TICKER NOT FOUND"))</x:f>
      </x:c>
      <x:c r="E180" s="1018"/>
      <x:c r="F180" s="1018"/>
      <x:c r="G180" s="1018"/>
      <x:c r="H180" s="1021" t="str">
        <x:f>IF($C180="","",IFERROR(INDEX('20 RCC-003 MIAR Registry'!$M$14:$M$60,MATCH($C180,'20 RCC-003 MIAR Registry'!$B$14:$B$60,0)),""))</x:f>
      </x:c>
      <x:c r="I180" s="1018"/>
      <x:c r="J180" s="1027" t="str">
        <x:f>IF($C180="","",IFERROR(INDEX('20 RCC-003 MIAR Registry'!$K$14:$K$60,MATCH($C180,'20 RCC-003 MIAR Registry'!$B$14:$B$60,0)),""))</x:f>
      </x:c>
      <x:c r="K180" s="1023"/>
      <x:c r="L180" s="1027" t="str">
        <x:f>IF($C180="","",IFERROR(INDEX('20 RCC-003 MIAR Registry'!$L$14:$L$60,MATCH($C180,'20 RCC-003 MIAR Registry'!$B$14:$B$60,0)),""))</x:f>
      </x:c>
      <x:c r="M180" s="1023"/>
      <x:c r="N180" s="1018"/>
      <x:c r="O180" s="1018"/>
      <x:c r="P180" s="1018"/>
      <x:c r="Q180" s="1018"/>
      <x:c r="R180" s="1018"/>
      <x:c r="S180" s="1018"/>
      <x:c r="T180" s="1025"/>
      <x:c r="U180" s="962" t="str">
        <x:f>IF($A180="","",IF(COUNTIF($A$14:$A$213,$A180)&gt;1,"DUPLICATE REVIEW ID",IF(OR($B180="",$C180="",$E180="",$F180="",$G180="",$I180="",$K180="",$M180="",$N180="",$O180="",$P180="",$Q180="",$R180="",$W180=""),"INCOMPLETE",IF(AND(OR($R180="Certify Current",$R180="Certify with Exception"),OR($S180="",$T180="")),"CERTIFICATION REQUIRED",IF(AND(NOT(OR($R180="Certify Current",$R180="Certify with Exception")),OR($S180&lt;&gt;"",$T180&lt;&gt;"")),"CERTIFICATION MISMATCH","COMPLETE")))))</x:f>
      </x:c>
      <x:c r="V180" s="1018"/>
      <x:c r="W180" s="1018"/>
    </x:row>
    <x:row r="181" ht="30" customHeight="1">
      <x:c r="A181" s="1018"/>
      <x:c r="B181" s="1025"/>
      <x:c r="C181" s="1018"/>
      <x:c r="D181" s="1021" t="str">
        <x:f>IF($C181="","",IFERROR(INDEX('20 RCC-003 MIAR Registry'!$C$14:$C$60,MATCH($C181,'20 RCC-003 MIAR Registry'!$B$14:$B$60,0)),"TICKER NOT FOUND"))</x:f>
      </x:c>
      <x:c r="E181" s="1018"/>
      <x:c r="F181" s="1018"/>
      <x:c r="G181" s="1018"/>
      <x:c r="H181" s="1021" t="str">
        <x:f>IF($C181="","",IFERROR(INDEX('20 RCC-003 MIAR Registry'!$M$14:$M$60,MATCH($C181,'20 RCC-003 MIAR Registry'!$B$14:$B$60,0)),""))</x:f>
      </x:c>
      <x:c r="I181" s="1018"/>
      <x:c r="J181" s="1027" t="str">
        <x:f>IF($C181="","",IFERROR(INDEX('20 RCC-003 MIAR Registry'!$K$14:$K$60,MATCH($C181,'20 RCC-003 MIAR Registry'!$B$14:$B$60,0)),""))</x:f>
      </x:c>
      <x:c r="K181" s="1023"/>
      <x:c r="L181" s="1027" t="str">
        <x:f>IF($C181="","",IFERROR(INDEX('20 RCC-003 MIAR Registry'!$L$14:$L$60,MATCH($C181,'20 RCC-003 MIAR Registry'!$B$14:$B$60,0)),""))</x:f>
      </x:c>
      <x:c r="M181" s="1023"/>
      <x:c r="N181" s="1018"/>
      <x:c r="O181" s="1018"/>
      <x:c r="P181" s="1018"/>
      <x:c r="Q181" s="1018"/>
      <x:c r="R181" s="1018"/>
      <x:c r="S181" s="1018"/>
      <x:c r="T181" s="1025"/>
      <x:c r="U181" s="962" t="str">
        <x:f>IF($A181="","",IF(COUNTIF($A$14:$A$213,$A181)&gt;1,"DUPLICATE REVIEW ID",IF(OR($B181="",$C181="",$E181="",$F181="",$G181="",$I181="",$K181="",$M181="",$N181="",$O181="",$P181="",$Q181="",$R181="",$W181=""),"INCOMPLETE",IF(AND(OR($R181="Certify Current",$R181="Certify with Exception"),OR($S181="",$T181="")),"CERTIFICATION REQUIRED",IF(AND(NOT(OR($R181="Certify Current",$R181="Certify with Exception")),OR($S181&lt;&gt;"",$T181&lt;&gt;"")),"CERTIFICATION MISMATCH","COMPLETE")))))</x:f>
      </x:c>
      <x:c r="V181" s="1018"/>
      <x:c r="W181" s="1018"/>
    </x:row>
    <x:row r="182" ht="30" customHeight="1">
      <x:c r="A182" s="1018"/>
      <x:c r="B182" s="1025"/>
      <x:c r="C182" s="1018"/>
      <x:c r="D182" s="1021" t="str">
        <x:f>IF($C182="","",IFERROR(INDEX('20 RCC-003 MIAR Registry'!$C$14:$C$60,MATCH($C182,'20 RCC-003 MIAR Registry'!$B$14:$B$60,0)),"TICKER NOT FOUND"))</x:f>
      </x:c>
      <x:c r="E182" s="1018"/>
      <x:c r="F182" s="1018"/>
      <x:c r="G182" s="1018"/>
      <x:c r="H182" s="1021" t="str">
        <x:f>IF($C182="","",IFERROR(INDEX('20 RCC-003 MIAR Registry'!$M$14:$M$60,MATCH($C182,'20 RCC-003 MIAR Registry'!$B$14:$B$60,0)),""))</x:f>
      </x:c>
      <x:c r="I182" s="1018"/>
      <x:c r="J182" s="1027" t="str">
        <x:f>IF($C182="","",IFERROR(INDEX('20 RCC-003 MIAR Registry'!$K$14:$K$60,MATCH($C182,'20 RCC-003 MIAR Registry'!$B$14:$B$60,0)),""))</x:f>
      </x:c>
      <x:c r="K182" s="1023"/>
      <x:c r="L182" s="1027" t="str">
        <x:f>IF($C182="","",IFERROR(INDEX('20 RCC-003 MIAR Registry'!$L$14:$L$60,MATCH($C182,'20 RCC-003 MIAR Registry'!$B$14:$B$60,0)),""))</x:f>
      </x:c>
      <x:c r="M182" s="1023"/>
      <x:c r="N182" s="1018"/>
      <x:c r="O182" s="1018"/>
      <x:c r="P182" s="1018"/>
      <x:c r="Q182" s="1018"/>
      <x:c r="R182" s="1018"/>
      <x:c r="S182" s="1018"/>
      <x:c r="T182" s="1025"/>
      <x:c r="U182" s="962" t="str">
        <x:f>IF($A182="","",IF(COUNTIF($A$14:$A$213,$A182)&gt;1,"DUPLICATE REVIEW ID",IF(OR($B182="",$C182="",$E182="",$F182="",$G182="",$I182="",$K182="",$M182="",$N182="",$O182="",$P182="",$Q182="",$R182="",$W182=""),"INCOMPLETE",IF(AND(OR($R182="Certify Current",$R182="Certify with Exception"),OR($S182="",$T182="")),"CERTIFICATION REQUIRED",IF(AND(NOT(OR($R182="Certify Current",$R182="Certify with Exception")),OR($S182&lt;&gt;"",$T182&lt;&gt;"")),"CERTIFICATION MISMATCH","COMPLETE")))))</x:f>
      </x:c>
      <x:c r="V182" s="1018"/>
      <x:c r="W182" s="1018"/>
    </x:row>
    <x:row r="183" ht="30" customHeight="1">
      <x:c r="A183" s="1018"/>
      <x:c r="B183" s="1025"/>
      <x:c r="C183" s="1018"/>
      <x:c r="D183" s="1021" t="str">
        <x:f>IF($C183="","",IFERROR(INDEX('20 RCC-003 MIAR Registry'!$C$14:$C$60,MATCH($C183,'20 RCC-003 MIAR Registry'!$B$14:$B$60,0)),"TICKER NOT FOUND"))</x:f>
      </x:c>
      <x:c r="E183" s="1018"/>
      <x:c r="F183" s="1018"/>
      <x:c r="G183" s="1018"/>
      <x:c r="H183" s="1021" t="str">
        <x:f>IF($C183="","",IFERROR(INDEX('20 RCC-003 MIAR Registry'!$M$14:$M$60,MATCH($C183,'20 RCC-003 MIAR Registry'!$B$14:$B$60,0)),""))</x:f>
      </x:c>
      <x:c r="I183" s="1018"/>
      <x:c r="J183" s="1027" t="str">
        <x:f>IF($C183="","",IFERROR(INDEX('20 RCC-003 MIAR Registry'!$K$14:$K$60,MATCH($C183,'20 RCC-003 MIAR Registry'!$B$14:$B$60,0)),""))</x:f>
      </x:c>
      <x:c r="K183" s="1023"/>
      <x:c r="L183" s="1027" t="str">
        <x:f>IF($C183="","",IFERROR(INDEX('20 RCC-003 MIAR Registry'!$L$14:$L$60,MATCH($C183,'20 RCC-003 MIAR Registry'!$B$14:$B$60,0)),""))</x:f>
      </x:c>
      <x:c r="M183" s="1023"/>
      <x:c r="N183" s="1018"/>
      <x:c r="O183" s="1018"/>
      <x:c r="P183" s="1018"/>
      <x:c r="Q183" s="1018"/>
      <x:c r="R183" s="1018"/>
      <x:c r="S183" s="1018"/>
      <x:c r="T183" s="1025"/>
      <x:c r="U183" s="962" t="str">
        <x:f>IF($A183="","",IF(COUNTIF($A$14:$A$213,$A183)&gt;1,"DUPLICATE REVIEW ID",IF(OR($B183="",$C183="",$E183="",$F183="",$G183="",$I183="",$K183="",$M183="",$N183="",$O183="",$P183="",$Q183="",$R183="",$W183=""),"INCOMPLETE",IF(AND(OR($R183="Certify Current",$R183="Certify with Exception"),OR($S183="",$T183="")),"CERTIFICATION REQUIRED",IF(AND(NOT(OR($R183="Certify Current",$R183="Certify with Exception")),OR($S183&lt;&gt;"",$T183&lt;&gt;"")),"CERTIFICATION MISMATCH","COMPLETE")))))</x:f>
      </x:c>
      <x:c r="V183" s="1018"/>
      <x:c r="W183" s="1018"/>
    </x:row>
    <x:row r="184" ht="30" customHeight="1">
      <x:c r="A184" s="1018"/>
      <x:c r="B184" s="1025"/>
      <x:c r="C184" s="1018"/>
      <x:c r="D184" s="1021" t="str">
        <x:f>IF($C184="","",IFERROR(INDEX('20 RCC-003 MIAR Registry'!$C$14:$C$60,MATCH($C184,'20 RCC-003 MIAR Registry'!$B$14:$B$60,0)),"TICKER NOT FOUND"))</x:f>
      </x:c>
      <x:c r="E184" s="1018"/>
      <x:c r="F184" s="1018"/>
      <x:c r="G184" s="1018"/>
      <x:c r="H184" s="1021" t="str">
        <x:f>IF($C184="","",IFERROR(INDEX('20 RCC-003 MIAR Registry'!$M$14:$M$60,MATCH($C184,'20 RCC-003 MIAR Registry'!$B$14:$B$60,0)),""))</x:f>
      </x:c>
      <x:c r="I184" s="1018"/>
      <x:c r="J184" s="1027" t="str">
        <x:f>IF($C184="","",IFERROR(INDEX('20 RCC-003 MIAR Registry'!$K$14:$K$60,MATCH($C184,'20 RCC-003 MIAR Registry'!$B$14:$B$60,0)),""))</x:f>
      </x:c>
      <x:c r="K184" s="1023"/>
      <x:c r="L184" s="1027" t="str">
        <x:f>IF($C184="","",IFERROR(INDEX('20 RCC-003 MIAR Registry'!$L$14:$L$60,MATCH($C184,'20 RCC-003 MIAR Registry'!$B$14:$B$60,0)),""))</x:f>
      </x:c>
      <x:c r="M184" s="1023"/>
      <x:c r="N184" s="1018"/>
      <x:c r="O184" s="1018"/>
      <x:c r="P184" s="1018"/>
      <x:c r="Q184" s="1018"/>
      <x:c r="R184" s="1018"/>
      <x:c r="S184" s="1018"/>
      <x:c r="T184" s="1025"/>
      <x:c r="U184" s="962" t="str">
        <x:f>IF($A184="","",IF(COUNTIF($A$14:$A$213,$A184)&gt;1,"DUPLICATE REVIEW ID",IF(OR($B184="",$C184="",$E184="",$F184="",$G184="",$I184="",$K184="",$M184="",$N184="",$O184="",$P184="",$Q184="",$R184="",$W184=""),"INCOMPLETE",IF(AND(OR($R184="Certify Current",$R184="Certify with Exception"),OR($S184="",$T184="")),"CERTIFICATION REQUIRED",IF(AND(NOT(OR($R184="Certify Current",$R184="Certify with Exception")),OR($S184&lt;&gt;"",$T184&lt;&gt;"")),"CERTIFICATION MISMATCH","COMPLETE")))))</x:f>
      </x:c>
      <x:c r="V184" s="1018"/>
      <x:c r="W184" s="1018"/>
    </x:row>
    <x:row r="185" ht="30" customHeight="1">
      <x:c r="A185" s="1018"/>
      <x:c r="B185" s="1025"/>
      <x:c r="C185" s="1018"/>
      <x:c r="D185" s="1021" t="str">
        <x:f>IF($C185="","",IFERROR(INDEX('20 RCC-003 MIAR Registry'!$C$14:$C$60,MATCH($C185,'20 RCC-003 MIAR Registry'!$B$14:$B$60,0)),"TICKER NOT FOUND"))</x:f>
      </x:c>
      <x:c r="E185" s="1018"/>
      <x:c r="F185" s="1018"/>
      <x:c r="G185" s="1018"/>
      <x:c r="H185" s="1021" t="str">
        <x:f>IF($C185="","",IFERROR(INDEX('20 RCC-003 MIAR Registry'!$M$14:$M$60,MATCH($C185,'20 RCC-003 MIAR Registry'!$B$14:$B$60,0)),""))</x:f>
      </x:c>
      <x:c r="I185" s="1018"/>
      <x:c r="J185" s="1027" t="str">
        <x:f>IF($C185="","",IFERROR(INDEX('20 RCC-003 MIAR Registry'!$K$14:$K$60,MATCH($C185,'20 RCC-003 MIAR Registry'!$B$14:$B$60,0)),""))</x:f>
      </x:c>
      <x:c r="K185" s="1023"/>
      <x:c r="L185" s="1027" t="str">
        <x:f>IF($C185="","",IFERROR(INDEX('20 RCC-003 MIAR Registry'!$L$14:$L$60,MATCH($C185,'20 RCC-003 MIAR Registry'!$B$14:$B$60,0)),""))</x:f>
      </x:c>
      <x:c r="M185" s="1023"/>
      <x:c r="N185" s="1018"/>
      <x:c r="O185" s="1018"/>
      <x:c r="P185" s="1018"/>
      <x:c r="Q185" s="1018"/>
      <x:c r="R185" s="1018"/>
      <x:c r="S185" s="1018"/>
      <x:c r="T185" s="1025"/>
      <x:c r="U185" s="962" t="str">
        <x:f>IF($A185="","",IF(COUNTIF($A$14:$A$213,$A185)&gt;1,"DUPLICATE REVIEW ID",IF(OR($B185="",$C185="",$E185="",$F185="",$G185="",$I185="",$K185="",$M185="",$N185="",$O185="",$P185="",$Q185="",$R185="",$W185=""),"INCOMPLETE",IF(AND(OR($R185="Certify Current",$R185="Certify with Exception"),OR($S185="",$T185="")),"CERTIFICATION REQUIRED",IF(AND(NOT(OR($R185="Certify Current",$R185="Certify with Exception")),OR($S185&lt;&gt;"",$T185&lt;&gt;"")),"CERTIFICATION MISMATCH","COMPLETE")))))</x:f>
      </x:c>
      <x:c r="V185" s="1018"/>
      <x:c r="W185" s="1018"/>
    </x:row>
    <x:row r="186" ht="30" customHeight="1">
      <x:c r="A186" s="1018"/>
      <x:c r="B186" s="1025"/>
      <x:c r="C186" s="1018"/>
      <x:c r="D186" s="1021" t="str">
        <x:f>IF($C186="","",IFERROR(INDEX('20 RCC-003 MIAR Registry'!$C$14:$C$60,MATCH($C186,'20 RCC-003 MIAR Registry'!$B$14:$B$60,0)),"TICKER NOT FOUND"))</x:f>
      </x:c>
      <x:c r="E186" s="1018"/>
      <x:c r="F186" s="1018"/>
      <x:c r="G186" s="1018"/>
      <x:c r="H186" s="1021" t="str">
        <x:f>IF($C186="","",IFERROR(INDEX('20 RCC-003 MIAR Registry'!$M$14:$M$60,MATCH($C186,'20 RCC-003 MIAR Registry'!$B$14:$B$60,0)),""))</x:f>
      </x:c>
      <x:c r="I186" s="1018"/>
      <x:c r="J186" s="1027" t="str">
        <x:f>IF($C186="","",IFERROR(INDEX('20 RCC-003 MIAR Registry'!$K$14:$K$60,MATCH($C186,'20 RCC-003 MIAR Registry'!$B$14:$B$60,0)),""))</x:f>
      </x:c>
      <x:c r="K186" s="1023"/>
      <x:c r="L186" s="1027" t="str">
        <x:f>IF($C186="","",IFERROR(INDEX('20 RCC-003 MIAR Registry'!$L$14:$L$60,MATCH($C186,'20 RCC-003 MIAR Registry'!$B$14:$B$60,0)),""))</x:f>
      </x:c>
      <x:c r="M186" s="1023"/>
      <x:c r="N186" s="1018"/>
      <x:c r="O186" s="1018"/>
      <x:c r="P186" s="1018"/>
      <x:c r="Q186" s="1018"/>
      <x:c r="R186" s="1018"/>
      <x:c r="S186" s="1018"/>
      <x:c r="T186" s="1025"/>
      <x:c r="U186" s="962" t="str">
        <x:f>IF($A186="","",IF(COUNTIF($A$14:$A$213,$A186)&gt;1,"DUPLICATE REVIEW ID",IF(OR($B186="",$C186="",$E186="",$F186="",$G186="",$I186="",$K186="",$M186="",$N186="",$O186="",$P186="",$Q186="",$R186="",$W186=""),"INCOMPLETE",IF(AND(OR($R186="Certify Current",$R186="Certify with Exception"),OR($S186="",$T186="")),"CERTIFICATION REQUIRED",IF(AND(NOT(OR($R186="Certify Current",$R186="Certify with Exception")),OR($S186&lt;&gt;"",$T186&lt;&gt;"")),"CERTIFICATION MISMATCH","COMPLETE")))))</x:f>
      </x:c>
      <x:c r="V186" s="1018"/>
      <x:c r="W186" s="1018"/>
    </x:row>
    <x:row r="187" ht="30" customHeight="1">
      <x:c r="A187" s="1018"/>
      <x:c r="B187" s="1025"/>
      <x:c r="C187" s="1018"/>
      <x:c r="D187" s="1021" t="str">
        <x:f>IF($C187="","",IFERROR(INDEX('20 RCC-003 MIAR Registry'!$C$14:$C$60,MATCH($C187,'20 RCC-003 MIAR Registry'!$B$14:$B$60,0)),"TICKER NOT FOUND"))</x:f>
      </x:c>
      <x:c r="E187" s="1018"/>
      <x:c r="F187" s="1018"/>
      <x:c r="G187" s="1018"/>
      <x:c r="H187" s="1021" t="str">
        <x:f>IF($C187="","",IFERROR(INDEX('20 RCC-003 MIAR Registry'!$M$14:$M$60,MATCH($C187,'20 RCC-003 MIAR Registry'!$B$14:$B$60,0)),""))</x:f>
      </x:c>
      <x:c r="I187" s="1018"/>
      <x:c r="J187" s="1027" t="str">
        <x:f>IF($C187="","",IFERROR(INDEX('20 RCC-003 MIAR Registry'!$K$14:$K$60,MATCH($C187,'20 RCC-003 MIAR Registry'!$B$14:$B$60,0)),""))</x:f>
      </x:c>
      <x:c r="K187" s="1023"/>
      <x:c r="L187" s="1027" t="str">
        <x:f>IF($C187="","",IFERROR(INDEX('20 RCC-003 MIAR Registry'!$L$14:$L$60,MATCH($C187,'20 RCC-003 MIAR Registry'!$B$14:$B$60,0)),""))</x:f>
      </x:c>
      <x:c r="M187" s="1023"/>
      <x:c r="N187" s="1018"/>
      <x:c r="O187" s="1018"/>
      <x:c r="P187" s="1018"/>
      <x:c r="Q187" s="1018"/>
      <x:c r="R187" s="1018"/>
      <x:c r="S187" s="1018"/>
      <x:c r="T187" s="1025"/>
      <x:c r="U187" s="962" t="str">
        <x:f>IF($A187="","",IF(COUNTIF($A$14:$A$213,$A187)&gt;1,"DUPLICATE REVIEW ID",IF(OR($B187="",$C187="",$E187="",$F187="",$G187="",$I187="",$K187="",$M187="",$N187="",$O187="",$P187="",$Q187="",$R187="",$W187=""),"INCOMPLETE",IF(AND(OR($R187="Certify Current",$R187="Certify with Exception"),OR($S187="",$T187="")),"CERTIFICATION REQUIRED",IF(AND(NOT(OR($R187="Certify Current",$R187="Certify with Exception")),OR($S187&lt;&gt;"",$T187&lt;&gt;"")),"CERTIFICATION MISMATCH","COMPLETE")))))</x:f>
      </x:c>
      <x:c r="V187" s="1018"/>
      <x:c r="W187" s="1018"/>
    </x:row>
    <x:row r="188" ht="30" customHeight="1">
      <x:c r="A188" s="1018"/>
      <x:c r="B188" s="1025"/>
      <x:c r="C188" s="1018"/>
      <x:c r="D188" s="1021" t="str">
        <x:f>IF($C188="","",IFERROR(INDEX('20 RCC-003 MIAR Registry'!$C$14:$C$60,MATCH($C188,'20 RCC-003 MIAR Registry'!$B$14:$B$60,0)),"TICKER NOT FOUND"))</x:f>
      </x:c>
      <x:c r="E188" s="1018"/>
      <x:c r="F188" s="1018"/>
      <x:c r="G188" s="1018"/>
      <x:c r="H188" s="1021" t="str">
        <x:f>IF($C188="","",IFERROR(INDEX('20 RCC-003 MIAR Registry'!$M$14:$M$60,MATCH($C188,'20 RCC-003 MIAR Registry'!$B$14:$B$60,0)),""))</x:f>
      </x:c>
      <x:c r="I188" s="1018"/>
      <x:c r="J188" s="1027" t="str">
        <x:f>IF($C188="","",IFERROR(INDEX('20 RCC-003 MIAR Registry'!$K$14:$K$60,MATCH($C188,'20 RCC-003 MIAR Registry'!$B$14:$B$60,0)),""))</x:f>
      </x:c>
      <x:c r="K188" s="1023"/>
      <x:c r="L188" s="1027" t="str">
        <x:f>IF($C188="","",IFERROR(INDEX('20 RCC-003 MIAR Registry'!$L$14:$L$60,MATCH($C188,'20 RCC-003 MIAR Registry'!$B$14:$B$60,0)),""))</x:f>
      </x:c>
      <x:c r="M188" s="1023"/>
      <x:c r="N188" s="1018"/>
      <x:c r="O188" s="1018"/>
      <x:c r="P188" s="1018"/>
      <x:c r="Q188" s="1018"/>
      <x:c r="R188" s="1018"/>
      <x:c r="S188" s="1018"/>
      <x:c r="T188" s="1025"/>
      <x:c r="U188" s="962" t="str">
        <x:f>IF($A188="","",IF(COUNTIF($A$14:$A$213,$A188)&gt;1,"DUPLICATE REVIEW ID",IF(OR($B188="",$C188="",$E188="",$F188="",$G188="",$I188="",$K188="",$M188="",$N188="",$O188="",$P188="",$Q188="",$R188="",$W188=""),"INCOMPLETE",IF(AND(OR($R188="Certify Current",$R188="Certify with Exception"),OR($S188="",$T188="")),"CERTIFICATION REQUIRED",IF(AND(NOT(OR($R188="Certify Current",$R188="Certify with Exception")),OR($S188&lt;&gt;"",$T188&lt;&gt;"")),"CERTIFICATION MISMATCH","COMPLETE")))))</x:f>
      </x:c>
      <x:c r="V188" s="1018"/>
      <x:c r="W188" s="1018"/>
    </x:row>
    <x:row r="189" ht="30" customHeight="1">
      <x:c r="A189" s="1018"/>
      <x:c r="B189" s="1025"/>
      <x:c r="C189" s="1018"/>
      <x:c r="D189" s="1021" t="str">
        <x:f>IF($C189="","",IFERROR(INDEX('20 RCC-003 MIAR Registry'!$C$14:$C$60,MATCH($C189,'20 RCC-003 MIAR Registry'!$B$14:$B$60,0)),"TICKER NOT FOUND"))</x:f>
      </x:c>
      <x:c r="E189" s="1018"/>
      <x:c r="F189" s="1018"/>
      <x:c r="G189" s="1018"/>
      <x:c r="H189" s="1021" t="str">
        <x:f>IF($C189="","",IFERROR(INDEX('20 RCC-003 MIAR Registry'!$M$14:$M$60,MATCH($C189,'20 RCC-003 MIAR Registry'!$B$14:$B$60,0)),""))</x:f>
      </x:c>
      <x:c r="I189" s="1018"/>
      <x:c r="J189" s="1027" t="str">
        <x:f>IF($C189="","",IFERROR(INDEX('20 RCC-003 MIAR Registry'!$K$14:$K$60,MATCH($C189,'20 RCC-003 MIAR Registry'!$B$14:$B$60,0)),""))</x:f>
      </x:c>
      <x:c r="K189" s="1023"/>
      <x:c r="L189" s="1027" t="str">
        <x:f>IF($C189="","",IFERROR(INDEX('20 RCC-003 MIAR Registry'!$L$14:$L$60,MATCH($C189,'20 RCC-003 MIAR Registry'!$B$14:$B$60,0)),""))</x:f>
      </x:c>
      <x:c r="M189" s="1023"/>
      <x:c r="N189" s="1018"/>
      <x:c r="O189" s="1018"/>
      <x:c r="P189" s="1018"/>
      <x:c r="Q189" s="1018"/>
      <x:c r="R189" s="1018"/>
      <x:c r="S189" s="1018"/>
      <x:c r="T189" s="1025"/>
      <x:c r="U189" s="962" t="str">
        <x:f>IF($A189="","",IF(COUNTIF($A$14:$A$213,$A189)&gt;1,"DUPLICATE REVIEW ID",IF(OR($B189="",$C189="",$E189="",$F189="",$G189="",$I189="",$K189="",$M189="",$N189="",$O189="",$P189="",$Q189="",$R189="",$W189=""),"INCOMPLETE",IF(AND(OR($R189="Certify Current",$R189="Certify with Exception"),OR($S189="",$T189="")),"CERTIFICATION REQUIRED",IF(AND(NOT(OR($R189="Certify Current",$R189="Certify with Exception")),OR($S189&lt;&gt;"",$T189&lt;&gt;"")),"CERTIFICATION MISMATCH","COMPLETE")))))</x:f>
      </x:c>
      <x:c r="V189" s="1018"/>
      <x:c r="W189" s="1018"/>
    </x:row>
    <x:row r="190" ht="30" customHeight="1">
      <x:c r="A190" s="1018"/>
      <x:c r="B190" s="1025"/>
      <x:c r="C190" s="1018"/>
      <x:c r="D190" s="1021" t="str">
        <x:f>IF($C190="","",IFERROR(INDEX('20 RCC-003 MIAR Registry'!$C$14:$C$60,MATCH($C190,'20 RCC-003 MIAR Registry'!$B$14:$B$60,0)),"TICKER NOT FOUND"))</x:f>
      </x:c>
      <x:c r="E190" s="1018"/>
      <x:c r="F190" s="1018"/>
      <x:c r="G190" s="1018"/>
      <x:c r="H190" s="1021" t="str">
        <x:f>IF($C190="","",IFERROR(INDEX('20 RCC-003 MIAR Registry'!$M$14:$M$60,MATCH($C190,'20 RCC-003 MIAR Registry'!$B$14:$B$60,0)),""))</x:f>
      </x:c>
      <x:c r="I190" s="1018"/>
      <x:c r="J190" s="1027" t="str">
        <x:f>IF($C190="","",IFERROR(INDEX('20 RCC-003 MIAR Registry'!$K$14:$K$60,MATCH($C190,'20 RCC-003 MIAR Registry'!$B$14:$B$60,0)),""))</x:f>
      </x:c>
      <x:c r="K190" s="1023"/>
      <x:c r="L190" s="1027" t="str">
        <x:f>IF($C190="","",IFERROR(INDEX('20 RCC-003 MIAR Registry'!$L$14:$L$60,MATCH($C190,'20 RCC-003 MIAR Registry'!$B$14:$B$60,0)),""))</x:f>
      </x:c>
      <x:c r="M190" s="1023"/>
      <x:c r="N190" s="1018"/>
      <x:c r="O190" s="1018"/>
      <x:c r="P190" s="1018"/>
      <x:c r="Q190" s="1018"/>
      <x:c r="R190" s="1018"/>
      <x:c r="S190" s="1018"/>
      <x:c r="T190" s="1025"/>
      <x:c r="U190" s="962" t="str">
        <x:f>IF($A190="","",IF(COUNTIF($A$14:$A$213,$A190)&gt;1,"DUPLICATE REVIEW ID",IF(OR($B190="",$C190="",$E190="",$F190="",$G190="",$I190="",$K190="",$M190="",$N190="",$O190="",$P190="",$Q190="",$R190="",$W190=""),"INCOMPLETE",IF(AND(OR($R190="Certify Current",$R190="Certify with Exception"),OR($S190="",$T190="")),"CERTIFICATION REQUIRED",IF(AND(NOT(OR($R190="Certify Current",$R190="Certify with Exception")),OR($S190&lt;&gt;"",$T190&lt;&gt;"")),"CERTIFICATION MISMATCH","COMPLETE")))))</x:f>
      </x:c>
      <x:c r="V190" s="1018"/>
      <x:c r="W190" s="1018"/>
    </x:row>
    <x:row r="191" ht="30" customHeight="1">
      <x:c r="A191" s="1018"/>
      <x:c r="B191" s="1025"/>
      <x:c r="C191" s="1018"/>
      <x:c r="D191" s="1021" t="str">
        <x:f>IF($C191="","",IFERROR(INDEX('20 RCC-003 MIAR Registry'!$C$14:$C$60,MATCH($C191,'20 RCC-003 MIAR Registry'!$B$14:$B$60,0)),"TICKER NOT FOUND"))</x:f>
      </x:c>
      <x:c r="E191" s="1018"/>
      <x:c r="F191" s="1018"/>
      <x:c r="G191" s="1018"/>
      <x:c r="H191" s="1021" t="str">
        <x:f>IF($C191="","",IFERROR(INDEX('20 RCC-003 MIAR Registry'!$M$14:$M$60,MATCH($C191,'20 RCC-003 MIAR Registry'!$B$14:$B$60,0)),""))</x:f>
      </x:c>
      <x:c r="I191" s="1018"/>
      <x:c r="J191" s="1027" t="str">
        <x:f>IF($C191="","",IFERROR(INDEX('20 RCC-003 MIAR Registry'!$K$14:$K$60,MATCH($C191,'20 RCC-003 MIAR Registry'!$B$14:$B$60,0)),""))</x:f>
      </x:c>
      <x:c r="K191" s="1023"/>
      <x:c r="L191" s="1027" t="str">
        <x:f>IF($C191="","",IFERROR(INDEX('20 RCC-003 MIAR Registry'!$L$14:$L$60,MATCH($C191,'20 RCC-003 MIAR Registry'!$B$14:$B$60,0)),""))</x:f>
      </x:c>
      <x:c r="M191" s="1023"/>
      <x:c r="N191" s="1018"/>
      <x:c r="O191" s="1018"/>
      <x:c r="P191" s="1018"/>
      <x:c r="Q191" s="1018"/>
      <x:c r="R191" s="1018"/>
      <x:c r="S191" s="1018"/>
      <x:c r="T191" s="1025"/>
      <x:c r="U191" s="962" t="str">
        <x:f>IF($A191="","",IF(COUNTIF($A$14:$A$213,$A191)&gt;1,"DUPLICATE REVIEW ID",IF(OR($B191="",$C191="",$E191="",$F191="",$G191="",$I191="",$K191="",$M191="",$N191="",$O191="",$P191="",$Q191="",$R191="",$W191=""),"INCOMPLETE",IF(AND(OR($R191="Certify Current",$R191="Certify with Exception"),OR($S191="",$T191="")),"CERTIFICATION REQUIRED",IF(AND(NOT(OR($R191="Certify Current",$R191="Certify with Exception")),OR($S191&lt;&gt;"",$T191&lt;&gt;"")),"CERTIFICATION MISMATCH","COMPLETE")))))</x:f>
      </x:c>
      <x:c r="V191" s="1018"/>
      <x:c r="W191" s="1018"/>
    </x:row>
    <x:row r="192" ht="30" customHeight="1">
      <x:c r="A192" s="1018"/>
      <x:c r="B192" s="1025"/>
      <x:c r="C192" s="1018"/>
      <x:c r="D192" s="1021" t="str">
        <x:f>IF($C192="","",IFERROR(INDEX('20 RCC-003 MIAR Registry'!$C$14:$C$60,MATCH($C192,'20 RCC-003 MIAR Registry'!$B$14:$B$60,0)),"TICKER NOT FOUND"))</x:f>
      </x:c>
      <x:c r="E192" s="1018"/>
      <x:c r="F192" s="1018"/>
      <x:c r="G192" s="1018"/>
      <x:c r="H192" s="1021" t="str">
        <x:f>IF($C192="","",IFERROR(INDEX('20 RCC-003 MIAR Registry'!$M$14:$M$60,MATCH($C192,'20 RCC-003 MIAR Registry'!$B$14:$B$60,0)),""))</x:f>
      </x:c>
      <x:c r="I192" s="1018"/>
      <x:c r="J192" s="1027" t="str">
        <x:f>IF($C192="","",IFERROR(INDEX('20 RCC-003 MIAR Registry'!$K$14:$K$60,MATCH($C192,'20 RCC-003 MIAR Registry'!$B$14:$B$60,0)),""))</x:f>
      </x:c>
      <x:c r="K192" s="1023"/>
      <x:c r="L192" s="1027" t="str">
        <x:f>IF($C192="","",IFERROR(INDEX('20 RCC-003 MIAR Registry'!$L$14:$L$60,MATCH($C192,'20 RCC-003 MIAR Registry'!$B$14:$B$60,0)),""))</x:f>
      </x:c>
      <x:c r="M192" s="1023"/>
      <x:c r="N192" s="1018"/>
      <x:c r="O192" s="1018"/>
      <x:c r="P192" s="1018"/>
      <x:c r="Q192" s="1018"/>
      <x:c r="R192" s="1018"/>
      <x:c r="S192" s="1018"/>
      <x:c r="T192" s="1025"/>
      <x:c r="U192" s="962" t="str">
        <x:f>IF($A192="","",IF(COUNTIF($A$14:$A$213,$A192)&gt;1,"DUPLICATE REVIEW ID",IF(OR($B192="",$C192="",$E192="",$F192="",$G192="",$I192="",$K192="",$M192="",$N192="",$O192="",$P192="",$Q192="",$R192="",$W192=""),"INCOMPLETE",IF(AND(OR($R192="Certify Current",$R192="Certify with Exception"),OR($S192="",$T192="")),"CERTIFICATION REQUIRED",IF(AND(NOT(OR($R192="Certify Current",$R192="Certify with Exception")),OR($S192&lt;&gt;"",$T192&lt;&gt;"")),"CERTIFICATION MISMATCH","COMPLETE")))))</x:f>
      </x:c>
      <x:c r="V192" s="1018"/>
      <x:c r="W192" s="1018"/>
    </x:row>
    <x:row r="193" ht="30" customHeight="1">
      <x:c r="A193" s="1018"/>
      <x:c r="B193" s="1025"/>
      <x:c r="C193" s="1018"/>
      <x:c r="D193" s="1021" t="str">
        <x:f>IF($C193="","",IFERROR(INDEX('20 RCC-003 MIAR Registry'!$C$14:$C$60,MATCH($C193,'20 RCC-003 MIAR Registry'!$B$14:$B$60,0)),"TICKER NOT FOUND"))</x:f>
      </x:c>
      <x:c r="E193" s="1018"/>
      <x:c r="F193" s="1018"/>
      <x:c r="G193" s="1018"/>
      <x:c r="H193" s="1021" t="str">
        <x:f>IF($C193="","",IFERROR(INDEX('20 RCC-003 MIAR Registry'!$M$14:$M$60,MATCH($C193,'20 RCC-003 MIAR Registry'!$B$14:$B$60,0)),""))</x:f>
      </x:c>
      <x:c r="I193" s="1018"/>
      <x:c r="J193" s="1027" t="str">
        <x:f>IF($C193="","",IFERROR(INDEX('20 RCC-003 MIAR Registry'!$K$14:$K$60,MATCH($C193,'20 RCC-003 MIAR Registry'!$B$14:$B$60,0)),""))</x:f>
      </x:c>
      <x:c r="K193" s="1023"/>
      <x:c r="L193" s="1027" t="str">
        <x:f>IF($C193="","",IFERROR(INDEX('20 RCC-003 MIAR Registry'!$L$14:$L$60,MATCH($C193,'20 RCC-003 MIAR Registry'!$B$14:$B$60,0)),""))</x:f>
      </x:c>
      <x:c r="M193" s="1023"/>
      <x:c r="N193" s="1018"/>
      <x:c r="O193" s="1018"/>
      <x:c r="P193" s="1018"/>
      <x:c r="Q193" s="1018"/>
      <x:c r="R193" s="1018"/>
      <x:c r="S193" s="1018"/>
      <x:c r="T193" s="1025"/>
      <x:c r="U193" s="962" t="str">
        <x:f>IF($A193="","",IF(COUNTIF($A$14:$A$213,$A193)&gt;1,"DUPLICATE REVIEW ID",IF(OR($B193="",$C193="",$E193="",$F193="",$G193="",$I193="",$K193="",$M193="",$N193="",$O193="",$P193="",$Q193="",$R193="",$W193=""),"INCOMPLETE",IF(AND(OR($R193="Certify Current",$R193="Certify with Exception"),OR($S193="",$T193="")),"CERTIFICATION REQUIRED",IF(AND(NOT(OR($R193="Certify Current",$R193="Certify with Exception")),OR($S193&lt;&gt;"",$T193&lt;&gt;"")),"CERTIFICATION MISMATCH","COMPLETE")))))</x:f>
      </x:c>
      <x:c r="V193" s="1018"/>
      <x:c r="W193" s="1018"/>
    </x:row>
    <x:row r="194" ht="30" customHeight="1">
      <x:c r="A194" s="1018"/>
      <x:c r="B194" s="1025"/>
      <x:c r="C194" s="1018"/>
      <x:c r="D194" s="1021" t="str">
        <x:f>IF($C194="","",IFERROR(INDEX('20 RCC-003 MIAR Registry'!$C$14:$C$60,MATCH($C194,'20 RCC-003 MIAR Registry'!$B$14:$B$60,0)),"TICKER NOT FOUND"))</x:f>
      </x:c>
      <x:c r="E194" s="1018"/>
      <x:c r="F194" s="1018"/>
      <x:c r="G194" s="1018"/>
      <x:c r="H194" s="1021" t="str">
        <x:f>IF($C194="","",IFERROR(INDEX('20 RCC-003 MIAR Registry'!$M$14:$M$60,MATCH($C194,'20 RCC-003 MIAR Registry'!$B$14:$B$60,0)),""))</x:f>
      </x:c>
      <x:c r="I194" s="1018"/>
      <x:c r="J194" s="1027" t="str">
        <x:f>IF($C194="","",IFERROR(INDEX('20 RCC-003 MIAR Registry'!$K$14:$K$60,MATCH($C194,'20 RCC-003 MIAR Registry'!$B$14:$B$60,0)),""))</x:f>
      </x:c>
      <x:c r="K194" s="1023"/>
      <x:c r="L194" s="1027" t="str">
        <x:f>IF($C194="","",IFERROR(INDEX('20 RCC-003 MIAR Registry'!$L$14:$L$60,MATCH($C194,'20 RCC-003 MIAR Registry'!$B$14:$B$60,0)),""))</x:f>
      </x:c>
      <x:c r="M194" s="1023"/>
      <x:c r="N194" s="1018"/>
      <x:c r="O194" s="1018"/>
      <x:c r="P194" s="1018"/>
      <x:c r="Q194" s="1018"/>
      <x:c r="R194" s="1018"/>
      <x:c r="S194" s="1018"/>
      <x:c r="T194" s="1025"/>
      <x:c r="U194" s="962" t="str">
        <x:f>IF($A194="","",IF(COUNTIF($A$14:$A$213,$A194)&gt;1,"DUPLICATE REVIEW ID",IF(OR($B194="",$C194="",$E194="",$F194="",$G194="",$I194="",$K194="",$M194="",$N194="",$O194="",$P194="",$Q194="",$R194="",$W194=""),"INCOMPLETE",IF(AND(OR($R194="Certify Current",$R194="Certify with Exception"),OR($S194="",$T194="")),"CERTIFICATION REQUIRED",IF(AND(NOT(OR($R194="Certify Current",$R194="Certify with Exception")),OR($S194&lt;&gt;"",$T194&lt;&gt;"")),"CERTIFICATION MISMATCH","COMPLETE")))))</x:f>
      </x:c>
      <x:c r="V194" s="1018"/>
      <x:c r="W194" s="1018"/>
    </x:row>
    <x:row r="195" ht="30" customHeight="1">
      <x:c r="A195" s="1018"/>
      <x:c r="B195" s="1025"/>
      <x:c r="C195" s="1018"/>
      <x:c r="D195" s="1021" t="str">
        <x:f>IF($C195="","",IFERROR(INDEX('20 RCC-003 MIAR Registry'!$C$14:$C$60,MATCH($C195,'20 RCC-003 MIAR Registry'!$B$14:$B$60,0)),"TICKER NOT FOUND"))</x:f>
      </x:c>
      <x:c r="E195" s="1018"/>
      <x:c r="F195" s="1018"/>
      <x:c r="G195" s="1018"/>
      <x:c r="H195" s="1021" t="str">
        <x:f>IF($C195="","",IFERROR(INDEX('20 RCC-003 MIAR Registry'!$M$14:$M$60,MATCH($C195,'20 RCC-003 MIAR Registry'!$B$14:$B$60,0)),""))</x:f>
      </x:c>
      <x:c r="I195" s="1018"/>
      <x:c r="J195" s="1027" t="str">
        <x:f>IF($C195="","",IFERROR(INDEX('20 RCC-003 MIAR Registry'!$K$14:$K$60,MATCH($C195,'20 RCC-003 MIAR Registry'!$B$14:$B$60,0)),""))</x:f>
      </x:c>
      <x:c r="K195" s="1023"/>
      <x:c r="L195" s="1027" t="str">
        <x:f>IF($C195="","",IFERROR(INDEX('20 RCC-003 MIAR Registry'!$L$14:$L$60,MATCH($C195,'20 RCC-003 MIAR Registry'!$B$14:$B$60,0)),""))</x:f>
      </x:c>
      <x:c r="M195" s="1023"/>
      <x:c r="N195" s="1018"/>
      <x:c r="O195" s="1018"/>
      <x:c r="P195" s="1018"/>
      <x:c r="Q195" s="1018"/>
      <x:c r="R195" s="1018"/>
      <x:c r="S195" s="1018"/>
      <x:c r="T195" s="1025"/>
      <x:c r="U195" s="962" t="str">
        <x:f>IF($A195="","",IF(COUNTIF($A$14:$A$213,$A195)&gt;1,"DUPLICATE REVIEW ID",IF(OR($B195="",$C195="",$E195="",$F195="",$G195="",$I195="",$K195="",$M195="",$N195="",$O195="",$P195="",$Q195="",$R195="",$W195=""),"INCOMPLETE",IF(AND(OR($R195="Certify Current",$R195="Certify with Exception"),OR($S195="",$T195="")),"CERTIFICATION REQUIRED",IF(AND(NOT(OR($R195="Certify Current",$R195="Certify with Exception")),OR($S195&lt;&gt;"",$T195&lt;&gt;"")),"CERTIFICATION MISMATCH","COMPLETE")))))</x:f>
      </x:c>
      <x:c r="V195" s="1018"/>
      <x:c r="W195" s="1018"/>
    </x:row>
    <x:row r="196" ht="30" customHeight="1">
      <x:c r="A196" s="1018"/>
      <x:c r="B196" s="1025"/>
      <x:c r="C196" s="1018"/>
      <x:c r="D196" s="1021" t="str">
        <x:f>IF($C196="","",IFERROR(INDEX('20 RCC-003 MIAR Registry'!$C$14:$C$60,MATCH($C196,'20 RCC-003 MIAR Registry'!$B$14:$B$60,0)),"TICKER NOT FOUND"))</x:f>
      </x:c>
      <x:c r="E196" s="1018"/>
      <x:c r="F196" s="1018"/>
      <x:c r="G196" s="1018"/>
      <x:c r="H196" s="1021" t="str">
        <x:f>IF($C196="","",IFERROR(INDEX('20 RCC-003 MIAR Registry'!$M$14:$M$60,MATCH($C196,'20 RCC-003 MIAR Registry'!$B$14:$B$60,0)),""))</x:f>
      </x:c>
      <x:c r="I196" s="1018"/>
      <x:c r="J196" s="1027" t="str">
        <x:f>IF($C196="","",IFERROR(INDEX('20 RCC-003 MIAR Registry'!$K$14:$K$60,MATCH($C196,'20 RCC-003 MIAR Registry'!$B$14:$B$60,0)),""))</x:f>
      </x:c>
      <x:c r="K196" s="1023"/>
      <x:c r="L196" s="1027" t="str">
        <x:f>IF($C196="","",IFERROR(INDEX('20 RCC-003 MIAR Registry'!$L$14:$L$60,MATCH($C196,'20 RCC-003 MIAR Registry'!$B$14:$B$60,0)),""))</x:f>
      </x:c>
      <x:c r="M196" s="1023"/>
      <x:c r="N196" s="1018"/>
      <x:c r="O196" s="1018"/>
      <x:c r="P196" s="1018"/>
      <x:c r="Q196" s="1018"/>
      <x:c r="R196" s="1018"/>
      <x:c r="S196" s="1018"/>
      <x:c r="T196" s="1025"/>
      <x:c r="U196" s="962" t="str">
        <x:f>IF($A196="","",IF(COUNTIF($A$14:$A$213,$A196)&gt;1,"DUPLICATE REVIEW ID",IF(OR($B196="",$C196="",$E196="",$F196="",$G196="",$I196="",$K196="",$M196="",$N196="",$O196="",$P196="",$Q196="",$R196="",$W196=""),"INCOMPLETE",IF(AND(OR($R196="Certify Current",$R196="Certify with Exception"),OR($S196="",$T196="")),"CERTIFICATION REQUIRED",IF(AND(NOT(OR($R196="Certify Current",$R196="Certify with Exception")),OR($S196&lt;&gt;"",$T196&lt;&gt;"")),"CERTIFICATION MISMATCH","COMPLETE")))))</x:f>
      </x:c>
      <x:c r="V196" s="1018"/>
      <x:c r="W196" s="1018"/>
    </x:row>
    <x:row r="197" ht="30" customHeight="1">
      <x:c r="A197" s="1018"/>
      <x:c r="B197" s="1025"/>
      <x:c r="C197" s="1018"/>
      <x:c r="D197" s="1021" t="str">
        <x:f>IF($C197="","",IFERROR(INDEX('20 RCC-003 MIAR Registry'!$C$14:$C$60,MATCH($C197,'20 RCC-003 MIAR Registry'!$B$14:$B$60,0)),"TICKER NOT FOUND"))</x:f>
      </x:c>
      <x:c r="E197" s="1018"/>
      <x:c r="F197" s="1018"/>
      <x:c r="G197" s="1018"/>
      <x:c r="H197" s="1021" t="str">
        <x:f>IF($C197="","",IFERROR(INDEX('20 RCC-003 MIAR Registry'!$M$14:$M$60,MATCH($C197,'20 RCC-003 MIAR Registry'!$B$14:$B$60,0)),""))</x:f>
      </x:c>
      <x:c r="I197" s="1018"/>
      <x:c r="J197" s="1027" t="str">
        <x:f>IF($C197="","",IFERROR(INDEX('20 RCC-003 MIAR Registry'!$K$14:$K$60,MATCH($C197,'20 RCC-003 MIAR Registry'!$B$14:$B$60,0)),""))</x:f>
      </x:c>
      <x:c r="K197" s="1023"/>
      <x:c r="L197" s="1027" t="str">
        <x:f>IF($C197="","",IFERROR(INDEX('20 RCC-003 MIAR Registry'!$L$14:$L$60,MATCH($C197,'20 RCC-003 MIAR Registry'!$B$14:$B$60,0)),""))</x:f>
      </x:c>
      <x:c r="M197" s="1023"/>
      <x:c r="N197" s="1018"/>
      <x:c r="O197" s="1018"/>
      <x:c r="P197" s="1018"/>
      <x:c r="Q197" s="1018"/>
      <x:c r="R197" s="1018"/>
      <x:c r="S197" s="1018"/>
      <x:c r="T197" s="1025"/>
      <x:c r="U197" s="962" t="str">
        <x:f>IF($A197="","",IF(COUNTIF($A$14:$A$213,$A197)&gt;1,"DUPLICATE REVIEW ID",IF(OR($B197="",$C197="",$E197="",$F197="",$G197="",$I197="",$K197="",$M197="",$N197="",$O197="",$P197="",$Q197="",$R197="",$W197=""),"INCOMPLETE",IF(AND(OR($R197="Certify Current",$R197="Certify with Exception"),OR($S197="",$T197="")),"CERTIFICATION REQUIRED",IF(AND(NOT(OR($R197="Certify Current",$R197="Certify with Exception")),OR($S197&lt;&gt;"",$T197&lt;&gt;"")),"CERTIFICATION MISMATCH","COMPLETE")))))</x:f>
      </x:c>
      <x:c r="V197" s="1018"/>
      <x:c r="W197" s="1018"/>
    </x:row>
    <x:row r="198" ht="30" customHeight="1">
      <x:c r="A198" s="1018"/>
      <x:c r="B198" s="1025"/>
      <x:c r="C198" s="1018"/>
      <x:c r="D198" s="1021" t="str">
        <x:f>IF($C198="","",IFERROR(INDEX('20 RCC-003 MIAR Registry'!$C$14:$C$60,MATCH($C198,'20 RCC-003 MIAR Registry'!$B$14:$B$60,0)),"TICKER NOT FOUND"))</x:f>
      </x:c>
      <x:c r="E198" s="1018"/>
      <x:c r="F198" s="1018"/>
      <x:c r="G198" s="1018"/>
      <x:c r="H198" s="1021" t="str">
        <x:f>IF($C198="","",IFERROR(INDEX('20 RCC-003 MIAR Registry'!$M$14:$M$60,MATCH($C198,'20 RCC-003 MIAR Registry'!$B$14:$B$60,0)),""))</x:f>
      </x:c>
      <x:c r="I198" s="1018"/>
      <x:c r="J198" s="1027" t="str">
        <x:f>IF($C198="","",IFERROR(INDEX('20 RCC-003 MIAR Registry'!$K$14:$K$60,MATCH($C198,'20 RCC-003 MIAR Registry'!$B$14:$B$60,0)),""))</x:f>
      </x:c>
      <x:c r="K198" s="1023"/>
      <x:c r="L198" s="1027" t="str">
        <x:f>IF($C198="","",IFERROR(INDEX('20 RCC-003 MIAR Registry'!$L$14:$L$60,MATCH($C198,'20 RCC-003 MIAR Registry'!$B$14:$B$60,0)),""))</x:f>
      </x:c>
      <x:c r="M198" s="1023"/>
      <x:c r="N198" s="1018"/>
      <x:c r="O198" s="1018"/>
      <x:c r="P198" s="1018"/>
      <x:c r="Q198" s="1018"/>
      <x:c r="R198" s="1018"/>
      <x:c r="S198" s="1018"/>
      <x:c r="T198" s="1025"/>
      <x:c r="U198" s="962" t="str">
        <x:f>IF($A198="","",IF(COUNTIF($A$14:$A$213,$A198)&gt;1,"DUPLICATE REVIEW ID",IF(OR($B198="",$C198="",$E198="",$F198="",$G198="",$I198="",$K198="",$M198="",$N198="",$O198="",$P198="",$Q198="",$R198="",$W198=""),"INCOMPLETE",IF(AND(OR($R198="Certify Current",$R198="Certify with Exception"),OR($S198="",$T198="")),"CERTIFICATION REQUIRED",IF(AND(NOT(OR($R198="Certify Current",$R198="Certify with Exception")),OR($S198&lt;&gt;"",$T198&lt;&gt;"")),"CERTIFICATION MISMATCH","COMPLETE")))))</x:f>
      </x:c>
      <x:c r="V198" s="1018"/>
      <x:c r="W198" s="1018"/>
    </x:row>
    <x:row r="199" ht="30" customHeight="1">
      <x:c r="A199" s="1018"/>
      <x:c r="B199" s="1025"/>
      <x:c r="C199" s="1018"/>
      <x:c r="D199" s="1021" t="str">
        <x:f>IF($C199="","",IFERROR(INDEX('20 RCC-003 MIAR Registry'!$C$14:$C$60,MATCH($C199,'20 RCC-003 MIAR Registry'!$B$14:$B$60,0)),"TICKER NOT FOUND"))</x:f>
      </x:c>
      <x:c r="E199" s="1018"/>
      <x:c r="F199" s="1018"/>
      <x:c r="G199" s="1018"/>
      <x:c r="H199" s="1021" t="str">
        <x:f>IF($C199="","",IFERROR(INDEX('20 RCC-003 MIAR Registry'!$M$14:$M$60,MATCH($C199,'20 RCC-003 MIAR Registry'!$B$14:$B$60,0)),""))</x:f>
      </x:c>
      <x:c r="I199" s="1018"/>
      <x:c r="J199" s="1027" t="str">
        <x:f>IF($C199="","",IFERROR(INDEX('20 RCC-003 MIAR Registry'!$K$14:$K$60,MATCH($C199,'20 RCC-003 MIAR Registry'!$B$14:$B$60,0)),""))</x:f>
      </x:c>
      <x:c r="K199" s="1023"/>
      <x:c r="L199" s="1027" t="str">
        <x:f>IF($C199="","",IFERROR(INDEX('20 RCC-003 MIAR Registry'!$L$14:$L$60,MATCH($C199,'20 RCC-003 MIAR Registry'!$B$14:$B$60,0)),""))</x:f>
      </x:c>
      <x:c r="M199" s="1023"/>
      <x:c r="N199" s="1018"/>
      <x:c r="O199" s="1018"/>
      <x:c r="P199" s="1018"/>
      <x:c r="Q199" s="1018"/>
      <x:c r="R199" s="1018"/>
      <x:c r="S199" s="1018"/>
      <x:c r="T199" s="1025"/>
      <x:c r="U199" s="962" t="str">
        <x:f>IF($A199="","",IF(COUNTIF($A$14:$A$213,$A199)&gt;1,"DUPLICATE REVIEW ID",IF(OR($B199="",$C199="",$E199="",$F199="",$G199="",$I199="",$K199="",$M199="",$N199="",$O199="",$P199="",$Q199="",$R199="",$W199=""),"INCOMPLETE",IF(AND(OR($R199="Certify Current",$R199="Certify with Exception"),OR($S199="",$T199="")),"CERTIFICATION REQUIRED",IF(AND(NOT(OR($R199="Certify Current",$R199="Certify with Exception")),OR($S199&lt;&gt;"",$T199&lt;&gt;"")),"CERTIFICATION MISMATCH","COMPLETE")))))</x:f>
      </x:c>
      <x:c r="V199" s="1018"/>
      <x:c r="W199" s="1018"/>
    </x:row>
    <x:row r="200" ht="30" customHeight="1">
      <x:c r="A200" s="1018"/>
      <x:c r="B200" s="1025"/>
      <x:c r="C200" s="1018"/>
      <x:c r="D200" s="1021" t="str">
        <x:f>IF($C200="","",IFERROR(INDEX('20 RCC-003 MIAR Registry'!$C$14:$C$60,MATCH($C200,'20 RCC-003 MIAR Registry'!$B$14:$B$60,0)),"TICKER NOT FOUND"))</x:f>
      </x:c>
      <x:c r="E200" s="1018"/>
      <x:c r="F200" s="1018"/>
      <x:c r="G200" s="1018"/>
      <x:c r="H200" s="1021" t="str">
        <x:f>IF($C200="","",IFERROR(INDEX('20 RCC-003 MIAR Registry'!$M$14:$M$60,MATCH($C200,'20 RCC-003 MIAR Registry'!$B$14:$B$60,0)),""))</x:f>
      </x:c>
      <x:c r="I200" s="1018"/>
      <x:c r="J200" s="1027" t="str">
        <x:f>IF($C200="","",IFERROR(INDEX('20 RCC-003 MIAR Registry'!$K$14:$K$60,MATCH($C200,'20 RCC-003 MIAR Registry'!$B$14:$B$60,0)),""))</x:f>
      </x:c>
      <x:c r="K200" s="1023"/>
      <x:c r="L200" s="1027" t="str">
        <x:f>IF($C200="","",IFERROR(INDEX('20 RCC-003 MIAR Registry'!$L$14:$L$60,MATCH($C200,'20 RCC-003 MIAR Registry'!$B$14:$B$60,0)),""))</x:f>
      </x:c>
      <x:c r="M200" s="1023"/>
      <x:c r="N200" s="1018"/>
      <x:c r="O200" s="1018"/>
      <x:c r="P200" s="1018"/>
      <x:c r="Q200" s="1018"/>
      <x:c r="R200" s="1018"/>
      <x:c r="S200" s="1018"/>
      <x:c r="T200" s="1025"/>
      <x:c r="U200" s="962" t="str">
        <x:f>IF($A200="","",IF(COUNTIF($A$14:$A$213,$A200)&gt;1,"DUPLICATE REVIEW ID",IF(OR($B200="",$C200="",$E200="",$F200="",$G200="",$I200="",$K200="",$M200="",$N200="",$O200="",$P200="",$Q200="",$R200="",$W200=""),"INCOMPLETE",IF(AND(OR($R200="Certify Current",$R200="Certify with Exception"),OR($S200="",$T200="")),"CERTIFICATION REQUIRED",IF(AND(NOT(OR($R200="Certify Current",$R200="Certify with Exception")),OR($S200&lt;&gt;"",$T200&lt;&gt;"")),"CERTIFICATION MISMATCH","COMPLETE")))))</x:f>
      </x:c>
      <x:c r="V200" s="1018"/>
      <x:c r="W200" s="1018"/>
    </x:row>
    <x:row r="201" ht="30" customHeight="1">
      <x:c r="A201" s="1018"/>
      <x:c r="B201" s="1025"/>
      <x:c r="C201" s="1018"/>
      <x:c r="D201" s="1021" t="str">
        <x:f>IF($C201="","",IFERROR(INDEX('20 RCC-003 MIAR Registry'!$C$14:$C$60,MATCH($C201,'20 RCC-003 MIAR Registry'!$B$14:$B$60,0)),"TICKER NOT FOUND"))</x:f>
      </x:c>
      <x:c r="E201" s="1018"/>
      <x:c r="F201" s="1018"/>
      <x:c r="G201" s="1018"/>
      <x:c r="H201" s="1021" t="str">
        <x:f>IF($C201="","",IFERROR(INDEX('20 RCC-003 MIAR Registry'!$M$14:$M$60,MATCH($C201,'20 RCC-003 MIAR Registry'!$B$14:$B$60,0)),""))</x:f>
      </x:c>
      <x:c r="I201" s="1018"/>
      <x:c r="J201" s="1027" t="str">
        <x:f>IF($C201="","",IFERROR(INDEX('20 RCC-003 MIAR Registry'!$K$14:$K$60,MATCH($C201,'20 RCC-003 MIAR Registry'!$B$14:$B$60,0)),""))</x:f>
      </x:c>
      <x:c r="K201" s="1023"/>
      <x:c r="L201" s="1027" t="str">
        <x:f>IF($C201="","",IFERROR(INDEX('20 RCC-003 MIAR Registry'!$L$14:$L$60,MATCH($C201,'20 RCC-003 MIAR Registry'!$B$14:$B$60,0)),""))</x:f>
      </x:c>
      <x:c r="M201" s="1023"/>
      <x:c r="N201" s="1018"/>
      <x:c r="O201" s="1018"/>
      <x:c r="P201" s="1018"/>
      <x:c r="Q201" s="1018"/>
      <x:c r="R201" s="1018"/>
      <x:c r="S201" s="1018"/>
      <x:c r="T201" s="1025"/>
      <x:c r="U201" s="962" t="str">
        <x:f>IF($A201="","",IF(COUNTIF($A$14:$A$213,$A201)&gt;1,"DUPLICATE REVIEW ID",IF(OR($B201="",$C201="",$E201="",$F201="",$G201="",$I201="",$K201="",$M201="",$N201="",$O201="",$P201="",$Q201="",$R201="",$W201=""),"INCOMPLETE",IF(AND(OR($R201="Certify Current",$R201="Certify with Exception"),OR($S201="",$T201="")),"CERTIFICATION REQUIRED",IF(AND(NOT(OR($R201="Certify Current",$R201="Certify with Exception")),OR($S201&lt;&gt;"",$T201&lt;&gt;"")),"CERTIFICATION MISMATCH","COMPLETE")))))</x:f>
      </x:c>
      <x:c r="V201" s="1018"/>
      <x:c r="W201" s="1018"/>
    </x:row>
    <x:row r="202" ht="30" customHeight="1">
      <x:c r="A202" s="1018"/>
      <x:c r="B202" s="1025"/>
      <x:c r="C202" s="1018"/>
      <x:c r="D202" s="1021" t="str">
        <x:f>IF($C202="","",IFERROR(INDEX('20 RCC-003 MIAR Registry'!$C$14:$C$60,MATCH($C202,'20 RCC-003 MIAR Registry'!$B$14:$B$60,0)),"TICKER NOT FOUND"))</x:f>
      </x:c>
      <x:c r="E202" s="1018"/>
      <x:c r="F202" s="1018"/>
      <x:c r="G202" s="1018"/>
      <x:c r="H202" s="1021" t="str">
        <x:f>IF($C202="","",IFERROR(INDEX('20 RCC-003 MIAR Registry'!$M$14:$M$60,MATCH($C202,'20 RCC-003 MIAR Registry'!$B$14:$B$60,0)),""))</x:f>
      </x:c>
      <x:c r="I202" s="1018"/>
      <x:c r="J202" s="1027" t="str">
        <x:f>IF($C202="","",IFERROR(INDEX('20 RCC-003 MIAR Registry'!$K$14:$K$60,MATCH($C202,'20 RCC-003 MIAR Registry'!$B$14:$B$60,0)),""))</x:f>
      </x:c>
      <x:c r="K202" s="1023"/>
      <x:c r="L202" s="1027" t="str">
        <x:f>IF($C202="","",IFERROR(INDEX('20 RCC-003 MIAR Registry'!$L$14:$L$60,MATCH($C202,'20 RCC-003 MIAR Registry'!$B$14:$B$60,0)),""))</x:f>
      </x:c>
      <x:c r="M202" s="1023"/>
      <x:c r="N202" s="1018"/>
      <x:c r="O202" s="1018"/>
      <x:c r="P202" s="1018"/>
      <x:c r="Q202" s="1018"/>
      <x:c r="R202" s="1018"/>
      <x:c r="S202" s="1018"/>
      <x:c r="T202" s="1025"/>
      <x:c r="U202" s="962" t="str">
        <x:f>IF($A202="","",IF(COUNTIF($A$14:$A$213,$A202)&gt;1,"DUPLICATE REVIEW ID",IF(OR($B202="",$C202="",$E202="",$F202="",$G202="",$I202="",$K202="",$M202="",$N202="",$O202="",$P202="",$Q202="",$R202="",$W202=""),"INCOMPLETE",IF(AND(OR($R202="Certify Current",$R202="Certify with Exception"),OR($S202="",$T202="")),"CERTIFICATION REQUIRED",IF(AND(NOT(OR($R202="Certify Current",$R202="Certify with Exception")),OR($S202&lt;&gt;"",$T202&lt;&gt;"")),"CERTIFICATION MISMATCH","COMPLETE")))))</x:f>
      </x:c>
      <x:c r="V202" s="1018"/>
      <x:c r="W202" s="1018"/>
    </x:row>
    <x:row r="203" ht="30" customHeight="1">
      <x:c r="A203" s="1018"/>
      <x:c r="B203" s="1025"/>
      <x:c r="C203" s="1018"/>
      <x:c r="D203" s="1021" t="str">
        <x:f>IF($C203="","",IFERROR(INDEX('20 RCC-003 MIAR Registry'!$C$14:$C$60,MATCH($C203,'20 RCC-003 MIAR Registry'!$B$14:$B$60,0)),"TICKER NOT FOUND"))</x:f>
      </x:c>
      <x:c r="E203" s="1018"/>
      <x:c r="F203" s="1018"/>
      <x:c r="G203" s="1018"/>
      <x:c r="H203" s="1021" t="str">
        <x:f>IF($C203="","",IFERROR(INDEX('20 RCC-003 MIAR Registry'!$M$14:$M$60,MATCH($C203,'20 RCC-003 MIAR Registry'!$B$14:$B$60,0)),""))</x:f>
      </x:c>
      <x:c r="I203" s="1018"/>
      <x:c r="J203" s="1027" t="str">
        <x:f>IF($C203="","",IFERROR(INDEX('20 RCC-003 MIAR Registry'!$K$14:$K$60,MATCH($C203,'20 RCC-003 MIAR Registry'!$B$14:$B$60,0)),""))</x:f>
      </x:c>
      <x:c r="K203" s="1023"/>
      <x:c r="L203" s="1027" t="str">
        <x:f>IF($C203="","",IFERROR(INDEX('20 RCC-003 MIAR Registry'!$L$14:$L$60,MATCH($C203,'20 RCC-003 MIAR Registry'!$B$14:$B$60,0)),""))</x:f>
      </x:c>
      <x:c r="M203" s="1023"/>
      <x:c r="N203" s="1018"/>
      <x:c r="O203" s="1018"/>
      <x:c r="P203" s="1018"/>
      <x:c r="Q203" s="1018"/>
      <x:c r="R203" s="1018"/>
      <x:c r="S203" s="1018"/>
      <x:c r="T203" s="1025"/>
      <x:c r="U203" s="962" t="str">
        <x:f>IF($A203="","",IF(COUNTIF($A$14:$A$213,$A203)&gt;1,"DUPLICATE REVIEW ID",IF(OR($B203="",$C203="",$E203="",$F203="",$G203="",$I203="",$K203="",$M203="",$N203="",$O203="",$P203="",$Q203="",$R203="",$W203=""),"INCOMPLETE",IF(AND(OR($R203="Certify Current",$R203="Certify with Exception"),OR($S203="",$T203="")),"CERTIFICATION REQUIRED",IF(AND(NOT(OR($R203="Certify Current",$R203="Certify with Exception")),OR($S203&lt;&gt;"",$T203&lt;&gt;"")),"CERTIFICATION MISMATCH","COMPLETE")))))</x:f>
      </x:c>
      <x:c r="V203" s="1018"/>
      <x:c r="W203" s="1018"/>
    </x:row>
    <x:row r="204" ht="30" customHeight="1">
      <x:c r="A204" s="1018"/>
      <x:c r="B204" s="1025"/>
      <x:c r="C204" s="1018"/>
      <x:c r="D204" s="1021" t="str">
        <x:f>IF($C204="","",IFERROR(INDEX('20 RCC-003 MIAR Registry'!$C$14:$C$60,MATCH($C204,'20 RCC-003 MIAR Registry'!$B$14:$B$60,0)),"TICKER NOT FOUND"))</x:f>
      </x:c>
      <x:c r="E204" s="1018"/>
      <x:c r="F204" s="1018"/>
      <x:c r="G204" s="1018"/>
      <x:c r="H204" s="1021" t="str">
        <x:f>IF($C204="","",IFERROR(INDEX('20 RCC-003 MIAR Registry'!$M$14:$M$60,MATCH($C204,'20 RCC-003 MIAR Registry'!$B$14:$B$60,0)),""))</x:f>
      </x:c>
      <x:c r="I204" s="1018"/>
      <x:c r="J204" s="1027" t="str">
        <x:f>IF($C204="","",IFERROR(INDEX('20 RCC-003 MIAR Registry'!$K$14:$K$60,MATCH($C204,'20 RCC-003 MIAR Registry'!$B$14:$B$60,0)),""))</x:f>
      </x:c>
      <x:c r="K204" s="1023"/>
      <x:c r="L204" s="1027" t="str">
        <x:f>IF($C204="","",IFERROR(INDEX('20 RCC-003 MIAR Registry'!$L$14:$L$60,MATCH($C204,'20 RCC-003 MIAR Registry'!$B$14:$B$60,0)),""))</x:f>
      </x:c>
      <x:c r="M204" s="1023"/>
      <x:c r="N204" s="1018"/>
      <x:c r="O204" s="1018"/>
      <x:c r="P204" s="1018"/>
      <x:c r="Q204" s="1018"/>
      <x:c r="R204" s="1018"/>
      <x:c r="S204" s="1018"/>
      <x:c r="T204" s="1025"/>
      <x:c r="U204" s="962" t="str">
        <x:f>IF($A204="","",IF(COUNTIF($A$14:$A$213,$A204)&gt;1,"DUPLICATE REVIEW ID",IF(OR($B204="",$C204="",$E204="",$F204="",$G204="",$I204="",$K204="",$M204="",$N204="",$O204="",$P204="",$Q204="",$R204="",$W204=""),"INCOMPLETE",IF(AND(OR($R204="Certify Current",$R204="Certify with Exception"),OR($S204="",$T204="")),"CERTIFICATION REQUIRED",IF(AND(NOT(OR($R204="Certify Current",$R204="Certify with Exception")),OR($S204&lt;&gt;"",$T204&lt;&gt;"")),"CERTIFICATION MISMATCH","COMPLETE")))))</x:f>
      </x:c>
      <x:c r="V204" s="1018"/>
      <x:c r="W204" s="1018"/>
    </x:row>
    <x:row r="205" ht="30" customHeight="1">
      <x:c r="A205" s="1018"/>
      <x:c r="B205" s="1025"/>
      <x:c r="C205" s="1018"/>
      <x:c r="D205" s="1021" t="str">
        <x:f>IF($C205="","",IFERROR(INDEX('20 RCC-003 MIAR Registry'!$C$14:$C$60,MATCH($C205,'20 RCC-003 MIAR Registry'!$B$14:$B$60,0)),"TICKER NOT FOUND"))</x:f>
      </x:c>
      <x:c r="E205" s="1018"/>
      <x:c r="F205" s="1018"/>
      <x:c r="G205" s="1018"/>
      <x:c r="H205" s="1021" t="str">
        <x:f>IF($C205="","",IFERROR(INDEX('20 RCC-003 MIAR Registry'!$M$14:$M$60,MATCH($C205,'20 RCC-003 MIAR Registry'!$B$14:$B$60,0)),""))</x:f>
      </x:c>
      <x:c r="I205" s="1018"/>
      <x:c r="J205" s="1027" t="str">
        <x:f>IF($C205="","",IFERROR(INDEX('20 RCC-003 MIAR Registry'!$K$14:$K$60,MATCH($C205,'20 RCC-003 MIAR Registry'!$B$14:$B$60,0)),""))</x:f>
      </x:c>
      <x:c r="K205" s="1023"/>
      <x:c r="L205" s="1027" t="str">
        <x:f>IF($C205="","",IFERROR(INDEX('20 RCC-003 MIAR Registry'!$L$14:$L$60,MATCH($C205,'20 RCC-003 MIAR Registry'!$B$14:$B$60,0)),""))</x:f>
      </x:c>
      <x:c r="M205" s="1023"/>
      <x:c r="N205" s="1018"/>
      <x:c r="O205" s="1018"/>
      <x:c r="P205" s="1018"/>
      <x:c r="Q205" s="1018"/>
      <x:c r="R205" s="1018"/>
      <x:c r="S205" s="1018"/>
      <x:c r="T205" s="1025"/>
      <x:c r="U205" s="962" t="str">
        <x:f>IF($A205="","",IF(COUNTIF($A$14:$A$213,$A205)&gt;1,"DUPLICATE REVIEW ID",IF(OR($B205="",$C205="",$E205="",$F205="",$G205="",$I205="",$K205="",$M205="",$N205="",$O205="",$P205="",$Q205="",$R205="",$W205=""),"INCOMPLETE",IF(AND(OR($R205="Certify Current",$R205="Certify with Exception"),OR($S205="",$T205="")),"CERTIFICATION REQUIRED",IF(AND(NOT(OR($R205="Certify Current",$R205="Certify with Exception")),OR($S205&lt;&gt;"",$T205&lt;&gt;"")),"CERTIFICATION MISMATCH","COMPLETE")))))</x:f>
      </x:c>
      <x:c r="V205" s="1018"/>
      <x:c r="W205" s="1018"/>
    </x:row>
    <x:row r="206" ht="30" customHeight="1">
      <x:c r="A206" s="1018"/>
      <x:c r="B206" s="1025"/>
      <x:c r="C206" s="1018"/>
      <x:c r="D206" s="1021" t="str">
        <x:f>IF($C206="","",IFERROR(INDEX('20 RCC-003 MIAR Registry'!$C$14:$C$60,MATCH($C206,'20 RCC-003 MIAR Registry'!$B$14:$B$60,0)),"TICKER NOT FOUND"))</x:f>
      </x:c>
      <x:c r="E206" s="1018"/>
      <x:c r="F206" s="1018"/>
      <x:c r="G206" s="1018"/>
      <x:c r="H206" s="1021" t="str">
        <x:f>IF($C206="","",IFERROR(INDEX('20 RCC-003 MIAR Registry'!$M$14:$M$60,MATCH($C206,'20 RCC-003 MIAR Registry'!$B$14:$B$60,0)),""))</x:f>
      </x:c>
      <x:c r="I206" s="1018"/>
      <x:c r="J206" s="1027" t="str">
        <x:f>IF($C206="","",IFERROR(INDEX('20 RCC-003 MIAR Registry'!$K$14:$K$60,MATCH($C206,'20 RCC-003 MIAR Registry'!$B$14:$B$60,0)),""))</x:f>
      </x:c>
      <x:c r="K206" s="1023"/>
      <x:c r="L206" s="1027" t="str">
        <x:f>IF($C206="","",IFERROR(INDEX('20 RCC-003 MIAR Registry'!$L$14:$L$60,MATCH($C206,'20 RCC-003 MIAR Registry'!$B$14:$B$60,0)),""))</x:f>
      </x:c>
      <x:c r="M206" s="1023"/>
      <x:c r="N206" s="1018"/>
      <x:c r="O206" s="1018"/>
      <x:c r="P206" s="1018"/>
      <x:c r="Q206" s="1018"/>
      <x:c r="R206" s="1018"/>
      <x:c r="S206" s="1018"/>
      <x:c r="T206" s="1025"/>
      <x:c r="U206" s="962" t="str">
        <x:f>IF($A206="","",IF(COUNTIF($A$14:$A$213,$A206)&gt;1,"DUPLICATE REVIEW ID",IF(OR($B206="",$C206="",$E206="",$F206="",$G206="",$I206="",$K206="",$M206="",$N206="",$O206="",$P206="",$Q206="",$R206="",$W206=""),"INCOMPLETE",IF(AND(OR($R206="Certify Current",$R206="Certify with Exception"),OR($S206="",$T206="")),"CERTIFICATION REQUIRED",IF(AND(NOT(OR($R206="Certify Current",$R206="Certify with Exception")),OR($S206&lt;&gt;"",$T206&lt;&gt;"")),"CERTIFICATION MISMATCH","COMPLETE")))))</x:f>
      </x:c>
      <x:c r="V206" s="1018"/>
      <x:c r="W206" s="1018"/>
    </x:row>
    <x:row r="207" ht="30" customHeight="1">
      <x:c r="A207" s="1018"/>
      <x:c r="B207" s="1025"/>
      <x:c r="C207" s="1018"/>
      <x:c r="D207" s="1021" t="str">
        <x:f>IF($C207="","",IFERROR(INDEX('20 RCC-003 MIAR Registry'!$C$14:$C$60,MATCH($C207,'20 RCC-003 MIAR Registry'!$B$14:$B$60,0)),"TICKER NOT FOUND"))</x:f>
      </x:c>
      <x:c r="E207" s="1018"/>
      <x:c r="F207" s="1018"/>
      <x:c r="G207" s="1018"/>
      <x:c r="H207" s="1021" t="str">
        <x:f>IF($C207="","",IFERROR(INDEX('20 RCC-003 MIAR Registry'!$M$14:$M$60,MATCH($C207,'20 RCC-003 MIAR Registry'!$B$14:$B$60,0)),""))</x:f>
      </x:c>
      <x:c r="I207" s="1018"/>
      <x:c r="J207" s="1027" t="str">
        <x:f>IF($C207="","",IFERROR(INDEX('20 RCC-003 MIAR Registry'!$K$14:$K$60,MATCH($C207,'20 RCC-003 MIAR Registry'!$B$14:$B$60,0)),""))</x:f>
      </x:c>
      <x:c r="K207" s="1023"/>
      <x:c r="L207" s="1027" t="str">
        <x:f>IF($C207="","",IFERROR(INDEX('20 RCC-003 MIAR Registry'!$L$14:$L$60,MATCH($C207,'20 RCC-003 MIAR Registry'!$B$14:$B$60,0)),""))</x:f>
      </x:c>
      <x:c r="M207" s="1023"/>
      <x:c r="N207" s="1018"/>
      <x:c r="O207" s="1018"/>
      <x:c r="P207" s="1018"/>
      <x:c r="Q207" s="1018"/>
      <x:c r="R207" s="1018"/>
      <x:c r="S207" s="1018"/>
      <x:c r="T207" s="1025"/>
      <x:c r="U207" s="962" t="str">
        <x:f>IF($A207="","",IF(COUNTIF($A$14:$A$213,$A207)&gt;1,"DUPLICATE REVIEW ID",IF(OR($B207="",$C207="",$E207="",$F207="",$G207="",$I207="",$K207="",$M207="",$N207="",$O207="",$P207="",$Q207="",$R207="",$W207=""),"INCOMPLETE",IF(AND(OR($R207="Certify Current",$R207="Certify with Exception"),OR($S207="",$T207="")),"CERTIFICATION REQUIRED",IF(AND(NOT(OR($R207="Certify Current",$R207="Certify with Exception")),OR($S207&lt;&gt;"",$T207&lt;&gt;"")),"CERTIFICATION MISMATCH","COMPLETE")))))</x:f>
      </x:c>
      <x:c r="V207" s="1018"/>
      <x:c r="W207" s="1018"/>
    </x:row>
    <x:row r="208" ht="30" customHeight="1">
      <x:c r="A208" s="1018"/>
      <x:c r="B208" s="1025"/>
      <x:c r="C208" s="1018"/>
      <x:c r="D208" s="1021" t="str">
        <x:f>IF($C208="","",IFERROR(INDEX('20 RCC-003 MIAR Registry'!$C$14:$C$60,MATCH($C208,'20 RCC-003 MIAR Registry'!$B$14:$B$60,0)),"TICKER NOT FOUND"))</x:f>
      </x:c>
      <x:c r="E208" s="1018"/>
      <x:c r="F208" s="1018"/>
      <x:c r="G208" s="1018"/>
      <x:c r="H208" s="1021" t="str">
        <x:f>IF($C208="","",IFERROR(INDEX('20 RCC-003 MIAR Registry'!$M$14:$M$60,MATCH($C208,'20 RCC-003 MIAR Registry'!$B$14:$B$60,0)),""))</x:f>
      </x:c>
      <x:c r="I208" s="1018"/>
      <x:c r="J208" s="1027" t="str">
        <x:f>IF($C208="","",IFERROR(INDEX('20 RCC-003 MIAR Registry'!$K$14:$K$60,MATCH($C208,'20 RCC-003 MIAR Registry'!$B$14:$B$60,0)),""))</x:f>
      </x:c>
      <x:c r="K208" s="1023"/>
      <x:c r="L208" s="1027" t="str">
        <x:f>IF($C208="","",IFERROR(INDEX('20 RCC-003 MIAR Registry'!$L$14:$L$60,MATCH($C208,'20 RCC-003 MIAR Registry'!$B$14:$B$60,0)),""))</x:f>
      </x:c>
      <x:c r="M208" s="1023"/>
      <x:c r="N208" s="1018"/>
      <x:c r="O208" s="1018"/>
      <x:c r="P208" s="1018"/>
      <x:c r="Q208" s="1018"/>
      <x:c r="R208" s="1018"/>
      <x:c r="S208" s="1018"/>
      <x:c r="T208" s="1025"/>
      <x:c r="U208" s="962" t="str">
        <x:f>IF($A208="","",IF(COUNTIF($A$14:$A$213,$A208)&gt;1,"DUPLICATE REVIEW ID",IF(OR($B208="",$C208="",$E208="",$F208="",$G208="",$I208="",$K208="",$M208="",$N208="",$O208="",$P208="",$Q208="",$R208="",$W208=""),"INCOMPLETE",IF(AND(OR($R208="Certify Current",$R208="Certify with Exception"),OR($S208="",$T208="")),"CERTIFICATION REQUIRED",IF(AND(NOT(OR($R208="Certify Current",$R208="Certify with Exception")),OR($S208&lt;&gt;"",$T208&lt;&gt;"")),"CERTIFICATION MISMATCH","COMPLETE")))))</x:f>
      </x:c>
      <x:c r="V208" s="1018"/>
      <x:c r="W208" s="1018"/>
    </x:row>
    <x:row r="209" ht="30" customHeight="1">
      <x:c r="A209" s="1018"/>
      <x:c r="B209" s="1025"/>
      <x:c r="C209" s="1018"/>
      <x:c r="D209" s="1021" t="str">
        <x:f>IF($C209="","",IFERROR(INDEX('20 RCC-003 MIAR Registry'!$C$14:$C$60,MATCH($C209,'20 RCC-003 MIAR Registry'!$B$14:$B$60,0)),"TICKER NOT FOUND"))</x:f>
      </x:c>
      <x:c r="E209" s="1018"/>
      <x:c r="F209" s="1018"/>
      <x:c r="G209" s="1018"/>
      <x:c r="H209" s="1021" t="str">
        <x:f>IF($C209="","",IFERROR(INDEX('20 RCC-003 MIAR Registry'!$M$14:$M$60,MATCH($C209,'20 RCC-003 MIAR Registry'!$B$14:$B$60,0)),""))</x:f>
      </x:c>
      <x:c r="I209" s="1018"/>
      <x:c r="J209" s="1027" t="str">
        <x:f>IF($C209="","",IFERROR(INDEX('20 RCC-003 MIAR Registry'!$K$14:$K$60,MATCH($C209,'20 RCC-003 MIAR Registry'!$B$14:$B$60,0)),""))</x:f>
      </x:c>
      <x:c r="K209" s="1023"/>
      <x:c r="L209" s="1027" t="str">
        <x:f>IF($C209="","",IFERROR(INDEX('20 RCC-003 MIAR Registry'!$L$14:$L$60,MATCH($C209,'20 RCC-003 MIAR Registry'!$B$14:$B$60,0)),""))</x:f>
      </x:c>
      <x:c r="M209" s="1023"/>
      <x:c r="N209" s="1018"/>
      <x:c r="O209" s="1018"/>
      <x:c r="P209" s="1018"/>
      <x:c r="Q209" s="1018"/>
      <x:c r="R209" s="1018"/>
      <x:c r="S209" s="1018"/>
      <x:c r="T209" s="1025"/>
      <x:c r="U209" s="962" t="str">
        <x:f>IF($A209="","",IF(COUNTIF($A$14:$A$213,$A209)&gt;1,"DUPLICATE REVIEW ID",IF(OR($B209="",$C209="",$E209="",$F209="",$G209="",$I209="",$K209="",$M209="",$N209="",$O209="",$P209="",$Q209="",$R209="",$W209=""),"INCOMPLETE",IF(AND(OR($R209="Certify Current",$R209="Certify with Exception"),OR($S209="",$T209="")),"CERTIFICATION REQUIRED",IF(AND(NOT(OR($R209="Certify Current",$R209="Certify with Exception")),OR($S209&lt;&gt;"",$T209&lt;&gt;"")),"CERTIFICATION MISMATCH","COMPLETE")))))</x:f>
      </x:c>
      <x:c r="V209" s="1018"/>
      <x:c r="W209" s="1018"/>
    </x:row>
    <x:row r="210" ht="30" customHeight="1">
      <x:c r="A210" s="1018"/>
      <x:c r="B210" s="1025"/>
      <x:c r="C210" s="1018"/>
      <x:c r="D210" s="1021" t="str">
        <x:f>IF($C210="","",IFERROR(INDEX('20 RCC-003 MIAR Registry'!$C$14:$C$60,MATCH($C210,'20 RCC-003 MIAR Registry'!$B$14:$B$60,0)),"TICKER NOT FOUND"))</x:f>
      </x:c>
      <x:c r="E210" s="1018"/>
      <x:c r="F210" s="1018"/>
      <x:c r="G210" s="1018"/>
      <x:c r="H210" s="1021" t="str">
        <x:f>IF($C210="","",IFERROR(INDEX('20 RCC-003 MIAR Registry'!$M$14:$M$60,MATCH($C210,'20 RCC-003 MIAR Registry'!$B$14:$B$60,0)),""))</x:f>
      </x:c>
      <x:c r="I210" s="1018"/>
      <x:c r="J210" s="1027" t="str">
        <x:f>IF($C210="","",IFERROR(INDEX('20 RCC-003 MIAR Registry'!$K$14:$K$60,MATCH($C210,'20 RCC-003 MIAR Registry'!$B$14:$B$60,0)),""))</x:f>
      </x:c>
      <x:c r="K210" s="1023"/>
      <x:c r="L210" s="1027" t="str">
        <x:f>IF($C210="","",IFERROR(INDEX('20 RCC-003 MIAR Registry'!$L$14:$L$60,MATCH($C210,'20 RCC-003 MIAR Registry'!$B$14:$B$60,0)),""))</x:f>
      </x:c>
      <x:c r="M210" s="1023"/>
      <x:c r="N210" s="1018"/>
      <x:c r="O210" s="1018"/>
      <x:c r="P210" s="1018"/>
      <x:c r="Q210" s="1018"/>
      <x:c r="R210" s="1018"/>
      <x:c r="S210" s="1018"/>
      <x:c r="T210" s="1025"/>
      <x:c r="U210" s="962" t="str">
        <x:f>IF($A210="","",IF(COUNTIF($A$14:$A$213,$A210)&gt;1,"DUPLICATE REVIEW ID",IF(OR($B210="",$C210="",$E210="",$F210="",$G210="",$I210="",$K210="",$M210="",$N210="",$O210="",$P210="",$Q210="",$R210="",$W210=""),"INCOMPLETE",IF(AND(OR($R210="Certify Current",$R210="Certify with Exception"),OR($S210="",$T210="")),"CERTIFICATION REQUIRED",IF(AND(NOT(OR($R210="Certify Current",$R210="Certify with Exception")),OR($S210&lt;&gt;"",$T210&lt;&gt;"")),"CERTIFICATION MISMATCH","COMPLETE")))))</x:f>
      </x:c>
      <x:c r="V210" s="1018"/>
      <x:c r="W210" s="1018"/>
    </x:row>
    <x:row r="211" ht="30" customHeight="1">
      <x:c r="A211" s="1018"/>
      <x:c r="B211" s="1025"/>
      <x:c r="C211" s="1018"/>
      <x:c r="D211" s="1021" t="str">
        <x:f>IF($C211="","",IFERROR(INDEX('20 RCC-003 MIAR Registry'!$C$14:$C$60,MATCH($C211,'20 RCC-003 MIAR Registry'!$B$14:$B$60,0)),"TICKER NOT FOUND"))</x:f>
      </x:c>
      <x:c r="E211" s="1018"/>
      <x:c r="F211" s="1018"/>
      <x:c r="G211" s="1018"/>
      <x:c r="H211" s="1021" t="str">
        <x:f>IF($C211="","",IFERROR(INDEX('20 RCC-003 MIAR Registry'!$M$14:$M$60,MATCH($C211,'20 RCC-003 MIAR Registry'!$B$14:$B$60,0)),""))</x:f>
      </x:c>
      <x:c r="I211" s="1018"/>
      <x:c r="J211" s="1027" t="str">
        <x:f>IF($C211="","",IFERROR(INDEX('20 RCC-003 MIAR Registry'!$K$14:$K$60,MATCH($C211,'20 RCC-003 MIAR Registry'!$B$14:$B$60,0)),""))</x:f>
      </x:c>
      <x:c r="K211" s="1023"/>
      <x:c r="L211" s="1027" t="str">
        <x:f>IF($C211="","",IFERROR(INDEX('20 RCC-003 MIAR Registry'!$L$14:$L$60,MATCH($C211,'20 RCC-003 MIAR Registry'!$B$14:$B$60,0)),""))</x:f>
      </x:c>
      <x:c r="M211" s="1023"/>
      <x:c r="N211" s="1018"/>
      <x:c r="O211" s="1018"/>
      <x:c r="P211" s="1018"/>
      <x:c r="Q211" s="1018"/>
      <x:c r="R211" s="1018"/>
      <x:c r="S211" s="1018"/>
      <x:c r="T211" s="1025"/>
      <x:c r="U211" s="962" t="str">
        <x:f>IF($A211="","",IF(COUNTIF($A$14:$A$213,$A211)&gt;1,"DUPLICATE REVIEW ID",IF(OR($B211="",$C211="",$E211="",$F211="",$G211="",$I211="",$K211="",$M211="",$N211="",$O211="",$P211="",$Q211="",$R211="",$W211=""),"INCOMPLETE",IF(AND(OR($R211="Certify Current",$R211="Certify with Exception"),OR($S211="",$T211="")),"CERTIFICATION REQUIRED",IF(AND(NOT(OR($R211="Certify Current",$R211="Certify with Exception")),OR($S211&lt;&gt;"",$T211&lt;&gt;"")),"CERTIFICATION MISMATCH","COMPLETE")))))</x:f>
      </x:c>
      <x:c r="V211" s="1018"/>
      <x:c r="W211" s="1018"/>
    </x:row>
    <x:row r="212" ht="30" customHeight="1">
      <x:c r="A212" s="1018"/>
      <x:c r="B212" s="1025"/>
      <x:c r="C212" s="1018"/>
      <x:c r="D212" s="1021" t="str">
        <x:f>IF($C212="","",IFERROR(INDEX('20 RCC-003 MIAR Registry'!$C$14:$C$60,MATCH($C212,'20 RCC-003 MIAR Registry'!$B$14:$B$60,0)),"TICKER NOT FOUND"))</x:f>
      </x:c>
      <x:c r="E212" s="1018"/>
      <x:c r="F212" s="1018"/>
      <x:c r="G212" s="1018"/>
      <x:c r="H212" s="1021" t="str">
        <x:f>IF($C212="","",IFERROR(INDEX('20 RCC-003 MIAR Registry'!$M$14:$M$60,MATCH($C212,'20 RCC-003 MIAR Registry'!$B$14:$B$60,0)),""))</x:f>
      </x:c>
      <x:c r="I212" s="1018"/>
      <x:c r="J212" s="1027" t="str">
        <x:f>IF($C212="","",IFERROR(INDEX('20 RCC-003 MIAR Registry'!$K$14:$K$60,MATCH($C212,'20 RCC-003 MIAR Registry'!$B$14:$B$60,0)),""))</x:f>
      </x:c>
      <x:c r="K212" s="1023"/>
      <x:c r="L212" s="1027" t="str">
        <x:f>IF($C212="","",IFERROR(INDEX('20 RCC-003 MIAR Registry'!$L$14:$L$60,MATCH($C212,'20 RCC-003 MIAR Registry'!$B$14:$B$60,0)),""))</x:f>
      </x:c>
      <x:c r="M212" s="1023"/>
      <x:c r="N212" s="1018"/>
      <x:c r="O212" s="1018"/>
      <x:c r="P212" s="1018"/>
      <x:c r="Q212" s="1018"/>
      <x:c r="R212" s="1018"/>
      <x:c r="S212" s="1018"/>
      <x:c r="T212" s="1025"/>
      <x:c r="U212" s="962" t="str">
        <x:f>IF($A212="","",IF(COUNTIF($A$14:$A$213,$A212)&gt;1,"DUPLICATE REVIEW ID",IF(OR($B212="",$C212="",$E212="",$F212="",$G212="",$I212="",$K212="",$M212="",$N212="",$O212="",$P212="",$Q212="",$R212="",$W212=""),"INCOMPLETE",IF(AND(OR($R212="Certify Current",$R212="Certify with Exception"),OR($S212="",$T212="")),"CERTIFICATION REQUIRED",IF(AND(NOT(OR($R212="Certify Current",$R212="Certify with Exception")),OR($S212&lt;&gt;"",$T212&lt;&gt;"")),"CERTIFICATION MISMATCH","COMPLETE")))))</x:f>
      </x:c>
      <x:c r="V212" s="1018"/>
      <x:c r="W212" s="1018"/>
    </x:row>
    <x:row r="213" ht="30" customHeight="1">
      <x:c r="A213" s="1018"/>
      <x:c r="B213" s="1025"/>
      <x:c r="C213" s="1018"/>
      <x:c r="D213" s="1021" t="str">
        <x:f>IF($C213="","",IFERROR(INDEX('20 RCC-003 MIAR Registry'!$C$14:$C$60,MATCH($C213,'20 RCC-003 MIAR Registry'!$B$14:$B$60,0)),"TICKER NOT FOUND"))</x:f>
      </x:c>
      <x:c r="E213" s="1018"/>
      <x:c r="F213" s="1018"/>
      <x:c r="G213" s="1018"/>
      <x:c r="H213" s="1021" t="str">
        <x:f>IF($C213="","",IFERROR(INDEX('20 RCC-003 MIAR Registry'!$M$14:$M$60,MATCH($C213,'20 RCC-003 MIAR Registry'!$B$14:$B$60,0)),""))</x:f>
      </x:c>
      <x:c r="I213" s="1018"/>
      <x:c r="J213" s="1027" t="str">
        <x:f>IF($C213="","",IFERROR(INDEX('20 RCC-003 MIAR Registry'!$K$14:$K$60,MATCH($C213,'20 RCC-003 MIAR Registry'!$B$14:$B$60,0)),""))</x:f>
      </x:c>
      <x:c r="K213" s="1023"/>
      <x:c r="L213" s="1027" t="str">
        <x:f>IF($C213="","",IFERROR(INDEX('20 RCC-003 MIAR Registry'!$L$14:$L$60,MATCH($C213,'20 RCC-003 MIAR Registry'!$B$14:$B$60,0)),""))</x:f>
      </x:c>
      <x:c r="M213" s="1023"/>
      <x:c r="N213" s="1018"/>
      <x:c r="O213" s="1018"/>
      <x:c r="P213" s="1018"/>
      <x:c r="Q213" s="1018"/>
      <x:c r="R213" s="1018"/>
      <x:c r="S213" s="1018"/>
      <x:c r="T213" s="1025"/>
      <x:c r="U213" s="962" t="str">
        <x:f>IF($A213="","",IF(COUNTIF($A$14:$A$213,$A213)&gt;1,"DUPLICATE REVIEW ID",IF(OR($B213="",$C213="",$E213="",$F213="",$G213="",$I213="",$K213="",$M213="",$N213="",$O213="",$P213="",$Q213="",$R213="",$W213=""),"INCOMPLETE",IF(AND(OR($R213="Certify Current",$R213="Certify with Exception"),OR($S213="",$T213="")),"CERTIFICATION REQUIRED",IF(AND(NOT(OR($R213="Certify Current",$R213="Certify with Exception")),OR($S213&lt;&gt;"",$T213&lt;&gt;"")),"CERTIFICATION MISMATCH","COMPLETE")))))</x:f>
      </x:c>
      <x:c r="V213" s="1018"/>
      <x:c r="W213" s="1018"/>
    </x:row>
  </x:sheetData>
  <x:mergeCells>
    <x:mergeCell ref="A1:W1"/>
    <x:mergeCell ref="A2:W2"/>
    <x:mergeCell ref="A3:W3"/>
    <x:mergeCell ref="A5:H5"/>
    <x:mergeCell ref="I5:P5"/>
    <x:mergeCell ref="Q5:W5"/>
    <x:mergeCell ref="A6:H10"/>
    <x:mergeCell ref="I6:P10"/>
    <x:mergeCell ref="S6:W10"/>
    <x:mergeCell ref="A12:W12"/>
  </x:mergeCells>
  <x:conditionalFormatting sqref="U14:U213">
    <x:cfRule type="expression" dxfId="128" priority="1">
      <x:formula>$U14="COMPLETE"</x:formula>
    </x:cfRule>
    <x:cfRule type="expression" dxfId="129" priority="2">
      <x:formula>$U14="INCOMPLETE"</x:formula>
    </x:cfRule>
    <x:cfRule type="expression" dxfId="130" priority="3">
      <x:formula>OR($U14="DUPLICATE REVIEW ID",$U14="CERTIFICATION MISMATCH")</x:formula>
    </x:cfRule>
    <x:cfRule type="expression" dxfId="131" priority="4">
      <x:formula>$U14="CERTIFICATION REQUIRED"</x:formula>
    </x:cfRule>
  </x:conditionalFormatting>
  <x:conditionalFormatting sqref="K14:K213">
    <x:cfRule type="colorScale" priority="5">
      <x:colorScale>
        <x:cfvo type="min"/>
        <x:cfvo type="percentile" val="50"/>
        <x:cfvo type="max"/>
        <x:color rgb="FFF4CCCC"/>
        <x:color rgb="FFFFF2CC"/>
        <x:color rgb="FFE2F0D9"/>
      </x:colorScale>
    </x:cfRule>
  </x:conditionalFormatting>
  <x:conditionalFormatting sqref="M14:M213">
    <x:cfRule type="colorScale" priority="6">
      <x:colorScale>
        <x:cfvo type="min"/>
        <x:cfvo type="percentile" val="50"/>
        <x:cfvo type="max"/>
        <x:color rgb="FFF4CCCC"/>
        <x:color rgb="FFFFF2CC"/>
        <x:color rgb="FFE2F0D9"/>
      </x:colorScale>
    </x:cfRule>
  </x:conditionalFormatting>
  <x:dataValidations count="7">
    <x:dataValidation type="list" sqref="C14:C213">
      <x:formula1>'Certified Allocation'!$B$5:$B$51</x:formula1>
    </x:dataValidation>
    <x:dataValidation type="list" sqref="E14:E213">
      <x:formula1>'97 RCC Lists'!$S$5:$S$8</x:formula1>
    </x:dataValidation>
    <x:dataValidation type="list" sqref="I14:I213">
      <x:formula1>'97 RCC Lists'!$Q$5:$Q$12</x:formula1>
    </x:dataValidation>
    <x:dataValidation type="list" sqref="N14:N213">
      <x:formula1>'97 RCC Lists'!$T$5:$T$11</x:formula1>
    </x:dataValidation>
    <x:dataValidation type="list" sqref="O14:O213">
      <x:formula1>'97 RCC Lists'!$M$5:$M$11</x:formula1>
    </x:dataValidation>
    <x:dataValidation type="list" sqref="Q14:Q213">
      <x:formula1>'97 RCC Lists'!$K$5:$K$8</x:formula1>
    </x:dataValidation>
    <x:dataValidation type="list" sqref="R14:R213">
      <x:formula1>'97 RCC Lists'!$U$5:$U$9</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4" hidden="0" customWidth="1"/>
    <x:col min="3" max="3" width="14" hidden="0" customWidth="1"/>
    <x:col min="4" max="4" width="9" hidden="0" customWidth="1"/>
    <x:col min="5" max="5" width="18" hidden="0" customWidth="1"/>
    <x:col min="6" max="6" width="14" hidden="0" customWidth="1"/>
    <x:col min="7" max="7" width="14" hidden="0" customWidth="1"/>
    <x:col min="8" max="8" width="14" hidden="0" customWidth="1"/>
    <x:col min="9" max="9" width="13" hidden="0" customWidth="1"/>
    <x:col min="10" max="10" width="13" hidden="0" customWidth="1"/>
    <x:col min="11" max="11" width="20" hidden="0" customWidth="1"/>
    <x:col min="12" max="12" width="15" hidden="0" customWidth="1"/>
    <x:col min="13" max="13" width="15" hidden="0" customWidth="1"/>
    <x:col min="14" max="14" width="30" hidden="0" customWidth="1"/>
    <x:col min="15" max="15" width="10" hidden="0" customWidth="1"/>
    <x:col min="16" max="16" width="12" hidden="0" customWidth="1"/>
    <x:col min="17" max="17" width="12" hidden="0" customWidth="1"/>
    <x:col min="18" max="18" width="24" hidden="0" customWidth="1"/>
    <x:col min="19" max="19" width="10" hidden="0" customWidth="1"/>
    <x:col min="20" max="20" width="10" hidden="0" customWidth="1"/>
    <x:col min="21" max="21" width="16" hidden="0" customWidth="1"/>
    <x:col min="22" max="22" width="4" hidden="0" customWidth="1"/>
    <x:col min="23" max="23" width="4" hidden="0" customWidth="1"/>
    <x:col min="24" max="24" width="4" hidden="0" customWidth="1"/>
  </x:cols>
  <x:sheetData>
    <x:row r="1" ht="24" customHeight="1">
      <x:c r="A1" s="1096" t="str">
        <x:v>MOPS-003 — RCC-004 MASR REGISTRY &amp; CANDIDATE PIPELINE</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row>
    <x:row r="2" ht="24" customHeight="1">
      <x:c r="A2" s="1101" t="str">
        <x:v>RCC-004 CONTROL CENTER | FOUNDERS EDITION v1.0 — CONSTRUCTION CANDIDATE</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row>
    <x:row r="3" ht="34" customHeight="1">
      <x:c r="A3" s="1106" t="str">
        <x:v>RCC-001 through RCC-004 are installed. RCC-004 governs canonical MASR identity, approved and conditional non-holdings, candidate stage gates, external-research exceptions, committee disposition and controlled referral to PEW-004. RCC-005 — Zacks / Merrill Research Crosswalk is next.</x:v>
      </x:c>
      <x:c r="B3" s="1106"/>
      <x:c r="C3" s="1106"/>
      <x:c r="D3" s="1106"/>
      <x:c r="E3" s="1106"/>
      <x:c r="F3" s="1106"/>
      <x:c r="G3" s="1106"/>
      <x:c r="H3" s="1106"/>
      <x:c r="I3" s="1106"/>
      <x:c r="J3" s="1106"/>
      <x:c r="K3" s="1106"/>
      <x:c r="L3" s="1106"/>
      <x:c r="M3" s="1106"/>
      <x:c r="N3" s="1106"/>
      <x:c r="O3" s="1106"/>
      <x:c r="P3" s="1106"/>
      <x:c r="Q3" s="1106"/>
      <x:c r="R3" s="1106"/>
      <x:c r="S3" s="1106"/>
      <x:c r="T3" s="1106"/>
      <x:c r="U3" s="1106"/>
      <x:c r="V3" s="1106"/>
      <x:c r="W3" s="1106"/>
      <x:c r="X3" s="1106"/>
    </x:row>
    <x:row r="4">
      <x:c r="A4" s="1089"/>
      <x:c r="B4" s="1089"/>
      <x:c r="C4" s="1089"/>
      <x:c r="D4" s="1089"/>
      <x:c r="E4" s="1089"/>
      <x:c r="F4" s="1089"/>
      <x:c r="G4" s="1089"/>
      <x:c r="H4" s="1089"/>
      <x:c r="I4" s="1089"/>
      <x:c r="J4" s="1089"/>
      <x:c r="K4" s="1089"/>
      <x:c r="L4" s="1089"/>
      <x:c r="M4" s="1089"/>
      <x:c r="N4" s="1089"/>
      <x:c r="O4" s="1089"/>
      <x:c r="P4" s="1089"/>
      <x:c r="Q4" s="1089"/>
      <x:c r="R4" s="1089"/>
      <x:c r="S4" s="1089"/>
      <x:c r="T4" s="1089"/>
      <x:c r="U4" s="1089"/>
      <x:c r="V4" s="1089"/>
      <x:c r="W4" s="1089"/>
      <x:c r="X4" s="1089"/>
    </x:row>
    <x:row r="5">
      <x:c r="A5" s="1181" t="str">
        <x:v>EXECUTIVE MASR &amp; CANDIDATE STATE — RCC-004 INITIALIZED</x:v>
      </x:c>
      <x:c r="B5" s="1181"/>
      <x:c r="C5" s="1181"/>
      <x:c r="D5" s="1181"/>
      <x:c r="E5" s="1181"/>
      <x:c r="F5" s="1181"/>
      <x:c r="G5" s="1181"/>
      <x:c r="H5" s="1181"/>
      <x:c r="I5" s="1181"/>
      <x:c r="J5" s="1181"/>
      <x:c r="K5" s="1181"/>
      <x:c r="L5" s="1181"/>
      <x:c r="M5" s="1181"/>
      <x:c r="N5" s="1181"/>
      <x:c r="O5" s="1181"/>
      <x:c r="P5" s="1181"/>
      <x:c r="Q5" s="1181"/>
      <x:c r="R5" s="1181"/>
      <x:c r="S5" s="1181"/>
      <x:c r="T5" s="1181"/>
      <x:c r="U5" s="1181"/>
      <x:c r="V5" s="1181"/>
      <x:c r="W5" s="1181"/>
      <x:c r="X5" s="1181"/>
    </x:row>
    <x:row r="6">
      <x:c r="A6" s="1286" t="str">
        <x:v>MASR RECORDS LOADED</x:v>
      </x:c>
      <x:c r="B6" s="1286"/>
      <x:c r="C6" s="1286"/>
      <x:c r="D6" s="1286"/>
      <x:c r="E6" s="1286" t="str">
        <x:v>CERTIFIED HOLDINGS</x:v>
      </x:c>
      <x:c r="F6" s="1286"/>
      <x:c r="G6" s="1286"/>
      <x:c r="H6" s="1286"/>
      <x:c r="I6" s="1286" t="str">
        <x:v>APPROVED NON-HOLDINGS</x:v>
      </x:c>
      <x:c r="J6" s="1286"/>
      <x:c r="K6" s="1286"/>
      <x:c r="L6" s="1286"/>
      <x:c r="M6" s="1286" t="str">
        <x:v>ACTIVE CANDIDATES</x:v>
      </x:c>
      <x:c r="N6" s="1286"/>
      <x:c r="O6" s="1286"/>
      <x:c r="P6" s="1286"/>
      <x:c r="Q6" s="1286" t="str">
        <x:v>PEW-004 REFERRALS</x:v>
      </x:c>
      <x:c r="R6" s="1286"/>
      <x:c r="S6" s="1286"/>
      <x:c r="T6" s="1286"/>
      <x:c r="U6" s="1286" t="str">
        <x:v>CONTROL EXCEPTIONS</x:v>
      </x:c>
      <x:c r="V6" s="1286"/>
      <x:c r="W6" s="1286"/>
      <x:c r="X6" s="1286"/>
    </x:row>
    <x:row r="7">
      <x:c r="A7" s="1287" t="n">
        <x:f>COUNTA('23 RCC-004 MASR Registry'!$B$14:$B$163)</x:f>
        <x:v>56</x:v>
      </x:c>
      <x:c r="B7" s="1287"/>
      <x:c r="C7" s="1287"/>
      <x:c r="D7" s="1287"/>
      <x:c r="E7" s="1287" t="n">
        <x:f>COUNTIF('23 RCC-004 MASR Registry'!$D$14:$D$163,"Certified Portfolio Holding")</x:f>
        <x:v>47</x:v>
      </x:c>
      <x:c r="F7" s="1287"/>
      <x:c r="G7" s="1287"/>
      <x:c r="H7" s="1287"/>
      <x:c r="I7" s="1287" t="n">
        <x:f>COUNTIFS('23 RCC-004 MASR Registry'!$D$14:$D$163,"MASR Approved Non-Holding",'23 RCC-004 MASR Registry'!$E$14:$E$163,"Active — Approved Non-Holding")</x:f>
        <x:v>0</x:v>
      </x:c>
      <x:c r="J7" s="1287"/>
      <x:c r="K7" s="1287"/>
      <x:c r="L7" s="1287"/>
      <x:c r="M7" s="1287" t="n">
        <x:f>COUNTIFS('24 RCC-004 Candidate Pipeline'!$A$14:$A$213,"&lt;&gt;",'24 RCC-004 Candidate Pipeline'!$Y$14:$Y$213,"&lt;&gt;Rejected",'24 RCC-004 Candidate Pipeline'!$Y$14:$Y$213,"&lt;&gt;Closed",'24 RCC-004 Candidate Pipeline'!$Y$14:$Y$213,"&lt;&gt;Removed")</x:f>
        <x:v>10</x:v>
      </x:c>
      <x:c r="N7" s="1287"/>
      <x:c r="O7" s="1287"/>
      <x:c r="P7" s="1287"/>
      <x:c r="Q7" s="1287" t="n">
        <x:f>COUNTIF('24 RCC-004 Candidate Pipeline'!$AF$14:$AF$213,"Yes — Refer to PEW-004")</x:f>
        <x:v>0</x:v>
      </x:c>
      <x:c r="R7" s="1287"/>
      <x:c r="S7" s="1287"/>
      <x:c r="T7" s="1287"/>
      <x:c r="U7" s="1288" t="n">
        <x:f>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66</x:v>
      </x:c>
      <x:c r="V7" s="1288"/>
      <x:c r="W7" s="1288"/>
      <x:c r="X7" s="1288"/>
    </x:row>
    <x:row r="8">
      <x:c r="A8" s="1287"/>
      <x:c r="B8" s="1287"/>
      <x:c r="C8" s="1287"/>
      <x:c r="D8" s="1287"/>
      <x:c r="E8" s="1287"/>
      <x:c r="F8" s="1287"/>
      <x:c r="G8" s="1287"/>
      <x:c r="H8" s="1287"/>
      <x:c r="I8" s="1287"/>
      <x:c r="J8" s="1287"/>
      <x:c r="K8" s="1287"/>
      <x:c r="L8" s="1287"/>
      <x:c r="M8" s="1287"/>
      <x:c r="N8" s="1287"/>
      <x:c r="O8" s="1287"/>
      <x:c r="P8" s="1287"/>
      <x:c r="Q8" s="1287"/>
      <x:c r="R8" s="1287"/>
      <x:c r="S8" s="1287"/>
      <x:c r="T8" s="1287"/>
      <x:c r="U8" s="1288"/>
      <x:c r="V8" s="1288"/>
      <x:c r="W8" s="1288"/>
      <x:c r="X8" s="1288"/>
    </x:row>
    <x:row r="9">
      <x:c r="A9" s="1089"/>
      <x:c r="B9" s="1089"/>
      <x:c r="C9" s="1089"/>
      <x:c r="D9" s="1089"/>
      <x:c r="E9" s="1089"/>
      <x:c r="F9" s="1089"/>
      <x:c r="G9" s="1089"/>
      <x:c r="H9" s="1089"/>
      <x:c r="I9" s="1089"/>
      <x:c r="J9" s="1089"/>
      <x:c r="K9" s="1089"/>
      <x:c r="L9" s="1089"/>
      <x:c r="M9" s="1089"/>
      <x:c r="N9" s="1089"/>
      <x:c r="O9" s="1089"/>
      <x:c r="P9" s="1089"/>
      <x:c r="Q9" s="1089"/>
      <x:c r="R9" s="1089"/>
      <x:c r="S9" s="1089"/>
      <x:c r="T9" s="1089"/>
      <x:c r="U9" s="1089"/>
      <x:c r="V9" s="1089"/>
      <x:c r="W9" s="1089"/>
      <x:c r="X9" s="1089"/>
    </x:row>
    <x:row r="10">
      <x:c r="A10" s="1089"/>
      <x:c r="B10" s="1089"/>
      <x:c r="C10" s="1089"/>
      <x:c r="D10" s="1089"/>
      <x:c r="E10" s="1089"/>
      <x:c r="F10" s="1089"/>
      <x:c r="G10" s="1089"/>
      <x:c r="H10" s="1089"/>
      <x:c r="I10" s="1089"/>
      <x:c r="J10" s="1089"/>
      <x:c r="K10" s="1089"/>
      <x:c r="L10" s="1089"/>
      <x:c r="M10" s="1089"/>
      <x:c r="N10" s="1089"/>
      <x:c r="O10" s="1089"/>
      <x:c r="P10" s="1089"/>
      <x:c r="Q10" s="1089"/>
      <x:c r="R10" s="1089"/>
      <x:c r="S10" s="1089"/>
      <x:c r="T10" s="1089"/>
      <x:c r="U10" s="1089"/>
      <x:c r="V10" s="1089"/>
      <x:c r="W10" s="1089"/>
      <x:c r="X10" s="1089"/>
    </x:row>
    <x:row r="11">
      <x:c r="A11" s="1181" t="str">
        <x:v>READINESS, CAPACITY &amp; ROUTING STATE</x:v>
      </x:c>
      <x:c r="B11" s="1181"/>
      <x:c r="C11" s="1181"/>
      <x:c r="D11" s="1181"/>
      <x:c r="E11" s="1181"/>
      <x:c r="F11" s="1181"/>
      <x:c r="G11" s="1181"/>
      <x:c r="H11" s="1181"/>
      <x:c r="I11" s="1181"/>
      <x:c r="J11" s="1181"/>
      <x:c r="K11" s="1181"/>
      <x:c r="L11" s="1181"/>
      <x:c r="M11" s="1181"/>
      <x:c r="N11" s="1181"/>
      <x:c r="O11" s="1181"/>
      <x:c r="P11" s="1181"/>
      <x:c r="Q11" s="1181"/>
      <x:c r="R11" s="1181"/>
      <x:c r="S11" s="1181"/>
      <x:c r="T11" s="1181"/>
      <x:c r="U11" s="1181"/>
      <x:c r="V11" s="1181"/>
      <x:c r="W11" s="1181"/>
      <x:c r="X11" s="1181"/>
    </x:row>
    <x:row r="12">
      <x:c r="A12" s="1286" t="str">
        <x:v>RCC-004 READINESS</x:v>
      </x:c>
      <x:c r="B12" s="1286"/>
      <x:c r="C12" s="1286"/>
      <x:c r="D12" s="1286"/>
      <x:c r="E12" s="1286"/>
      <x:c r="F12" s="1286"/>
      <x:c r="G12" s="1286" t="str">
        <x:v>MASR CONTROLLED CAPACITY</x:v>
      </x:c>
      <x:c r="H12" s="1286"/>
      <x:c r="I12" s="1286"/>
      <x:c r="J12" s="1286"/>
      <x:c r="K12" s="1286"/>
      <x:c r="L12" s="1286"/>
      <x:c r="M12" s="1286" t="str">
        <x:v>CANDIDATE STAGE GATES</x:v>
      </x:c>
      <x:c r="N12" s="1286"/>
      <x:c r="O12" s="1286"/>
      <x:c r="P12" s="1286"/>
      <x:c r="Q12" s="1286"/>
      <x:c r="R12" s="1286"/>
      <x:c r="S12" s="1286" t="str">
        <x:v>COMMITTEE / PEW ROUTING</x:v>
      </x:c>
      <x:c r="T12" s="1286"/>
      <x:c r="U12" s="1286"/>
      <x:c r="V12" s="1286"/>
      <x:c r="W12" s="1286"/>
      <x:c r="X12" s="1286"/>
    </x:row>
    <x:row r="13">
      <x:c r="A13" s="1289" t="str">
        <x:f>IF(COUNTA('23 RCC-004 MASR Registry'!$B$14:$B$163)=0,"NOT INITIALIZED",IF($U$7&gt;0,"SETUP / CONTROL EXCEPTIONS OPEN",IF(COUNTA('24 RCC-004 Candidate Pipeline'!$A$14:$A$213)=0,"READY — NO CANDIDATES","ACTIVE")))</x:f>
        <x:v>SETUP / CONTROL EXCEPTIONS OPEN</x:v>
      </x:c>
      <x:c r="B13" s="1289"/>
      <x:c r="C13" s="1289"/>
      <x:c r="D13" s="1289"/>
      <x:c r="E13" s="1289"/>
      <x:c r="F13" s="1289"/>
      <x:c r="G13" s="1184" t="str">
        <x:f>COUNTA('23 RCC-004 MASR Registry'!$B$14:$B$163)&amp;" OF 150 SLOTS LOADED"</x:f>
        <x:v>56 OF 150 SLOTS LOADED</x:v>
      </x:c>
      <x:c r="H13" s="1184"/>
      <x:c r="I13" s="1184"/>
      <x:c r="J13" s="1184"/>
      <x:c r="K13" s="1184"/>
      <x:c r="L13" s="1184"/>
      <x:c r="M13" s="1184" t="str">
        <x:f>COUNTIF('24 RCC-004 Candidate Pipeline'!$Z$14:$Z$213,"PASS — STAGE GATE")&amp;" PASS / "&amp;COUNTIFS('24 RCC-004 Candidate Pipeline'!$A$14:$A$213,"&lt;&gt;",'24 RCC-004 Candidate Pipeline'!$Z$14:$Z$213,"&lt;&gt;PASS — STAGE GATE")&amp;" BLOCKED"</x:f>
        <x:v>10 PASS / 0 BLOCKED</x:v>
      </x:c>
      <x:c r="N13" s="1184"/>
      <x:c r="O13" s="1184"/>
      <x:c r="P13" s="1184"/>
      <x:c r="Q13" s="1184"/>
      <x:c r="R13" s="1184"/>
      <x:c r="S13" s="1184" t="str">
        <x:f>COUNTIF('24 RCC-004 Candidate Pipeline'!$AK$14:$AK$213,"COMMITTEE DECISION REQUIRED")&amp;" COMMITTEE / "&amp;COUNTIF('24 RCC-004 Candidate Pipeline'!$AK$14:$AK$213,"PEW REFERRAL INCOMPLETE")&amp;" PEW BLOCKS"</x:f>
        <x:v>0 COMMITTEE / 0 PEW BLOCKS</x:v>
      </x:c>
      <x:c r="T13" s="1184"/>
      <x:c r="U13" s="1184"/>
      <x:c r="V13" s="1184"/>
      <x:c r="W13" s="1184"/>
      <x:c r="X13" s="1184"/>
    </x:row>
    <x:row r="14">
      <x:c r="A14" s="1289"/>
      <x:c r="B14" s="1289"/>
      <x:c r="C14" s="1289"/>
      <x:c r="D14" s="1289"/>
      <x:c r="E14" s="1289"/>
      <x:c r="F14" s="1289"/>
      <x:c r="G14" s="1184"/>
      <x:c r="H14" s="1184"/>
      <x:c r="I14" s="1184"/>
      <x:c r="J14" s="1184"/>
      <x:c r="K14" s="1184"/>
      <x:c r="L14" s="1184"/>
      <x:c r="M14" s="1184"/>
      <x:c r="N14" s="1184"/>
      <x:c r="O14" s="1184"/>
      <x:c r="P14" s="1184"/>
      <x:c r="Q14" s="1184"/>
      <x:c r="R14" s="1184"/>
      <x:c r="S14" s="1184"/>
      <x:c r="T14" s="1184"/>
      <x:c r="U14" s="1184"/>
      <x:c r="V14" s="1184"/>
      <x:c r="W14" s="1184"/>
      <x:c r="X14" s="1184"/>
    </x:row>
    <x:row r="15">
      <x:c r="A15" s="1089"/>
      <x:c r="B15" s="1089"/>
      <x:c r="C15" s="1089"/>
      <x:c r="D15" s="1089"/>
      <x:c r="E15" s="1089"/>
      <x:c r="F15" s="1089"/>
      <x:c r="G15" s="1089"/>
      <x:c r="H15" s="1089"/>
      <x:c r="I15" s="1089"/>
      <x:c r="J15" s="1089"/>
      <x:c r="K15" s="1089"/>
      <x:c r="L15" s="1089"/>
      <x:c r="M15" s="1089"/>
      <x:c r="N15" s="1089"/>
      <x:c r="O15" s="1089"/>
      <x:c r="P15" s="1089"/>
      <x:c r="Q15" s="1089"/>
      <x:c r="R15" s="1089"/>
      <x:c r="S15" s="1089"/>
      <x:c r="T15" s="1089"/>
      <x:c r="U15" s="1089"/>
      <x:c r="V15" s="1089"/>
      <x:c r="W15" s="1089"/>
      <x:c r="X15" s="1089"/>
    </x:row>
    <x:row r="16">
      <x:c r="A16" s="1181" t="str">
        <x:v>MASR &amp; CANDIDATE CONTROL EXCEPTIONS</x:v>
      </x:c>
      <x:c r="B16" s="1181"/>
      <x:c r="C16" s="1181"/>
      <x:c r="D16" s="1181"/>
      <x:c r="E16" s="1181"/>
      <x:c r="F16" s="1181"/>
      <x:c r="G16" s="1181"/>
      <x:c r="H16" s="1181"/>
      <x:c r="I16" s="1181"/>
      <x:c r="J16" s="1181"/>
      <x:c r="K16" s="1181"/>
      <x:c r="L16" s="1181"/>
      <x:c r="M16" s="1181"/>
      <x:c r="N16" s="1181" t="str">
        <x:v>REGISTRY COMPOSITION &amp; PIPELINE SNAPSHOT</x:v>
      </x:c>
      <x:c r="O16" s="1181"/>
      <x:c r="P16" s="1181"/>
      <x:c r="Q16" s="1181"/>
      <x:c r="R16" s="1181"/>
      <x:c r="S16" s="1181"/>
      <x:c r="T16" s="1181"/>
      <x:c r="U16" s="1181"/>
      <x:c r="V16" s="1181"/>
      <x:c r="W16" s="1181"/>
      <x:c r="X16" s="1181"/>
    </x:row>
    <x:row r="17">
      <x:c r="A17" s="1286" t="str">
        <x:v>Priority</x:v>
      </x:c>
      <x:c r="B17" s="1286" t="str">
        <x:v>Control / Trigger</x:v>
      </x:c>
      <x:c r="C17" s="1286"/>
      <x:c r="D17" s="1286" t="str">
        <x:v>Count</x:v>
      </x:c>
      <x:c r="E17" s="1286" t="str">
        <x:v>Current State</x:v>
      </x:c>
      <x:c r="F17" s="1286" t="str">
        <x:v>Required Action</x:v>
      </x:c>
      <x:c r="G17" s="1286"/>
      <x:c r="H17" s="1286"/>
      <x:c r="I17" s="1286" t="str">
        <x:v>Authority</x:v>
      </x:c>
      <x:c r="J17" s="1286"/>
      <x:c r="K17" s="1286" t="str">
        <x:v>Destination</x:v>
      </x:c>
      <x:c r="L17" s="1286" t="str">
        <x:v>Governance Impact</x:v>
      </x:c>
      <x:c r="M17" s="1286"/>
      <x:c r="N17" s="1286" t="str">
        <x:v>Registry Class</x:v>
      </x:c>
      <x:c r="O17" s="1286" t="str">
        <x:v>Records</x:v>
      </x:c>
      <x:c r="P17" s="1286" t="str">
        <x:v>Control Clear</x:v>
      </x:c>
      <x:c r="Q17" s="1286" t="str">
        <x:v>Exceptions</x:v>
      </x:c>
      <x:c r="R17" s="1286" t="str">
        <x:v>Candidate Stage</x:v>
      </x:c>
      <x:c r="S17" s="1286" t="str">
        <x:v>Records</x:v>
      </x:c>
      <x:c r="T17" s="1286" t="str">
        <x:v>Gate Pass</x:v>
      </x:c>
      <x:c r="U17" s="1286" t="str">
        <x:v>Control Exceptions</x:v>
      </x:c>
      <x:c r="V17" s="1286"/>
      <x:c r="W17" s="1286"/>
      <x:c r="X17" s="1286"/>
    </x:row>
    <x:row r="18" ht="34" customHeight="1">
      <x:c r="A18" s="1185" t="n">
        <x:v>1</x:v>
      </x:c>
      <x:c r="B18" s="1185" t="str">
        <x:v>Canonical MASR IDs missing</x:v>
      </x:c>
      <x:c r="C18" s="1292"/>
      <x:c r="D18" s="1186" t="n">
        <x:f>SUMPRODUCT(--('23 RCC-004 MASR Registry'!$B$14:$B$163&lt;&gt;""),--('23 RCC-004 MASR Registry'!$A$14:$A$163=""))</x:f>
        <x:v>56</x:v>
      </x:c>
      <x:c r="E18" s="1187" t="str">
        <x:f>IF(D18=0,"PASS","ACTION REQUIRED")</x:f>
        <x:v>ACTION REQUIRED</x:v>
      </x:c>
      <x:c r="F18" s="1185" t="str">
        <x:v>Assign the existing canonical MASR identifier to every active registry record</x:v>
      </x:c>
      <x:c r="G18" s="1185"/>
      <x:c r="H18" s="1185"/>
      <x:c r="I18" s="1185" t="str">
        <x:v>Research Operations</x:v>
      </x:c>
      <x:c r="J18" s="1185"/>
      <x:c r="K18" s="1185" t="str">
        <x:v>23 MASR Registry</x:v>
      </x:c>
      <x:c r="L18" s="1185" t="str">
        <x:v>Blocks canonical registry certification</x:v>
      </x:c>
      <x:c r="M18" s="1185"/>
      <x:c r="N18" s="1185" t="str">
        <x:v>Certified Portfolio Holding</x:v>
      </x:c>
      <x:c r="O18" s="1185" t="n">
        <x:f>COUNTIF('23 RCC-004 MASR Registry'!$D$14:$D$163,N18)</x:f>
        <x:v>47</x:v>
      </x:c>
      <x:c r="P18" s="1185" t="n">
        <x:f>COUNTIFS('23 RCC-004 MASR Registry'!$D$14:$D$163,N18,'23 RCC-004 MASR Registry'!$AD$14:$AD$163,"CONTROL CLEAR")</x:f>
        <x:v>0</x:v>
      </x:c>
      <x:c r="Q18" s="1185" t="n">
        <x:f>O18-P18</x:f>
        <x:v>47</x:v>
      </x:c>
      <x:c r="R18" s="1185" t="str">
        <x:v>Intake</x:v>
      </x:c>
      <x:c r="S18" s="1185" t="n">
        <x:f>COUNTIF('24 RCC-004 Candidate Pipeline'!$Y$14:$Y$213,R18)</x:f>
        <x:v>10</x:v>
      </x:c>
      <x:c r="T18" s="1185" t="n">
        <x:f>COUNTIFS('24 RCC-004 Candidate Pipeline'!$Y$14:$Y$213,R18,'24 RCC-004 Candidate Pipeline'!$Z$14:$Z$213,"PASS — STAGE GATE")</x:f>
        <x:v>10</x:v>
      </x:c>
      <x:c r="U18" s="1185" t="n">
        <x:f>COUNTIFS('24 RCC-004 Candidate Pipeline'!$Y$14:$Y$213,R18,'24 RCC-004 Candidate Pipeline'!$AK$14:$AK$213,"&lt;&gt;OPEN — ON TRACK",'24 RCC-004 Candidate Pipeline'!$AK$14:$AK$213,"&lt;&gt;CLOSED")</x:f>
        <x:v>10</x:v>
      </x:c>
      <x:c r="V18" s="1188"/>
      <x:c r="W18" s="1188"/>
      <x:c r="X18" s="1188"/>
    </x:row>
    <x:row r="19" ht="34" customHeight="1">
      <x:c r="A19" s="1189" t="n">
        <x:v>2</x:v>
      </x:c>
      <x:c r="B19" s="1189" t="str">
        <x:v>Duplicate MASR IDs or tickers</x:v>
      </x:c>
      <x:c r="C19" s="1295"/>
      <x:c r="D19" s="1190" t="n">
        <x:f>COUNTIF('23 RCC-004 MASR Registry'!$AD$14:$AD$163,"DUPLICATE MASR ID")+COUNTIF('23 RCC-004 MASR Registry'!$AD$14:$AD$163,"DUPLICATE TICKER")</x:f>
        <x:v>0</x:v>
      </x:c>
      <x:c r="E19" s="1191" t="str">
        <x:f>IF(D19=0,"PASS","ACTION REQUIRED")</x:f>
        <x:v>PASS</x:v>
      </x:c>
      <x:c r="F19" s="1189" t="str">
        <x:v>Resolve duplicate identity before any admission or referral</x:v>
      </x:c>
      <x:c r="G19" s="1189"/>
      <x:c r="H19" s="1189"/>
      <x:c r="I19" s="1189" t="str">
        <x:v>Research Operations</x:v>
      </x:c>
      <x:c r="J19" s="1189"/>
      <x:c r="K19" s="1189" t="str">
        <x:v>23 MASR Registry</x:v>
      </x:c>
      <x:c r="L19" s="1189" t="str">
        <x:v>Prevents auditable security identity</x:v>
      </x:c>
      <x:c r="M19" s="1189"/>
      <x:c r="N19" s="1189" t="str">
        <x:v>MASR Approved Non-Holding</x:v>
      </x:c>
      <x:c r="O19" s="1189" t="n">
        <x:f>COUNTIF('23 RCC-004 MASR Registry'!$D$14:$D$163,N19)</x:f>
        <x:v>0</x:v>
      </x:c>
      <x:c r="P19" s="1189" t="n">
        <x:f>COUNTIFS('23 RCC-004 MASR Registry'!$D$14:$D$163,N19,'23 RCC-004 MASR Registry'!$AD$14:$AD$163,"CONTROL CLEAR")</x:f>
        <x:v>0</x:v>
      </x:c>
      <x:c r="Q19" s="1189" t="n">
        <x:f>O19-P19</x:f>
        <x:v>0</x:v>
      </x:c>
      <x:c r="R19" s="1189" t="str">
        <x:v>Evidence Gathering</x:v>
      </x:c>
      <x:c r="S19" s="1189" t="n">
        <x:f>COUNTIF('24 RCC-004 Candidate Pipeline'!$Y$14:$Y$213,R19)</x:f>
        <x:v>0</x:v>
      </x:c>
      <x:c r="T19" s="1189" t="n">
        <x:f>COUNTIFS('24 RCC-004 Candidate Pipeline'!$Y$14:$Y$213,R19,'24 RCC-004 Candidate Pipeline'!$Z$14:$Z$213,"PASS — STAGE GATE")</x:f>
        <x:v>0</x:v>
      </x:c>
      <x:c r="U19" s="1189" t="n">
        <x:f>COUNTIFS('24 RCC-004 Candidate Pipeline'!$Y$14:$Y$213,R19,'24 RCC-004 Candidate Pipeline'!$AK$14:$AK$213,"&lt;&gt;OPEN — ON TRACK",'24 RCC-004 Candidate Pipeline'!$AK$14:$AK$213,"&lt;&gt;CLOSED")</x:f>
        <x:v>0</x:v>
      </x:c>
      <x:c r="V19" s="1188"/>
      <x:c r="W19" s="1188"/>
      <x:c r="X19" s="1188"/>
    </x:row>
    <x:row r="20" ht="34" customHeight="1">
      <x:c r="A20" s="1185" t="n">
        <x:v>3</x:v>
      </x:c>
      <x:c r="B20" s="1185" t="str">
        <x:v>Registry classification incomplete</x:v>
      </x:c>
      <x:c r="C20" s="1292"/>
      <x:c r="D20" s="1186" t="n">
        <x:f>COUNTIF('23 RCC-004 MASR Registry'!$AD$14:$AD$163,"INCOMPLETE")</x:f>
        <x:v>0</x:v>
      </x:c>
      <x:c r="E20" s="1187" t="str">
        <x:f>IF(D20=0,"PASS","ACTION REQUIRED")</x:f>
        <x:v>PASS</x:v>
      </x:c>
      <x:c r="F20" s="1185" t="str">
        <x:v>Complete record class, status, admission basis, sleeve, role and security type</x:v>
      </x:c>
      <x:c r="G20" s="1185"/>
      <x:c r="H20" s="1185"/>
      <x:c r="I20" s="1185" t="str">
        <x:v>Research Committee</x:v>
      </x:c>
      <x:c r="J20" s="1185"/>
      <x:c r="K20" s="1185" t="str">
        <x:v>23 MASR Registry</x:v>
      </x:c>
      <x:c r="L20" s="1185" t="str">
        <x:v>Blocks eligibility assessment</x:v>
      </x:c>
      <x:c r="M20" s="1185"/>
      <x:c r="N20" s="1185" t="str">
        <x:v>Conditional Candidate</x:v>
      </x:c>
      <x:c r="O20" s="1185" t="n">
        <x:f>COUNTIF('23 RCC-004 MASR Registry'!$D$14:$D$163,N20)</x:f>
        <x:v>0</x:v>
      </x:c>
      <x:c r="P20" s="1185" t="n">
        <x:f>COUNTIFS('23 RCC-004 MASR Registry'!$D$14:$D$163,N20,'23 RCC-004 MASR Registry'!$AD$14:$AD$163,"CONTROL CLEAR")</x:f>
        <x:v>0</x:v>
      </x:c>
      <x:c r="Q20" s="1185" t="n">
        <x:f>O20-P20</x:f>
        <x:v>0</x:v>
      </x:c>
      <x:c r="R20" s="1185" t="str">
        <x:v>MIAR Review</x:v>
      </x:c>
      <x:c r="S20" s="1185" t="n">
        <x:f>COUNTIF('24 RCC-004 Candidate Pipeline'!$Y$14:$Y$213,R20)</x:f>
        <x:v>0</x:v>
      </x:c>
      <x:c r="T20" s="1185" t="n">
        <x:f>COUNTIFS('24 RCC-004 Candidate Pipeline'!$Y$14:$Y$213,R20,'24 RCC-004 Candidate Pipeline'!$Z$14:$Z$213,"PASS — STAGE GATE")</x:f>
        <x:v>0</x:v>
      </x:c>
      <x:c r="U20" s="1185" t="n">
        <x:f>COUNTIFS('24 RCC-004 Candidate Pipeline'!$Y$14:$Y$213,R20,'24 RCC-004 Candidate Pipeline'!$AK$14:$AK$213,"&lt;&gt;OPEN — ON TRACK",'24 RCC-004 Candidate Pipeline'!$AK$14:$AK$213,"&lt;&gt;CLOSED")</x:f>
        <x:v>0</x:v>
      </x:c>
      <x:c r="V20" s="1188"/>
      <x:c r="W20" s="1188"/>
      <x:c r="X20" s="1188"/>
    </x:row>
    <x:row r="21" ht="34" customHeight="1">
      <x:c r="A21" s="1189" t="n">
        <x:v>4</x:v>
      </x:c>
      <x:c r="B21" s="1189" t="str">
        <x:v>MIAR / dossier gate exceptions</x:v>
      </x:c>
      <x:c r="C21" s="1295"/>
      <x:c r="D21" s="1190" t="n">
        <x:f>SUMPRODUCT(--('23 RCC-004 MASR Registry'!$B$14:$B$163&lt;&gt;""),--('23 RCC-004 MASR Registry'!$K$14:$K$163=""))</x:f>
        <x:v>56</x:v>
      </x:c>
      <x:c r="E21" s="1191" t="str">
        <x:f>IF(D21=0,"PASS","ACTION REQUIRED")</x:f>
        <x:v>ACTION REQUIRED</x:v>
      </x:c>
      <x:c r="F21" s="1189" t="str">
        <x:v>Complete RCC-003 MIAR identity and research controls</x:v>
      </x:c>
      <x:c r="G21" s="1189"/>
      <x:c r="H21" s="1189"/>
      <x:c r="I21" s="1189" t="str">
        <x:v>Research Operations</x:v>
      </x:c>
      <x:c r="J21" s="1189"/>
      <x:c r="K21" s="1189" t="str">
        <x:v>20 MIAR Registry</x:v>
      </x:c>
      <x:c r="L21" s="1189" t="str">
        <x:v>Blocks candidate advancement</x:v>
      </x:c>
      <x:c r="M21" s="1189"/>
      <x:c r="N21" s="1189" t="str">
        <x:v>Research Candidate</x:v>
      </x:c>
      <x:c r="O21" s="1189" t="n">
        <x:f>COUNTIF('23 RCC-004 MASR Registry'!$D$14:$D$163,N21)</x:f>
        <x:v>9</x:v>
      </x:c>
      <x:c r="P21" s="1189" t="n">
        <x:f>COUNTIFS('23 RCC-004 MASR Registry'!$D$14:$D$163,N21,'23 RCC-004 MASR Registry'!$AD$14:$AD$163,"CONTROL CLEAR")</x:f>
        <x:v>0</x:v>
      </x:c>
      <x:c r="Q21" s="1189" t="n">
        <x:f>O21-P21</x:f>
        <x:v>9</x:v>
      </x:c>
      <x:c r="R21" s="1189" t="str">
        <x:v>Eligibility Review</x:v>
      </x:c>
      <x:c r="S21" s="1189" t="n">
        <x:f>COUNTIF('24 RCC-004 Candidate Pipeline'!$Y$14:$Y$213,R21)</x:f>
        <x:v>0</x:v>
      </x:c>
      <x:c r="T21" s="1189" t="n">
        <x:f>COUNTIFS('24 RCC-004 Candidate Pipeline'!$Y$14:$Y$213,R21,'24 RCC-004 Candidate Pipeline'!$Z$14:$Z$213,"PASS — STAGE GATE")</x:f>
        <x:v>0</x:v>
      </x:c>
      <x:c r="U21" s="1189" t="n">
        <x:f>COUNTIFS('24 RCC-004 Candidate Pipeline'!$Y$14:$Y$213,R21,'24 RCC-004 Candidate Pipeline'!$AK$14:$AK$213,"&lt;&gt;OPEN — ON TRACK",'24 RCC-004 Candidate Pipeline'!$AK$14:$AK$213,"&lt;&gt;CLOSED")</x:f>
        <x:v>0</x:v>
      </x:c>
      <x:c r="V21" s="1188"/>
      <x:c r="W21" s="1188"/>
      <x:c r="X21" s="1188"/>
    </x:row>
    <x:row r="22" ht="34" customHeight="1">
      <x:c r="A22" s="1185" t="n">
        <x:v>5</x:v>
      </x:c>
      <x:c r="B22" s="1185" t="str">
        <x:v>Eligibility or external-research exceptions</x:v>
      </x:c>
      <x:c r="C22" s="1292"/>
      <x:c r="D22" s="1186" t="n">
        <x:f>COUNTIF('23 RCC-004 MASR Registry'!$AD$14:$AD$163,"NOT ELIGIBLE")+COUNTIF('23 RCC-004 MASR Registry'!$AD$14:$AD$163,"EXCEPTION REVIEW")</x:f>
        <x:v>0</x:v>
      </x:c>
      <x:c r="E22" s="1187" t="str">
        <x:f>IF(D22=0,"PASS","ACTION REQUIRED")</x:f>
        <x:v>PASS</x:v>
      </x:c>
      <x:c r="F22" s="1185" t="str">
        <x:v>Resolve market-cap, Zacks, Merrill or eligibility exception</x:v>
      </x:c>
      <x:c r="G22" s="1185"/>
      <x:c r="H22" s="1185"/>
      <x:c r="I22" s="1185" t="str">
        <x:v>Research Committee</x:v>
      </x:c>
      <x:c r="J22" s="1185"/>
      <x:c r="K22" s="1185" t="str">
        <x:v>RCC-005 / Committee</x:v>
      </x:c>
      <x:c r="L22" s="1185" t="str">
        <x:v>Requires explicit documented judgment</x:v>
      </x:c>
      <x:c r="M22" s="1185"/>
      <x:c r="N22" s="1185" t="str">
        <x:v>Replacement Candidate</x:v>
      </x:c>
      <x:c r="O22" s="1185" t="n">
        <x:f>COUNTIF('23 RCC-004 MASR Registry'!$D$14:$D$163,N22)</x:f>
        <x:v>0</x:v>
      </x:c>
      <x:c r="P22" s="1185" t="n">
        <x:f>COUNTIFS('23 RCC-004 MASR Registry'!$D$14:$D$163,N22,'23 RCC-004 MASR Registry'!$AD$14:$AD$163,"CONTROL CLEAR")</x:f>
        <x:v>0</x:v>
      </x:c>
      <x:c r="Q22" s="1185" t="n">
        <x:f>O22-P22</x:f>
        <x:v>0</x:v>
      </x:c>
      <x:c r="R22" s="1185" t="str">
        <x:v>Candidate Comparison</x:v>
      </x:c>
      <x:c r="S22" s="1185" t="n">
        <x:f>COUNTIF('24 RCC-004 Candidate Pipeline'!$Y$14:$Y$213,R22)</x:f>
        <x:v>0</x:v>
      </x:c>
      <x:c r="T22" s="1185" t="n">
        <x:f>COUNTIFS('24 RCC-004 Candidate Pipeline'!$Y$14:$Y$213,R22,'24 RCC-004 Candidate Pipeline'!$Z$14:$Z$213,"PASS — STAGE GATE")</x:f>
        <x:v>0</x:v>
      </x:c>
      <x:c r="U22" s="1185" t="n">
        <x:f>COUNTIFS('24 RCC-004 Candidate Pipeline'!$Y$14:$Y$213,R22,'24 RCC-004 Candidate Pipeline'!$AK$14:$AK$213,"&lt;&gt;OPEN — ON TRACK",'24 RCC-004 Candidate Pipeline'!$AK$14:$AK$213,"&lt;&gt;CLOSED")</x:f>
        <x:v>0</x:v>
      </x:c>
      <x:c r="V22" s="1188"/>
      <x:c r="W22" s="1188"/>
      <x:c r="X22" s="1188"/>
    </x:row>
    <x:row r="23" ht="34" customHeight="1">
      <x:c r="A23" s="1189" t="n">
        <x:v>6</x:v>
      </x:c>
      <x:c r="B23" s="1189" t="str">
        <x:v>Candidate pipeline control exceptions</x:v>
      </x:c>
      <x:c r="C23" s="1295"/>
      <x:c r="D23" s="1190" t="n">
        <x:f>COUNTIFS('24 RCC-004 Candidate Pipeline'!$A$14:$A$213,"&lt;&gt;",'24 RCC-004 Candidate Pipeline'!$AK$14:$AK$213,"&lt;&gt;OPEN — ON TRACK",'24 RCC-004 Candidate Pipeline'!$AK$14:$AK$213,"&lt;&gt;CLOSED")</x:f>
        <x:v>10</x:v>
      </x:c>
      <x:c r="E23" s="1191" t="str">
        <x:f>IF(D23=0,"PASS","ACTION REQUIRED")</x:f>
        <x:v>ACTION REQUIRED</x:v>
      </x:c>
      <x:c r="F23" s="1189" t="str">
        <x:v>Resolve incomplete, overdue or blocked candidate stage gates</x:v>
      </x:c>
      <x:c r="G23" s="1189"/>
      <x:c r="H23" s="1189"/>
      <x:c r="I23" s="1189" t="str">
        <x:v>Research Committee</x:v>
      </x:c>
      <x:c r="J23" s="1189"/>
      <x:c r="K23" s="1189" t="str">
        <x:v>24 Candidate Pipeline</x:v>
      </x:c>
      <x:c r="L23" s="1189" t="str">
        <x:v>Prevents controlled candidate progression</x:v>
      </x:c>
      <x:c r="M23" s="1189"/>
      <x:c r="N23" s="1189" t="str">
        <x:v>Rejected Candidate</x:v>
      </x:c>
      <x:c r="O23" s="1189" t="n">
        <x:f>COUNTIF('23 RCC-004 MASR Registry'!$D$14:$D$163,N23)</x:f>
        <x:v>0</x:v>
      </x:c>
      <x:c r="P23" s="1189" t="n">
        <x:f>COUNTIFS('23 RCC-004 MASR Registry'!$D$14:$D$163,N23,'23 RCC-004 MASR Registry'!$AD$14:$AD$163,"CONTROL CLEAR")</x:f>
        <x:v>0</x:v>
      </x:c>
      <x:c r="Q23" s="1189" t="n">
        <x:f>O23-P23</x:f>
        <x:v>0</x:v>
      </x:c>
      <x:c r="R23" s="1189" t="str">
        <x:v>Committee Review</x:v>
      </x:c>
      <x:c r="S23" s="1189" t="n">
        <x:f>COUNTIF('24 RCC-004 Candidate Pipeline'!$Y$14:$Y$213,R23)</x:f>
        <x:v>0</x:v>
      </x:c>
      <x:c r="T23" s="1189" t="n">
        <x:f>COUNTIFS('24 RCC-004 Candidate Pipeline'!$Y$14:$Y$213,R23,'24 RCC-004 Candidate Pipeline'!$Z$14:$Z$213,"PASS — STAGE GATE")</x:f>
        <x:v>0</x:v>
      </x:c>
      <x:c r="U23" s="1189" t="n">
        <x:f>COUNTIFS('24 RCC-004 Candidate Pipeline'!$Y$14:$Y$213,R23,'24 RCC-004 Candidate Pipeline'!$AK$14:$AK$213,"&lt;&gt;OPEN — ON TRACK",'24 RCC-004 Candidate Pipeline'!$AK$14:$AK$213,"&lt;&gt;CLOSED")</x:f>
        <x:v>0</x:v>
      </x:c>
      <x:c r="V23" s="1188"/>
      <x:c r="W23" s="1188"/>
      <x:c r="X23" s="1188"/>
    </x:row>
    <x:row r="24" ht="34" customHeight="1">
      <x:c r="A24" s="1185" t="n">
        <x:v>7</x:v>
      </x:c>
      <x:c r="B24" s="1185" t="str">
        <x:v>Committee dispositions pending</x:v>
      </x:c>
      <x:c r="C24" s="1292"/>
      <x:c r="D24" s="1186" t="n">
        <x:f>COUNTIF('24 RCC-004 Candidate Pipeline'!$AK$14:$AK$213,"COMMITTEE DECISION REQUIRED")+COUNTIF('23 RCC-004 MASR Registry'!$AD$14:$AD$163,"COMMITTEE DISPOSITION REQUIRED")</x:f>
        <x:v>0</x:v>
      </x:c>
      <x:c r="E24" s="1187" t="str">
        <x:f>IF(D24=0,"PASS","ACTION REQUIRED")</x:f>
        <x:v>PASS</x:v>
      </x:c>
      <x:c r="F24" s="1185" t="str">
        <x:v>Record formal committee disposition and decision date</x:v>
      </x:c>
      <x:c r="G24" s="1185"/>
      <x:c r="H24" s="1185"/>
      <x:c r="I24" s="1185" t="str">
        <x:v>Stewardship Committee</x:v>
      </x:c>
      <x:c r="J24" s="1185"/>
      <x:c r="K24" s="1185" t="str">
        <x:v>24 Candidate Pipeline</x:v>
      </x:c>
      <x:c r="L24" s="1185" t="str">
        <x:v>No admission without governance</x:v>
      </x:c>
      <x:c r="M24" s="1185"/>
      <x:c r="N24" s="1185" t="str">
        <x:v>Removed Security</x:v>
      </x:c>
      <x:c r="O24" s="1185" t="n">
        <x:f>COUNTIF('23 RCC-004 MASR Registry'!$D$14:$D$163,N24)</x:f>
        <x:v>0</x:v>
      </x:c>
      <x:c r="P24" s="1185" t="n">
        <x:f>COUNTIFS('23 RCC-004 MASR Registry'!$D$14:$D$163,N24,'23 RCC-004 MASR Registry'!$AD$14:$AD$163,"CONTROL CLEAR")</x:f>
        <x:v>0</x:v>
      </x:c>
      <x:c r="Q24" s="1185" t="n">
        <x:f>O24-P24</x:f>
        <x:v>0</x:v>
      </x:c>
      <x:c r="R24" s="1185" t="str">
        <x:v>Referred to PEW-004</x:v>
      </x:c>
      <x:c r="S24" s="1185" t="n">
        <x:f>COUNTIF('24 RCC-004 Candidate Pipeline'!$Y$14:$Y$213,R24)</x:f>
        <x:v>0</x:v>
      </x:c>
      <x:c r="T24" s="1185" t="n">
        <x:f>COUNTIFS('24 RCC-004 Candidate Pipeline'!$Y$14:$Y$213,R24,'24 RCC-004 Candidate Pipeline'!$Z$14:$Z$213,"PASS — STAGE GATE")</x:f>
        <x:v>0</x:v>
      </x:c>
      <x:c r="U24" s="1185" t="n">
        <x:f>COUNTIFS('24 RCC-004 Candidate Pipeline'!$Y$14:$Y$213,R24,'24 RCC-004 Candidate Pipeline'!$AK$14:$AK$213,"&lt;&gt;OPEN — ON TRACK",'24 RCC-004 Candidate Pipeline'!$AK$14:$AK$213,"&lt;&gt;CLOSED")</x:f>
        <x:v>0</x:v>
      </x:c>
      <x:c r="V24" s="1188"/>
      <x:c r="W24" s="1188"/>
      <x:c r="X24" s="1188"/>
    </x:row>
    <x:row r="25" ht="34" customHeight="1">
      <x:c r="A25" s="1189" t="n">
        <x:v>8</x:v>
      </x:c>
      <x:c r="B25" s="1189" t="str">
        <x:v>PEW-004 referral blocks</x:v>
      </x:c>
      <x:c r="C25" s="1295"/>
      <x:c r="D25" s="1190" t="n">
        <x:f>COUNTIF('24 RCC-004 Candidate Pipeline'!$AK$14:$AK$213,"PEW REFERRAL INCOMPLETE")</x:f>
        <x:v>0</x:v>
      </x:c>
      <x:c r="E25" s="1191" t="str">
        <x:f>IF(D25=0,"PASS","ACTION REQUIRED")</x:f>
        <x:v>PASS</x:v>
      </x:c>
      <x:c r="F25" s="1189" t="str">
        <x:v>Complete referral flag, PEW candidate ID and PEW linkage</x:v>
      </x:c>
      <x:c r="G25" s="1189"/>
      <x:c r="H25" s="1189"/>
      <x:c r="I25" s="1189" t="str">
        <x:v>Portfolio Engineering</x:v>
      </x:c>
      <x:c r="J25" s="1189"/>
      <x:c r="K25" s="1189" t="str">
        <x:v>10 Candidate Comparison</x:v>
      </x:c>
      <x:c r="L25" s="1189" t="str">
        <x:v>No engineering review without controlled referral</x:v>
      </x:c>
      <x:c r="M25" s="1189"/>
      <x:c r="N25" s="1189" t="str">
        <x:v>Archived Record</x:v>
      </x:c>
      <x:c r="O25" s="1189" t="n">
        <x:f>COUNTIF('23 RCC-004 MASR Registry'!$D$14:$D$163,N25)</x:f>
        <x:v>0</x:v>
      </x:c>
      <x:c r="P25" s="1189" t="n">
        <x:f>COUNTIFS('23 RCC-004 MASR Registry'!$D$14:$D$163,N25,'23 RCC-004 MASR Registry'!$AD$14:$AD$163,"CONTROL CLEAR")</x:f>
        <x:v>0</x:v>
      </x:c>
      <x:c r="Q25" s="1189" t="n">
        <x:f>O25-P25</x:f>
        <x:v>0</x:v>
      </x:c>
      <x:c r="R25" s="1189" t="str">
        <x:v>On Watch</x:v>
      </x:c>
      <x:c r="S25" s="1189" t="n">
        <x:f>COUNTIF('24 RCC-004 Candidate Pipeline'!$Y$14:$Y$213,R25)</x:f>
        <x:v>0</x:v>
      </x:c>
      <x:c r="T25" s="1189" t="n">
        <x:f>COUNTIFS('24 RCC-004 Candidate Pipeline'!$Y$14:$Y$213,R25,'24 RCC-004 Candidate Pipeline'!$Z$14:$Z$213,"PASS — STAGE GATE")</x:f>
        <x:v>0</x:v>
      </x:c>
      <x:c r="U25" s="1189" t="n">
        <x:f>COUNTIFS('24 RCC-004 Candidate Pipeline'!$Y$14:$Y$213,R25,'24 RCC-004 Candidate Pipeline'!$AK$14:$AK$213,"&lt;&gt;OPEN — ON TRACK",'24 RCC-004 Candidate Pipeline'!$AK$14:$AK$213,"&lt;&gt;CLOSED")</x:f>
        <x:v>0</x:v>
      </x:c>
      <x:c r="V25" s="1188"/>
      <x:c r="W25" s="1188"/>
      <x:c r="X25" s="1188"/>
    </x:row>
    <x:row r="26">
      <x:c r="A26" s="1089"/>
      <x:c r="B26" s="1089"/>
      <x:c r="C26" s="1089"/>
      <x:c r="D26" s="1089"/>
      <x:c r="E26" s="1089"/>
      <x:c r="F26" s="1089"/>
      <x:c r="G26" s="1089"/>
      <x:c r="H26" s="1089"/>
      <x:c r="I26" s="1089"/>
      <x:c r="J26" s="1089"/>
      <x:c r="K26" s="1089"/>
      <x:c r="L26" s="1089"/>
      <x:c r="M26" s="1089"/>
      <x:c r="N26" s="1089"/>
      <x:c r="O26" s="1089"/>
      <x:c r="P26" s="1089"/>
      <x:c r="Q26" s="1089"/>
      <x:c r="R26" s="1089"/>
      <x:c r="S26" s="1089"/>
      <x:c r="T26" s="1089"/>
      <x:c r="U26" s="1089"/>
      <x:c r="V26" s="1089"/>
      <x:c r="W26" s="1089"/>
      <x:c r="X26" s="1089"/>
    </x:row>
    <x:row r="27">
      <x:c r="A27" s="1089"/>
      <x:c r="B27" s="1089"/>
      <x:c r="C27" s="1089"/>
      <x:c r="D27" s="1089"/>
      <x:c r="E27" s="1089"/>
      <x:c r="F27" s="1089"/>
      <x:c r="G27" s="1089"/>
      <x:c r="H27" s="1089"/>
      <x:c r="I27" s="1089"/>
      <x:c r="J27" s="1089"/>
      <x:c r="K27" s="1089"/>
      <x:c r="L27" s="1089"/>
      <x:c r="M27" s="1089"/>
      <x:c r="N27" s="1089"/>
      <x:c r="O27" s="1089"/>
      <x:c r="P27" s="1089"/>
      <x:c r="Q27" s="1089"/>
      <x:c r="R27" s="1089"/>
      <x:c r="S27" s="1089"/>
      <x:c r="T27" s="1089"/>
      <x:c r="U27" s="1089"/>
      <x:c r="V27" s="1089"/>
      <x:c r="W27" s="1089"/>
      <x:c r="X27" s="1089"/>
    </x:row>
    <x:row r="28">
      <x:c r="A28" s="1181" t="str">
        <x:v>RCC-004 OPERATING STANDARD</x:v>
      </x:c>
      <x:c r="B28" s="1181"/>
      <x:c r="C28" s="1181"/>
      <x:c r="D28" s="1181"/>
      <x:c r="E28" s="1181"/>
      <x:c r="F28" s="1181"/>
      <x:c r="G28" s="1181"/>
      <x:c r="H28" s="1181"/>
      <x:c r="I28" s="1181"/>
      <x:c r="J28" s="1181"/>
      <x:c r="K28" s="1181"/>
      <x:c r="L28" s="1181"/>
      <x:c r="M28" s="1181"/>
      <x:c r="N28" s="1192" t="str">
        <x:v>HARD CONTROLS</x:v>
      </x:c>
      <x:c r="O28" s="1192"/>
      <x:c r="P28" s="1192"/>
      <x:c r="Q28" s="1192"/>
      <x:c r="R28" s="1192"/>
      <x:c r="S28" s="1193" t="str">
        <x:v>CONTROLLED OUTPUT</x:v>
      </x:c>
      <x:c r="T28" s="1193"/>
      <x:c r="U28" s="1193"/>
      <x:c r="V28" s="1193"/>
      <x:c r="W28" s="1193"/>
      <x:c r="X28" s="1193"/>
    </x:row>
    <x:row r="29" ht="24" customHeight="1">
      <x:c r="A29" s="1286" t="str">
        <x:v>Step</x:v>
      </x:c>
      <x:c r="B29" s="1286"/>
      <x:c r="C29" s="1286" t="str">
        <x:v>Required Action</x:v>
      </x:c>
      <x:c r="D29" s="1286"/>
      <x:c r="E29" s="1286"/>
      <x:c r="F29" s="1286" t="str">
        <x:v>Authority</x:v>
      </x:c>
      <x:c r="G29" s="1286"/>
      <x:c r="H29" s="1286" t="str">
        <x:v>Controlled Output</x:v>
      </x:c>
      <x:c r="I29" s="1286"/>
      <x:c r="J29" s="1286"/>
      <x:c r="K29" s="1286" t="str">
        <x:v>Operating Effect</x:v>
      </x:c>
      <x:c r="L29" s="1286"/>
      <x:c r="M29" s="1286"/>
      <x:c r="N29" s="1194" t="str">
        <x:v>• One unique canonical MASR ID per active security
• Certified MFPDF holdings remain certified unless governance changes them
• No candidate reaches PEW-004 without an RCC-004 registry record
• MIAR, Integrity, MICS and empirical evidence precede admission
• Zacks #1 / #2 bias applies only to genuinely close decisions
• Sub-$50B Zacks elections and Zacks #4 / #5 require exceptions
• Merrill No Rating or restricted research requires documentation
• RCC-004 may not change allocations or authorize trading</x:v>
      </x:c>
      <x:c r="O29" s="1194"/>
      <x:c r="P29" s="1194"/>
      <x:c r="Q29" s="1194"/>
      <x:c r="R29" s="1194"/>
      <x:c r="S29" s="1195" t="str">
        <x:v>• Controlled 150-slot MASR registry
• Certified holding and approved non-holding classification
• Eligibility and exception state
• Candidate stage-gate history
• Committee disposition record
• PEW-004 linkage and referral state
• Auditable admission, rejection and removal rationale</x:v>
      </x:c>
      <x:c r="T29" s="1195"/>
      <x:c r="U29" s="1195"/>
      <x:c r="V29" s="1195"/>
      <x:c r="W29" s="1195"/>
      <x:c r="X29" s="1195"/>
    </x:row>
    <x:row r="30" ht="36" customHeight="1">
      <x:c r="A30" s="1185" t="str">
        <x:v>1 — Register</x:v>
      </x:c>
      <x:c r="B30" s="1185"/>
      <x:c r="C30" s="1185" t="str">
        <x:v>Assign canonical MASR identity and record class</x:v>
      </x:c>
      <x:c r="D30" s="1185"/>
      <x:c r="E30" s="1185"/>
      <x:c r="F30" s="1185" t="str">
        <x:v>Research Operations</x:v>
      </x:c>
      <x:c r="G30" s="1185"/>
      <x:c r="H30" s="1185" t="str">
        <x:v>Controlled security identity</x:v>
      </x:c>
      <x:c r="I30" s="1185"/>
      <x:c r="J30" s="1185"/>
      <x:c r="K30" s="1185" t="str">
        <x:v>Establishes one auditable registry record</x:v>
      </x:c>
      <x:c r="L30" s="1185"/>
      <x:c r="M30" s="1185"/>
      <x:c r="N30" s="1194"/>
      <x:c r="O30" s="1194"/>
      <x:c r="P30" s="1194"/>
      <x:c r="Q30" s="1194"/>
      <x:c r="R30" s="1194"/>
      <x:c r="S30" s="1195"/>
      <x:c r="T30" s="1195"/>
      <x:c r="U30" s="1195"/>
      <x:c r="V30" s="1195"/>
      <x:c r="W30" s="1195"/>
      <x:c r="X30" s="1195"/>
    </x:row>
    <x:row r="31" ht="36" customHeight="1">
      <x:c r="A31" s="1189" t="str">
        <x:v>2 — Classify</x:v>
      </x:c>
      <x:c r="B31" s="1189"/>
      <x:c r="C31" s="1189" t="str">
        <x:v>Record admission basis, sleeve, role and security type</x:v>
      </x:c>
      <x:c r="D31" s="1189"/>
      <x:c r="E31" s="1189"/>
      <x:c r="F31" s="1189" t="str">
        <x:v>Research Committee</x:v>
      </x:c>
      <x:c r="G31" s="1189"/>
      <x:c r="H31" s="1189" t="str">
        <x:v>Eligibility-ready registry record</x:v>
      </x:c>
      <x:c r="I31" s="1189"/>
      <x:c r="J31" s="1189"/>
      <x:c r="K31" s="1189" t="str">
        <x:v>Defines why the security belongs in the research universe</x:v>
      </x:c>
      <x:c r="L31" s="1189"/>
      <x:c r="M31" s="1189"/>
      <x:c r="N31" s="1194"/>
      <x:c r="O31" s="1194"/>
      <x:c r="P31" s="1194"/>
      <x:c r="Q31" s="1194"/>
      <x:c r="R31" s="1194"/>
      <x:c r="S31" s="1195"/>
      <x:c r="T31" s="1195"/>
      <x:c r="U31" s="1195"/>
      <x:c r="V31" s="1195"/>
      <x:c r="W31" s="1195"/>
      <x:c r="X31" s="1195"/>
    </x:row>
    <x:row r="32" ht="36" customHeight="1">
      <x:c r="A32" s="1185" t="str">
        <x:v>3 — Evidence</x:v>
      </x:c>
      <x:c r="B32" s="1185"/>
      <x:c r="C32" s="1185" t="str">
        <x:v>Complete MIAR, Integrity, MICS, empirical and evidence controls</x:v>
      </x:c>
      <x:c r="D32" s="1185"/>
      <x:c r="E32" s="1185"/>
      <x:c r="F32" s="1185" t="str">
        <x:v>Assigned Reviewer</x:v>
      </x:c>
      <x:c r="G32" s="1185"/>
      <x:c r="H32" s="1185" t="str">
        <x:v>Research-sufficient candidate record</x:v>
      </x:c>
      <x:c r="I32" s="1185"/>
      <x:c r="J32" s="1185"/>
      <x:c r="K32" s="1185" t="str">
        <x:v>Prevents unsupported candidate advancement</x:v>
      </x:c>
      <x:c r="L32" s="1185"/>
      <x:c r="M32" s="1185"/>
      <x:c r="N32" s="1194"/>
      <x:c r="O32" s="1194"/>
      <x:c r="P32" s="1194"/>
      <x:c r="Q32" s="1194"/>
      <x:c r="R32" s="1194"/>
      <x:c r="S32" s="1195"/>
      <x:c r="T32" s="1195"/>
      <x:c r="U32" s="1195"/>
      <x:c r="V32" s="1195"/>
      <x:c r="W32" s="1195"/>
      <x:c r="X32" s="1195"/>
    </x:row>
    <x:row r="33" ht="36" customHeight="1">
      <x:c r="A33" s="1189" t="str">
        <x:v>4 — Test</x:v>
      </x:c>
      <x:c r="B33" s="1189"/>
      <x:c r="C33" s="1189" t="str">
        <x:v>Apply eligibility, market-cap and external-research exception gates</x:v>
      </x:c>
      <x:c r="D33" s="1189"/>
      <x:c r="E33" s="1189"/>
      <x:c r="F33" s="1189" t="str">
        <x:v>Research Committee</x:v>
      </x:c>
      <x:c r="G33" s="1189"/>
      <x:c r="H33" s="1189" t="str">
        <x:v>Eligibility / exception state</x:v>
      </x:c>
      <x:c r="I33" s="1189"/>
      <x:c r="J33" s="1189"/>
      <x:c r="K33" s="1189" t="str">
        <x:v>Makes exceptions explicit rather than silent</x:v>
      </x:c>
      <x:c r="L33" s="1189"/>
      <x:c r="M33" s="1189"/>
      <x:c r="N33" s="1194"/>
      <x:c r="O33" s="1194"/>
      <x:c r="P33" s="1194"/>
      <x:c r="Q33" s="1194"/>
      <x:c r="R33" s="1194"/>
      <x:c r="S33" s="1195"/>
      <x:c r="T33" s="1195"/>
      <x:c r="U33" s="1195"/>
      <x:c r="V33" s="1195"/>
      <x:c r="W33" s="1195"/>
      <x:c r="X33" s="1195"/>
    </x:row>
    <x:row r="34" ht="36" customHeight="1">
      <x:c r="A34" s="1185" t="str">
        <x:v>5 — Advance</x:v>
      </x:c>
      <x:c r="B34" s="1185"/>
      <x:c r="C34" s="1185" t="str">
        <x:v>Move the candidate through controlled stage gates</x:v>
      </x:c>
      <x:c r="D34" s="1185"/>
      <x:c r="E34" s="1185"/>
      <x:c r="F34" s="1185" t="str">
        <x:v>Research Operations</x:v>
      </x:c>
      <x:c r="G34" s="1185"/>
      <x:c r="H34" s="1185" t="str">
        <x:v>Auditable candidate history</x:v>
      </x:c>
      <x:c r="I34" s="1185"/>
      <x:c r="J34" s="1185"/>
      <x:c r="K34" s="1185" t="str">
        <x:v>Separates intake from committee-ready analysis</x:v>
      </x:c>
      <x:c r="L34" s="1185"/>
      <x:c r="M34" s="1185"/>
      <x:c r="N34" s="1194"/>
      <x:c r="O34" s="1194"/>
      <x:c r="P34" s="1194"/>
      <x:c r="Q34" s="1194"/>
      <x:c r="R34" s="1194"/>
      <x:c r="S34" s="1195"/>
      <x:c r="T34" s="1195"/>
      <x:c r="U34" s="1195"/>
      <x:c r="V34" s="1195"/>
      <x:c r="W34" s="1195"/>
      <x:c r="X34" s="1195"/>
    </x:row>
    <x:row r="35" ht="36" customHeight="1">
      <x:c r="A35" s="1189" t="str">
        <x:v>6 — Decide</x:v>
      </x:c>
      <x:c r="B35" s="1189"/>
      <x:c r="C35" s="1189" t="str">
        <x:v>Record committee disposition and decision date</x:v>
      </x:c>
      <x:c r="D35" s="1189"/>
      <x:c r="E35" s="1189"/>
      <x:c r="F35" s="1189" t="str">
        <x:v>Stewardship Committee</x:v>
      </x:c>
      <x:c r="G35" s="1189"/>
      <x:c r="H35" s="1189" t="str">
        <x:v>Certified admission, watch, rejection or removal</x:v>
      </x:c>
      <x:c r="I35" s="1189"/>
      <x:c r="J35" s="1189"/>
      <x:c r="K35" s="1189" t="str">
        <x:v>Preserves governance authority</x:v>
      </x:c>
      <x:c r="L35" s="1189"/>
      <x:c r="M35" s="1189"/>
      <x:c r="N35" s="1194"/>
      <x:c r="O35" s="1194"/>
      <x:c r="P35" s="1194"/>
      <x:c r="Q35" s="1194"/>
      <x:c r="R35" s="1194"/>
      <x:c r="S35" s="1195"/>
      <x:c r="T35" s="1195"/>
      <x:c r="U35" s="1195"/>
      <x:c r="V35" s="1195"/>
      <x:c r="W35" s="1195"/>
      <x:c r="X35" s="1195"/>
    </x:row>
    <x:row r="36" ht="36" customHeight="1">
      <x:c r="A36" s="1185" t="str">
        <x:v>7 — Refer</x:v>
      </x:c>
      <x:c r="B36" s="1185"/>
      <x:c r="C36" s="1185" t="str">
        <x:v>Link qualified candidates to PEW-004 Candidate Comparison</x:v>
      </x:c>
      <x:c r="D36" s="1185"/>
      <x:c r="E36" s="1185"/>
      <x:c r="F36" s="1185" t="str">
        <x:v>Portfolio Engineering</x:v>
      </x:c>
      <x:c r="G36" s="1185"/>
      <x:c r="H36" s="1185" t="str">
        <x:v>Controlled PEW referral</x:v>
      </x:c>
      <x:c r="I36" s="1185"/>
      <x:c r="J36" s="1185"/>
      <x:c r="K36" s="1185" t="str">
        <x:v>Research may recommend; engineering designs the response</x:v>
      </x:c>
      <x:c r="L36" s="1185"/>
      <x:c r="M36" s="1185"/>
      <x:c r="N36" s="1194"/>
      <x:c r="O36" s="1194"/>
      <x:c r="P36" s="1194"/>
      <x:c r="Q36" s="1194"/>
      <x:c r="R36" s="1194"/>
      <x:c r="S36" s="1195"/>
      <x:c r="T36" s="1195"/>
      <x:c r="U36" s="1195"/>
      <x:c r="V36" s="1195"/>
      <x:c r="W36" s="1195"/>
      <x:c r="X36" s="1195"/>
    </x:row>
    <x:row r="37">
      <x:c r="A37" s="1089"/>
      <x:c r="B37" s="1089"/>
      <x:c r="C37" s="1089"/>
      <x:c r="D37" s="1089"/>
      <x:c r="E37" s="1089"/>
      <x:c r="F37" s="1089"/>
      <x:c r="G37" s="1089"/>
      <x:c r="H37" s="1089"/>
      <x:c r="I37" s="1089"/>
      <x:c r="J37" s="1089"/>
      <x:c r="K37" s="1089"/>
      <x:c r="L37" s="1089"/>
      <x:c r="M37" s="1089"/>
      <x:c r="N37" s="1089"/>
      <x:c r="O37" s="1089"/>
      <x:c r="P37" s="1089"/>
      <x:c r="Q37" s="1089"/>
      <x:c r="R37" s="1089"/>
      <x:c r="S37" s="1089"/>
      <x:c r="T37" s="1089"/>
      <x:c r="U37" s="1089"/>
      <x:c r="V37" s="1089"/>
      <x:c r="W37" s="1089"/>
      <x:c r="X37" s="1089"/>
    </x:row>
    <x:row r="38">
      <x:c r="A38" s="1178" t="str">
        <x:v>NEXT BUILD — RCC-005 ZACKS / MERRILL RESEARCH CROSSWALK</x:v>
      </x:c>
      <x:c r="B38" s="1178"/>
      <x:c r="C38" s="1178"/>
      <x:c r="D38" s="1178"/>
      <x:c r="E38" s="1178"/>
      <x:c r="F38" s="1178"/>
      <x:c r="G38" s="1178"/>
      <x:c r="H38" s="1178"/>
      <x:c r="I38" s="1178"/>
      <x:c r="J38" s="1178"/>
      <x:c r="K38" s="1178"/>
      <x:c r="L38" s="1178"/>
      <x:c r="M38" s="1178"/>
      <x:c r="N38" s="1178"/>
      <x:c r="O38" s="1178"/>
      <x:c r="P38" s="1178"/>
      <x:c r="Q38" s="1178"/>
      <x:c r="R38" s="1178"/>
      <x:c r="S38" s="1178"/>
      <x:c r="T38" s="1178"/>
      <x:c r="U38" s="1178"/>
      <x:c r="V38" s="1178"/>
      <x:c r="W38" s="1178"/>
      <x:c r="X38" s="1178"/>
    </x:row>
    <x:row r="39">
      <x:c r="A39" s="1089"/>
      <x:c r="B39" s="1089"/>
      <x:c r="C39" s="1089"/>
      <x:c r="D39" s="1089"/>
      <x:c r="E39" s="1089"/>
      <x:c r="F39" s="1089"/>
      <x:c r="G39" s="1089"/>
      <x:c r="H39" s="1089"/>
      <x:c r="I39" s="1089"/>
      <x:c r="J39" s="1089"/>
      <x:c r="K39" s="1089"/>
      <x:c r="L39" s="1089"/>
      <x:c r="M39" s="1089"/>
      <x:c r="N39" s="1089"/>
      <x:c r="O39" s="1089"/>
      <x:c r="P39" s="1089"/>
      <x:c r="Q39" s="1089"/>
      <x:c r="R39" s="1089"/>
      <x:c r="S39" s="1089"/>
      <x:c r="T39" s="1089"/>
      <x:c r="U39" s="1089"/>
      <x:c r="V39" s="1089"/>
      <x:c r="W39" s="1089"/>
      <x:c r="X39" s="1089"/>
    </x:row>
    <x:row r="40">
      <x:c r="A40" s="1175" t="str">
        <x:v>RCC-005 will maintain verified current Zacks and Merrill research records, codify the 80% Zacks preference for genuinely close candidate decisions, identify Zacks #4 / #5 retention or admission exceptions, document Merrill No Rating and restricted-research limitations, and feed controlled external-research evidence into RCC-004 and PEW-004 without creating automatic selection authority.</x:v>
      </x:c>
      <x:c r="B40" s="1175"/>
      <x:c r="C40" s="1175"/>
      <x:c r="D40" s="1175"/>
      <x:c r="E40" s="1175"/>
      <x:c r="F40" s="1175"/>
      <x:c r="G40" s="1175"/>
      <x:c r="H40" s="1175"/>
      <x:c r="I40" s="1175"/>
      <x:c r="J40" s="1175"/>
      <x:c r="K40" s="1175"/>
      <x:c r="L40" s="1175"/>
      <x:c r="M40" s="1175"/>
      <x:c r="N40" s="1175"/>
      <x:c r="O40" s="1175"/>
      <x:c r="P40" s="1175"/>
      <x:c r="Q40" s="1175"/>
      <x:c r="R40" s="1175"/>
      <x:c r="S40" s="1175"/>
      <x:c r="T40" s="1175"/>
      <x:c r="U40" s="1175"/>
      <x:c r="V40" s="1175"/>
      <x:c r="W40" s="1175"/>
      <x:c r="X40" s="1175"/>
    </x:row>
    <x:row r="41">
      <x:c r="A41" s="1175"/>
      <x:c r="B41" s="1175"/>
      <x:c r="C41" s="1175"/>
      <x:c r="D41" s="1175"/>
      <x:c r="E41" s="1175"/>
      <x:c r="F41" s="1175"/>
      <x:c r="G41" s="1175"/>
      <x:c r="H41" s="1175"/>
      <x:c r="I41" s="1175"/>
      <x:c r="J41" s="1175"/>
      <x:c r="K41" s="1175"/>
      <x:c r="L41" s="1175"/>
      <x:c r="M41" s="1175"/>
      <x:c r="N41" s="1175"/>
      <x:c r="O41" s="1175"/>
      <x:c r="P41" s="1175"/>
      <x:c r="Q41" s="1175"/>
      <x:c r="R41" s="1175"/>
      <x:c r="S41" s="1175"/>
      <x:c r="T41" s="1175"/>
      <x:c r="U41" s="1175"/>
      <x:c r="V41" s="1175"/>
      <x:c r="W41" s="1175"/>
      <x:c r="X41" s="1175"/>
    </x:row>
    <x:row r="42">
      <x:c r="A42" s="1175"/>
      <x:c r="B42" s="1175"/>
      <x:c r="C42" s="1175"/>
      <x:c r="D42" s="1175"/>
      <x:c r="E42" s="1175"/>
      <x:c r="F42" s="1175"/>
      <x:c r="G42" s="1175"/>
      <x:c r="H42" s="1175"/>
      <x:c r="I42" s="1175"/>
      <x:c r="J42" s="1175"/>
      <x:c r="K42" s="1175"/>
      <x:c r="L42" s="1175"/>
      <x:c r="M42" s="1175"/>
      <x:c r="N42" s="1175"/>
      <x:c r="O42" s="1175"/>
      <x:c r="P42" s="1175"/>
      <x:c r="Q42" s="1175"/>
      <x:c r="R42" s="1175"/>
      <x:c r="S42" s="1175"/>
      <x:c r="T42" s="1175"/>
      <x:c r="U42" s="1175"/>
      <x:c r="V42" s="1175"/>
      <x:c r="W42" s="1175"/>
      <x:c r="X42" s="1175"/>
    </x:row>
    <x:row r="43">
      <x:c r="A43" s="1175"/>
      <x:c r="B43" s="1175"/>
      <x:c r="C43" s="1175"/>
      <x:c r="D43" s="1175"/>
      <x:c r="E43" s="1175"/>
      <x:c r="F43" s="1175"/>
      <x:c r="G43" s="1175"/>
      <x:c r="H43" s="1175"/>
      <x:c r="I43" s="1175"/>
      <x:c r="J43" s="1175"/>
      <x:c r="K43" s="1175"/>
      <x:c r="L43" s="1175"/>
      <x:c r="M43" s="1175"/>
      <x:c r="N43" s="1175"/>
      <x:c r="O43" s="1175"/>
      <x:c r="P43" s="1175"/>
      <x:c r="Q43" s="1175"/>
      <x:c r="R43" s="1175"/>
      <x:c r="S43" s="1175"/>
      <x:c r="T43" s="1175"/>
      <x:c r="U43" s="1175"/>
      <x:c r="V43" s="1175"/>
      <x:c r="W43" s="1175"/>
      <x:c r="X43" s="1175"/>
    </x:row>
    <x:row r="44">
      <x:c r="A44" s="1089"/>
      <x:c r="B44" s="1089"/>
      <x:c r="C44" s="1089"/>
      <x:c r="D44" s="1089"/>
      <x:c r="E44" s="1089"/>
      <x:c r="F44" s="1089"/>
      <x:c r="G44" s="1089"/>
      <x:c r="H44" s="1089"/>
      <x:c r="I44" s="1089"/>
      <x:c r="J44" s="1089"/>
      <x:c r="K44" s="1089"/>
      <x:c r="L44" s="1089"/>
      <x:c r="M44" s="1089"/>
      <x:c r="N44" s="1089"/>
      <x:c r="O44" s="1089"/>
      <x:c r="P44" s="1089"/>
      <x:c r="Q44" s="1089"/>
      <x:c r="R44" s="1089"/>
      <x:c r="S44" s="1089"/>
      <x:c r="T44" s="1089"/>
      <x:c r="U44" s="1089"/>
      <x:c r="V44" s="1089"/>
      <x:c r="W44" s="1089"/>
      <x:c r="X44" s="1089"/>
    </x:row>
    <x:row r="45">
      <x:c r="A45" s="1089"/>
      <x:c r="B45" s="1089"/>
      <x:c r="C45" s="1089"/>
      <x:c r="D45" s="1089"/>
      <x:c r="E45" s="1089"/>
      <x:c r="F45" s="1089"/>
      <x:c r="G45" s="1089"/>
      <x:c r="H45" s="1089"/>
      <x:c r="I45" s="1089"/>
      <x:c r="J45" s="1089"/>
      <x:c r="K45" s="1089"/>
      <x:c r="L45" s="1089"/>
      <x:c r="M45" s="1089"/>
      <x:c r="N45" s="1089"/>
      <x:c r="O45" s="1089"/>
      <x:c r="P45" s="1089"/>
      <x:c r="Q45" s="1089"/>
      <x:c r="R45" s="1089"/>
      <x:c r="S45" s="1089"/>
      <x:c r="T45" s="1089"/>
      <x:c r="U45" s="1089"/>
      <x:c r="V45" s="1089"/>
      <x:c r="W45" s="1089"/>
      <x:c r="X45" s="1089"/>
    </x:row>
    <x:row r="46">
      <x:c r="A46" s="1290" t="str">
        <x:v>MOPS-003 CONTROL PRINCIPLE — Research identifies and evaluates change. Portfolio Engineering designs the response. Committee governance authorizes the response. The certified MFPDF remains the sole portfolio system of record. RCC-004 controls registry identity, eligibility, stage gates and referral; it does not alter allocations, authorize trading or independently admit a security to the certified portfolio.</x:v>
      </x:c>
      <x:c r="B46" s="1290"/>
      <x:c r="C46" s="1290"/>
      <x:c r="D46" s="1290"/>
      <x:c r="E46" s="1290"/>
      <x:c r="F46" s="1290"/>
      <x:c r="G46" s="1290"/>
      <x:c r="H46" s="1290"/>
      <x:c r="I46" s="1290"/>
      <x:c r="J46" s="1290"/>
      <x:c r="K46" s="1290"/>
      <x:c r="L46" s="1290"/>
      <x:c r="M46" s="1290"/>
      <x:c r="N46" s="1290"/>
      <x:c r="O46" s="1290"/>
      <x:c r="P46" s="1290"/>
      <x:c r="Q46" s="1290"/>
      <x:c r="R46" s="1290"/>
      <x:c r="S46" s="1290"/>
      <x:c r="T46" s="1290"/>
      <x:c r="U46" s="1290"/>
      <x:c r="V46" s="1290"/>
      <x:c r="W46" s="1290"/>
      <x:c r="X46" s="1290"/>
    </x:row>
    <x:row r="47">
      <x:c r="A47" s="1290"/>
      <x:c r="B47" s="1290"/>
      <x:c r="C47" s="1290"/>
      <x:c r="D47" s="1290"/>
      <x:c r="E47" s="1290"/>
      <x:c r="F47" s="1290"/>
      <x:c r="G47" s="1290"/>
      <x:c r="H47" s="1290"/>
      <x:c r="I47" s="1290"/>
      <x:c r="J47" s="1290"/>
      <x:c r="K47" s="1290"/>
      <x:c r="L47" s="1290"/>
      <x:c r="M47" s="1290"/>
      <x:c r="N47" s="1290"/>
      <x:c r="O47" s="1290"/>
      <x:c r="P47" s="1290"/>
      <x:c r="Q47" s="1290"/>
      <x:c r="R47" s="1290"/>
      <x:c r="S47" s="1290"/>
      <x:c r="T47" s="1290"/>
      <x:c r="U47" s="1290"/>
      <x:c r="V47" s="1290"/>
      <x:c r="W47" s="1290"/>
      <x:c r="X47" s="1290"/>
    </x:row>
    <x:row r="48">
      <x:c r="A48" s="1290"/>
      <x:c r="B48" s="1290"/>
      <x:c r="C48" s="1290"/>
      <x:c r="D48" s="1290"/>
      <x:c r="E48" s="1290"/>
      <x:c r="F48" s="1290"/>
      <x:c r="G48" s="1290"/>
      <x:c r="H48" s="1290"/>
      <x:c r="I48" s="1290"/>
      <x:c r="J48" s="1290"/>
      <x:c r="K48" s="1290"/>
      <x:c r="L48" s="1290"/>
      <x:c r="M48" s="1290"/>
      <x:c r="N48" s="1290"/>
      <x:c r="O48" s="1290"/>
      <x:c r="P48" s="1290"/>
      <x:c r="Q48" s="1290"/>
      <x:c r="R48" s="1290"/>
      <x:c r="S48" s="1290"/>
      <x:c r="T48" s="1290"/>
      <x:c r="U48" s="1290"/>
      <x:c r="V48" s="1290"/>
      <x:c r="W48" s="1290"/>
      <x:c r="X48" s="1290"/>
    </x:row>
  </x:sheetData>
  <x:mergeCells>
    <x:mergeCell ref="A1:X1"/>
    <x:mergeCell ref="A2:X2"/>
    <x:mergeCell ref="A3:X3"/>
    <x:mergeCell ref="A5:X5"/>
    <x:mergeCell ref="A6:D6"/>
    <x:mergeCell ref="A7:D8"/>
    <x:mergeCell ref="E6:H6"/>
    <x:mergeCell ref="E7:H8"/>
    <x:mergeCell ref="I6:L6"/>
    <x:mergeCell ref="I7:L8"/>
    <x:mergeCell ref="M6:P6"/>
    <x:mergeCell ref="M7:P8"/>
    <x:mergeCell ref="Q6:T6"/>
    <x:mergeCell ref="Q7:T8"/>
    <x:mergeCell ref="U6:X6"/>
    <x:mergeCell ref="U7:X8"/>
    <x:mergeCell ref="A11:X11"/>
    <x:mergeCell ref="A12:F12"/>
    <x:mergeCell ref="A13:F14"/>
    <x:mergeCell ref="G12:L12"/>
    <x:mergeCell ref="G13:L14"/>
    <x:mergeCell ref="M12:R12"/>
    <x:mergeCell ref="M13:R14"/>
    <x:mergeCell ref="S12:X12"/>
    <x:mergeCell ref="S13:X14"/>
    <x:mergeCell ref="A16:M16"/>
    <x:mergeCell ref="N16:X16"/>
    <x:mergeCell ref="A28:M28"/>
    <x:mergeCell ref="N28:R28"/>
    <x:mergeCell ref="S28:X28"/>
    <x:mergeCell ref="N29:R36"/>
    <x:mergeCell ref="S29:X36"/>
    <x:mergeCell ref="A38:X38"/>
    <x:mergeCell ref="A40:X43"/>
    <x:mergeCell ref="A46:X48"/>
    <x:mergeCell ref="A29:B29"/>
    <x:mergeCell ref="C29:E29"/>
    <x:mergeCell ref="F29:G29"/>
    <x:mergeCell ref="H29:J29"/>
    <x:mergeCell ref="K29:M29"/>
    <x:mergeCell ref="A30:B30"/>
    <x:mergeCell ref="C30:E30"/>
    <x:mergeCell ref="F30:G30"/>
    <x:mergeCell ref="H30:J30"/>
    <x:mergeCell ref="K30:M30"/>
    <x:mergeCell ref="A31:B31"/>
    <x:mergeCell ref="C31:E31"/>
    <x:mergeCell ref="F31:G31"/>
    <x:mergeCell ref="H31:J31"/>
    <x:mergeCell ref="K31:M31"/>
    <x:mergeCell ref="A32:B32"/>
    <x:mergeCell ref="C32:E32"/>
    <x:mergeCell ref="F32:G32"/>
    <x:mergeCell ref="H32:J32"/>
    <x:mergeCell ref="K32:M32"/>
    <x:mergeCell ref="A33:B33"/>
    <x:mergeCell ref="C33:E33"/>
    <x:mergeCell ref="F33:G33"/>
    <x:mergeCell ref="H33:J33"/>
    <x:mergeCell ref="K33:M33"/>
    <x:mergeCell ref="A34:B34"/>
    <x:mergeCell ref="C34:E34"/>
    <x:mergeCell ref="F34:G34"/>
    <x:mergeCell ref="H34:J34"/>
    <x:mergeCell ref="K34:M34"/>
    <x:mergeCell ref="A35:B35"/>
    <x:mergeCell ref="C35:E35"/>
    <x:mergeCell ref="F35:G35"/>
    <x:mergeCell ref="H35:J35"/>
    <x:mergeCell ref="K35:M35"/>
    <x:mergeCell ref="A36:B36"/>
    <x:mergeCell ref="C36:E36"/>
    <x:mergeCell ref="F36:G36"/>
    <x:mergeCell ref="H36:J36"/>
    <x:mergeCell ref="K36:M36"/>
    <x:mergeCell ref="B17:C17"/>
    <x:mergeCell ref="F17:H17"/>
    <x:mergeCell ref="I17:J17"/>
    <x:mergeCell ref="L17:M17"/>
    <x:mergeCell ref="B18:C18"/>
    <x:mergeCell ref="F18:H18"/>
    <x:mergeCell ref="I18:J18"/>
    <x:mergeCell ref="L18:M18"/>
    <x:mergeCell ref="B19:C19"/>
    <x:mergeCell ref="F19:H19"/>
    <x:mergeCell ref="I19:J19"/>
    <x:mergeCell ref="L19:M19"/>
    <x:mergeCell ref="B20:C20"/>
    <x:mergeCell ref="F20:H20"/>
    <x:mergeCell ref="I20:J20"/>
    <x:mergeCell ref="L20:M20"/>
    <x:mergeCell ref="B21:C21"/>
    <x:mergeCell ref="F21:H21"/>
    <x:mergeCell ref="I21:J21"/>
    <x:mergeCell ref="L21:M21"/>
    <x:mergeCell ref="B22:C22"/>
    <x:mergeCell ref="F22:H22"/>
    <x:mergeCell ref="I22:J22"/>
    <x:mergeCell ref="L22:M22"/>
    <x:mergeCell ref="B23:C23"/>
    <x:mergeCell ref="F23:H23"/>
    <x:mergeCell ref="I23:J23"/>
    <x:mergeCell ref="L23:M23"/>
    <x:mergeCell ref="B24:C24"/>
    <x:mergeCell ref="F24:H24"/>
    <x:mergeCell ref="I24:J24"/>
    <x:mergeCell ref="L24:M24"/>
    <x:mergeCell ref="B25:C25"/>
    <x:mergeCell ref="F25:H25"/>
    <x:mergeCell ref="I25:J25"/>
    <x:mergeCell ref="L25:M25"/>
  </x:mergeCells>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2" hidden="0" customWidth="1"/>
    <x:col min="5" max="5" width="24" hidden="0" customWidth="1"/>
    <x:col min="6" max="6" width="24" hidden="0" customWidth="1"/>
    <x:col min="7" max="7" width="24" hidden="0" customWidth="1"/>
    <x:col min="8" max="8" width="34" hidden="0" customWidth="1"/>
    <x:col min="9" max="9" width="13" hidden="0" customWidth="1"/>
    <x:col min="10" max="10" width="14" hidden="0" customWidth="1"/>
    <x:col min="11" max="11" width="18" hidden="0" customWidth="1"/>
    <x:col min="12" max="12" width="18" hidden="0" customWidth="1"/>
    <x:col min="13" max="13" width="18" hidden="0" customWidth="1"/>
    <x:col min="14" max="14" width="14" hidden="0" customWidth="1"/>
    <x:col min="15" max="15" width="14" hidden="0" customWidth="1"/>
    <x:col min="16" max="16" width="18" hidden="0" customWidth="1"/>
    <x:col min="17" max="17" width="18" hidden="0" customWidth="1"/>
    <x:col min="18" max="18" width="14" hidden="0" customWidth="1"/>
    <x:col min="19" max="19" width="16" hidden="0" customWidth="1"/>
    <x:col min="20" max="20" width="14" hidden="0" customWidth="1"/>
    <x:col min="21" max="21" width="12" hidden="0" customWidth="1"/>
    <x:col min="22" max="22" width="20" hidden="0" customWidth="1"/>
    <x:col min="23" max="23" width="14" hidden="0" customWidth="1"/>
    <x:col min="24" max="24" width="22" hidden="0" customWidth="1"/>
    <x:col min="25" max="25" width="34" hidden="0" customWidth="1"/>
    <x:col min="26" max="26" width="16" hidden="0" customWidth="1"/>
    <x:col min="27" max="27" width="22" hidden="0" customWidth="1"/>
    <x:col min="28" max="28" width="28" hidden="0" customWidth="1"/>
    <x:col min="29" max="29" width="22" hidden="0" customWidth="1"/>
    <x:col min="30" max="30" width="24" hidden="0" customWidth="1"/>
    <x:col min="31" max="31" width="38" hidden="0" customWidth="1"/>
    <x:col min="32" max="32" width="18" hidden="0" customWidth="1"/>
    <x:col min="33" max="33" width="22" hidden="0" customWidth="1"/>
    <x:col min="34" max="34" width="18" hidden="0" customWidth="1"/>
    <x:col min="35" max="35" width="42" hidden="0" customWidth="1"/>
  </x:cols>
  <x:sheetData>
    <x:row r="1" ht="24" customHeight="1">
      <x:c r="A1" s="1096" t="str">
        <x:v>MOPS-003 — RCC-004 CONTROLLED MASR REGISTRY</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c r="Y1" s="1096"/>
      <x:c r="Z1" s="1096"/>
      <x:c r="AA1" s="1096"/>
      <x:c r="AB1" s="1096"/>
      <x:c r="AC1" s="1096"/>
      <x:c r="AD1" s="1096"/>
      <x:c r="AE1" s="1096"/>
      <x:c r="AF1" s="1096"/>
      <x:c r="AG1" s="1096"/>
      <x:c r="AH1" s="1096"/>
      <x:c r="AI1" s="1096"/>
    </x:row>
    <x:row r="2" ht="24" customHeight="1">
      <x:c r="A2" s="1101" t="str">
        <x:v>FOUNDERS EDITION v1.0 — CONSTRUCTION CANDIDATE | 150 controlled registry slots</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c r="Y2" s="1101"/>
      <x:c r="Z2" s="1101"/>
      <x:c r="AA2" s="1101"/>
      <x:c r="AB2" s="1101"/>
      <x:c r="AC2" s="1101"/>
      <x:c r="AD2" s="1101"/>
      <x:c r="AE2" s="1101"/>
      <x:c r="AF2" s="1101"/>
      <x:c r="AG2" s="1101"/>
      <x:c r="AH2" s="1101"/>
      <x:c r="AI2" s="1101"/>
    </x:row>
    <x:row r="3" ht="38" customHeight="1">
      <x:c r="A3" s="1199" t="str">
        <x:v>The registry preserves certified holdings, administers approved non-holdings and candidate classes, and applies MIAR, score, empirical, market-cap, Zacks, Merrill and governance controls. The canonical MASR IDs and non-holding membership must be entered from the institutional registry; this workbook does not invent them.</x:v>
      </x:c>
      <x:c r="B3" s="1199"/>
      <x:c r="C3" s="1199"/>
      <x:c r="D3" s="1199"/>
      <x:c r="E3" s="1199"/>
      <x:c r="F3" s="1199"/>
      <x:c r="G3" s="1199"/>
      <x:c r="H3" s="1199"/>
      <x:c r="I3" s="1199"/>
      <x:c r="J3" s="1199"/>
      <x:c r="K3" s="1199"/>
      <x:c r="L3" s="1199"/>
      <x:c r="M3" s="1199"/>
      <x:c r="N3" s="1199"/>
      <x:c r="O3" s="1199"/>
      <x:c r="P3" s="1199"/>
      <x:c r="Q3" s="1199"/>
      <x:c r="R3" s="1199"/>
      <x:c r="S3" s="1199"/>
      <x:c r="T3" s="1199"/>
      <x:c r="U3" s="1199"/>
      <x:c r="V3" s="1199"/>
      <x:c r="W3" s="1199"/>
      <x:c r="X3" s="1199"/>
      <x:c r="Y3" s="1199"/>
      <x:c r="Z3" s="1199"/>
      <x:c r="AA3" s="1199"/>
      <x:c r="AB3" s="1199"/>
      <x:c r="AC3" s="1199"/>
      <x:c r="AD3" s="1199"/>
      <x:c r="AE3" s="1199"/>
      <x:c r="AF3" s="1199"/>
      <x:c r="AG3" s="1199"/>
      <x:c r="AH3" s="1199"/>
      <x:c r="AI3" s="1199"/>
    </x:row>
    <x:row r="5">
      <x:c r="A5" s="1236" t="str">
        <x:v>REGISTRY ENTRY STANDARD</x:v>
      </x:c>
      <x:c r="B5" s="1236"/>
      <x:c r="C5" s="1236"/>
      <x:c r="D5" s="1236"/>
      <x:c r="E5" s="1236"/>
      <x:c r="F5" s="1236"/>
      <x:c r="G5" s="1236"/>
      <x:c r="H5" s="1236"/>
      <x:c r="I5" s="1236"/>
      <x:c r="J5" s="1236"/>
      <x:c r="K5" s="1236" t="str">
        <x:v>ADMISSION, RESEARCH &amp; ELIGIBILITY CONTROL</x:v>
      </x:c>
      <x:c r="L5" s="1236"/>
      <x:c r="M5" s="1236"/>
      <x:c r="N5" s="1236"/>
      <x:c r="O5" s="1236"/>
      <x:c r="P5" s="1236"/>
      <x:c r="Q5" s="1236"/>
      <x:c r="R5" s="1236"/>
      <x:c r="S5" s="1236"/>
      <x:c r="T5" s="1236"/>
      <x:c r="U5" s="1236"/>
      <x:c r="V5" s="1236"/>
      <x:c r="W5" s="1236" t="str">
        <x:v>EXECUTIVE REGISTRY STATE</x:v>
      </x:c>
      <x:c r="X5" s="1236"/>
      <x:c r="Y5" s="1236"/>
      <x:c r="Z5" s="1236"/>
      <x:c r="AA5" s="1236"/>
      <x:c r="AB5" s="1236"/>
      <x:c r="AC5" s="1236"/>
      <x:c r="AD5" s="1236"/>
      <x:c r="AE5" s="1236"/>
      <x:c r="AF5" s="1236"/>
      <x:c r="AG5" s="1236"/>
      <x:c r="AH5" s="1236"/>
      <x:c r="AI5" s="1236"/>
    </x:row>
    <x:row r="6" ht="28" customHeight="1">
      <x:c r="A6" s="1237" t="str">
        <x:v>• Assign the existing canonical MASR identifier; do not create a substitute.
• Use one active registry row per security.
• Preserve the 47 certified Portfolio B holdings as Certified Portfolio Holdings.
• Enter the remaining canonical MASR non-holdings only from the approved registry source.
• Record admission basis, sleeve, role and security type.
• Edit yellow cells only.</x:v>
      </x:c>
      <x:c r="B6" s="1237"/>
      <x:c r="C6" s="1237"/>
      <x:c r="D6" s="1237"/>
      <x:c r="E6" s="1237"/>
      <x:c r="F6" s="1237"/>
      <x:c r="G6" s="1237"/>
      <x:c r="H6" s="1237"/>
      <x:c r="I6" s="1237"/>
      <x:c r="J6" s="1237"/>
      <x:c r="K6" s="1238" t="str">
        <x:v>Eligibility is evidence-controlled, not automatic. Non-holdings require a complete active MIAR dossier, current research, Integrity and MICS scores, an empirical rank, role and sleeve fit, and explicit exception treatment. A Zacks Election below $50B, Zacks Rank #4 / #5, Merrill No Rating or restricted research requires documented exception review. Certified holdings remain certified by the MFPDF but still require canonical registry and MIAR control.</x:v>
      </x:c>
      <x:c r="L6" s="1238"/>
      <x:c r="M6" s="1238"/>
      <x:c r="N6" s="1238"/>
      <x:c r="O6" s="1238"/>
      <x:c r="P6" s="1238"/>
      <x:c r="Q6" s="1238"/>
      <x:c r="R6" s="1238"/>
      <x:c r="S6" s="1238"/>
      <x:c r="T6" s="1238"/>
      <x:c r="U6" s="1238"/>
      <x:c r="V6" s="1238"/>
      <x:c r="W6" s="1239" t="str">
        <x:v>Records Loaded</x:v>
      </x:c>
      <x:c r="X6" s="1239"/>
      <x:c r="Y6" s="1239"/>
      <x:c r="Z6" s="1239"/>
      <x:c r="AA6" s="1239"/>
      <x:c r="AB6" s="1239"/>
      <x:c r="AC6" s="1239"/>
      <x:c r="AD6" s="1239"/>
      <x:c r="AE6" s="1240" t="n">
        <x:f>COUNTA($B$14:$B$163)</x:f>
        <x:v>56</x:v>
      </x:c>
      <x:c r="AF6" s="1240"/>
      <x:c r="AG6" s="1240"/>
      <x:c r="AH6" s="1240"/>
      <x:c r="AI6" s="1240"/>
    </x:row>
    <x:row r="7" ht="28" customHeight="1">
      <x:c r="A7" s="1237"/>
      <x:c r="B7" s="1237"/>
      <x:c r="C7" s="1237"/>
      <x:c r="D7" s="1237"/>
      <x:c r="E7" s="1237"/>
      <x:c r="F7" s="1237"/>
      <x:c r="G7" s="1237"/>
      <x:c r="H7" s="1237"/>
      <x:c r="I7" s="1237"/>
      <x:c r="J7" s="1237"/>
      <x:c r="K7" s="1238"/>
      <x:c r="L7" s="1238"/>
      <x:c r="M7" s="1238"/>
      <x:c r="N7" s="1238"/>
      <x:c r="O7" s="1238"/>
      <x:c r="P7" s="1238"/>
      <x:c r="Q7" s="1238"/>
      <x:c r="R7" s="1238"/>
      <x:c r="S7" s="1238"/>
      <x:c r="T7" s="1238"/>
      <x:c r="U7" s="1238"/>
      <x:c r="V7" s="1238"/>
      <x:c r="W7" s="1239" t="str">
        <x:v>Certified Holdings</x:v>
      </x:c>
      <x:c r="X7" s="1239"/>
      <x:c r="Y7" s="1239"/>
      <x:c r="Z7" s="1239"/>
      <x:c r="AA7" s="1239"/>
      <x:c r="AB7" s="1239"/>
      <x:c r="AC7" s="1239"/>
      <x:c r="AD7" s="1239"/>
      <x:c r="AE7" s="1240" t="n">
        <x:f>COUNTIF($D$14:$D$163,"Certified Portfolio Holding")</x:f>
        <x:v>47</x:v>
      </x:c>
      <x:c r="AF7" s="1240"/>
      <x:c r="AG7" s="1240"/>
      <x:c r="AH7" s="1240"/>
      <x:c r="AI7" s="1240"/>
    </x:row>
    <x:row r="8" ht="28" customHeight="1">
      <x:c r="A8" s="1237"/>
      <x:c r="B8" s="1237"/>
      <x:c r="C8" s="1237"/>
      <x:c r="D8" s="1237"/>
      <x:c r="E8" s="1237"/>
      <x:c r="F8" s="1237"/>
      <x:c r="G8" s="1237"/>
      <x:c r="H8" s="1237"/>
      <x:c r="I8" s="1237"/>
      <x:c r="J8" s="1237"/>
      <x:c r="K8" s="1238"/>
      <x:c r="L8" s="1238"/>
      <x:c r="M8" s="1238"/>
      <x:c r="N8" s="1238"/>
      <x:c r="O8" s="1238"/>
      <x:c r="P8" s="1238"/>
      <x:c r="Q8" s="1238"/>
      <x:c r="R8" s="1238"/>
      <x:c r="S8" s="1238"/>
      <x:c r="T8" s="1238"/>
      <x:c r="U8" s="1238"/>
      <x:c r="V8" s="1238"/>
      <x:c r="W8" s="1239" t="str">
        <x:v>Approved Non-Holdings</x:v>
      </x:c>
      <x:c r="X8" s="1239"/>
      <x:c r="Y8" s="1239"/>
      <x:c r="Z8" s="1239"/>
      <x:c r="AA8" s="1239"/>
      <x:c r="AB8" s="1239"/>
      <x:c r="AC8" s="1239"/>
      <x:c r="AD8" s="1239"/>
      <x:c r="AE8" s="1240" t="n">
        <x:f>COUNTIFS($D$14:$D$163,"MASR Approved Non-Holding",$E$14:$E$163,"Active — Approved Non-Holding")</x:f>
        <x:v>0</x:v>
      </x:c>
      <x:c r="AF8" s="1240"/>
      <x:c r="AG8" s="1240"/>
      <x:c r="AH8" s="1240"/>
      <x:c r="AI8" s="1240"/>
    </x:row>
    <x:row r="9" ht="28" customHeight="1">
      <x:c r="A9" s="1237"/>
      <x:c r="B9" s="1237"/>
      <x:c r="C9" s="1237"/>
      <x:c r="D9" s="1237"/>
      <x:c r="E9" s="1237"/>
      <x:c r="F9" s="1237"/>
      <x:c r="G9" s="1237"/>
      <x:c r="H9" s="1237"/>
      <x:c r="I9" s="1237"/>
      <x:c r="J9" s="1237"/>
      <x:c r="K9" s="1238"/>
      <x:c r="L9" s="1238"/>
      <x:c r="M9" s="1238"/>
      <x:c r="N9" s="1238"/>
      <x:c r="O9" s="1238"/>
      <x:c r="P9" s="1238"/>
      <x:c r="Q9" s="1238"/>
      <x:c r="R9" s="1238"/>
      <x:c r="S9" s="1238"/>
      <x:c r="T9" s="1238"/>
      <x:c r="U9" s="1238"/>
      <x:c r="V9" s="1238"/>
      <x:c r="W9" s="1239" t="str">
        <x:v>Control Exceptions</x:v>
      </x:c>
      <x:c r="X9" s="1239"/>
      <x:c r="Y9" s="1239"/>
      <x:c r="Z9" s="1239"/>
      <x:c r="AA9" s="1239"/>
      <x:c r="AB9" s="1239"/>
      <x:c r="AC9" s="1239"/>
      <x:c r="AD9" s="1239"/>
      <x:c r="AE9" s="1241" t="n">
        <x:f>COUNTIFS($B$14:$B$163,"&lt;&gt;",$AD$14:$AD$163,"&lt;&gt;CONTROL CLEAR",$AD$14:$AD$163,"&lt;&gt;INACTIVE / CLOSED")</x:f>
        <x:v>56</x:v>
      </x:c>
      <x:c r="AF9" s="1241"/>
      <x:c r="AG9" s="1241"/>
      <x:c r="AH9" s="1241"/>
      <x:c r="AI9" s="1241"/>
    </x:row>
    <x:row r="10" ht="28" customHeight="1">
      <x:c r="A10" s="1237"/>
      <x:c r="B10" s="1237"/>
      <x:c r="C10" s="1237"/>
      <x:c r="D10" s="1237"/>
      <x:c r="E10" s="1237"/>
      <x:c r="F10" s="1237"/>
      <x:c r="G10" s="1237"/>
      <x:c r="H10" s="1237"/>
      <x:c r="I10" s="1237"/>
      <x:c r="J10" s="1237"/>
      <x:c r="K10" s="1238"/>
      <x:c r="L10" s="1238"/>
      <x:c r="M10" s="1238"/>
      <x:c r="N10" s="1238"/>
      <x:c r="O10" s="1238"/>
      <x:c r="P10" s="1238"/>
      <x:c r="Q10" s="1238"/>
      <x:c r="R10" s="1238"/>
      <x:c r="S10" s="1238"/>
      <x:c r="T10" s="1238"/>
      <x:c r="U10" s="1238"/>
      <x:c r="V10" s="1238"/>
      <x:c r="W10" s="1239" t="str">
        <x:v>Active Candidate Records</x:v>
      </x:c>
      <x:c r="X10" s="1239"/>
      <x:c r="Y10" s="1239"/>
      <x:c r="Z10" s="1239"/>
      <x:c r="AA10" s="1239"/>
      <x:c r="AB10" s="1239"/>
      <x:c r="AC10" s="1239"/>
      <x:c r="AD10" s="1239"/>
      <x:c r="AE10" s="1240" t="n">
        <x:f>SUM($Z$14:$Z$163)</x:f>
        <x:v>10</x:v>
      </x:c>
      <x:c r="AF10" s="1240"/>
      <x:c r="AG10" s="1240"/>
      <x:c r="AH10" s="1240"/>
      <x:c r="AI10" s="1240"/>
    </x:row>
    <x:row r="12">
      <x:c r="A12" s="1236" t="str">
        <x:v>RCC-004 CONTROLLED MASR REGISTRY — EDIT YELLOW CELLS ONLY</x:v>
      </x:c>
      <x:c r="B12" s="1236"/>
      <x:c r="C12" s="1236"/>
      <x:c r="D12" s="1236"/>
      <x:c r="E12" s="1236"/>
      <x:c r="F12" s="1236"/>
      <x:c r="G12" s="1236"/>
      <x:c r="H12" s="1236"/>
      <x:c r="I12" s="1236"/>
      <x:c r="J12" s="1236"/>
      <x:c r="K12" s="1236"/>
      <x:c r="L12" s="1236"/>
      <x:c r="M12" s="1236"/>
      <x:c r="N12" s="1236"/>
      <x:c r="O12" s="1236"/>
      <x:c r="P12" s="1236"/>
      <x:c r="Q12" s="1236"/>
      <x:c r="R12" s="1236"/>
      <x:c r="S12" s="1236"/>
      <x:c r="T12" s="1236"/>
      <x:c r="U12" s="1236"/>
      <x:c r="V12" s="1236"/>
      <x:c r="W12" s="1236"/>
      <x:c r="X12" s="1236"/>
      <x:c r="Y12" s="1236"/>
      <x:c r="Z12" s="1236"/>
      <x:c r="AA12" s="1236"/>
      <x:c r="AB12" s="1236"/>
      <x:c r="AC12" s="1236"/>
      <x:c r="AD12" s="1236"/>
      <x:c r="AE12" s="1236"/>
      <x:c r="AF12" s="1236"/>
      <x:c r="AG12" s="1236"/>
      <x:c r="AH12" s="1236"/>
      <x:c r="AI12" s="1236"/>
    </x:row>
    <x:row r="13" ht="52" customHeight="1">
      <x:c r="A13" s="1091" t="str">
        <x:v>Canonical MASR ID (Input)</x:v>
      </x:c>
      <x:c r="B13" s="1091" t="str">
        <x:v>Ticker</x:v>
      </x:c>
      <x:c r="C13" s="1091" t="str">
        <x:v>Security</x:v>
      </x:c>
      <x:c r="D13" s="1091" t="str">
        <x:v>Record Class</x:v>
      </x:c>
      <x:c r="E13" s="1091" t="str">
        <x:v>Registry Status</x:v>
      </x:c>
      <x:c r="F13" s="1091" t="str">
        <x:v>Admission Basis</x:v>
      </x:c>
      <x:c r="G13" s="1091" t="str">
        <x:v>Production Sleeve</x:v>
      </x:c>
      <x:c r="H13" s="1091" t="str">
        <x:v>Approved / Proposed Role</x:v>
      </x:c>
      <x:c r="I13" s="1091" t="str">
        <x:v>Security Type</x:v>
      </x:c>
      <x:c r="J13" s="1091" t="str">
        <x:v>Certified Weight</x:v>
      </x:c>
      <x:c r="K13" s="1091" t="str">
        <x:v>Canonical MIAR ID (Auto)</x:v>
      </x:c>
      <x:c r="L13" s="1091" t="str">
        <x:v>MIAR Record Status (Auto)</x:v>
      </x:c>
      <x:c r="M13" s="1091" t="str">
        <x:v>Research Freshness (Auto)</x:v>
      </x:c>
      <x:c r="N13" s="1091" t="str">
        <x:v>Integrity Score (Auto)</x:v>
      </x:c>
      <x:c r="O13" s="1091" t="str">
        <x:v>MICS Score (Auto)</x:v>
      </x:c>
      <x:c r="P13" s="1091" t="str">
        <x:v>Effective Conviction (Auto)</x:v>
      </x:c>
      <x:c r="Q13" s="1091" t="str">
        <x:v>Thesis Status (Auto)</x:v>
      </x:c>
      <x:c r="R13" s="1091" t="str">
        <x:v>Evidence Records (Auto)</x:v>
      </x:c>
      <x:c r="S13" s="1091" t="str">
        <x:v>Open Evidence Records (Auto)</x:v>
      </x:c>
      <x:c r="T13" s="1091" t="str">
        <x:v>Market Cap ($B) (Input)</x:v>
      </x:c>
      <x:c r="U13" s="1091" t="str">
        <x:v>Zacks Rank (Input)</x:v>
      </x:c>
      <x:c r="V13" s="1091" t="str">
        <x:v>Merrill Status (Input)</x:v>
      </x:c>
      <x:c r="W13" s="1091" t="str">
        <x:v>Empirical Rank (Input)</x:v>
      </x:c>
      <x:c r="X13" s="1091" t="str">
        <x:v>Eligibility Gate (Auto)</x:v>
      </x:c>
      <x:c r="Y13" s="1091" t="str">
        <x:v>Exception Requirement (Auto)</x:v>
      </x:c>
      <x:c r="Z13" s="1091" t="str">
        <x:v>Candidate Pipeline Records (Auto)</x:v>
      </x:c>
      <x:c r="AA13" s="1091" t="str">
        <x:v>Current Candidate Stage (Auto)</x:v>
      </x:c>
      <x:c r="AB13" s="1091" t="str">
        <x:v>Committee Disposition (Input)</x:v>
      </x:c>
      <x:c r="AC13" s="1091" t="str">
        <x:v>PEW Referral State (Auto)</x:v>
      </x:c>
      <x:c r="AD13" s="1091" t="str">
        <x:v>Registry Control Status (Auto)</x:v>
      </x:c>
      <x:c r="AE13" s="1091" t="str">
        <x:v>Required Action (Auto)</x:v>
      </x:c>
      <x:c r="AF13" s="1091" t="str">
        <x:v>Last Committee Review (Input)</x:v>
      </x:c>
      <x:c r="AG13" s="1091" t="str">
        <x:v>Approved / Reviewed By (Input)</x:v>
      </x:c>
      <x:c r="AH13" s="1091" t="str">
        <x:v>Approval / Review Date (Input)</x:v>
      </x:c>
      <x:c r="AI13" s="1091" t="str">
        <x:v>Notes / Source / Exception Rationale (Input)</x:v>
      </x:c>
    </x:row>
    <x:row r="14" ht="32" customHeight="1">
      <x:c r="A14" s="1242"/>
      <x:c r="B14" s="1243" t="str">
        <x:f>INDEX('Certified Allocation'!$B$5:$B$51,ROW()-13)</x:f>
        <x:v>BRK.B</x:v>
      </x:c>
      <x:c r="C14" s="1243" t="str">
        <x:f>INDEX('Certified Allocation'!$C$5:$C$51,ROW()-13)</x:f>
        <x:v>Berkshire Hathaway Inc. Class B</x:v>
      </x:c>
      <x:c r="D14" s="1244" t="str">
        <x:v>Certified Portfolio Holding</x:v>
      </x:c>
      <x:c r="E14" s="1244" t="str">
        <x:v>Active — Certified Holding</x:v>
      </x:c>
      <x:c r="F14" s="1244" t="str">
        <x:v>Certified MFPDF / Founders Edition</x:v>
      </x:c>
      <x:c r="G14" s="1243" t="str">
        <x:f>INDEX('Certified Allocation'!$A$5:$A$51,ROW()-13)</x:f>
        <x:v>Strategic Anchors</x:v>
      </x:c>
      <x:c r="H14" s="1243" t="str">
        <x:f>INDEX('Certified Allocation'!$E$5:$E$51,ROW()-13)</x:f>
        <x:v>Diversified capital-allocation anchor</x:v>
      </x:c>
      <x:c r="I14" s="1243" t="str">
        <x:f>INDEX('Certified Allocation'!$D$5:$D$51,ROW()-13)</x:f>
        <x:v>Equity</x:v>
      </x:c>
      <x:c r="J14" s="1245" t="n">
        <x:f>IF($B14="","",IFERROR(INDEX('Certified Allocation'!$F$5:$F$51,MATCH($B14,'Certified Allocation'!$B$5:$B$51,0)),""))</x:f>
        <x:v>0.0302</x:v>
      </x:c>
      <x:c r="K14" s="1243" t="str">
        <x:f>IF($B14="","",IFERROR(INDEX('20 RCC-003 MIAR Registry'!$A$14:$A$60,MATCH($B14,'20 RCC-003 MIAR Registry'!$B$14:$B$60,0)),""))</x:f>
      </x:c>
      <x:c r="L14" s="1243" t="str">
        <x:f>IF($B14="","",IFERROR(INDEX('20 RCC-003 MIAR Registry'!$M$14:$M$60,MATCH($B14,'20 RCC-003 MIAR Registry'!$B$14:$B$60,0)),""))</x:f>
      </x:c>
      <x:c r="M14" s="1243" t="str">
        <x:f>IF($B14="","",IFERROR(INDEX('20 RCC-003 MIAR Registry'!$Z$14:$Z$60,MATCH($B14,'20 RCC-003 MIAR Registry'!$B$14:$B$60,0)),""))</x:f>
        <x:v>NOT INITIALIZED</x:v>
      </x:c>
      <x:c r="N14" s="1246" t="str">
        <x:f>IF($B14="","",IFERROR(INDEX('20 RCC-003 MIAR Registry'!$K$14:$K$60,MATCH($B14,'20 RCC-003 MIAR Registry'!$B$14:$B$60,0)),""))</x:f>
      </x:c>
      <x:c r="O14" s="1246" t="str">
        <x:f>IF($B14="","",IFERROR(INDEX('20 RCC-003 MIAR Registry'!$L$14:$L$60,MATCH($B14,'20 RCC-003 MIAR Registry'!$B$14:$B$60,0)),""))</x:f>
      </x:c>
      <x:c r="P14" s="1243" t="str">
        <x:f>IF($B14="","",IFERROR(INDEX('20 RCC-003 MIAR Registry'!$I$14:$I$60,MATCH($B14,'20 RCC-003 MIAR Registry'!$B$14:$B$60,0)),""))</x:f>
        <x:v>Unassigned</x:v>
      </x:c>
      <x:c r="Q14" s="1243" t="str">
        <x:f>IF($B14="","",IFERROR(INDEX('20 RCC-003 MIAR Registry'!$J$14:$J$60,MATCH($B14,'20 RCC-003 MIAR Registry'!$B$14:$B$60,0)),""))</x:f>
      </x:c>
      <x:c r="R14" s="1247" t="n">
        <x:f>IF($B14="","",COUNTIF('18 RCC-002 Evidence Ledger'!$E$14:$E$213,$B14))</x:f>
        <x:v>0</x:v>
      </x:c>
      <x:c r="S14" s="1247" t="n">
        <x:f>IF($B14="","",COUNTIFS('18 RCC-002 Evidence Ledger'!$E$14:$E$213,$B14,'18 RCC-002 Evidence Ledger'!$T$14:$T$213,"&lt;&gt;Closed — No Action",'18 RCC-002 Evidence Ledger'!$T$14:$T$213,"&lt;&gt;Closed — Incorporated"))</x:f>
        <x:v>0</x:v>
      </x:c>
      <x:c r="T14" s="1248"/>
      <x:c r="U14" s="1249"/>
      <x:c r="V14" s="1242"/>
      <x:c r="W14" s="1248"/>
      <x:c r="X14" s="1244" t="str">
        <x:f>IF($B14="","",IF($D14="Certified Portfolio Holding","CERTIFIED HOLDING",IF(OR($A14="",$D14="",$E14="",$F14="",$G14="",$H14="",$I14=""),"NOT ASSESSED",IF(OR($K14="",$L14&lt;&gt;"Active",$M14="OVERDUE",$M14="MATERIAL EVENT REVIEW",$N14="",$O14="",$W14=""),"NOT ELIGIBLE",IF(OR(AND($F14="Zacks Election",OR($T14="",$T14&lt;50)),OR($U14=4,$U14=5),$V14="No Rating",$V14="Restricted / Unavailable"),"ELIGIBLE WITH EXCEPTION","ELIGIBLE")))))</x:f>
        <x:v>CERTIFIED HOLDING</x:v>
      </x:c>
      <x:c r="Y14" s="1244" t="str">
        <x:f>IF($B14="","",IF($A14="","Canonical MASR ID required",IF(AND($D14&lt;&gt;"Certified Portfolio Holding",OR($K14="",$L14&lt;&gt;"Active",$M14&lt;&gt;"CURRENT",$N14="",$O14="",$W14="")),"Complete MIAR / scoring / empirical eligibility",IF(AND($F14="Zacks Election",OR($T14="",$T14&lt;50)),"Sub-$50B Zacks election exception",IF(OR($U14=4,$U14=5),"Zacks #4/#5 exception review",IF($V14="No Rating","Merrill No Rating exception",IF($V14="Restricted / Unavailable","Merrill restricted / unavailable exception","None")))))))</x:f>
        <x:v>Canonical MASR ID required</x:v>
      </x:c>
      <x:c r="Z14" s="1250" t="n">
        <x:f>IF($B14="","",COUNTIF('24 RCC-004 Candidate Pipeline'!$C$14:$C$213,$B14))</x:f>
        <x:v>0</x:v>
      </x:c>
      <x:c r="AA14" s="1244" t="str">
        <x:f>IF($B14="","",IFERROR(INDEX('24 RCC-004 Candidate Pipeline'!$Y$14:$Y$213,MATCH($B14,'24 RCC-004 Candidate Pipeline'!$C$14:$C$213,0)),""))</x:f>
      </x:c>
      <x:c r="AB14" s="1242" t="str">
        <x:v>Grandfathered — Certified Holding</x:v>
      </x:c>
      <x:c r="AC14" s="1244" t="str">
        <x:f>IF($B14="","",IF(COUNTIFS('24 RCC-004 Candidate Pipeline'!$C$14:$C$213,$B14,'24 RCC-004 Candidate Pipeline'!$AF$14:$AF$213,"Yes — Refer to PEW-004")&gt;0,"REFERRED — PEW-004",IF($Z14&gt;0,"CANDIDATE RECORD ACTIVE","NO ACTIVE CANDIDATE")))</x:f>
        <x:v>NO ACTIVE CANDIDATE</x:v>
      </x:c>
      <x:c r="AD14" s="1244" t="str">
        <x:f>IF($B14="","",IF($A14="","SETUP REQUIRED",IF(COUNTIF($A$14:$A$163,$A14)&gt;1,"DUPLICATE MASR ID",IF(COUNTIF($B$14:$B$163,$B14)&gt;1,"DUPLICATE TICKER",IF(OR($D14="",$E14="",$F14="",$G14="",$H14="",$I14=""),"INCOMPLETE",IF(OR($K14="",$L14=""),"MIAR SETUP REQUIRED",IF($X14="NOT ELIGIBLE","NOT ELIGIBLE",IF($Y14&lt;&gt;"None","EXCEPTION REVIEW",IF(AND($D14&lt;&gt;"Certified Portfolio Holding",OR($E14="Active — Approved Non-Holding",$E14="Conditional",$E14="Candidate — Committee Review"),OR($AB14="",$AB14="Pending")),"COMMITTEE DISPOSITION REQUIRED",IF(AND(OR($E14="Active — Approved Non-Holding",$E14="Conditional"),OR($AG14="",$AH14="")),"CERTIFICATION REQUIRED",IF(OR($E14="Rejected",$E14="Removed",$E14="Archived"),"INACTIVE / CLOSED","CONTROL CLEAR")))))))))))</x:f>
        <x:v>SETUP REQUIRED</x:v>
      </x:c>
      <x:c r="AE14" s="1244" t="str">
        <x:f>IF($AD14="","",IFERROR(INDEX('97 RCC Lists'!$AK$5:$AK$15,MATCH($AD14,'97 RCC Lists'!$AJ$5:$AJ$15,0)),"Review exception"))</x:f>
        <x:v>Assign canonical MASR ID and complete registry setup</x:v>
      </x:c>
      <x:c r="AF14" s="1251"/>
      <x:c r="AG14" s="1242"/>
      <x:c r="AH14" s="1251"/>
      <x:c r="AI14" s="1242"/>
    </x:row>
    <x:row r="15" ht="32" customHeight="1">
      <x:c r="A15" s="1242"/>
      <x:c r="B15" s="1252" t="str">
        <x:f>INDEX('Certified Allocation'!$B$5:$B$51,ROW()-13)</x:f>
        <x:v>COST</x:v>
      </x:c>
      <x:c r="C15" s="1252" t="str">
        <x:f>INDEX('Certified Allocation'!$C$5:$C$51,ROW()-13)</x:f>
        <x:v>Costco Wholesale Corporation</x:v>
      </x:c>
      <x:c r="D15" s="1253" t="str">
        <x:v>Certified Portfolio Holding</x:v>
      </x:c>
      <x:c r="E15" s="1253" t="str">
        <x:v>Active — Certified Holding</x:v>
      </x:c>
      <x:c r="F15" s="1253" t="str">
        <x:v>Certified MFPDF / Founders Edition</x:v>
      </x:c>
      <x:c r="G15" s="1252" t="str">
        <x:f>INDEX('Certified Allocation'!$A$5:$A$51,ROW()-13)</x:f>
        <x:v>Strategic Anchors</x:v>
      </x:c>
      <x:c r="H15" s="1252" t="str">
        <x:f>INDEX('Certified Allocation'!$E$5:$E$51,ROW()-13)</x:f>
        <x:v>Consumer-resilience anchor</x:v>
      </x:c>
      <x:c r="I15" s="1252" t="str">
        <x:f>INDEX('Certified Allocation'!$D$5:$D$51,ROW()-13)</x:f>
        <x:v>Equity</x:v>
      </x:c>
      <x:c r="J15" s="1254" t="n">
        <x:f>IF($B15="","",IFERROR(INDEX('Certified Allocation'!$F$5:$F$51,MATCH($B15,'Certified Allocation'!$B$5:$B$51,0)),""))</x:f>
        <x:v>0.0302</x:v>
      </x:c>
      <x:c r="K15" s="1252" t="str">
        <x:f>IF($B15="","",IFERROR(INDEX('20 RCC-003 MIAR Registry'!$A$14:$A$60,MATCH($B15,'20 RCC-003 MIAR Registry'!$B$14:$B$60,0)),""))</x:f>
      </x:c>
      <x:c r="L15" s="1252" t="str">
        <x:f>IF($B15="","",IFERROR(INDEX('20 RCC-003 MIAR Registry'!$M$14:$M$60,MATCH($B15,'20 RCC-003 MIAR Registry'!$B$14:$B$60,0)),""))</x:f>
      </x:c>
      <x:c r="M15" s="1252" t="str">
        <x:f>IF($B15="","",IFERROR(INDEX('20 RCC-003 MIAR Registry'!$Z$14:$Z$60,MATCH($B15,'20 RCC-003 MIAR Registry'!$B$14:$B$60,0)),""))</x:f>
        <x:v>NOT INITIALIZED</x:v>
      </x:c>
      <x:c r="N15" s="1255" t="str">
        <x:f>IF($B15="","",IFERROR(INDEX('20 RCC-003 MIAR Registry'!$K$14:$K$60,MATCH($B15,'20 RCC-003 MIAR Registry'!$B$14:$B$60,0)),""))</x:f>
      </x:c>
      <x:c r="O15" s="1255" t="str">
        <x:f>IF($B15="","",IFERROR(INDEX('20 RCC-003 MIAR Registry'!$L$14:$L$60,MATCH($B15,'20 RCC-003 MIAR Registry'!$B$14:$B$60,0)),""))</x:f>
      </x:c>
      <x:c r="P15" s="1252" t="str">
        <x:f>IF($B15="","",IFERROR(INDEX('20 RCC-003 MIAR Registry'!$I$14:$I$60,MATCH($B15,'20 RCC-003 MIAR Registry'!$B$14:$B$60,0)),""))</x:f>
        <x:v>Unassigned</x:v>
      </x:c>
      <x:c r="Q15" s="1252" t="str">
        <x:f>IF($B15="","",IFERROR(INDEX('20 RCC-003 MIAR Registry'!$J$14:$J$60,MATCH($B15,'20 RCC-003 MIAR Registry'!$B$14:$B$60,0)),""))</x:f>
      </x:c>
      <x:c r="R15" s="1256" t="n">
        <x:f>IF($B15="","",COUNTIF('18 RCC-002 Evidence Ledger'!$E$14:$E$213,$B15))</x:f>
        <x:v>0</x:v>
      </x:c>
      <x:c r="S15" s="1256" t="n">
        <x:f>IF($B15="","",COUNTIFS('18 RCC-002 Evidence Ledger'!$E$14:$E$213,$B15,'18 RCC-002 Evidence Ledger'!$T$14:$T$213,"&lt;&gt;Closed — No Action",'18 RCC-002 Evidence Ledger'!$T$14:$T$213,"&lt;&gt;Closed — Incorporated"))</x:f>
        <x:v>0</x:v>
      </x:c>
      <x:c r="T15" s="1248"/>
      <x:c r="U15" s="1249"/>
      <x:c r="V15" s="1242"/>
      <x:c r="W15" s="1248"/>
      <x:c r="X15" s="1253" t="str">
        <x:f>IF($B15="","",IF($D15="Certified Portfolio Holding","CERTIFIED HOLDING",IF(OR($A15="",$D15="",$E15="",$F15="",$G15="",$H15="",$I15=""),"NOT ASSESSED",IF(OR($K15="",$L15&lt;&gt;"Active",$M15="OVERDUE",$M15="MATERIAL EVENT REVIEW",$N15="",$O15="",$W15=""),"NOT ELIGIBLE",IF(OR(AND($F15="Zacks Election",OR($T15="",$T15&lt;50)),OR($U15=4,$U15=5),$V15="No Rating",$V15="Restricted / Unavailable"),"ELIGIBLE WITH EXCEPTION","ELIGIBLE")))))</x:f>
        <x:v>CERTIFIED HOLDING</x:v>
      </x:c>
      <x:c r="Y15" s="1253" t="str">
        <x:f>IF($B15="","",IF($A15="","Canonical MASR ID required",IF(AND($D15&lt;&gt;"Certified Portfolio Holding",OR($K15="",$L15&lt;&gt;"Active",$M15&lt;&gt;"CURRENT",$N15="",$O15="",$W15="")),"Complete MIAR / scoring / empirical eligibility",IF(AND($F15="Zacks Election",OR($T15="",$T15&lt;50)),"Sub-$50B Zacks election exception",IF(OR($U15=4,$U15=5),"Zacks #4/#5 exception review",IF($V15="No Rating","Merrill No Rating exception",IF($V15="Restricted / Unavailable","Merrill restricted / unavailable exception","None")))))))</x:f>
        <x:v>Canonical MASR ID required</x:v>
      </x:c>
      <x:c r="Z15" s="1257" t="n">
        <x:f>IF($B15="","",COUNTIF('24 RCC-004 Candidate Pipeline'!$C$14:$C$213,$B15))</x:f>
        <x:v>0</x:v>
      </x:c>
      <x:c r="AA15" s="1253" t="str">
        <x:f>IF($B15="","",IFERROR(INDEX('24 RCC-004 Candidate Pipeline'!$Y$14:$Y$213,MATCH($B15,'24 RCC-004 Candidate Pipeline'!$C$14:$C$213,0)),""))</x:f>
      </x:c>
      <x:c r="AB15" s="1242" t="str">
        <x:v>Grandfathered — Certified Holding</x:v>
      </x:c>
      <x:c r="AC15" s="1253" t="str">
        <x:f>IF($B15="","",IF(COUNTIFS('24 RCC-004 Candidate Pipeline'!$C$14:$C$213,$B15,'24 RCC-004 Candidate Pipeline'!$AF$14:$AF$213,"Yes — Refer to PEW-004")&gt;0,"REFERRED — PEW-004",IF($Z15&gt;0,"CANDIDATE RECORD ACTIVE","NO ACTIVE CANDIDATE")))</x:f>
        <x:v>NO ACTIVE CANDIDATE</x:v>
      </x:c>
      <x:c r="AD15" s="1253" t="str">
        <x:f>IF($B15="","",IF($A15="","SETUP REQUIRED",IF(COUNTIF($A$14:$A$163,$A15)&gt;1,"DUPLICATE MASR ID",IF(COUNTIF($B$14:$B$163,$B15)&gt;1,"DUPLICATE TICKER",IF(OR($D15="",$E15="",$F15="",$G15="",$H15="",$I15=""),"INCOMPLETE",IF(OR($K15="",$L15=""),"MIAR SETUP REQUIRED",IF($X15="NOT ELIGIBLE","NOT ELIGIBLE",IF($Y15&lt;&gt;"None","EXCEPTION REVIEW",IF(AND($D15&lt;&gt;"Certified Portfolio Holding",OR($E15="Active — Approved Non-Holding",$E15="Conditional",$E15="Candidate — Committee Review"),OR($AB15="",$AB15="Pending")),"COMMITTEE DISPOSITION REQUIRED",IF(AND(OR($E15="Active — Approved Non-Holding",$E15="Conditional"),OR($AG15="",$AH15="")),"CERTIFICATION REQUIRED",IF(OR($E15="Rejected",$E15="Removed",$E15="Archived"),"INACTIVE / CLOSED","CONTROL CLEAR")))))))))))</x:f>
        <x:v>SETUP REQUIRED</x:v>
      </x:c>
      <x:c r="AE15" s="1253" t="str">
        <x:f>IF($AD15="","",IFERROR(INDEX('97 RCC Lists'!$AK$5:$AK$15,MATCH($AD15,'97 RCC Lists'!$AJ$5:$AJ$15,0)),"Review exception"))</x:f>
        <x:v>Assign canonical MASR ID and complete registry setup</x:v>
      </x:c>
      <x:c r="AF15" s="1251"/>
      <x:c r="AG15" s="1242"/>
      <x:c r="AH15" s="1251"/>
      <x:c r="AI15" s="1242"/>
    </x:row>
    <x:row r="16" ht="32" customHeight="1">
      <x:c r="A16" s="1242"/>
      <x:c r="B16" s="1243" t="str">
        <x:f>INDEX('Certified Allocation'!$B$5:$B$51,ROW()-13)</x:f>
        <x:v>JNJ</x:v>
      </x:c>
      <x:c r="C16" s="1243" t="str">
        <x:f>INDEX('Certified Allocation'!$C$5:$C$51,ROW()-13)</x:f>
        <x:v>Johnson &amp; Johnson</x:v>
      </x:c>
      <x:c r="D16" s="1244" t="str">
        <x:v>Certified Portfolio Holding</x:v>
      </x:c>
      <x:c r="E16" s="1244" t="str">
        <x:v>Active — Certified Holding</x:v>
      </x:c>
      <x:c r="F16" s="1244" t="str">
        <x:v>Certified MFPDF / Founders Edition</x:v>
      </x:c>
      <x:c r="G16" s="1243" t="str">
        <x:f>INDEX('Certified Allocation'!$A$5:$A$51,ROW()-13)</x:f>
        <x:v>Strategic Anchors</x:v>
      </x:c>
      <x:c r="H16" s="1243" t="str">
        <x:f>INDEX('Certified Allocation'!$E$5:$E$51,ROW()-13)</x:f>
        <x:v>Healthcare and life-sciences resilience anchor</x:v>
      </x:c>
      <x:c r="I16" s="1243" t="str">
        <x:f>INDEX('Certified Allocation'!$D$5:$D$51,ROW()-13)</x:f>
        <x:v>Equity</x:v>
      </x:c>
      <x:c r="J16" s="1245" t="n">
        <x:f>IF($B16="","",IFERROR(INDEX('Certified Allocation'!$F$5:$F$51,MATCH($B16,'Certified Allocation'!$B$5:$B$51,0)),""))</x:f>
        <x:v>0.0302</x:v>
      </x:c>
      <x:c r="K16" s="1243" t="str">
        <x:f>IF($B16="","",IFERROR(INDEX('20 RCC-003 MIAR Registry'!$A$14:$A$60,MATCH($B16,'20 RCC-003 MIAR Registry'!$B$14:$B$60,0)),""))</x:f>
      </x:c>
      <x:c r="L16" s="1243" t="str">
        <x:f>IF($B16="","",IFERROR(INDEX('20 RCC-003 MIAR Registry'!$M$14:$M$60,MATCH($B16,'20 RCC-003 MIAR Registry'!$B$14:$B$60,0)),""))</x:f>
      </x:c>
      <x:c r="M16" s="1243" t="str">
        <x:f>IF($B16="","",IFERROR(INDEX('20 RCC-003 MIAR Registry'!$Z$14:$Z$60,MATCH($B16,'20 RCC-003 MIAR Registry'!$B$14:$B$60,0)),""))</x:f>
        <x:v>NOT INITIALIZED</x:v>
      </x:c>
      <x:c r="N16" s="1246" t="str">
        <x:f>IF($B16="","",IFERROR(INDEX('20 RCC-003 MIAR Registry'!$K$14:$K$60,MATCH($B16,'20 RCC-003 MIAR Registry'!$B$14:$B$60,0)),""))</x:f>
      </x:c>
      <x:c r="O16" s="1246" t="str">
        <x:f>IF($B16="","",IFERROR(INDEX('20 RCC-003 MIAR Registry'!$L$14:$L$60,MATCH($B16,'20 RCC-003 MIAR Registry'!$B$14:$B$60,0)),""))</x:f>
      </x:c>
      <x:c r="P16" s="1243" t="str">
        <x:f>IF($B16="","",IFERROR(INDEX('20 RCC-003 MIAR Registry'!$I$14:$I$60,MATCH($B16,'20 RCC-003 MIAR Registry'!$B$14:$B$60,0)),""))</x:f>
        <x:v>Unassigned</x:v>
      </x:c>
      <x:c r="Q16" s="1243" t="str">
        <x:f>IF($B16="","",IFERROR(INDEX('20 RCC-003 MIAR Registry'!$J$14:$J$60,MATCH($B16,'20 RCC-003 MIAR Registry'!$B$14:$B$60,0)),""))</x:f>
      </x:c>
      <x:c r="R16" s="1247" t="n">
        <x:f>IF($B16="","",COUNTIF('18 RCC-002 Evidence Ledger'!$E$14:$E$213,$B16))</x:f>
        <x:v>0</x:v>
      </x:c>
      <x:c r="S16" s="1247" t="n">
        <x:f>IF($B16="","",COUNTIFS('18 RCC-002 Evidence Ledger'!$E$14:$E$213,$B16,'18 RCC-002 Evidence Ledger'!$T$14:$T$213,"&lt;&gt;Closed — No Action",'18 RCC-002 Evidence Ledger'!$T$14:$T$213,"&lt;&gt;Closed — Incorporated"))</x:f>
        <x:v>0</x:v>
      </x:c>
      <x:c r="T16" s="1248"/>
      <x:c r="U16" s="1249"/>
      <x:c r="V16" s="1242"/>
      <x:c r="W16" s="1248"/>
      <x:c r="X16" s="1244" t="str">
        <x:f>IF($B16="","",IF($D16="Certified Portfolio Holding","CERTIFIED HOLDING",IF(OR($A16="",$D16="",$E16="",$F16="",$G16="",$H16="",$I16=""),"NOT ASSESSED",IF(OR($K16="",$L16&lt;&gt;"Active",$M16="OVERDUE",$M16="MATERIAL EVENT REVIEW",$N16="",$O16="",$W16=""),"NOT ELIGIBLE",IF(OR(AND($F16="Zacks Election",OR($T16="",$T16&lt;50)),OR($U16=4,$U16=5),$V16="No Rating",$V16="Restricted / Unavailable"),"ELIGIBLE WITH EXCEPTION","ELIGIBLE")))))</x:f>
        <x:v>CERTIFIED HOLDING</x:v>
      </x:c>
      <x:c r="Y16" s="1244" t="str">
        <x:f>IF($B16="","",IF($A16="","Canonical MASR ID required",IF(AND($D16&lt;&gt;"Certified Portfolio Holding",OR($K16="",$L16&lt;&gt;"Active",$M16&lt;&gt;"CURRENT",$N16="",$O16="",$W16="")),"Complete MIAR / scoring / empirical eligibility",IF(AND($F16="Zacks Election",OR($T16="",$T16&lt;50)),"Sub-$50B Zacks election exception",IF(OR($U16=4,$U16=5),"Zacks #4/#5 exception review",IF($V16="No Rating","Merrill No Rating exception",IF($V16="Restricted / Unavailable","Merrill restricted / unavailable exception","None")))))))</x:f>
        <x:v>Canonical MASR ID required</x:v>
      </x:c>
      <x:c r="Z16" s="1250" t="n">
        <x:f>IF($B16="","",COUNTIF('24 RCC-004 Candidate Pipeline'!$C$14:$C$213,$B16))</x:f>
        <x:v>0</x:v>
      </x:c>
      <x:c r="AA16" s="1244" t="str">
        <x:f>IF($B16="","",IFERROR(INDEX('24 RCC-004 Candidate Pipeline'!$Y$14:$Y$213,MATCH($B16,'24 RCC-004 Candidate Pipeline'!$C$14:$C$213,0)),""))</x:f>
      </x:c>
      <x:c r="AB16" s="1242" t="str">
        <x:v>Grandfathered — Certified Holding</x:v>
      </x:c>
      <x:c r="AC16" s="1244" t="str">
        <x:f>IF($B16="","",IF(COUNTIFS('24 RCC-004 Candidate Pipeline'!$C$14:$C$213,$B16,'24 RCC-004 Candidate Pipeline'!$AF$14:$AF$213,"Yes — Refer to PEW-004")&gt;0,"REFERRED — PEW-004",IF($Z16&gt;0,"CANDIDATE RECORD ACTIVE","NO ACTIVE CANDIDATE")))</x:f>
        <x:v>NO ACTIVE CANDIDATE</x:v>
      </x:c>
      <x:c r="AD16" s="1244" t="str">
        <x:f>IF($B16="","",IF($A16="","SETUP REQUIRED",IF(COUNTIF($A$14:$A$163,$A16)&gt;1,"DUPLICATE MASR ID",IF(COUNTIF($B$14:$B$163,$B16)&gt;1,"DUPLICATE TICKER",IF(OR($D16="",$E16="",$F16="",$G16="",$H16="",$I16=""),"INCOMPLETE",IF(OR($K16="",$L16=""),"MIAR SETUP REQUIRED",IF($X16="NOT ELIGIBLE","NOT ELIGIBLE",IF($Y16&lt;&gt;"None","EXCEPTION REVIEW",IF(AND($D16&lt;&gt;"Certified Portfolio Holding",OR($E16="Active — Approved Non-Holding",$E16="Conditional",$E16="Candidate — Committee Review"),OR($AB16="",$AB16="Pending")),"COMMITTEE DISPOSITION REQUIRED",IF(AND(OR($E16="Active — Approved Non-Holding",$E16="Conditional"),OR($AG16="",$AH16="")),"CERTIFICATION REQUIRED",IF(OR($E16="Rejected",$E16="Removed",$E16="Archived"),"INACTIVE / CLOSED","CONTROL CLEAR")))))))))))</x:f>
        <x:v>SETUP REQUIRED</x:v>
      </x:c>
      <x:c r="AE16" s="1244" t="str">
        <x:f>IF($AD16="","",IFERROR(INDEX('97 RCC Lists'!$AK$5:$AK$15,MATCH($AD16,'97 RCC Lists'!$AJ$5:$AJ$15,0)),"Review exception"))</x:f>
        <x:v>Assign canonical MASR ID and complete registry setup</x:v>
      </x:c>
      <x:c r="AF16" s="1251"/>
      <x:c r="AG16" s="1242"/>
      <x:c r="AH16" s="1251"/>
      <x:c r="AI16" s="1242"/>
    </x:row>
    <x:row r="17" ht="32" customHeight="1">
      <x:c r="A17" s="1242"/>
      <x:c r="B17" s="1252" t="str">
        <x:f>INDEX('Certified Allocation'!$B$5:$B$51,ROW()-13)</x:f>
        <x:v>MSFT</x:v>
      </x:c>
      <x:c r="C17" s="1252" t="str">
        <x:f>INDEX('Certified Allocation'!$C$5:$C$51,ROW()-13)</x:f>
        <x:v>Microsoft Corporation</x:v>
      </x:c>
      <x:c r="D17" s="1253" t="str">
        <x:v>Certified Portfolio Holding</x:v>
      </x:c>
      <x:c r="E17" s="1253" t="str">
        <x:v>Active — Certified Holding</x:v>
      </x:c>
      <x:c r="F17" s="1253" t="str">
        <x:v>Certified MFPDF / Founders Edition</x:v>
      </x:c>
      <x:c r="G17" s="1252" t="str">
        <x:f>INDEX('Certified Allocation'!$A$5:$A$51,ROW()-13)</x:f>
        <x:v>Strategic Anchors</x:v>
      </x:c>
      <x:c r="H17" s="1252" t="str">
        <x:f>INDEX('Certified Allocation'!$E$5:$E$51,ROW()-13)</x:f>
        <x:v>Enterprise technology and AI platform anchor</x:v>
      </x:c>
      <x:c r="I17" s="1252" t="str">
        <x:f>INDEX('Certified Allocation'!$D$5:$D$51,ROW()-13)</x:f>
        <x:v>Equity</x:v>
      </x:c>
      <x:c r="J17" s="1254" t="n">
        <x:f>IF($B17="","",IFERROR(INDEX('Certified Allocation'!$F$5:$F$51,MATCH($B17,'Certified Allocation'!$B$5:$B$51,0)),""))</x:f>
        <x:v>0.0302</x:v>
      </x:c>
      <x:c r="K17" s="1252" t="str">
        <x:f>IF($B17="","",IFERROR(INDEX('20 RCC-003 MIAR Registry'!$A$14:$A$60,MATCH($B17,'20 RCC-003 MIAR Registry'!$B$14:$B$60,0)),""))</x:f>
      </x:c>
      <x:c r="L17" s="1252" t="str">
        <x:f>IF($B17="","",IFERROR(INDEX('20 RCC-003 MIAR Registry'!$M$14:$M$60,MATCH($B17,'20 RCC-003 MIAR Registry'!$B$14:$B$60,0)),""))</x:f>
      </x:c>
      <x:c r="M17" s="1252" t="str">
        <x:f>IF($B17="","",IFERROR(INDEX('20 RCC-003 MIAR Registry'!$Z$14:$Z$60,MATCH($B17,'20 RCC-003 MIAR Registry'!$B$14:$B$60,0)),""))</x:f>
        <x:v>NOT INITIALIZED</x:v>
      </x:c>
      <x:c r="N17" s="1255" t="str">
        <x:f>IF($B17="","",IFERROR(INDEX('20 RCC-003 MIAR Registry'!$K$14:$K$60,MATCH($B17,'20 RCC-003 MIAR Registry'!$B$14:$B$60,0)),""))</x:f>
      </x:c>
      <x:c r="O17" s="1255" t="str">
        <x:f>IF($B17="","",IFERROR(INDEX('20 RCC-003 MIAR Registry'!$L$14:$L$60,MATCH($B17,'20 RCC-003 MIAR Registry'!$B$14:$B$60,0)),""))</x:f>
      </x:c>
      <x:c r="P17" s="1252" t="str">
        <x:f>IF($B17="","",IFERROR(INDEX('20 RCC-003 MIAR Registry'!$I$14:$I$60,MATCH($B17,'20 RCC-003 MIAR Registry'!$B$14:$B$60,0)),""))</x:f>
        <x:v>Unassigned</x:v>
      </x:c>
      <x:c r="Q17" s="1252" t="str">
        <x:f>IF($B17="","",IFERROR(INDEX('20 RCC-003 MIAR Registry'!$J$14:$J$60,MATCH($B17,'20 RCC-003 MIAR Registry'!$B$14:$B$60,0)),""))</x:f>
      </x:c>
      <x:c r="R17" s="1256" t="n">
        <x:f>IF($B17="","",COUNTIF('18 RCC-002 Evidence Ledger'!$E$14:$E$213,$B17))</x:f>
        <x:v>0</x:v>
      </x:c>
      <x:c r="S17" s="1256" t="n">
        <x:f>IF($B17="","",COUNTIFS('18 RCC-002 Evidence Ledger'!$E$14:$E$213,$B17,'18 RCC-002 Evidence Ledger'!$T$14:$T$213,"&lt;&gt;Closed — No Action",'18 RCC-002 Evidence Ledger'!$T$14:$T$213,"&lt;&gt;Closed — Incorporated"))</x:f>
        <x:v>0</x:v>
      </x:c>
      <x:c r="T17" s="1248"/>
      <x:c r="U17" s="1249"/>
      <x:c r="V17" s="1242"/>
      <x:c r="W17" s="1248"/>
      <x:c r="X17" s="1253" t="str">
        <x:f>IF($B17="","",IF($D17="Certified Portfolio Holding","CERTIFIED HOLDING",IF(OR($A17="",$D17="",$E17="",$F17="",$G17="",$H17="",$I17=""),"NOT ASSESSED",IF(OR($K17="",$L17&lt;&gt;"Active",$M17="OVERDUE",$M17="MATERIAL EVENT REVIEW",$N17="",$O17="",$W17=""),"NOT ELIGIBLE",IF(OR(AND($F17="Zacks Election",OR($T17="",$T17&lt;50)),OR($U17=4,$U17=5),$V17="No Rating",$V17="Restricted / Unavailable"),"ELIGIBLE WITH EXCEPTION","ELIGIBLE")))))</x:f>
        <x:v>CERTIFIED HOLDING</x:v>
      </x:c>
      <x:c r="Y17" s="1253" t="str">
        <x:f>IF($B17="","",IF($A17="","Canonical MASR ID required",IF(AND($D17&lt;&gt;"Certified Portfolio Holding",OR($K17="",$L17&lt;&gt;"Active",$M17&lt;&gt;"CURRENT",$N17="",$O17="",$W17="")),"Complete MIAR / scoring / empirical eligibility",IF(AND($F17="Zacks Election",OR($T17="",$T17&lt;50)),"Sub-$50B Zacks election exception",IF(OR($U17=4,$U17=5),"Zacks #4/#5 exception review",IF($V17="No Rating","Merrill No Rating exception",IF($V17="Restricted / Unavailable","Merrill restricted / unavailable exception","None")))))))</x:f>
        <x:v>Canonical MASR ID required</x:v>
      </x:c>
      <x:c r="Z17" s="1257" t="n">
        <x:f>IF($B17="","",COUNTIF('24 RCC-004 Candidate Pipeline'!$C$14:$C$213,$B17))</x:f>
        <x:v>0</x:v>
      </x:c>
      <x:c r="AA17" s="1253" t="str">
        <x:f>IF($B17="","",IFERROR(INDEX('24 RCC-004 Candidate Pipeline'!$Y$14:$Y$213,MATCH($B17,'24 RCC-004 Candidate Pipeline'!$C$14:$C$213,0)),""))</x:f>
      </x:c>
      <x:c r="AB17" s="1242" t="str">
        <x:v>Grandfathered — Certified Holding</x:v>
      </x:c>
      <x:c r="AC17" s="1253" t="str">
        <x:f>IF($B17="","",IF(COUNTIFS('24 RCC-004 Candidate Pipeline'!$C$14:$C$213,$B17,'24 RCC-004 Candidate Pipeline'!$AF$14:$AF$213,"Yes — Refer to PEW-004")&gt;0,"REFERRED — PEW-004",IF($Z17&gt;0,"CANDIDATE RECORD ACTIVE","NO ACTIVE CANDIDATE")))</x:f>
        <x:v>NO ACTIVE CANDIDATE</x:v>
      </x:c>
      <x:c r="AD17" s="1253" t="str">
        <x:f>IF($B17="","",IF($A17="","SETUP REQUIRED",IF(COUNTIF($A$14:$A$163,$A17)&gt;1,"DUPLICATE MASR ID",IF(COUNTIF($B$14:$B$163,$B17)&gt;1,"DUPLICATE TICKER",IF(OR($D17="",$E17="",$F17="",$G17="",$H17="",$I17=""),"INCOMPLETE",IF(OR($K17="",$L17=""),"MIAR SETUP REQUIRED",IF($X17="NOT ELIGIBLE","NOT ELIGIBLE",IF($Y17&lt;&gt;"None","EXCEPTION REVIEW",IF(AND($D17&lt;&gt;"Certified Portfolio Holding",OR($E17="Active — Approved Non-Holding",$E17="Conditional",$E17="Candidate — Committee Review"),OR($AB17="",$AB17="Pending")),"COMMITTEE DISPOSITION REQUIRED",IF(AND(OR($E17="Active — Approved Non-Holding",$E17="Conditional"),OR($AG17="",$AH17="")),"CERTIFICATION REQUIRED",IF(OR($E17="Rejected",$E17="Removed",$E17="Archived"),"INACTIVE / CLOSED","CONTROL CLEAR")))))))))))</x:f>
        <x:v>SETUP REQUIRED</x:v>
      </x:c>
      <x:c r="AE17" s="1253" t="str">
        <x:f>IF($AD17="","",IFERROR(INDEX('97 RCC Lists'!$AK$5:$AK$15,MATCH($AD17,'97 RCC Lists'!$AJ$5:$AJ$15,0)),"Review exception"))</x:f>
        <x:v>Assign canonical MASR ID and complete registry setup</x:v>
      </x:c>
      <x:c r="AF17" s="1251"/>
      <x:c r="AG17" s="1242"/>
      <x:c r="AH17" s="1251"/>
      <x:c r="AI17" s="1242"/>
    </x:row>
    <x:row r="18" ht="32" customHeight="1">
      <x:c r="A18" s="1242"/>
      <x:c r="B18" s="1243" t="str">
        <x:f>INDEX('Certified Allocation'!$B$5:$B$51,ROW()-13)</x:f>
        <x:v>V</x:v>
      </x:c>
      <x:c r="C18" s="1243" t="str">
        <x:f>INDEX('Certified Allocation'!$C$5:$C$51,ROW()-13)</x:f>
        <x:v>Visa Inc.</x:v>
      </x:c>
      <x:c r="D18" s="1244" t="str">
        <x:v>Certified Portfolio Holding</x:v>
      </x:c>
      <x:c r="E18" s="1244" t="str">
        <x:v>Active — Certified Holding</x:v>
      </x:c>
      <x:c r="F18" s="1244" t="str">
        <x:v>Certified MFPDF / Founders Edition</x:v>
      </x:c>
      <x:c r="G18" s="1243" t="str">
        <x:f>INDEX('Certified Allocation'!$A$5:$A$51,ROW()-13)</x:f>
        <x:v>Strategic Anchors</x:v>
      </x:c>
      <x:c r="H18" s="1243" t="str">
        <x:f>INDEX('Certified Allocation'!$E$5:$E$51,ROW()-13)</x:f>
        <x:v>Global payments infrastructure anchor</x:v>
      </x:c>
      <x:c r="I18" s="1243" t="str">
        <x:f>INDEX('Certified Allocation'!$D$5:$D$51,ROW()-13)</x:f>
        <x:v>Equity</x:v>
      </x:c>
      <x:c r="J18" s="1245" t="n">
        <x:f>IF($B18="","",IFERROR(INDEX('Certified Allocation'!$F$5:$F$51,MATCH($B18,'Certified Allocation'!$B$5:$B$51,0)),""))</x:f>
        <x:v>0.0288</x:v>
      </x:c>
      <x:c r="K18" s="1243" t="str">
        <x:f>IF($B18="","",IFERROR(INDEX('20 RCC-003 MIAR Registry'!$A$14:$A$60,MATCH($B18,'20 RCC-003 MIAR Registry'!$B$14:$B$60,0)),""))</x:f>
      </x:c>
      <x:c r="L18" s="1243" t="str">
        <x:f>IF($B18="","",IFERROR(INDEX('20 RCC-003 MIAR Registry'!$M$14:$M$60,MATCH($B18,'20 RCC-003 MIAR Registry'!$B$14:$B$60,0)),""))</x:f>
      </x:c>
      <x:c r="M18" s="1243" t="str">
        <x:f>IF($B18="","",IFERROR(INDEX('20 RCC-003 MIAR Registry'!$Z$14:$Z$60,MATCH($B18,'20 RCC-003 MIAR Registry'!$B$14:$B$60,0)),""))</x:f>
        <x:v>NOT INITIALIZED</x:v>
      </x:c>
      <x:c r="N18" s="1246" t="str">
        <x:f>IF($B18="","",IFERROR(INDEX('20 RCC-003 MIAR Registry'!$K$14:$K$60,MATCH($B18,'20 RCC-003 MIAR Registry'!$B$14:$B$60,0)),""))</x:f>
      </x:c>
      <x:c r="O18" s="1246" t="str">
        <x:f>IF($B18="","",IFERROR(INDEX('20 RCC-003 MIAR Registry'!$L$14:$L$60,MATCH($B18,'20 RCC-003 MIAR Registry'!$B$14:$B$60,0)),""))</x:f>
      </x:c>
      <x:c r="P18" s="1243" t="str">
        <x:f>IF($B18="","",IFERROR(INDEX('20 RCC-003 MIAR Registry'!$I$14:$I$60,MATCH($B18,'20 RCC-003 MIAR Registry'!$B$14:$B$60,0)),""))</x:f>
        <x:v>Unassigned</x:v>
      </x:c>
      <x:c r="Q18" s="1243" t="str">
        <x:f>IF($B18="","",IFERROR(INDEX('20 RCC-003 MIAR Registry'!$J$14:$J$60,MATCH($B18,'20 RCC-003 MIAR Registry'!$B$14:$B$60,0)),""))</x:f>
      </x:c>
      <x:c r="R18" s="1247" t="n">
        <x:f>IF($B18="","",COUNTIF('18 RCC-002 Evidence Ledger'!$E$14:$E$213,$B18))</x:f>
        <x:v>0</x:v>
      </x:c>
      <x:c r="S18" s="1247" t="n">
        <x:f>IF($B18="","",COUNTIFS('18 RCC-002 Evidence Ledger'!$E$14:$E$213,$B18,'18 RCC-002 Evidence Ledger'!$T$14:$T$213,"&lt;&gt;Closed — No Action",'18 RCC-002 Evidence Ledger'!$T$14:$T$213,"&lt;&gt;Closed — Incorporated"))</x:f>
        <x:v>0</x:v>
      </x:c>
      <x:c r="T18" s="1248"/>
      <x:c r="U18" s="1249"/>
      <x:c r="V18" s="1242"/>
      <x:c r="W18" s="1248"/>
      <x:c r="X18" s="1244" t="str">
        <x:f>IF($B18="","",IF($D18="Certified Portfolio Holding","CERTIFIED HOLDING",IF(OR($A18="",$D18="",$E18="",$F18="",$G18="",$H18="",$I18=""),"NOT ASSESSED",IF(OR($K18="",$L18&lt;&gt;"Active",$M18="OVERDUE",$M18="MATERIAL EVENT REVIEW",$N18="",$O18="",$W18=""),"NOT ELIGIBLE",IF(OR(AND($F18="Zacks Election",OR($T18="",$T18&lt;50)),OR($U18=4,$U18=5),$V18="No Rating",$V18="Restricted / Unavailable"),"ELIGIBLE WITH EXCEPTION","ELIGIBLE")))))</x:f>
        <x:v>CERTIFIED HOLDING</x:v>
      </x:c>
      <x:c r="Y18" s="1244" t="str">
        <x:f>IF($B18="","",IF($A18="","Canonical MASR ID required",IF(AND($D18&lt;&gt;"Certified Portfolio Holding",OR($K18="",$L18&lt;&gt;"Active",$M18&lt;&gt;"CURRENT",$N18="",$O18="",$W18="")),"Complete MIAR / scoring / empirical eligibility",IF(AND($F18="Zacks Election",OR($T18="",$T18&lt;50)),"Sub-$50B Zacks election exception",IF(OR($U18=4,$U18=5),"Zacks #4/#5 exception review",IF($V18="No Rating","Merrill No Rating exception",IF($V18="Restricted / Unavailable","Merrill restricted / unavailable exception","None")))))))</x:f>
        <x:v>Canonical MASR ID required</x:v>
      </x:c>
      <x:c r="Z18" s="1250" t="n">
        <x:f>IF($B18="","",COUNTIF('24 RCC-004 Candidate Pipeline'!$C$14:$C$213,$B18))</x:f>
        <x:v>0</x:v>
      </x:c>
      <x:c r="AA18" s="1244" t="str">
        <x:f>IF($B18="","",IFERROR(INDEX('24 RCC-004 Candidate Pipeline'!$Y$14:$Y$213,MATCH($B18,'24 RCC-004 Candidate Pipeline'!$C$14:$C$213,0)),""))</x:f>
      </x:c>
      <x:c r="AB18" s="1242" t="str">
        <x:v>Grandfathered — Certified Holding</x:v>
      </x:c>
      <x:c r="AC18" s="1244" t="str">
        <x:f>IF($B18="","",IF(COUNTIFS('24 RCC-004 Candidate Pipeline'!$C$14:$C$213,$B18,'24 RCC-004 Candidate Pipeline'!$AF$14:$AF$213,"Yes — Refer to PEW-004")&gt;0,"REFERRED — PEW-004",IF($Z18&gt;0,"CANDIDATE RECORD ACTIVE","NO ACTIVE CANDIDATE")))</x:f>
        <x:v>NO ACTIVE CANDIDATE</x:v>
      </x:c>
      <x:c r="AD18" s="1244" t="str">
        <x:f>IF($B18="","",IF($A18="","SETUP REQUIRED",IF(COUNTIF($A$14:$A$163,$A18)&gt;1,"DUPLICATE MASR ID",IF(COUNTIF($B$14:$B$163,$B18)&gt;1,"DUPLICATE TICKER",IF(OR($D18="",$E18="",$F18="",$G18="",$H18="",$I18=""),"INCOMPLETE",IF(OR($K18="",$L18=""),"MIAR SETUP REQUIRED",IF($X18="NOT ELIGIBLE","NOT ELIGIBLE",IF($Y18&lt;&gt;"None","EXCEPTION REVIEW",IF(AND($D18&lt;&gt;"Certified Portfolio Holding",OR($E18="Active — Approved Non-Holding",$E18="Conditional",$E18="Candidate — Committee Review"),OR($AB18="",$AB18="Pending")),"COMMITTEE DISPOSITION REQUIRED",IF(AND(OR($E18="Active — Approved Non-Holding",$E18="Conditional"),OR($AG18="",$AH18="")),"CERTIFICATION REQUIRED",IF(OR($E18="Rejected",$E18="Removed",$E18="Archived"),"INACTIVE / CLOSED","CONTROL CLEAR")))))))))))</x:f>
        <x:v>SETUP REQUIRED</x:v>
      </x:c>
      <x:c r="AE18" s="1244" t="str">
        <x:f>IF($AD18="","",IFERROR(INDEX('97 RCC Lists'!$AK$5:$AK$15,MATCH($AD18,'97 RCC Lists'!$AJ$5:$AJ$15,0)),"Review exception"))</x:f>
        <x:v>Assign canonical MASR ID and complete registry setup</x:v>
      </x:c>
      <x:c r="AF18" s="1251"/>
      <x:c r="AG18" s="1242"/>
      <x:c r="AH18" s="1251"/>
      <x:c r="AI18" s="1242"/>
    </x:row>
    <x:row r="19" ht="32" customHeight="1">
      <x:c r="A19" s="1242"/>
      <x:c r="B19" s="1252" t="str">
        <x:f>INDEX('Certified Allocation'!$B$5:$B$51,ROW()-13)</x:f>
        <x:v>GOOGL</x:v>
      </x:c>
      <x:c r="C19" s="1252" t="str">
        <x:f>INDEX('Certified Allocation'!$C$5:$C$51,ROW()-13)</x:f>
        <x:v>Alphabet Inc. Class A</x:v>
      </x:c>
      <x:c r="D19" s="1253" t="str">
        <x:v>Certified Portfolio Holding</x:v>
      </x:c>
      <x:c r="E19" s="1253" t="str">
        <x:v>Active — Certified Holding</x:v>
      </x:c>
      <x:c r="F19" s="1253" t="str">
        <x:v>Certified MFPDF / Founders Edition</x:v>
      </x:c>
      <x:c r="G19" s="1252" t="str">
        <x:f>INDEX('Certified Allocation'!$A$5:$A$51,ROW()-13)</x:f>
        <x:v>Strategic Anchors</x:v>
      </x:c>
      <x:c r="H19" s="1252" t="str">
        <x:f>INDEX('Certified Allocation'!$E$5:$E$51,ROW()-13)</x:f>
        <x:v>Digital platform and AI anchor</x:v>
      </x:c>
      <x:c r="I19" s="1252" t="str">
        <x:f>INDEX('Certified Allocation'!$D$5:$D$51,ROW()-13)</x:f>
        <x:v>Equity</x:v>
      </x:c>
      <x:c r="J19" s="1254" t="n">
        <x:f>IF($B19="","",IFERROR(INDEX('Certified Allocation'!$F$5:$F$51,MATCH($B19,'Certified Allocation'!$B$5:$B$51,0)),""))</x:f>
        <x:v>0.0284</x:v>
      </x:c>
      <x:c r="K19" s="1252" t="str">
        <x:f>IF($B19="","",IFERROR(INDEX('20 RCC-003 MIAR Registry'!$A$14:$A$60,MATCH($B19,'20 RCC-003 MIAR Registry'!$B$14:$B$60,0)),""))</x:f>
      </x:c>
      <x:c r="L19" s="1252" t="str">
        <x:f>IF($B19="","",IFERROR(INDEX('20 RCC-003 MIAR Registry'!$M$14:$M$60,MATCH($B19,'20 RCC-003 MIAR Registry'!$B$14:$B$60,0)),""))</x:f>
      </x:c>
      <x:c r="M19" s="1252" t="str">
        <x:f>IF($B19="","",IFERROR(INDEX('20 RCC-003 MIAR Registry'!$Z$14:$Z$60,MATCH($B19,'20 RCC-003 MIAR Registry'!$B$14:$B$60,0)),""))</x:f>
        <x:v>NOT INITIALIZED</x:v>
      </x:c>
      <x:c r="N19" s="1255" t="str">
        <x:f>IF($B19="","",IFERROR(INDEX('20 RCC-003 MIAR Registry'!$K$14:$K$60,MATCH($B19,'20 RCC-003 MIAR Registry'!$B$14:$B$60,0)),""))</x:f>
      </x:c>
      <x:c r="O19" s="1255" t="str">
        <x:f>IF($B19="","",IFERROR(INDEX('20 RCC-003 MIAR Registry'!$L$14:$L$60,MATCH($B19,'20 RCC-003 MIAR Registry'!$B$14:$B$60,0)),""))</x:f>
      </x:c>
      <x:c r="P19" s="1252" t="str">
        <x:f>IF($B19="","",IFERROR(INDEX('20 RCC-003 MIAR Registry'!$I$14:$I$60,MATCH($B19,'20 RCC-003 MIAR Registry'!$B$14:$B$60,0)),""))</x:f>
        <x:v>Unassigned</x:v>
      </x:c>
      <x:c r="Q19" s="1252" t="str">
        <x:f>IF($B19="","",IFERROR(INDEX('20 RCC-003 MIAR Registry'!$J$14:$J$60,MATCH($B19,'20 RCC-003 MIAR Registry'!$B$14:$B$60,0)),""))</x:f>
      </x:c>
      <x:c r="R19" s="1256" t="n">
        <x:f>IF($B19="","",COUNTIF('18 RCC-002 Evidence Ledger'!$E$14:$E$213,$B19))</x:f>
        <x:v>0</x:v>
      </x:c>
      <x:c r="S19" s="1256" t="n">
        <x:f>IF($B19="","",COUNTIFS('18 RCC-002 Evidence Ledger'!$E$14:$E$213,$B19,'18 RCC-002 Evidence Ledger'!$T$14:$T$213,"&lt;&gt;Closed — No Action",'18 RCC-002 Evidence Ledger'!$T$14:$T$213,"&lt;&gt;Closed — Incorporated"))</x:f>
        <x:v>0</x:v>
      </x:c>
      <x:c r="T19" s="1248"/>
      <x:c r="U19" s="1249"/>
      <x:c r="V19" s="1242"/>
      <x:c r="W19" s="1248"/>
      <x:c r="X19" s="1253" t="str">
        <x:f>IF($B19="","",IF($D19="Certified Portfolio Holding","CERTIFIED HOLDING",IF(OR($A19="",$D19="",$E19="",$F19="",$G19="",$H19="",$I19=""),"NOT ASSESSED",IF(OR($K19="",$L19&lt;&gt;"Active",$M19="OVERDUE",$M19="MATERIAL EVENT REVIEW",$N19="",$O19="",$W19=""),"NOT ELIGIBLE",IF(OR(AND($F19="Zacks Election",OR($T19="",$T19&lt;50)),OR($U19=4,$U19=5),$V19="No Rating",$V19="Restricted / Unavailable"),"ELIGIBLE WITH EXCEPTION","ELIGIBLE")))))</x:f>
        <x:v>CERTIFIED HOLDING</x:v>
      </x:c>
      <x:c r="Y19" s="1253" t="str">
        <x:f>IF($B19="","",IF($A19="","Canonical MASR ID required",IF(AND($D19&lt;&gt;"Certified Portfolio Holding",OR($K19="",$L19&lt;&gt;"Active",$M19&lt;&gt;"CURRENT",$N19="",$O19="",$W19="")),"Complete MIAR / scoring / empirical eligibility",IF(AND($F19="Zacks Election",OR($T19="",$T19&lt;50)),"Sub-$50B Zacks election exception",IF(OR($U19=4,$U19=5),"Zacks #4/#5 exception review",IF($V19="No Rating","Merrill No Rating exception",IF($V19="Restricted / Unavailable","Merrill restricted / unavailable exception","None")))))))</x:f>
        <x:v>Canonical MASR ID required</x:v>
      </x:c>
      <x:c r="Z19" s="1257" t="n">
        <x:f>IF($B19="","",COUNTIF('24 RCC-004 Candidate Pipeline'!$C$14:$C$213,$B19))</x:f>
        <x:v>0</x:v>
      </x:c>
      <x:c r="AA19" s="1253" t="str">
        <x:f>IF($B19="","",IFERROR(INDEX('24 RCC-004 Candidate Pipeline'!$Y$14:$Y$213,MATCH($B19,'24 RCC-004 Candidate Pipeline'!$C$14:$C$213,0)),""))</x:f>
      </x:c>
      <x:c r="AB19" s="1242" t="str">
        <x:v>Grandfathered — Certified Holding</x:v>
      </x:c>
      <x:c r="AC19" s="1253" t="str">
        <x:f>IF($B19="","",IF(COUNTIFS('24 RCC-004 Candidate Pipeline'!$C$14:$C$213,$B19,'24 RCC-004 Candidate Pipeline'!$AF$14:$AF$213,"Yes — Refer to PEW-004")&gt;0,"REFERRED — PEW-004",IF($Z19&gt;0,"CANDIDATE RECORD ACTIVE","NO ACTIVE CANDIDATE")))</x:f>
        <x:v>NO ACTIVE CANDIDATE</x:v>
      </x:c>
      <x:c r="AD19" s="1253" t="str">
        <x:f>IF($B19="","",IF($A19="","SETUP REQUIRED",IF(COUNTIF($A$14:$A$163,$A19)&gt;1,"DUPLICATE MASR ID",IF(COUNTIF($B$14:$B$163,$B19)&gt;1,"DUPLICATE TICKER",IF(OR($D19="",$E19="",$F19="",$G19="",$H19="",$I19=""),"INCOMPLETE",IF(OR($K19="",$L19=""),"MIAR SETUP REQUIRED",IF($X19="NOT ELIGIBLE","NOT ELIGIBLE",IF($Y19&lt;&gt;"None","EXCEPTION REVIEW",IF(AND($D19&lt;&gt;"Certified Portfolio Holding",OR($E19="Active — Approved Non-Holding",$E19="Conditional",$E19="Candidate — Committee Review"),OR($AB19="",$AB19="Pending")),"COMMITTEE DISPOSITION REQUIRED",IF(AND(OR($E19="Active — Approved Non-Holding",$E19="Conditional"),OR($AG19="",$AH19="")),"CERTIFICATION REQUIRED",IF(OR($E19="Rejected",$E19="Removed",$E19="Archived"),"INACTIVE / CLOSED","CONTROL CLEAR")))))))))))</x:f>
        <x:v>SETUP REQUIRED</x:v>
      </x:c>
      <x:c r="AE19" s="1253" t="str">
        <x:f>IF($AD19="","",IFERROR(INDEX('97 RCC Lists'!$AK$5:$AK$15,MATCH($AD19,'97 RCC Lists'!$AJ$5:$AJ$15,0)),"Review exception"))</x:f>
        <x:v>Assign canonical MASR ID and complete registry setup</x:v>
      </x:c>
      <x:c r="AF19" s="1251"/>
      <x:c r="AG19" s="1242"/>
      <x:c r="AH19" s="1251"/>
      <x:c r="AI19" s="1242"/>
    </x:row>
    <x:row r="20" ht="32" customHeight="1">
      <x:c r="A20" s="1242"/>
      <x:c r="B20" s="1243" t="str">
        <x:f>INDEX('Certified Allocation'!$B$5:$B$51,ROW()-13)</x:f>
        <x:v>MA</x:v>
      </x:c>
      <x:c r="C20" s="1243" t="str">
        <x:f>INDEX('Certified Allocation'!$C$5:$C$51,ROW()-13)</x:f>
        <x:v>Mastercard Incorporated</x:v>
      </x:c>
      <x:c r="D20" s="1244" t="str">
        <x:v>Certified Portfolio Holding</x:v>
      </x:c>
      <x:c r="E20" s="1244" t="str">
        <x:v>Active — Certified Holding</x:v>
      </x:c>
      <x:c r="F20" s="1244" t="str">
        <x:v>Certified MFPDF / Founders Edition</x:v>
      </x:c>
      <x:c r="G20" s="1243" t="str">
        <x:f>INDEX('Certified Allocation'!$A$5:$A$51,ROW()-13)</x:f>
        <x:v>Strategic Anchors</x:v>
      </x:c>
      <x:c r="H20" s="1243" t="str">
        <x:f>INDEX('Certified Allocation'!$E$5:$E$51,ROW()-13)</x:f>
        <x:v>Global payments infrastructure anchor</x:v>
      </x:c>
      <x:c r="I20" s="1243" t="str">
        <x:f>INDEX('Certified Allocation'!$D$5:$D$51,ROW()-13)</x:f>
        <x:v>Equity</x:v>
      </x:c>
      <x:c r="J20" s="1245" t="n">
        <x:f>IF($B20="","",IFERROR(INDEX('Certified Allocation'!$F$5:$F$51,MATCH($B20,'Certified Allocation'!$B$5:$B$51,0)),""))</x:f>
        <x:v>0.016</x:v>
      </x:c>
      <x:c r="K20" s="1243" t="str">
        <x:f>IF($B20="","",IFERROR(INDEX('20 RCC-003 MIAR Registry'!$A$14:$A$60,MATCH($B20,'20 RCC-003 MIAR Registry'!$B$14:$B$60,0)),""))</x:f>
      </x:c>
      <x:c r="L20" s="1243" t="str">
        <x:f>IF($B20="","",IFERROR(INDEX('20 RCC-003 MIAR Registry'!$M$14:$M$60,MATCH($B20,'20 RCC-003 MIAR Registry'!$B$14:$B$60,0)),""))</x:f>
      </x:c>
      <x:c r="M20" s="1243" t="str">
        <x:f>IF($B20="","",IFERROR(INDEX('20 RCC-003 MIAR Registry'!$Z$14:$Z$60,MATCH($B20,'20 RCC-003 MIAR Registry'!$B$14:$B$60,0)),""))</x:f>
        <x:v>NOT INITIALIZED</x:v>
      </x:c>
      <x:c r="N20" s="1246" t="str">
        <x:f>IF($B20="","",IFERROR(INDEX('20 RCC-003 MIAR Registry'!$K$14:$K$60,MATCH($B20,'20 RCC-003 MIAR Registry'!$B$14:$B$60,0)),""))</x:f>
      </x:c>
      <x:c r="O20" s="1246" t="str">
        <x:f>IF($B20="","",IFERROR(INDEX('20 RCC-003 MIAR Registry'!$L$14:$L$60,MATCH($B20,'20 RCC-003 MIAR Registry'!$B$14:$B$60,0)),""))</x:f>
      </x:c>
      <x:c r="P20" s="1243" t="str">
        <x:f>IF($B20="","",IFERROR(INDEX('20 RCC-003 MIAR Registry'!$I$14:$I$60,MATCH($B20,'20 RCC-003 MIAR Registry'!$B$14:$B$60,0)),""))</x:f>
        <x:v>Unassigned</x:v>
      </x:c>
      <x:c r="Q20" s="1243" t="str">
        <x:f>IF($B20="","",IFERROR(INDEX('20 RCC-003 MIAR Registry'!$J$14:$J$60,MATCH($B20,'20 RCC-003 MIAR Registry'!$B$14:$B$60,0)),""))</x:f>
      </x:c>
      <x:c r="R20" s="1247" t="n">
        <x:f>IF($B20="","",COUNTIF('18 RCC-002 Evidence Ledger'!$E$14:$E$213,$B20))</x:f>
        <x:v>0</x:v>
      </x:c>
      <x:c r="S20" s="1247" t="n">
        <x:f>IF($B20="","",COUNTIFS('18 RCC-002 Evidence Ledger'!$E$14:$E$213,$B20,'18 RCC-002 Evidence Ledger'!$T$14:$T$213,"&lt;&gt;Closed — No Action",'18 RCC-002 Evidence Ledger'!$T$14:$T$213,"&lt;&gt;Closed — Incorporated"))</x:f>
        <x:v>0</x:v>
      </x:c>
      <x:c r="T20" s="1248"/>
      <x:c r="U20" s="1249"/>
      <x:c r="V20" s="1242"/>
      <x:c r="W20" s="1248"/>
      <x:c r="X20" s="1244" t="str">
        <x:f>IF($B20="","",IF($D20="Certified Portfolio Holding","CERTIFIED HOLDING",IF(OR($A20="",$D20="",$E20="",$F20="",$G20="",$H20="",$I20=""),"NOT ASSESSED",IF(OR($K20="",$L20&lt;&gt;"Active",$M20="OVERDUE",$M20="MATERIAL EVENT REVIEW",$N20="",$O20="",$W20=""),"NOT ELIGIBLE",IF(OR(AND($F20="Zacks Election",OR($T20="",$T20&lt;50)),OR($U20=4,$U20=5),$V20="No Rating",$V20="Restricted / Unavailable"),"ELIGIBLE WITH EXCEPTION","ELIGIBLE")))))</x:f>
        <x:v>CERTIFIED HOLDING</x:v>
      </x:c>
      <x:c r="Y20" s="1244" t="str">
        <x:f>IF($B20="","",IF($A20="","Canonical MASR ID required",IF(AND($D20&lt;&gt;"Certified Portfolio Holding",OR($K20="",$L20&lt;&gt;"Active",$M20&lt;&gt;"CURRENT",$N20="",$O20="",$W20="")),"Complete MIAR / scoring / empirical eligibility",IF(AND($F20="Zacks Election",OR($T20="",$T20&lt;50)),"Sub-$50B Zacks election exception",IF(OR($U20=4,$U20=5),"Zacks #4/#5 exception review",IF($V20="No Rating","Merrill No Rating exception",IF($V20="Restricted / Unavailable","Merrill restricted / unavailable exception","None")))))))</x:f>
        <x:v>Canonical MASR ID required</x:v>
      </x:c>
      <x:c r="Z20" s="1250" t="n">
        <x:f>IF($B20="","",COUNTIF('24 RCC-004 Candidate Pipeline'!$C$14:$C$213,$B20))</x:f>
        <x:v>0</x:v>
      </x:c>
      <x:c r="AA20" s="1244" t="str">
        <x:f>IF($B20="","",IFERROR(INDEX('24 RCC-004 Candidate Pipeline'!$Y$14:$Y$213,MATCH($B20,'24 RCC-004 Candidate Pipeline'!$C$14:$C$213,0)),""))</x:f>
      </x:c>
      <x:c r="AB20" s="1242" t="str">
        <x:v>Grandfathered — Certified Holding</x:v>
      </x:c>
      <x:c r="AC20" s="1244" t="str">
        <x:f>IF($B20="","",IF(COUNTIFS('24 RCC-004 Candidate Pipeline'!$C$14:$C$213,$B20,'24 RCC-004 Candidate Pipeline'!$AF$14:$AF$213,"Yes — Refer to PEW-004")&gt;0,"REFERRED — PEW-004",IF($Z20&gt;0,"CANDIDATE RECORD ACTIVE","NO ACTIVE CANDIDATE")))</x:f>
        <x:v>NO ACTIVE CANDIDATE</x:v>
      </x:c>
      <x:c r="AD20" s="1244" t="str">
        <x:f>IF($B20="","",IF($A20="","SETUP REQUIRED",IF(COUNTIF($A$14:$A$163,$A20)&gt;1,"DUPLICATE MASR ID",IF(COUNTIF($B$14:$B$163,$B20)&gt;1,"DUPLICATE TICKER",IF(OR($D20="",$E20="",$F20="",$G20="",$H20="",$I20=""),"INCOMPLETE",IF(OR($K20="",$L20=""),"MIAR SETUP REQUIRED",IF($X20="NOT ELIGIBLE","NOT ELIGIBLE",IF($Y20&lt;&gt;"None","EXCEPTION REVIEW",IF(AND($D20&lt;&gt;"Certified Portfolio Holding",OR($E20="Active — Approved Non-Holding",$E20="Conditional",$E20="Candidate — Committee Review"),OR($AB20="",$AB20="Pending")),"COMMITTEE DISPOSITION REQUIRED",IF(AND(OR($E20="Active — Approved Non-Holding",$E20="Conditional"),OR($AG20="",$AH20="")),"CERTIFICATION REQUIRED",IF(OR($E20="Rejected",$E20="Removed",$E20="Archived"),"INACTIVE / CLOSED","CONTROL CLEAR")))))))))))</x:f>
        <x:v>SETUP REQUIRED</x:v>
      </x:c>
      <x:c r="AE20" s="1244" t="str">
        <x:f>IF($AD20="","",IFERROR(INDEX('97 RCC Lists'!$AK$5:$AK$15,MATCH($AD20,'97 RCC Lists'!$AJ$5:$AJ$15,0)),"Review exception"))</x:f>
        <x:v>Assign canonical MASR ID and complete registry setup</x:v>
      </x:c>
      <x:c r="AF20" s="1251"/>
      <x:c r="AG20" s="1242"/>
      <x:c r="AH20" s="1251"/>
      <x:c r="AI20" s="1242"/>
    </x:row>
    <x:row r="21" ht="32" customHeight="1">
      <x:c r="A21" s="1242"/>
      <x:c r="B21" s="1252" t="str">
        <x:f>INDEX('Certified Allocation'!$B$5:$B$51,ROW()-13)</x:f>
        <x:v>AAPL</x:v>
      </x:c>
      <x:c r="C21" s="1252" t="str">
        <x:f>INDEX('Certified Allocation'!$C$5:$C$51,ROW()-13)</x:f>
        <x:v>Apple Inc.</x:v>
      </x:c>
      <x:c r="D21" s="1253" t="str">
        <x:v>Certified Portfolio Holding</x:v>
      </x:c>
      <x:c r="E21" s="1253" t="str">
        <x:v>Active — Certified Holding</x:v>
      </x:c>
      <x:c r="F21" s="1253" t="str">
        <x:v>Certified MFPDF / Founders Edition</x:v>
      </x:c>
      <x:c r="G21" s="1252" t="str">
        <x:f>INDEX('Certified Allocation'!$A$5:$A$51,ROW()-13)</x:f>
        <x:v>Strategic Anchors</x:v>
      </x:c>
      <x:c r="H21" s="1252" t="str">
        <x:f>INDEX('Certified Allocation'!$E$5:$E$51,ROW()-13)</x:f>
        <x:v>Consumer technology ecosystem anchor</x:v>
      </x:c>
      <x:c r="I21" s="1252" t="str">
        <x:f>INDEX('Certified Allocation'!$D$5:$D$51,ROW()-13)</x:f>
        <x:v>Equity</x:v>
      </x:c>
      <x:c r="J21" s="1254" t="n">
        <x:f>IF($B21="","",IFERROR(INDEX('Certified Allocation'!$F$5:$F$51,MATCH($B21,'Certified Allocation'!$B$5:$B$51,0)),""))</x:f>
        <x:v>0.0156</x:v>
      </x:c>
      <x:c r="K21" s="1252" t="str">
        <x:f>IF($B21="","",IFERROR(INDEX('20 RCC-003 MIAR Registry'!$A$14:$A$60,MATCH($B21,'20 RCC-003 MIAR Registry'!$B$14:$B$60,0)),""))</x:f>
      </x:c>
      <x:c r="L21" s="1252" t="str">
        <x:f>IF($B21="","",IFERROR(INDEX('20 RCC-003 MIAR Registry'!$M$14:$M$60,MATCH($B21,'20 RCC-003 MIAR Registry'!$B$14:$B$60,0)),""))</x:f>
      </x:c>
      <x:c r="M21" s="1252" t="str">
        <x:f>IF($B21="","",IFERROR(INDEX('20 RCC-003 MIAR Registry'!$Z$14:$Z$60,MATCH($B21,'20 RCC-003 MIAR Registry'!$B$14:$B$60,0)),""))</x:f>
        <x:v>NOT INITIALIZED</x:v>
      </x:c>
      <x:c r="N21" s="1255" t="str">
        <x:f>IF($B21="","",IFERROR(INDEX('20 RCC-003 MIAR Registry'!$K$14:$K$60,MATCH($B21,'20 RCC-003 MIAR Registry'!$B$14:$B$60,0)),""))</x:f>
      </x:c>
      <x:c r="O21" s="1255" t="str">
        <x:f>IF($B21="","",IFERROR(INDEX('20 RCC-003 MIAR Registry'!$L$14:$L$60,MATCH($B21,'20 RCC-003 MIAR Registry'!$B$14:$B$60,0)),""))</x:f>
      </x:c>
      <x:c r="P21" s="1252" t="str">
        <x:f>IF($B21="","",IFERROR(INDEX('20 RCC-003 MIAR Registry'!$I$14:$I$60,MATCH($B21,'20 RCC-003 MIAR Registry'!$B$14:$B$60,0)),""))</x:f>
        <x:v>Unassigned</x:v>
      </x:c>
      <x:c r="Q21" s="1252" t="str">
        <x:f>IF($B21="","",IFERROR(INDEX('20 RCC-003 MIAR Registry'!$J$14:$J$60,MATCH($B21,'20 RCC-003 MIAR Registry'!$B$14:$B$60,0)),""))</x:f>
      </x:c>
      <x:c r="R21" s="1256" t="n">
        <x:f>IF($B21="","",COUNTIF('18 RCC-002 Evidence Ledger'!$E$14:$E$213,$B21))</x:f>
        <x:v>0</x:v>
      </x:c>
      <x:c r="S21" s="1256" t="n">
        <x:f>IF($B21="","",COUNTIFS('18 RCC-002 Evidence Ledger'!$E$14:$E$213,$B21,'18 RCC-002 Evidence Ledger'!$T$14:$T$213,"&lt;&gt;Closed — No Action",'18 RCC-002 Evidence Ledger'!$T$14:$T$213,"&lt;&gt;Closed — Incorporated"))</x:f>
        <x:v>0</x:v>
      </x:c>
      <x:c r="T21" s="1248"/>
      <x:c r="U21" s="1249"/>
      <x:c r="V21" s="1242"/>
      <x:c r="W21" s="1248"/>
      <x:c r="X21" s="1253" t="str">
        <x:f>IF($B21="","",IF($D21="Certified Portfolio Holding","CERTIFIED HOLDING",IF(OR($A21="",$D21="",$E21="",$F21="",$G21="",$H21="",$I21=""),"NOT ASSESSED",IF(OR($K21="",$L21&lt;&gt;"Active",$M21="OVERDUE",$M21="MATERIAL EVENT REVIEW",$N21="",$O21="",$W21=""),"NOT ELIGIBLE",IF(OR(AND($F21="Zacks Election",OR($T21="",$T21&lt;50)),OR($U21=4,$U21=5),$V21="No Rating",$V21="Restricted / Unavailable"),"ELIGIBLE WITH EXCEPTION","ELIGIBLE")))))</x:f>
        <x:v>CERTIFIED HOLDING</x:v>
      </x:c>
      <x:c r="Y21" s="1253" t="str">
        <x:f>IF($B21="","",IF($A21="","Canonical MASR ID required",IF(AND($D21&lt;&gt;"Certified Portfolio Holding",OR($K21="",$L21&lt;&gt;"Active",$M21&lt;&gt;"CURRENT",$N21="",$O21="",$W21="")),"Complete MIAR / scoring / empirical eligibility",IF(AND($F21="Zacks Election",OR($T21="",$T21&lt;50)),"Sub-$50B Zacks election exception",IF(OR($U21=4,$U21=5),"Zacks #4/#5 exception review",IF($V21="No Rating","Merrill No Rating exception",IF($V21="Restricted / Unavailable","Merrill restricted / unavailable exception","None")))))))</x:f>
        <x:v>Canonical MASR ID required</x:v>
      </x:c>
      <x:c r="Z21" s="1257" t="n">
        <x:f>IF($B21="","",COUNTIF('24 RCC-004 Candidate Pipeline'!$C$14:$C$213,$B21))</x:f>
        <x:v>0</x:v>
      </x:c>
      <x:c r="AA21" s="1253" t="str">
        <x:f>IF($B21="","",IFERROR(INDEX('24 RCC-004 Candidate Pipeline'!$Y$14:$Y$213,MATCH($B21,'24 RCC-004 Candidate Pipeline'!$C$14:$C$213,0)),""))</x:f>
      </x:c>
      <x:c r="AB21" s="1242" t="str">
        <x:v>Grandfathered — Certified Holding</x:v>
      </x:c>
      <x:c r="AC21" s="1253" t="str">
        <x:f>IF($B21="","",IF(COUNTIFS('24 RCC-004 Candidate Pipeline'!$C$14:$C$213,$B21,'24 RCC-004 Candidate Pipeline'!$AF$14:$AF$213,"Yes — Refer to PEW-004")&gt;0,"REFERRED — PEW-004",IF($Z21&gt;0,"CANDIDATE RECORD ACTIVE","NO ACTIVE CANDIDATE")))</x:f>
        <x:v>NO ACTIVE CANDIDATE</x:v>
      </x:c>
      <x:c r="AD21" s="1253" t="str">
        <x:f>IF($B21="","",IF($A21="","SETUP REQUIRED",IF(COUNTIF($A$14:$A$163,$A21)&gt;1,"DUPLICATE MASR ID",IF(COUNTIF($B$14:$B$163,$B21)&gt;1,"DUPLICATE TICKER",IF(OR($D21="",$E21="",$F21="",$G21="",$H21="",$I21=""),"INCOMPLETE",IF(OR($K21="",$L21=""),"MIAR SETUP REQUIRED",IF($X21="NOT ELIGIBLE","NOT ELIGIBLE",IF($Y21&lt;&gt;"None","EXCEPTION REVIEW",IF(AND($D21&lt;&gt;"Certified Portfolio Holding",OR($E21="Active — Approved Non-Holding",$E21="Conditional",$E21="Candidate — Committee Review"),OR($AB21="",$AB21="Pending")),"COMMITTEE DISPOSITION REQUIRED",IF(AND(OR($E21="Active — Approved Non-Holding",$E21="Conditional"),OR($AG21="",$AH21="")),"CERTIFICATION REQUIRED",IF(OR($E21="Rejected",$E21="Removed",$E21="Archived"),"INACTIVE / CLOSED","CONTROL CLEAR")))))))))))</x:f>
        <x:v>SETUP REQUIRED</x:v>
      </x:c>
      <x:c r="AE21" s="1253" t="str">
        <x:f>IF($AD21="","",IFERROR(INDEX('97 RCC Lists'!$AK$5:$AK$15,MATCH($AD21,'97 RCC Lists'!$AJ$5:$AJ$15,0)),"Review exception"))</x:f>
        <x:v>Assign canonical MASR ID and complete registry setup</x:v>
      </x:c>
      <x:c r="AF21" s="1251"/>
      <x:c r="AG21" s="1242"/>
      <x:c r="AH21" s="1251"/>
      <x:c r="AI21" s="1242"/>
    </x:row>
    <x:row r="22" ht="32" customHeight="1">
      <x:c r="A22" s="1242"/>
      <x:c r="B22" s="1243" t="str">
        <x:f>INDEX('Certified Allocation'!$B$5:$B$51,ROW()-13)</x:f>
        <x:v>AMZN</x:v>
      </x:c>
      <x:c r="C22" s="1243" t="str">
        <x:f>INDEX('Certified Allocation'!$C$5:$C$51,ROW()-13)</x:f>
        <x:v>Amazon.com, Inc.</x:v>
      </x:c>
      <x:c r="D22" s="1244" t="str">
        <x:v>Certified Portfolio Holding</x:v>
      </x:c>
      <x:c r="E22" s="1244" t="str">
        <x:v>Active — Certified Holding</x:v>
      </x:c>
      <x:c r="F22" s="1244" t="str">
        <x:v>Certified MFPDF / Founders Edition</x:v>
      </x:c>
      <x:c r="G22" s="1243" t="str">
        <x:f>INDEX('Certified Allocation'!$A$5:$A$51,ROW()-13)</x:f>
        <x:v>Strategic Anchors</x:v>
      </x:c>
      <x:c r="H22" s="1243" t="str">
        <x:f>INDEX('Certified Allocation'!$E$5:$E$51,ROW()-13)</x:f>
        <x:v>Cloud, commerce and logistics anchor</x:v>
      </x:c>
      <x:c r="I22" s="1243" t="str">
        <x:f>INDEX('Certified Allocation'!$D$5:$D$51,ROW()-13)</x:f>
        <x:v>Equity</x:v>
      </x:c>
      <x:c r="J22" s="1245" t="n">
        <x:f>IF($B22="","",IFERROR(INDEX('Certified Allocation'!$F$5:$F$51,MATCH($B22,'Certified Allocation'!$B$5:$B$51,0)),""))</x:f>
        <x:v>0.0155</x:v>
      </x:c>
      <x:c r="K22" s="1243" t="str">
        <x:f>IF($B22="","",IFERROR(INDEX('20 RCC-003 MIAR Registry'!$A$14:$A$60,MATCH($B22,'20 RCC-003 MIAR Registry'!$B$14:$B$60,0)),""))</x:f>
      </x:c>
      <x:c r="L22" s="1243" t="str">
        <x:f>IF($B22="","",IFERROR(INDEX('20 RCC-003 MIAR Registry'!$M$14:$M$60,MATCH($B22,'20 RCC-003 MIAR Registry'!$B$14:$B$60,0)),""))</x:f>
      </x:c>
      <x:c r="M22" s="1243" t="str">
        <x:f>IF($B22="","",IFERROR(INDEX('20 RCC-003 MIAR Registry'!$Z$14:$Z$60,MATCH($B22,'20 RCC-003 MIAR Registry'!$B$14:$B$60,0)),""))</x:f>
        <x:v>NOT INITIALIZED</x:v>
      </x:c>
      <x:c r="N22" s="1246" t="str">
        <x:f>IF($B22="","",IFERROR(INDEX('20 RCC-003 MIAR Registry'!$K$14:$K$60,MATCH($B22,'20 RCC-003 MIAR Registry'!$B$14:$B$60,0)),""))</x:f>
      </x:c>
      <x:c r="O22" s="1246" t="str">
        <x:f>IF($B22="","",IFERROR(INDEX('20 RCC-003 MIAR Registry'!$L$14:$L$60,MATCH($B22,'20 RCC-003 MIAR Registry'!$B$14:$B$60,0)),""))</x:f>
      </x:c>
      <x:c r="P22" s="1243" t="str">
        <x:f>IF($B22="","",IFERROR(INDEX('20 RCC-003 MIAR Registry'!$I$14:$I$60,MATCH($B22,'20 RCC-003 MIAR Registry'!$B$14:$B$60,0)),""))</x:f>
        <x:v>Unassigned</x:v>
      </x:c>
      <x:c r="Q22" s="1243" t="str">
        <x:f>IF($B22="","",IFERROR(INDEX('20 RCC-003 MIAR Registry'!$J$14:$J$60,MATCH($B22,'20 RCC-003 MIAR Registry'!$B$14:$B$60,0)),""))</x:f>
      </x:c>
      <x:c r="R22" s="1247" t="n">
        <x:f>IF($B22="","",COUNTIF('18 RCC-002 Evidence Ledger'!$E$14:$E$213,$B22))</x:f>
        <x:v>0</x:v>
      </x:c>
      <x:c r="S22" s="1247" t="n">
        <x:f>IF($B22="","",COUNTIFS('18 RCC-002 Evidence Ledger'!$E$14:$E$213,$B22,'18 RCC-002 Evidence Ledger'!$T$14:$T$213,"&lt;&gt;Closed — No Action",'18 RCC-002 Evidence Ledger'!$T$14:$T$213,"&lt;&gt;Closed — Incorporated"))</x:f>
        <x:v>0</x:v>
      </x:c>
      <x:c r="T22" s="1248"/>
      <x:c r="U22" s="1249"/>
      <x:c r="V22" s="1242"/>
      <x:c r="W22" s="1248"/>
      <x:c r="X22" s="1244" t="str">
        <x:f>IF($B22="","",IF($D22="Certified Portfolio Holding","CERTIFIED HOLDING",IF(OR($A22="",$D22="",$E22="",$F22="",$G22="",$H22="",$I22=""),"NOT ASSESSED",IF(OR($K22="",$L22&lt;&gt;"Active",$M22="OVERDUE",$M22="MATERIAL EVENT REVIEW",$N22="",$O22="",$W22=""),"NOT ELIGIBLE",IF(OR(AND($F22="Zacks Election",OR($T22="",$T22&lt;50)),OR($U22=4,$U22=5),$V22="No Rating",$V22="Restricted / Unavailable"),"ELIGIBLE WITH EXCEPTION","ELIGIBLE")))))</x:f>
        <x:v>CERTIFIED HOLDING</x:v>
      </x:c>
      <x:c r="Y22" s="1244" t="str">
        <x:f>IF($B22="","",IF($A22="","Canonical MASR ID required",IF(AND($D22&lt;&gt;"Certified Portfolio Holding",OR($K22="",$L22&lt;&gt;"Active",$M22&lt;&gt;"CURRENT",$N22="",$O22="",$W22="")),"Complete MIAR / scoring / empirical eligibility",IF(AND($F22="Zacks Election",OR($T22="",$T22&lt;50)),"Sub-$50B Zacks election exception",IF(OR($U22=4,$U22=5),"Zacks #4/#5 exception review",IF($V22="No Rating","Merrill No Rating exception",IF($V22="Restricted / Unavailable","Merrill restricted / unavailable exception","None")))))))</x:f>
        <x:v>Canonical MASR ID required</x:v>
      </x:c>
      <x:c r="Z22" s="1250" t="n">
        <x:f>IF($B22="","",COUNTIF('24 RCC-004 Candidate Pipeline'!$C$14:$C$213,$B22))</x:f>
        <x:v>0</x:v>
      </x:c>
      <x:c r="AA22" s="1244" t="str">
        <x:f>IF($B22="","",IFERROR(INDEX('24 RCC-004 Candidate Pipeline'!$Y$14:$Y$213,MATCH($B22,'24 RCC-004 Candidate Pipeline'!$C$14:$C$213,0)),""))</x:f>
      </x:c>
      <x:c r="AB22" s="1242" t="str">
        <x:v>Grandfathered — Certified Holding</x:v>
      </x:c>
      <x:c r="AC22" s="1244" t="str">
        <x:f>IF($B22="","",IF(COUNTIFS('24 RCC-004 Candidate Pipeline'!$C$14:$C$213,$B22,'24 RCC-004 Candidate Pipeline'!$AF$14:$AF$213,"Yes — Refer to PEW-004")&gt;0,"REFERRED — PEW-004",IF($Z22&gt;0,"CANDIDATE RECORD ACTIVE","NO ACTIVE CANDIDATE")))</x:f>
        <x:v>NO ACTIVE CANDIDATE</x:v>
      </x:c>
      <x:c r="AD22" s="1244" t="str">
        <x:f>IF($B22="","",IF($A22="","SETUP REQUIRED",IF(COUNTIF($A$14:$A$163,$A22)&gt;1,"DUPLICATE MASR ID",IF(COUNTIF($B$14:$B$163,$B22)&gt;1,"DUPLICATE TICKER",IF(OR($D22="",$E22="",$F22="",$G22="",$H22="",$I22=""),"INCOMPLETE",IF(OR($K22="",$L22=""),"MIAR SETUP REQUIRED",IF($X22="NOT ELIGIBLE","NOT ELIGIBLE",IF($Y22&lt;&gt;"None","EXCEPTION REVIEW",IF(AND($D22&lt;&gt;"Certified Portfolio Holding",OR($E22="Active — Approved Non-Holding",$E22="Conditional",$E22="Candidate — Committee Review"),OR($AB22="",$AB22="Pending")),"COMMITTEE DISPOSITION REQUIRED",IF(AND(OR($E22="Active — Approved Non-Holding",$E22="Conditional"),OR($AG22="",$AH22="")),"CERTIFICATION REQUIRED",IF(OR($E22="Rejected",$E22="Removed",$E22="Archived"),"INACTIVE / CLOSED","CONTROL CLEAR")))))))))))</x:f>
        <x:v>SETUP REQUIRED</x:v>
      </x:c>
      <x:c r="AE22" s="1244" t="str">
        <x:f>IF($AD22="","",IFERROR(INDEX('97 RCC Lists'!$AK$5:$AK$15,MATCH($AD22,'97 RCC Lists'!$AJ$5:$AJ$15,0)),"Review exception"))</x:f>
        <x:v>Assign canonical MASR ID and complete registry setup</x:v>
      </x:c>
      <x:c r="AF22" s="1251"/>
      <x:c r="AG22" s="1242"/>
      <x:c r="AH22" s="1251"/>
      <x:c r="AI22" s="1242"/>
    </x:row>
    <x:row r="23" ht="32" customHeight="1">
      <x:c r="A23" s="1242"/>
      <x:c r="B23" s="1252" t="str">
        <x:f>INDEX('Certified Allocation'!$B$5:$B$51,ROW()-13)</x:f>
        <x:v>AVGO</x:v>
      </x:c>
      <x:c r="C23" s="1252" t="str">
        <x:f>INDEX('Certified Allocation'!$C$5:$C$51,ROW()-13)</x:f>
        <x:v>Broadcom Inc.</x:v>
      </x:c>
      <x:c r="D23" s="1253" t="str">
        <x:v>Certified Portfolio Holding</x:v>
      </x:c>
      <x:c r="E23" s="1253" t="str">
        <x:v>Active — Certified Holding</x:v>
      </x:c>
      <x:c r="F23" s="1253" t="str">
        <x:v>Certified MFPDF / Founders Edition</x:v>
      </x:c>
      <x:c r="G23" s="1252" t="str">
        <x:f>INDEX('Certified Allocation'!$A$5:$A$51,ROW()-13)</x:f>
        <x:v>Growth Compounders</x:v>
      </x:c>
      <x:c r="H23" s="1252" t="str">
        <x:f>INDEX('Certified Allocation'!$E$5:$E$51,ROW()-13)</x:f>
        <x:v>Semiconductor and infrastructure-software compounder</x:v>
      </x:c>
      <x:c r="I23" s="1252" t="str">
        <x:f>INDEX('Certified Allocation'!$D$5:$D$51,ROW()-13)</x:f>
        <x:v>Equity</x:v>
      </x:c>
      <x:c r="J23" s="1254" t="n">
        <x:f>IF($B23="","",IFERROR(INDEX('Certified Allocation'!$F$5:$F$51,MATCH($B23,'Certified Allocation'!$B$5:$B$51,0)),""))</x:f>
        <x:v>0.0302</x:v>
      </x:c>
      <x:c r="K23" s="1252" t="str">
        <x:f>IF($B23="","",IFERROR(INDEX('20 RCC-003 MIAR Registry'!$A$14:$A$60,MATCH($B23,'20 RCC-003 MIAR Registry'!$B$14:$B$60,0)),""))</x:f>
      </x:c>
      <x:c r="L23" s="1252" t="str">
        <x:f>IF($B23="","",IFERROR(INDEX('20 RCC-003 MIAR Registry'!$M$14:$M$60,MATCH($B23,'20 RCC-003 MIAR Registry'!$B$14:$B$60,0)),""))</x:f>
      </x:c>
      <x:c r="M23" s="1252" t="str">
        <x:f>IF($B23="","",IFERROR(INDEX('20 RCC-003 MIAR Registry'!$Z$14:$Z$60,MATCH($B23,'20 RCC-003 MIAR Registry'!$B$14:$B$60,0)),""))</x:f>
        <x:v>NOT INITIALIZED</x:v>
      </x:c>
      <x:c r="N23" s="1255" t="str">
        <x:f>IF($B23="","",IFERROR(INDEX('20 RCC-003 MIAR Registry'!$K$14:$K$60,MATCH($B23,'20 RCC-003 MIAR Registry'!$B$14:$B$60,0)),""))</x:f>
      </x:c>
      <x:c r="O23" s="1255" t="str">
        <x:f>IF($B23="","",IFERROR(INDEX('20 RCC-003 MIAR Registry'!$L$14:$L$60,MATCH($B23,'20 RCC-003 MIAR Registry'!$B$14:$B$60,0)),""))</x:f>
      </x:c>
      <x:c r="P23" s="1252" t="str">
        <x:f>IF($B23="","",IFERROR(INDEX('20 RCC-003 MIAR Registry'!$I$14:$I$60,MATCH($B23,'20 RCC-003 MIAR Registry'!$B$14:$B$60,0)),""))</x:f>
        <x:v>Unassigned</x:v>
      </x:c>
      <x:c r="Q23" s="1252" t="str">
        <x:f>IF($B23="","",IFERROR(INDEX('20 RCC-003 MIAR Registry'!$J$14:$J$60,MATCH($B23,'20 RCC-003 MIAR Registry'!$B$14:$B$60,0)),""))</x:f>
      </x:c>
      <x:c r="R23" s="1256" t="n">
        <x:f>IF($B23="","",COUNTIF('18 RCC-002 Evidence Ledger'!$E$14:$E$213,$B23))</x:f>
        <x:v>0</x:v>
      </x:c>
      <x:c r="S23" s="1256" t="n">
        <x:f>IF($B23="","",COUNTIFS('18 RCC-002 Evidence Ledger'!$E$14:$E$213,$B23,'18 RCC-002 Evidence Ledger'!$T$14:$T$213,"&lt;&gt;Closed — No Action",'18 RCC-002 Evidence Ledger'!$T$14:$T$213,"&lt;&gt;Closed — Incorporated"))</x:f>
        <x:v>0</x:v>
      </x:c>
      <x:c r="T23" s="1248"/>
      <x:c r="U23" s="1249"/>
      <x:c r="V23" s="1242"/>
      <x:c r="W23" s="1248"/>
      <x:c r="X23" s="1253" t="str">
        <x:f>IF($B23="","",IF($D23="Certified Portfolio Holding","CERTIFIED HOLDING",IF(OR($A23="",$D23="",$E23="",$F23="",$G23="",$H23="",$I23=""),"NOT ASSESSED",IF(OR($K23="",$L23&lt;&gt;"Active",$M23="OVERDUE",$M23="MATERIAL EVENT REVIEW",$N23="",$O23="",$W23=""),"NOT ELIGIBLE",IF(OR(AND($F23="Zacks Election",OR($T23="",$T23&lt;50)),OR($U23=4,$U23=5),$V23="No Rating",$V23="Restricted / Unavailable"),"ELIGIBLE WITH EXCEPTION","ELIGIBLE")))))</x:f>
        <x:v>CERTIFIED HOLDING</x:v>
      </x:c>
      <x:c r="Y23" s="1253" t="str">
        <x:f>IF($B23="","",IF($A23="","Canonical MASR ID required",IF(AND($D23&lt;&gt;"Certified Portfolio Holding",OR($K23="",$L23&lt;&gt;"Active",$M23&lt;&gt;"CURRENT",$N23="",$O23="",$W23="")),"Complete MIAR / scoring / empirical eligibility",IF(AND($F23="Zacks Election",OR($T23="",$T23&lt;50)),"Sub-$50B Zacks election exception",IF(OR($U23=4,$U23=5),"Zacks #4/#5 exception review",IF($V23="No Rating","Merrill No Rating exception",IF($V23="Restricted / Unavailable","Merrill restricted / unavailable exception","None")))))))</x:f>
        <x:v>Canonical MASR ID required</x:v>
      </x:c>
      <x:c r="Z23" s="1257" t="n">
        <x:f>IF($B23="","",COUNTIF('24 RCC-004 Candidate Pipeline'!$C$14:$C$213,$B23))</x:f>
        <x:v>0</x:v>
      </x:c>
      <x:c r="AA23" s="1253" t="str">
        <x:f>IF($B23="","",IFERROR(INDEX('24 RCC-004 Candidate Pipeline'!$Y$14:$Y$213,MATCH($B23,'24 RCC-004 Candidate Pipeline'!$C$14:$C$213,0)),""))</x:f>
      </x:c>
      <x:c r="AB23" s="1242" t="str">
        <x:v>Grandfathered — Certified Holding</x:v>
      </x:c>
      <x:c r="AC23" s="1253" t="str">
        <x:f>IF($B23="","",IF(COUNTIFS('24 RCC-004 Candidate Pipeline'!$C$14:$C$213,$B23,'24 RCC-004 Candidate Pipeline'!$AF$14:$AF$213,"Yes — Refer to PEW-004")&gt;0,"REFERRED — PEW-004",IF($Z23&gt;0,"CANDIDATE RECORD ACTIVE","NO ACTIVE CANDIDATE")))</x:f>
        <x:v>NO ACTIVE CANDIDATE</x:v>
      </x:c>
      <x:c r="AD23" s="1253" t="str">
        <x:f>IF($B23="","",IF($A23="","SETUP REQUIRED",IF(COUNTIF($A$14:$A$163,$A23)&gt;1,"DUPLICATE MASR ID",IF(COUNTIF($B$14:$B$163,$B23)&gt;1,"DUPLICATE TICKER",IF(OR($D23="",$E23="",$F23="",$G23="",$H23="",$I23=""),"INCOMPLETE",IF(OR($K23="",$L23=""),"MIAR SETUP REQUIRED",IF($X23="NOT ELIGIBLE","NOT ELIGIBLE",IF($Y23&lt;&gt;"None","EXCEPTION REVIEW",IF(AND($D23&lt;&gt;"Certified Portfolio Holding",OR($E23="Active — Approved Non-Holding",$E23="Conditional",$E23="Candidate — Committee Review"),OR($AB23="",$AB23="Pending")),"COMMITTEE DISPOSITION REQUIRED",IF(AND(OR($E23="Active — Approved Non-Holding",$E23="Conditional"),OR($AG23="",$AH23="")),"CERTIFICATION REQUIRED",IF(OR($E23="Rejected",$E23="Removed",$E23="Archived"),"INACTIVE / CLOSED","CONTROL CLEAR")))))))))))</x:f>
        <x:v>SETUP REQUIRED</x:v>
      </x:c>
      <x:c r="AE23" s="1253" t="str">
        <x:f>IF($AD23="","",IFERROR(INDEX('97 RCC Lists'!$AK$5:$AK$15,MATCH($AD23,'97 RCC Lists'!$AJ$5:$AJ$15,0)),"Review exception"))</x:f>
        <x:v>Assign canonical MASR ID and complete registry setup</x:v>
      </x:c>
      <x:c r="AF23" s="1251"/>
      <x:c r="AG23" s="1242"/>
      <x:c r="AH23" s="1251"/>
      <x:c r="AI23" s="1242"/>
    </x:row>
    <x:row r="24" ht="32" customHeight="1">
      <x:c r="A24" s="1242"/>
      <x:c r="B24" s="1243" t="str">
        <x:f>INDEX('Certified Allocation'!$B$5:$B$51,ROW()-13)</x:f>
        <x:v>LLY</x:v>
      </x:c>
      <x:c r="C24" s="1243" t="str">
        <x:f>INDEX('Certified Allocation'!$C$5:$C$51,ROW()-13)</x:f>
        <x:v>Eli Lilly and Company</x:v>
      </x:c>
      <x:c r="D24" s="1244" t="str">
        <x:v>Certified Portfolio Holding</x:v>
      </x:c>
      <x:c r="E24" s="1244" t="str">
        <x:v>Active — Certified Holding</x:v>
      </x:c>
      <x:c r="F24" s="1244" t="str">
        <x:v>Certified MFPDF / Founders Edition</x:v>
      </x:c>
      <x:c r="G24" s="1243" t="str">
        <x:f>INDEX('Certified Allocation'!$A$5:$A$51,ROW()-13)</x:f>
        <x:v>Growth Compounders</x:v>
      </x:c>
      <x:c r="H24" s="1243" t="str">
        <x:f>INDEX('Certified Allocation'!$E$5:$E$51,ROW()-13)</x:f>
        <x:v>Healthcare innovation compounder</x:v>
      </x:c>
      <x:c r="I24" s="1243" t="str">
        <x:f>INDEX('Certified Allocation'!$D$5:$D$51,ROW()-13)</x:f>
        <x:v>Equity</x:v>
      </x:c>
      <x:c r="J24" s="1245" t="n">
        <x:f>IF($B24="","",IFERROR(INDEX('Certified Allocation'!$F$5:$F$51,MATCH($B24,'Certified Allocation'!$B$5:$B$51,0)),""))</x:f>
        <x:v>0.0302</x:v>
      </x:c>
      <x:c r="K24" s="1243" t="str">
        <x:f>IF($B24="","",IFERROR(INDEX('20 RCC-003 MIAR Registry'!$A$14:$A$60,MATCH($B24,'20 RCC-003 MIAR Registry'!$B$14:$B$60,0)),""))</x:f>
      </x:c>
      <x:c r="L24" s="1243" t="str">
        <x:f>IF($B24="","",IFERROR(INDEX('20 RCC-003 MIAR Registry'!$M$14:$M$60,MATCH($B24,'20 RCC-003 MIAR Registry'!$B$14:$B$60,0)),""))</x:f>
      </x:c>
      <x:c r="M24" s="1243" t="str">
        <x:f>IF($B24="","",IFERROR(INDEX('20 RCC-003 MIAR Registry'!$Z$14:$Z$60,MATCH($B24,'20 RCC-003 MIAR Registry'!$B$14:$B$60,0)),""))</x:f>
        <x:v>NOT INITIALIZED</x:v>
      </x:c>
      <x:c r="N24" s="1246" t="str">
        <x:f>IF($B24="","",IFERROR(INDEX('20 RCC-003 MIAR Registry'!$K$14:$K$60,MATCH($B24,'20 RCC-003 MIAR Registry'!$B$14:$B$60,0)),""))</x:f>
      </x:c>
      <x:c r="O24" s="1246" t="str">
        <x:f>IF($B24="","",IFERROR(INDEX('20 RCC-003 MIAR Registry'!$L$14:$L$60,MATCH($B24,'20 RCC-003 MIAR Registry'!$B$14:$B$60,0)),""))</x:f>
      </x:c>
      <x:c r="P24" s="1243" t="str">
        <x:f>IF($B24="","",IFERROR(INDEX('20 RCC-003 MIAR Registry'!$I$14:$I$60,MATCH($B24,'20 RCC-003 MIAR Registry'!$B$14:$B$60,0)),""))</x:f>
        <x:v>Unassigned</x:v>
      </x:c>
      <x:c r="Q24" s="1243" t="str">
        <x:f>IF($B24="","",IFERROR(INDEX('20 RCC-003 MIAR Registry'!$J$14:$J$60,MATCH($B24,'20 RCC-003 MIAR Registry'!$B$14:$B$60,0)),""))</x:f>
      </x:c>
      <x:c r="R24" s="1247" t="n">
        <x:f>IF($B24="","",COUNTIF('18 RCC-002 Evidence Ledger'!$E$14:$E$213,$B24))</x:f>
        <x:v>0</x:v>
      </x:c>
      <x:c r="S24" s="1247" t="n">
        <x:f>IF($B24="","",COUNTIFS('18 RCC-002 Evidence Ledger'!$E$14:$E$213,$B24,'18 RCC-002 Evidence Ledger'!$T$14:$T$213,"&lt;&gt;Closed — No Action",'18 RCC-002 Evidence Ledger'!$T$14:$T$213,"&lt;&gt;Closed — Incorporated"))</x:f>
        <x:v>0</x:v>
      </x:c>
      <x:c r="T24" s="1248"/>
      <x:c r="U24" s="1249"/>
      <x:c r="V24" s="1242"/>
      <x:c r="W24" s="1248"/>
      <x:c r="X24" s="1244" t="str">
        <x:f>IF($B24="","",IF($D24="Certified Portfolio Holding","CERTIFIED HOLDING",IF(OR($A24="",$D24="",$E24="",$F24="",$G24="",$H24="",$I24=""),"NOT ASSESSED",IF(OR($K24="",$L24&lt;&gt;"Active",$M24="OVERDUE",$M24="MATERIAL EVENT REVIEW",$N24="",$O24="",$W24=""),"NOT ELIGIBLE",IF(OR(AND($F24="Zacks Election",OR($T24="",$T24&lt;50)),OR($U24=4,$U24=5),$V24="No Rating",$V24="Restricted / Unavailable"),"ELIGIBLE WITH EXCEPTION","ELIGIBLE")))))</x:f>
        <x:v>CERTIFIED HOLDING</x:v>
      </x:c>
      <x:c r="Y24" s="1244" t="str">
        <x:f>IF($B24="","",IF($A24="","Canonical MASR ID required",IF(AND($D24&lt;&gt;"Certified Portfolio Holding",OR($K24="",$L24&lt;&gt;"Active",$M24&lt;&gt;"CURRENT",$N24="",$O24="",$W24="")),"Complete MIAR / scoring / empirical eligibility",IF(AND($F24="Zacks Election",OR($T24="",$T24&lt;50)),"Sub-$50B Zacks election exception",IF(OR($U24=4,$U24=5),"Zacks #4/#5 exception review",IF($V24="No Rating","Merrill No Rating exception",IF($V24="Restricted / Unavailable","Merrill restricted / unavailable exception","None")))))))</x:f>
        <x:v>Canonical MASR ID required</x:v>
      </x:c>
      <x:c r="Z24" s="1250" t="n">
        <x:f>IF($B24="","",COUNTIF('24 RCC-004 Candidate Pipeline'!$C$14:$C$213,$B24))</x:f>
        <x:v>0</x:v>
      </x:c>
      <x:c r="AA24" s="1244" t="str">
        <x:f>IF($B24="","",IFERROR(INDEX('24 RCC-004 Candidate Pipeline'!$Y$14:$Y$213,MATCH($B24,'24 RCC-004 Candidate Pipeline'!$C$14:$C$213,0)),""))</x:f>
      </x:c>
      <x:c r="AB24" s="1242" t="str">
        <x:v>Grandfathered — Certified Holding</x:v>
      </x:c>
      <x:c r="AC24" s="1244" t="str">
        <x:f>IF($B24="","",IF(COUNTIFS('24 RCC-004 Candidate Pipeline'!$C$14:$C$213,$B24,'24 RCC-004 Candidate Pipeline'!$AF$14:$AF$213,"Yes — Refer to PEW-004")&gt;0,"REFERRED — PEW-004",IF($Z24&gt;0,"CANDIDATE RECORD ACTIVE","NO ACTIVE CANDIDATE")))</x:f>
        <x:v>NO ACTIVE CANDIDATE</x:v>
      </x:c>
      <x:c r="AD24" s="1244" t="str">
        <x:f>IF($B24="","",IF($A24="","SETUP REQUIRED",IF(COUNTIF($A$14:$A$163,$A24)&gt;1,"DUPLICATE MASR ID",IF(COUNTIF($B$14:$B$163,$B24)&gt;1,"DUPLICATE TICKER",IF(OR($D24="",$E24="",$F24="",$G24="",$H24="",$I24=""),"INCOMPLETE",IF(OR($K24="",$L24=""),"MIAR SETUP REQUIRED",IF($X24="NOT ELIGIBLE","NOT ELIGIBLE",IF($Y24&lt;&gt;"None","EXCEPTION REVIEW",IF(AND($D24&lt;&gt;"Certified Portfolio Holding",OR($E24="Active — Approved Non-Holding",$E24="Conditional",$E24="Candidate — Committee Review"),OR($AB24="",$AB24="Pending")),"COMMITTEE DISPOSITION REQUIRED",IF(AND(OR($E24="Active — Approved Non-Holding",$E24="Conditional"),OR($AG24="",$AH24="")),"CERTIFICATION REQUIRED",IF(OR($E24="Rejected",$E24="Removed",$E24="Archived"),"INACTIVE / CLOSED","CONTROL CLEAR")))))))))))</x:f>
        <x:v>SETUP REQUIRED</x:v>
      </x:c>
      <x:c r="AE24" s="1244" t="str">
        <x:f>IF($AD24="","",IFERROR(INDEX('97 RCC Lists'!$AK$5:$AK$15,MATCH($AD24,'97 RCC Lists'!$AJ$5:$AJ$15,0)),"Review exception"))</x:f>
        <x:v>Assign canonical MASR ID and complete registry setup</x:v>
      </x:c>
      <x:c r="AF24" s="1251"/>
      <x:c r="AG24" s="1242"/>
      <x:c r="AH24" s="1251"/>
      <x:c r="AI24" s="1242"/>
    </x:row>
    <x:row r="25" ht="32" customHeight="1">
      <x:c r="A25" s="1242"/>
      <x:c r="B25" s="1252" t="str">
        <x:f>INDEX('Certified Allocation'!$B$5:$B$51,ROW()-13)</x:f>
        <x:v>NVDA</x:v>
      </x:c>
      <x:c r="C25" s="1252" t="str">
        <x:f>INDEX('Certified Allocation'!$C$5:$C$51,ROW()-13)</x:f>
        <x:v>NVIDIA Corporation</x:v>
      </x:c>
      <x:c r="D25" s="1253" t="str">
        <x:v>Certified Portfolio Holding</x:v>
      </x:c>
      <x:c r="E25" s="1253" t="str">
        <x:v>Active — Certified Holding</x:v>
      </x:c>
      <x:c r="F25" s="1253" t="str">
        <x:v>Certified MFPDF / Founders Edition</x:v>
      </x:c>
      <x:c r="G25" s="1252" t="str">
        <x:f>INDEX('Certified Allocation'!$A$5:$A$51,ROW()-13)</x:f>
        <x:v>Growth Compounders</x:v>
      </x:c>
      <x:c r="H25" s="1252" t="str">
        <x:f>INDEX('Certified Allocation'!$E$5:$E$51,ROW()-13)</x:f>
        <x:v>AI compute growth engine</x:v>
      </x:c>
      <x:c r="I25" s="1252" t="str">
        <x:f>INDEX('Certified Allocation'!$D$5:$D$51,ROW()-13)</x:f>
        <x:v>Equity</x:v>
      </x:c>
      <x:c r="J25" s="1254" t="n">
        <x:f>IF($B25="","",IFERROR(INDEX('Certified Allocation'!$F$5:$F$51,MATCH($B25,'Certified Allocation'!$B$5:$B$51,0)),""))</x:f>
        <x:v>0.0268</x:v>
      </x:c>
      <x:c r="K25" s="1252" t="str">
        <x:f>IF($B25="","",IFERROR(INDEX('20 RCC-003 MIAR Registry'!$A$14:$A$60,MATCH($B25,'20 RCC-003 MIAR Registry'!$B$14:$B$60,0)),""))</x:f>
      </x:c>
      <x:c r="L25" s="1252" t="str">
        <x:f>IF($B25="","",IFERROR(INDEX('20 RCC-003 MIAR Registry'!$M$14:$M$60,MATCH($B25,'20 RCC-003 MIAR Registry'!$B$14:$B$60,0)),""))</x:f>
      </x:c>
      <x:c r="M25" s="1252" t="str">
        <x:f>IF($B25="","",IFERROR(INDEX('20 RCC-003 MIAR Registry'!$Z$14:$Z$60,MATCH($B25,'20 RCC-003 MIAR Registry'!$B$14:$B$60,0)),""))</x:f>
        <x:v>NOT INITIALIZED</x:v>
      </x:c>
      <x:c r="N25" s="1255" t="str">
        <x:f>IF($B25="","",IFERROR(INDEX('20 RCC-003 MIAR Registry'!$K$14:$K$60,MATCH($B25,'20 RCC-003 MIAR Registry'!$B$14:$B$60,0)),""))</x:f>
      </x:c>
      <x:c r="O25" s="1255" t="str">
        <x:f>IF($B25="","",IFERROR(INDEX('20 RCC-003 MIAR Registry'!$L$14:$L$60,MATCH($B25,'20 RCC-003 MIAR Registry'!$B$14:$B$60,0)),""))</x:f>
      </x:c>
      <x:c r="P25" s="1252" t="str">
        <x:f>IF($B25="","",IFERROR(INDEX('20 RCC-003 MIAR Registry'!$I$14:$I$60,MATCH($B25,'20 RCC-003 MIAR Registry'!$B$14:$B$60,0)),""))</x:f>
        <x:v>Unassigned</x:v>
      </x:c>
      <x:c r="Q25" s="1252" t="str">
        <x:f>IF($B25="","",IFERROR(INDEX('20 RCC-003 MIAR Registry'!$J$14:$J$60,MATCH($B25,'20 RCC-003 MIAR Registry'!$B$14:$B$60,0)),""))</x:f>
      </x:c>
      <x:c r="R25" s="1256" t="n">
        <x:f>IF($B25="","",COUNTIF('18 RCC-002 Evidence Ledger'!$E$14:$E$213,$B25))</x:f>
        <x:v>0</x:v>
      </x:c>
      <x:c r="S25" s="1256" t="n">
        <x:f>IF($B25="","",COUNTIFS('18 RCC-002 Evidence Ledger'!$E$14:$E$213,$B25,'18 RCC-002 Evidence Ledger'!$T$14:$T$213,"&lt;&gt;Closed — No Action",'18 RCC-002 Evidence Ledger'!$T$14:$T$213,"&lt;&gt;Closed — Incorporated"))</x:f>
        <x:v>0</x:v>
      </x:c>
      <x:c r="T25" s="1248"/>
      <x:c r="U25" s="1249"/>
      <x:c r="V25" s="1242"/>
      <x:c r="W25" s="1248"/>
      <x:c r="X25" s="1253" t="str">
        <x:f>IF($B25="","",IF($D25="Certified Portfolio Holding","CERTIFIED HOLDING",IF(OR($A25="",$D25="",$E25="",$F25="",$G25="",$H25="",$I25=""),"NOT ASSESSED",IF(OR($K25="",$L25&lt;&gt;"Active",$M25="OVERDUE",$M25="MATERIAL EVENT REVIEW",$N25="",$O25="",$W25=""),"NOT ELIGIBLE",IF(OR(AND($F25="Zacks Election",OR($T25="",$T25&lt;50)),OR($U25=4,$U25=5),$V25="No Rating",$V25="Restricted / Unavailable"),"ELIGIBLE WITH EXCEPTION","ELIGIBLE")))))</x:f>
        <x:v>CERTIFIED HOLDING</x:v>
      </x:c>
      <x:c r="Y25" s="1253" t="str">
        <x:f>IF($B25="","",IF($A25="","Canonical MASR ID required",IF(AND($D25&lt;&gt;"Certified Portfolio Holding",OR($K25="",$L25&lt;&gt;"Active",$M25&lt;&gt;"CURRENT",$N25="",$O25="",$W25="")),"Complete MIAR / scoring / empirical eligibility",IF(AND($F25="Zacks Election",OR($T25="",$T25&lt;50)),"Sub-$50B Zacks election exception",IF(OR($U25=4,$U25=5),"Zacks #4/#5 exception review",IF($V25="No Rating","Merrill No Rating exception",IF($V25="Restricted / Unavailable","Merrill restricted / unavailable exception","None")))))))</x:f>
        <x:v>Canonical MASR ID required</x:v>
      </x:c>
      <x:c r="Z25" s="1257" t="n">
        <x:f>IF($B25="","",COUNTIF('24 RCC-004 Candidate Pipeline'!$C$14:$C$213,$B25))</x:f>
        <x:v>0</x:v>
      </x:c>
      <x:c r="AA25" s="1253" t="str">
        <x:f>IF($B25="","",IFERROR(INDEX('24 RCC-004 Candidate Pipeline'!$Y$14:$Y$213,MATCH($B25,'24 RCC-004 Candidate Pipeline'!$C$14:$C$213,0)),""))</x:f>
      </x:c>
      <x:c r="AB25" s="1242" t="str">
        <x:v>Grandfathered — Certified Holding</x:v>
      </x:c>
      <x:c r="AC25" s="1253" t="str">
        <x:f>IF($B25="","",IF(COUNTIFS('24 RCC-004 Candidate Pipeline'!$C$14:$C$213,$B25,'24 RCC-004 Candidate Pipeline'!$AF$14:$AF$213,"Yes — Refer to PEW-004")&gt;0,"REFERRED — PEW-004",IF($Z25&gt;0,"CANDIDATE RECORD ACTIVE","NO ACTIVE CANDIDATE")))</x:f>
        <x:v>NO ACTIVE CANDIDATE</x:v>
      </x:c>
      <x:c r="AD25" s="1253" t="str">
        <x:f>IF($B25="","",IF($A25="","SETUP REQUIRED",IF(COUNTIF($A$14:$A$163,$A25)&gt;1,"DUPLICATE MASR ID",IF(COUNTIF($B$14:$B$163,$B25)&gt;1,"DUPLICATE TICKER",IF(OR($D25="",$E25="",$F25="",$G25="",$H25="",$I25=""),"INCOMPLETE",IF(OR($K25="",$L25=""),"MIAR SETUP REQUIRED",IF($X25="NOT ELIGIBLE","NOT ELIGIBLE",IF($Y25&lt;&gt;"None","EXCEPTION REVIEW",IF(AND($D25&lt;&gt;"Certified Portfolio Holding",OR($E25="Active — Approved Non-Holding",$E25="Conditional",$E25="Candidate — Committee Review"),OR($AB25="",$AB25="Pending")),"COMMITTEE DISPOSITION REQUIRED",IF(AND(OR($E25="Active — Approved Non-Holding",$E25="Conditional"),OR($AG25="",$AH25="")),"CERTIFICATION REQUIRED",IF(OR($E25="Rejected",$E25="Removed",$E25="Archived"),"INACTIVE / CLOSED","CONTROL CLEAR")))))))))))</x:f>
        <x:v>SETUP REQUIRED</x:v>
      </x:c>
      <x:c r="AE25" s="1253" t="str">
        <x:f>IF($AD25="","",IFERROR(INDEX('97 RCC Lists'!$AK$5:$AK$15,MATCH($AD25,'97 RCC Lists'!$AJ$5:$AJ$15,0)),"Review exception"))</x:f>
        <x:v>Assign canonical MASR ID and complete registry setup</x:v>
      </x:c>
      <x:c r="AF25" s="1251"/>
      <x:c r="AG25" s="1242"/>
      <x:c r="AH25" s="1251"/>
      <x:c r="AI25" s="1242"/>
    </x:row>
    <x:row r="26" ht="32" customHeight="1">
      <x:c r="A26" s="1242"/>
      <x:c r="B26" s="1243" t="str">
        <x:f>INDEX('Certified Allocation'!$B$5:$B$51,ROW()-13)</x:f>
        <x:v>HD</x:v>
      </x:c>
      <x:c r="C26" s="1243" t="str">
        <x:f>INDEX('Certified Allocation'!$C$5:$C$51,ROW()-13)</x:f>
        <x:v>The Home Depot, Inc.</x:v>
      </x:c>
      <x:c r="D26" s="1244" t="str">
        <x:v>Certified Portfolio Holding</x:v>
      </x:c>
      <x:c r="E26" s="1244" t="str">
        <x:v>Active — Certified Holding</x:v>
      </x:c>
      <x:c r="F26" s="1244" t="str">
        <x:v>Certified MFPDF / Founders Edition</x:v>
      </x:c>
      <x:c r="G26" s="1243" t="str">
        <x:f>INDEX('Certified Allocation'!$A$5:$A$51,ROW()-13)</x:f>
        <x:v>Growth Compounders</x:v>
      </x:c>
      <x:c r="H26" s="1243" t="str">
        <x:f>INDEX('Certified Allocation'!$E$5:$E$51,ROW()-13)</x:f>
        <x:v>Housing and professional distribution compounder</x:v>
      </x:c>
      <x:c r="I26" s="1243" t="str">
        <x:f>INDEX('Certified Allocation'!$D$5:$D$51,ROW()-13)</x:f>
        <x:v>Equity</x:v>
      </x:c>
      <x:c r="J26" s="1245" t="n">
        <x:f>IF($B26="","",IFERROR(INDEX('Certified Allocation'!$F$5:$F$51,MATCH($B26,'Certified Allocation'!$B$5:$B$51,0)),""))</x:f>
        <x:v>0.0156</x:v>
      </x:c>
      <x:c r="K26" s="1243" t="str">
        <x:f>IF($B26="","",IFERROR(INDEX('20 RCC-003 MIAR Registry'!$A$14:$A$60,MATCH($B26,'20 RCC-003 MIAR Registry'!$B$14:$B$60,0)),""))</x:f>
      </x:c>
      <x:c r="L26" s="1243" t="str">
        <x:f>IF($B26="","",IFERROR(INDEX('20 RCC-003 MIAR Registry'!$M$14:$M$60,MATCH($B26,'20 RCC-003 MIAR Registry'!$B$14:$B$60,0)),""))</x:f>
      </x:c>
      <x:c r="M26" s="1243" t="str">
        <x:f>IF($B26="","",IFERROR(INDEX('20 RCC-003 MIAR Registry'!$Z$14:$Z$60,MATCH($B26,'20 RCC-003 MIAR Registry'!$B$14:$B$60,0)),""))</x:f>
        <x:v>NOT INITIALIZED</x:v>
      </x:c>
      <x:c r="N26" s="1246" t="str">
        <x:f>IF($B26="","",IFERROR(INDEX('20 RCC-003 MIAR Registry'!$K$14:$K$60,MATCH($B26,'20 RCC-003 MIAR Registry'!$B$14:$B$60,0)),""))</x:f>
      </x:c>
      <x:c r="O26" s="1246" t="str">
        <x:f>IF($B26="","",IFERROR(INDEX('20 RCC-003 MIAR Registry'!$L$14:$L$60,MATCH($B26,'20 RCC-003 MIAR Registry'!$B$14:$B$60,0)),""))</x:f>
      </x:c>
      <x:c r="P26" s="1243" t="str">
        <x:f>IF($B26="","",IFERROR(INDEX('20 RCC-003 MIAR Registry'!$I$14:$I$60,MATCH($B26,'20 RCC-003 MIAR Registry'!$B$14:$B$60,0)),""))</x:f>
        <x:v>Unassigned</x:v>
      </x:c>
      <x:c r="Q26" s="1243" t="str">
        <x:f>IF($B26="","",IFERROR(INDEX('20 RCC-003 MIAR Registry'!$J$14:$J$60,MATCH($B26,'20 RCC-003 MIAR Registry'!$B$14:$B$60,0)),""))</x:f>
      </x:c>
      <x:c r="R26" s="1247" t="n">
        <x:f>IF($B26="","",COUNTIF('18 RCC-002 Evidence Ledger'!$E$14:$E$213,$B26))</x:f>
        <x:v>0</x:v>
      </x:c>
      <x:c r="S26" s="1247" t="n">
        <x:f>IF($B26="","",COUNTIFS('18 RCC-002 Evidence Ledger'!$E$14:$E$213,$B26,'18 RCC-002 Evidence Ledger'!$T$14:$T$213,"&lt;&gt;Closed — No Action",'18 RCC-002 Evidence Ledger'!$T$14:$T$213,"&lt;&gt;Closed — Incorporated"))</x:f>
        <x:v>0</x:v>
      </x:c>
      <x:c r="T26" s="1248"/>
      <x:c r="U26" s="1249"/>
      <x:c r="V26" s="1242"/>
      <x:c r="W26" s="1248"/>
      <x:c r="X26" s="1244" t="str">
        <x:f>IF($B26="","",IF($D26="Certified Portfolio Holding","CERTIFIED HOLDING",IF(OR($A26="",$D26="",$E26="",$F26="",$G26="",$H26="",$I26=""),"NOT ASSESSED",IF(OR($K26="",$L26&lt;&gt;"Active",$M26="OVERDUE",$M26="MATERIAL EVENT REVIEW",$N26="",$O26="",$W26=""),"NOT ELIGIBLE",IF(OR(AND($F26="Zacks Election",OR($T26="",$T26&lt;50)),OR($U26=4,$U26=5),$V26="No Rating",$V26="Restricted / Unavailable"),"ELIGIBLE WITH EXCEPTION","ELIGIBLE")))))</x:f>
        <x:v>CERTIFIED HOLDING</x:v>
      </x:c>
      <x:c r="Y26" s="1244" t="str">
        <x:f>IF($B26="","",IF($A26="","Canonical MASR ID required",IF(AND($D26&lt;&gt;"Certified Portfolio Holding",OR($K26="",$L26&lt;&gt;"Active",$M26&lt;&gt;"CURRENT",$N26="",$O26="",$W26="")),"Complete MIAR / scoring / empirical eligibility",IF(AND($F26="Zacks Election",OR($T26="",$T26&lt;50)),"Sub-$50B Zacks election exception",IF(OR($U26=4,$U26=5),"Zacks #4/#5 exception review",IF($V26="No Rating","Merrill No Rating exception",IF($V26="Restricted / Unavailable","Merrill restricted / unavailable exception","None")))))))</x:f>
        <x:v>Canonical MASR ID required</x:v>
      </x:c>
      <x:c r="Z26" s="1250" t="n">
        <x:f>IF($B26="","",COUNTIF('24 RCC-004 Candidate Pipeline'!$C$14:$C$213,$B26))</x:f>
        <x:v>0</x:v>
      </x:c>
      <x:c r="AA26" s="1244" t="str">
        <x:f>IF($B26="","",IFERROR(INDEX('24 RCC-004 Candidate Pipeline'!$Y$14:$Y$213,MATCH($B26,'24 RCC-004 Candidate Pipeline'!$C$14:$C$213,0)),""))</x:f>
      </x:c>
      <x:c r="AB26" s="1242" t="str">
        <x:v>Grandfathered — Certified Holding</x:v>
      </x:c>
      <x:c r="AC26" s="1244" t="str">
        <x:f>IF($B26="","",IF(COUNTIFS('24 RCC-004 Candidate Pipeline'!$C$14:$C$213,$B26,'24 RCC-004 Candidate Pipeline'!$AF$14:$AF$213,"Yes — Refer to PEW-004")&gt;0,"REFERRED — PEW-004",IF($Z26&gt;0,"CANDIDATE RECORD ACTIVE","NO ACTIVE CANDIDATE")))</x:f>
        <x:v>NO ACTIVE CANDIDATE</x:v>
      </x:c>
      <x:c r="AD26" s="1244" t="str">
        <x:f>IF($B26="","",IF($A26="","SETUP REQUIRED",IF(COUNTIF($A$14:$A$163,$A26)&gt;1,"DUPLICATE MASR ID",IF(COUNTIF($B$14:$B$163,$B26)&gt;1,"DUPLICATE TICKER",IF(OR($D26="",$E26="",$F26="",$G26="",$H26="",$I26=""),"INCOMPLETE",IF(OR($K26="",$L26=""),"MIAR SETUP REQUIRED",IF($X26="NOT ELIGIBLE","NOT ELIGIBLE",IF($Y26&lt;&gt;"None","EXCEPTION REVIEW",IF(AND($D26&lt;&gt;"Certified Portfolio Holding",OR($E26="Active — Approved Non-Holding",$E26="Conditional",$E26="Candidate — Committee Review"),OR($AB26="",$AB26="Pending")),"COMMITTEE DISPOSITION REQUIRED",IF(AND(OR($E26="Active — Approved Non-Holding",$E26="Conditional"),OR($AG26="",$AH26="")),"CERTIFICATION REQUIRED",IF(OR($E26="Rejected",$E26="Removed",$E26="Archived"),"INACTIVE / CLOSED","CONTROL CLEAR")))))))))))</x:f>
        <x:v>SETUP REQUIRED</x:v>
      </x:c>
      <x:c r="AE26" s="1244" t="str">
        <x:f>IF($AD26="","",IFERROR(INDEX('97 RCC Lists'!$AK$5:$AK$15,MATCH($AD26,'97 RCC Lists'!$AJ$5:$AJ$15,0)),"Review exception"))</x:f>
        <x:v>Assign canonical MASR ID and complete registry setup</x:v>
      </x:c>
      <x:c r="AF26" s="1251"/>
      <x:c r="AG26" s="1242"/>
      <x:c r="AH26" s="1251"/>
      <x:c r="AI26" s="1242"/>
    </x:row>
    <x:row r="27" ht="32" customHeight="1">
      <x:c r="A27" s="1242"/>
      <x:c r="B27" s="1252" t="str">
        <x:f>INDEX('Certified Allocation'!$B$5:$B$51,ROW()-13)</x:f>
        <x:v>META</x:v>
      </x:c>
      <x:c r="C27" s="1252" t="str">
        <x:f>INDEX('Certified Allocation'!$C$5:$C$51,ROW()-13)</x:f>
        <x:v>Meta Platforms, Inc.</x:v>
      </x:c>
      <x:c r="D27" s="1253" t="str">
        <x:v>Certified Portfolio Holding</x:v>
      </x:c>
      <x:c r="E27" s="1253" t="str">
        <x:v>Active — Certified Holding</x:v>
      </x:c>
      <x:c r="F27" s="1253" t="str">
        <x:v>Certified MFPDF / Founders Edition</x:v>
      </x:c>
      <x:c r="G27" s="1252" t="str">
        <x:f>INDEX('Certified Allocation'!$A$5:$A$51,ROW()-13)</x:f>
        <x:v>Growth Compounders</x:v>
      </x:c>
      <x:c r="H27" s="1252" t="str">
        <x:f>INDEX('Certified Allocation'!$E$5:$E$51,ROW()-13)</x:f>
        <x:v>Digital platform and AI compounder</x:v>
      </x:c>
      <x:c r="I27" s="1252" t="str">
        <x:f>INDEX('Certified Allocation'!$D$5:$D$51,ROW()-13)</x:f>
        <x:v>Equity</x:v>
      </x:c>
      <x:c r="J27" s="1254" t="n">
        <x:f>IF($B27="","",IFERROR(INDEX('Certified Allocation'!$F$5:$F$51,MATCH($B27,'Certified Allocation'!$B$5:$B$51,0)),""))</x:f>
        <x:v>0.0156</x:v>
      </x:c>
      <x:c r="K27" s="1252" t="str">
        <x:f>IF($B27="","",IFERROR(INDEX('20 RCC-003 MIAR Registry'!$A$14:$A$60,MATCH($B27,'20 RCC-003 MIAR Registry'!$B$14:$B$60,0)),""))</x:f>
      </x:c>
      <x:c r="L27" s="1252" t="str">
        <x:f>IF($B27="","",IFERROR(INDEX('20 RCC-003 MIAR Registry'!$M$14:$M$60,MATCH($B27,'20 RCC-003 MIAR Registry'!$B$14:$B$60,0)),""))</x:f>
      </x:c>
      <x:c r="M27" s="1252" t="str">
        <x:f>IF($B27="","",IFERROR(INDEX('20 RCC-003 MIAR Registry'!$Z$14:$Z$60,MATCH($B27,'20 RCC-003 MIAR Registry'!$B$14:$B$60,0)),""))</x:f>
        <x:v>NOT INITIALIZED</x:v>
      </x:c>
      <x:c r="N27" s="1255" t="str">
        <x:f>IF($B27="","",IFERROR(INDEX('20 RCC-003 MIAR Registry'!$K$14:$K$60,MATCH($B27,'20 RCC-003 MIAR Registry'!$B$14:$B$60,0)),""))</x:f>
      </x:c>
      <x:c r="O27" s="1255" t="str">
        <x:f>IF($B27="","",IFERROR(INDEX('20 RCC-003 MIAR Registry'!$L$14:$L$60,MATCH($B27,'20 RCC-003 MIAR Registry'!$B$14:$B$60,0)),""))</x:f>
      </x:c>
      <x:c r="P27" s="1252" t="str">
        <x:f>IF($B27="","",IFERROR(INDEX('20 RCC-003 MIAR Registry'!$I$14:$I$60,MATCH($B27,'20 RCC-003 MIAR Registry'!$B$14:$B$60,0)),""))</x:f>
        <x:v>Unassigned</x:v>
      </x:c>
      <x:c r="Q27" s="1252" t="str">
        <x:f>IF($B27="","",IFERROR(INDEX('20 RCC-003 MIAR Registry'!$J$14:$J$60,MATCH($B27,'20 RCC-003 MIAR Registry'!$B$14:$B$60,0)),""))</x:f>
      </x:c>
      <x:c r="R27" s="1256" t="n">
        <x:f>IF($B27="","",COUNTIF('18 RCC-002 Evidence Ledger'!$E$14:$E$213,$B27))</x:f>
        <x:v>0</x:v>
      </x:c>
      <x:c r="S27" s="1256" t="n">
        <x:f>IF($B27="","",COUNTIFS('18 RCC-002 Evidence Ledger'!$E$14:$E$213,$B27,'18 RCC-002 Evidence Ledger'!$T$14:$T$213,"&lt;&gt;Closed — No Action",'18 RCC-002 Evidence Ledger'!$T$14:$T$213,"&lt;&gt;Closed — Incorporated"))</x:f>
        <x:v>0</x:v>
      </x:c>
      <x:c r="T27" s="1248"/>
      <x:c r="U27" s="1249"/>
      <x:c r="V27" s="1242"/>
      <x:c r="W27" s="1248"/>
      <x:c r="X27" s="1253" t="str">
        <x:f>IF($B27="","",IF($D27="Certified Portfolio Holding","CERTIFIED HOLDING",IF(OR($A27="",$D27="",$E27="",$F27="",$G27="",$H27="",$I27=""),"NOT ASSESSED",IF(OR($K27="",$L27&lt;&gt;"Active",$M27="OVERDUE",$M27="MATERIAL EVENT REVIEW",$N27="",$O27="",$W27=""),"NOT ELIGIBLE",IF(OR(AND($F27="Zacks Election",OR($T27="",$T27&lt;50)),OR($U27=4,$U27=5),$V27="No Rating",$V27="Restricted / Unavailable"),"ELIGIBLE WITH EXCEPTION","ELIGIBLE")))))</x:f>
        <x:v>CERTIFIED HOLDING</x:v>
      </x:c>
      <x:c r="Y27" s="1253" t="str">
        <x:f>IF($B27="","",IF($A27="","Canonical MASR ID required",IF(AND($D27&lt;&gt;"Certified Portfolio Holding",OR($K27="",$L27&lt;&gt;"Active",$M27&lt;&gt;"CURRENT",$N27="",$O27="",$W27="")),"Complete MIAR / scoring / empirical eligibility",IF(AND($F27="Zacks Election",OR($T27="",$T27&lt;50)),"Sub-$50B Zacks election exception",IF(OR($U27=4,$U27=5),"Zacks #4/#5 exception review",IF($V27="No Rating","Merrill No Rating exception",IF($V27="Restricted / Unavailable","Merrill restricted / unavailable exception","None")))))))</x:f>
        <x:v>Canonical MASR ID required</x:v>
      </x:c>
      <x:c r="Z27" s="1257" t="n">
        <x:f>IF($B27="","",COUNTIF('24 RCC-004 Candidate Pipeline'!$C$14:$C$213,$B27))</x:f>
        <x:v>0</x:v>
      </x:c>
      <x:c r="AA27" s="1253" t="str">
        <x:f>IF($B27="","",IFERROR(INDEX('24 RCC-004 Candidate Pipeline'!$Y$14:$Y$213,MATCH($B27,'24 RCC-004 Candidate Pipeline'!$C$14:$C$213,0)),""))</x:f>
      </x:c>
      <x:c r="AB27" s="1242" t="str">
        <x:v>Grandfathered — Certified Holding</x:v>
      </x:c>
      <x:c r="AC27" s="1253" t="str">
        <x:f>IF($B27="","",IF(COUNTIFS('24 RCC-004 Candidate Pipeline'!$C$14:$C$213,$B27,'24 RCC-004 Candidate Pipeline'!$AF$14:$AF$213,"Yes — Refer to PEW-004")&gt;0,"REFERRED — PEW-004",IF($Z27&gt;0,"CANDIDATE RECORD ACTIVE","NO ACTIVE CANDIDATE")))</x:f>
        <x:v>NO ACTIVE CANDIDATE</x:v>
      </x:c>
      <x:c r="AD27" s="1253" t="str">
        <x:f>IF($B27="","",IF($A27="","SETUP REQUIRED",IF(COUNTIF($A$14:$A$163,$A27)&gt;1,"DUPLICATE MASR ID",IF(COUNTIF($B$14:$B$163,$B27)&gt;1,"DUPLICATE TICKER",IF(OR($D27="",$E27="",$F27="",$G27="",$H27="",$I27=""),"INCOMPLETE",IF(OR($K27="",$L27=""),"MIAR SETUP REQUIRED",IF($X27="NOT ELIGIBLE","NOT ELIGIBLE",IF($Y27&lt;&gt;"None","EXCEPTION REVIEW",IF(AND($D27&lt;&gt;"Certified Portfolio Holding",OR($E27="Active — Approved Non-Holding",$E27="Conditional",$E27="Candidate — Committee Review"),OR($AB27="",$AB27="Pending")),"COMMITTEE DISPOSITION REQUIRED",IF(AND(OR($E27="Active — Approved Non-Holding",$E27="Conditional"),OR($AG27="",$AH27="")),"CERTIFICATION REQUIRED",IF(OR($E27="Rejected",$E27="Removed",$E27="Archived"),"INACTIVE / CLOSED","CONTROL CLEAR")))))))))))</x:f>
        <x:v>SETUP REQUIRED</x:v>
      </x:c>
      <x:c r="AE27" s="1253" t="str">
        <x:f>IF($AD27="","",IFERROR(INDEX('97 RCC Lists'!$AK$5:$AK$15,MATCH($AD27,'97 RCC Lists'!$AJ$5:$AJ$15,0)),"Review exception"))</x:f>
        <x:v>Assign canonical MASR ID and complete registry setup</x:v>
      </x:c>
      <x:c r="AF27" s="1251"/>
      <x:c r="AG27" s="1242"/>
      <x:c r="AH27" s="1251"/>
      <x:c r="AI27" s="1242"/>
    </x:row>
    <x:row r="28" ht="32" customHeight="1">
      <x:c r="A28" s="1242"/>
      <x:c r="B28" s="1243" t="str">
        <x:f>INDEX('Certified Allocation'!$B$5:$B$51,ROW()-13)</x:f>
        <x:v>ANET</x:v>
      </x:c>
      <x:c r="C28" s="1243" t="str">
        <x:f>INDEX('Certified Allocation'!$C$5:$C$51,ROW()-13)</x:f>
        <x:v>Arista Networks, Inc.</x:v>
      </x:c>
      <x:c r="D28" s="1244" t="str">
        <x:v>Certified Portfolio Holding</x:v>
      </x:c>
      <x:c r="E28" s="1244" t="str">
        <x:v>Active — Certified Holding</x:v>
      </x:c>
      <x:c r="F28" s="1244" t="str">
        <x:v>Certified MFPDF / Founders Edition</x:v>
      </x:c>
      <x:c r="G28" s="1243" t="str">
        <x:f>INDEX('Certified Allocation'!$A$5:$A$51,ROW()-13)</x:f>
        <x:v>Growth Compounders</x:v>
      </x:c>
      <x:c r="H28" s="1243" t="str">
        <x:f>INDEX('Certified Allocation'!$E$5:$E$51,ROW()-13)</x:f>
        <x:v>AI networking compounder</x:v>
      </x:c>
      <x:c r="I28" s="1243" t="str">
        <x:f>INDEX('Certified Allocation'!$D$5:$D$51,ROW()-13)</x:f>
        <x:v>Equity</x:v>
      </x:c>
      <x:c r="J28" s="1245" t="n">
        <x:f>IF($B28="","",IFERROR(INDEX('Certified Allocation'!$F$5:$F$51,MATCH($B28,'Certified Allocation'!$B$5:$B$51,0)),""))</x:f>
        <x:v>0.0155</x:v>
      </x:c>
      <x:c r="K28" s="1243" t="str">
        <x:f>IF($B28="","",IFERROR(INDEX('20 RCC-003 MIAR Registry'!$A$14:$A$60,MATCH($B28,'20 RCC-003 MIAR Registry'!$B$14:$B$60,0)),""))</x:f>
      </x:c>
      <x:c r="L28" s="1243" t="str">
        <x:f>IF($B28="","",IFERROR(INDEX('20 RCC-003 MIAR Registry'!$M$14:$M$60,MATCH($B28,'20 RCC-003 MIAR Registry'!$B$14:$B$60,0)),""))</x:f>
      </x:c>
      <x:c r="M28" s="1243" t="str">
        <x:f>IF($B28="","",IFERROR(INDEX('20 RCC-003 MIAR Registry'!$Z$14:$Z$60,MATCH($B28,'20 RCC-003 MIAR Registry'!$B$14:$B$60,0)),""))</x:f>
        <x:v>NOT INITIALIZED</x:v>
      </x:c>
      <x:c r="N28" s="1246" t="str">
        <x:f>IF($B28="","",IFERROR(INDEX('20 RCC-003 MIAR Registry'!$K$14:$K$60,MATCH($B28,'20 RCC-003 MIAR Registry'!$B$14:$B$60,0)),""))</x:f>
      </x:c>
      <x:c r="O28" s="1246" t="str">
        <x:f>IF($B28="","",IFERROR(INDEX('20 RCC-003 MIAR Registry'!$L$14:$L$60,MATCH($B28,'20 RCC-003 MIAR Registry'!$B$14:$B$60,0)),""))</x:f>
      </x:c>
      <x:c r="P28" s="1243" t="str">
        <x:f>IF($B28="","",IFERROR(INDEX('20 RCC-003 MIAR Registry'!$I$14:$I$60,MATCH($B28,'20 RCC-003 MIAR Registry'!$B$14:$B$60,0)),""))</x:f>
        <x:v>Unassigned</x:v>
      </x:c>
      <x:c r="Q28" s="1243" t="str">
        <x:f>IF($B28="","",IFERROR(INDEX('20 RCC-003 MIAR Registry'!$J$14:$J$60,MATCH($B28,'20 RCC-003 MIAR Registry'!$B$14:$B$60,0)),""))</x:f>
      </x:c>
      <x:c r="R28" s="1247" t="n">
        <x:f>IF($B28="","",COUNTIF('18 RCC-002 Evidence Ledger'!$E$14:$E$213,$B28))</x:f>
        <x:v>0</x:v>
      </x:c>
      <x:c r="S28" s="1247" t="n">
        <x:f>IF($B28="","",COUNTIFS('18 RCC-002 Evidence Ledger'!$E$14:$E$213,$B28,'18 RCC-002 Evidence Ledger'!$T$14:$T$213,"&lt;&gt;Closed — No Action",'18 RCC-002 Evidence Ledger'!$T$14:$T$213,"&lt;&gt;Closed — Incorporated"))</x:f>
        <x:v>0</x:v>
      </x:c>
      <x:c r="T28" s="1248"/>
      <x:c r="U28" s="1249"/>
      <x:c r="V28" s="1242"/>
      <x:c r="W28" s="1248"/>
      <x:c r="X28" s="1244" t="str">
        <x:f>IF($B28="","",IF($D28="Certified Portfolio Holding","CERTIFIED HOLDING",IF(OR($A28="",$D28="",$E28="",$F28="",$G28="",$H28="",$I28=""),"NOT ASSESSED",IF(OR($K28="",$L28&lt;&gt;"Active",$M28="OVERDUE",$M28="MATERIAL EVENT REVIEW",$N28="",$O28="",$W28=""),"NOT ELIGIBLE",IF(OR(AND($F28="Zacks Election",OR($T28="",$T28&lt;50)),OR($U28=4,$U28=5),$V28="No Rating",$V28="Restricted / Unavailable"),"ELIGIBLE WITH EXCEPTION","ELIGIBLE")))))</x:f>
        <x:v>CERTIFIED HOLDING</x:v>
      </x:c>
      <x:c r="Y28" s="1244" t="str">
        <x:f>IF($B28="","",IF($A28="","Canonical MASR ID required",IF(AND($D28&lt;&gt;"Certified Portfolio Holding",OR($K28="",$L28&lt;&gt;"Active",$M28&lt;&gt;"CURRENT",$N28="",$O28="",$W28="")),"Complete MIAR / scoring / empirical eligibility",IF(AND($F28="Zacks Election",OR($T28="",$T28&lt;50)),"Sub-$50B Zacks election exception",IF(OR($U28=4,$U28=5),"Zacks #4/#5 exception review",IF($V28="No Rating","Merrill No Rating exception",IF($V28="Restricted / Unavailable","Merrill restricted / unavailable exception","None")))))))</x:f>
        <x:v>Canonical MASR ID required</x:v>
      </x:c>
      <x:c r="Z28" s="1250" t="n">
        <x:f>IF($B28="","",COUNTIF('24 RCC-004 Candidate Pipeline'!$C$14:$C$213,$B28))</x:f>
        <x:v>0</x:v>
      </x:c>
      <x:c r="AA28" s="1244" t="str">
        <x:f>IF($B28="","",IFERROR(INDEX('24 RCC-004 Candidate Pipeline'!$Y$14:$Y$213,MATCH($B28,'24 RCC-004 Candidate Pipeline'!$C$14:$C$213,0)),""))</x:f>
      </x:c>
      <x:c r="AB28" s="1242" t="str">
        <x:v>Grandfathered — Certified Holding</x:v>
      </x:c>
      <x:c r="AC28" s="1244" t="str">
        <x:f>IF($B28="","",IF(COUNTIFS('24 RCC-004 Candidate Pipeline'!$C$14:$C$213,$B28,'24 RCC-004 Candidate Pipeline'!$AF$14:$AF$213,"Yes — Refer to PEW-004")&gt;0,"REFERRED — PEW-004",IF($Z28&gt;0,"CANDIDATE RECORD ACTIVE","NO ACTIVE CANDIDATE")))</x:f>
        <x:v>NO ACTIVE CANDIDATE</x:v>
      </x:c>
      <x:c r="AD28" s="1244" t="str">
        <x:f>IF($B28="","",IF($A28="","SETUP REQUIRED",IF(COUNTIF($A$14:$A$163,$A28)&gt;1,"DUPLICATE MASR ID",IF(COUNTIF($B$14:$B$163,$B28)&gt;1,"DUPLICATE TICKER",IF(OR($D28="",$E28="",$F28="",$G28="",$H28="",$I28=""),"INCOMPLETE",IF(OR($K28="",$L28=""),"MIAR SETUP REQUIRED",IF($X28="NOT ELIGIBLE","NOT ELIGIBLE",IF($Y28&lt;&gt;"None","EXCEPTION REVIEW",IF(AND($D28&lt;&gt;"Certified Portfolio Holding",OR($E28="Active — Approved Non-Holding",$E28="Conditional",$E28="Candidate — Committee Review"),OR($AB28="",$AB28="Pending")),"COMMITTEE DISPOSITION REQUIRED",IF(AND(OR($E28="Active — Approved Non-Holding",$E28="Conditional"),OR($AG28="",$AH28="")),"CERTIFICATION REQUIRED",IF(OR($E28="Rejected",$E28="Removed",$E28="Archived"),"INACTIVE / CLOSED","CONTROL CLEAR")))))))))))</x:f>
        <x:v>SETUP REQUIRED</x:v>
      </x:c>
      <x:c r="AE28" s="1244" t="str">
        <x:f>IF($AD28="","",IFERROR(INDEX('97 RCC Lists'!$AK$5:$AK$15,MATCH($AD28,'97 RCC Lists'!$AJ$5:$AJ$15,0)),"Review exception"))</x:f>
        <x:v>Assign canonical MASR ID and complete registry setup</x:v>
      </x:c>
      <x:c r="AF28" s="1251"/>
      <x:c r="AG28" s="1242"/>
      <x:c r="AH28" s="1251"/>
      <x:c r="AI28" s="1242"/>
    </x:row>
    <x:row r="29" ht="32" customHeight="1">
      <x:c r="A29" s="1242"/>
      <x:c r="B29" s="1252" t="str">
        <x:f>INDEX('Certified Allocation'!$B$5:$B$51,ROW()-13)</x:f>
        <x:v>PANW</x:v>
      </x:c>
      <x:c r="C29" s="1252" t="str">
        <x:f>INDEX('Certified Allocation'!$C$5:$C$51,ROW()-13)</x:f>
        <x:v>Palo Alto Networks, Inc.</x:v>
      </x:c>
      <x:c r="D29" s="1253" t="str">
        <x:v>Certified Portfolio Holding</x:v>
      </x:c>
      <x:c r="E29" s="1253" t="str">
        <x:v>Active — Certified Holding</x:v>
      </x:c>
      <x:c r="F29" s="1253" t="str">
        <x:v>Certified MFPDF / Founders Edition</x:v>
      </x:c>
      <x:c r="G29" s="1252" t="str">
        <x:f>INDEX('Certified Allocation'!$A$5:$A$51,ROW()-13)</x:f>
        <x:v>Digital Infrastructure &amp; AI</x:v>
      </x:c>
      <x:c r="H29" s="1252" t="str">
        <x:f>INDEX('Certified Allocation'!$E$5:$E$51,ROW()-13)</x:f>
        <x:v>Cybersecurity infrastructure leader</x:v>
      </x:c>
      <x:c r="I29" s="1252" t="str">
        <x:f>INDEX('Certified Allocation'!$D$5:$D$51,ROW()-13)</x:f>
        <x:v>Equity</x:v>
      </x:c>
      <x:c r="J29" s="1254" t="n">
        <x:f>IF($B29="","",IFERROR(INDEX('Certified Allocation'!$F$5:$F$51,MATCH($B29,'Certified Allocation'!$B$5:$B$51,0)),""))</x:f>
        <x:v>0.0199</x:v>
      </x:c>
      <x:c r="K29" s="1252" t="str">
        <x:f>IF($B29="","",IFERROR(INDEX('20 RCC-003 MIAR Registry'!$A$14:$A$60,MATCH($B29,'20 RCC-003 MIAR Registry'!$B$14:$B$60,0)),""))</x:f>
      </x:c>
      <x:c r="L29" s="1252" t="str">
        <x:f>IF($B29="","",IFERROR(INDEX('20 RCC-003 MIAR Registry'!$M$14:$M$60,MATCH($B29,'20 RCC-003 MIAR Registry'!$B$14:$B$60,0)),""))</x:f>
      </x:c>
      <x:c r="M29" s="1252" t="str">
        <x:f>IF($B29="","",IFERROR(INDEX('20 RCC-003 MIAR Registry'!$Z$14:$Z$60,MATCH($B29,'20 RCC-003 MIAR Registry'!$B$14:$B$60,0)),""))</x:f>
        <x:v>NOT INITIALIZED</x:v>
      </x:c>
      <x:c r="N29" s="1255" t="str">
        <x:f>IF($B29="","",IFERROR(INDEX('20 RCC-003 MIAR Registry'!$K$14:$K$60,MATCH($B29,'20 RCC-003 MIAR Registry'!$B$14:$B$60,0)),""))</x:f>
      </x:c>
      <x:c r="O29" s="1255" t="str">
        <x:f>IF($B29="","",IFERROR(INDEX('20 RCC-003 MIAR Registry'!$L$14:$L$60,MATCH($B29,'20 RCC-003 MIAR Registry'!$B$14:$B$60,0)),""))</x:f>
      </x:c>
      <x:c r="P29" s="1252" t="str">
        <x:f>IF($B29="","",IFERROR(INDEX('20 RCC-003 MIAR Registry'!$I$14:$I$60,MATCH($B29,'20 RCC-003 MIAR Registry'!$B$14:$B$60,0)),""))</x:f>
        <x:v>Unassigned</x:v>
      </x:c>
      <x:c r="Q29" s="1252" t="str">
        <x:f>IF($B29="","",IFERROR(INDEX('20 RCC-003 MIAR Registry'!$J$14:$J$60,MATCH($B29,'20 RCC-003 MIAR Registry'!$B$14:$B$60,0)),""))</x:f>
      </x:c>
      <x:c r="R29" s="1256" t="n">
        <x:f>IF($B29="","",COUNTIF('18 RCC-002 Evidence Ledger'!$E$14:$E$213,$B29))</x:f>
        <x:v>0</x:v>
      </x:c>
      <x:c r="S29" s="1256" t="n">
        <x:f>IF($B29="","",COUNTIFS('18 RCC-002 Evidence Ledger'!$E$14:$E$213,$B29,'18 RCC-002 Evidence Ledger'!$T$14:$T$213,"&lt;&gt;Closed — No Action",'18 RCC-002 Evidence Ledger'!$T$14:$T$213,"&lt;&gt;Closed — Incorporated"))</x:f>
        <x:v>0</x:v>
      </x:c>
      <x:c r="T29" s="1248"/>
      <x:c r="U29" s="1249"/>
      <x:c r="V29" s="1242"/>
      <x:c r="W29" s="1248"/>
      <x:c r="X29" s="1253" t="str">
        <x:f>IF($B29="","",IF($D29="Certified Portfolio Holding","CERTIFIED HOLDING",IF(OR($A29="",$D29="",$E29="",$F29="",$G29="",$H29="",$I29=""),"NOT ASSESSED",IF(OR($K29="",$L29&lt;&gt;"Active",$M29="OVERDUE",$M29="MATERIAL EVENT REVIEW",$N29="",$O29="",$W29=""),"NOT ELIGIBLE",IF(OR(AND($F29="Zacks Election",OR($T29="",$T29&lt;50)),OR($U29=4,$U29=5),$V29="No Rating",$V29="Restricted / Unavailable"),"ELIGIBLE WITH EXCEPTION","ELIGIBLE")))))</x:f>
        <x:v>CERTIFIED HOLDING</x:v>
      </x:c>
      <x:c r="Y29" s="1253" t="str">
        <x:f>IF($B29="","",IF($A29="","Canonical MASR ID required",IF(AND($D29&lt;&gt;"Certified Portfolio Holding",OR($K29="",$L29&lt;&gt;"Active",$M29&lt;&gt;"CURRENT",$N29="",$O29="",$W29="")),"Complete MIAR / scoring / empirical eligibility",IF(AND($F29="Zacks Election",OR($T29="",$T29&lt;50)),"Sub-$50B Zacks election exception",IF(OR($U29=4,$U29=5),"Zacks #4/#5 exception review",IF($V29="No Rating","Merrill No Rating exception",IF($V29="Restricted / Unavailable","Merrill restricted / unavailable exception","None")))))))</x:f>
        <x:v>Canonical MASR ID required</x:v>
      </x:c>
      <x:c r="Z29" s="1257" t="n">
        <x:f>IF($B29="","",COUNTIF('24 RCC-004 Candidate Pipeline'!$C$14:$C$213,$B29))</x:f>
        <x:v>0</x:v>
      </x:c>
      <x:c r="AA29" s="1253" t="str">
        <x:f>IF($B29="","",IFERROR(INDEX('24 RCC-004 Candidate Pipeline'!$Y$14:$Y$213,MATCH($B29,'24 RCC-004 Candidate Pipeline'!$C$14:$C$213,0)),""))</x:f>
      </x:c>
      <x:c r="AB29" s="1242" t="str">
        <x:v>Grandfathered — Certified Holding</x:v>
      </x:c>
      <x:c r="AC29" s="1253" t="str">
        <x:f>IF($B29="","",IF(COUNTIFS('24 RCC-004 Candidate Pipeline'!$C$14:$C$213,$B29,'24 RCC-004 Candidate Pipeline'!$AF$14:$AF$213,"Yes — Refer to PEW-004")&gt;0,"REFERRED — PEW-004",IF($Z29&gt;0,"CANDIDATE RECORD ACTIVE","NO ACTIVE CANDIDATE")))</x:f>
        <x:v>NO ACTIVE CANDIDATE</x:v>
      </x:c>
      <x:c r="AD29" s="1253" t="str">
        <x:f>IF($B29="","",IF($A29="","SETUP REQUIRED",IF(COUNTIF($A$14:$A$163,$A29)&gt;1,"DUPLICATE MASR ID",IF(COUNTIF($B$14:$B$163,$B29)&gt;1,"DUPLICATE TICKER",IF(OR($D29="",$E29="",$F29="",$G29="",$H29="",$I29=""),"INCOMPLETE",IF(OR($K29="",$L29=""),"MIAR SETUP REQUIRED",IF($X29="NOT ELIGIBLE","NOT ELIGIBLE",IF($Y29&lt;&gt;"None","EXCEPTION REVIEW",IF(AND($D29&lt;&gt;"Certified Portfolio Holding",OR($E29="Active — Approved Non-Holding",$E29="Conditional",$E29="Candidate — Committee Review"),OR($AB29="",$AB29="Pending")),"COMMITTEE DISPOSITION REQUIRED",IF(AND(OR($E29="Active — Approved Non-Holding",$E29="Conditional"),OR($AG29="",$AH29="")),"CERTIFICATION REQUIRED",IF(OR($E29="Rejected",$E29="Removed",$E29="Archived"),"INACTIVE / CLOSED","CONTROL CLEAR")))))))))))</x:f>
        <x:v>SETUP REQUIRED</x:v>
      </x:c>
      <x:c r="AE29" s="1253" t="str">
        <x:f>IF($AD29="","",IFERROR(INDEX('97 RCC Lists'!$AK$5:$AK$15,MATCH($AD29,'97 RCC Lists'!$AJ$5:$AJ$15,0)),"Review exception"))</x:f>
        <x:v>Assign canonical MASR ID and complete registry setup</x:v>
      </x:c>
      <x:c r="AF29" s="1251"/>
      <x:c r="AG29" s="1242"/>
      <x:c r="AH29" s="1251"/>
      <x:c r="AI29" s="1242"/>
    </x:row>
    <x:row r="30" ht="32" customHeight="1">
      <x:c r="A30" s="1242"/>
      <x:c r="B30" s="1243" t="str">
        <x:f>INDEX('Certified Allocation'!$B$5:$B$51,ROW()-13)</x:f>
        <x:v>AMAT</x:v>
      </x:c>
      <x:c r="C30" s="1243" t="str">
        <x:f>INDEX('Certified Allocation'!$C$5:$C$51,ROW()-13)</x:f>
        <x:v>Applied Materials, Inc.</x:v>
      </x:c>
      <x:c r="D30" s="1244" t="str">
        <x:v>Certified Portfolio Holding</x:v>
      </x:c>
      <x:c r="E30" s="1244" t="str">
        <x:v>Active — Certified Holding</x:v>
      </x:c>
      <x:c r="F30" s="1244" t="str">
        <x:v>Certified MFPDF / Founders Edition</x:v>
      </x:c>
      <x:c r="G30" s="1243" t="str">
        <x:f>INDEX('Certified Allocation'!$A$5:$A$51,ROW()-13)</x:f>
        <x:v>Digital Infrastructure &amp; AI</x:v>
      </x:c>
      <x:c r="H30" s="1243" t="str">
        <x:f>INDEX('Certified Allocation'!$E$5:$E$51,ROW()-13)</x:f>
        <x:v>Semiconductor equipment enabler</x:v>
      </x:c>
      <x:c r="I30" s="1243" t="str">
        <x:f>INDEX('Certified Allocation'!$D$5:$D$51,ROW()-13)</x:f>
        <x:v>Equity</x:v>
      </x:c>
      <x:c r="J30" s="1245" t="n">
        <x:f>IF($B30="","",IFERROR(INDEX('Certified Allocation'!$F$5:$F$51,MATCH($B30,'Certified Allocation'!$B$5:$B$51,0)),""))</x:f>
        <x:v>0.0156</x:v>
      </x:c>
      <x:c r="K30" s="1243" t="str">
        <x:f>IF($B30="","",IFERROR(INDEX('20 RCC-003 MIAR Registry'!$A$14:$A$60,MATCH($B30,'20 RCC-003 MIAR Registry'!$B$14:$B$60,0)),""))</x:f>
      </x:c>
      <x:c r="L30" s="1243" t="str">
        <x:f>IF($B30="","",IFERROR(INDEX('20 RCC-003 MIAR Registry'!$M$14:$M$60,MATCH($B30,'20 RCC-003 MIAR Registry'!$B$14:$B$60,0)),""))</x:f>
      </x:c>
      <x:c r="M30" s="1243" t="str">
        <x:f>IF($B30="","",IFERROR(INDEX('20 RCC-003 MIAR Registry'!$Z$14:$Z$60,MATCH($B30,'20 RCC-003 MIAR Registry'!$B$14:$B$60,0)),""))</x:f>
        <x:v>NOT INITIALIZED</x:v>
      </x:c>
      <x:c r="N30" s="1246" t="str">
        <x:f>IF($B30="","",IFERROR(INDEX('20 RCC-003 MIAR Registry'!$K$14:$K$60,MATCH($B30,'20 RCC-003 MIAR Registry'!$B$14:$B$60,0)),""))</x:f>
      </x:c>
      <x:c r="O30" s="1246" t="str">
        <x:f>IF($B30="","",IFERROR(INDEX('20 RCC-003 MIAR Registry'!$L$14:$L$60,MATCH($B30,'20 RCC-003 MIAR Registry'!$B$14:$B$60,0)),""))</x:f>
      </x:c>
      <x:c r="P30" s="1243" t="str">
        <x:f>IF($B30="","",IFERROR(INDEX('20 RCC-003 MIAR Registry'!$I$14:$I$60,MATCH($B30,'20 RCC-003 MIAR Registry'!$B$14:$B$60,0)),""))</x:f>
        <x:v>Unassigned</x:v>
      </x:c>
      <x:c r="Q30" s="1243" t="str">
        <x:f>IF($B30="","",IFERROR(INDEX('20 RCC-003 MIAR Registry'!$J$14:$J$60,MATCH($B30,'20 RCC-003 MIAR Registry'!$B$14:$B$60,0)),""))</x:f>
      </x:c>
      <x:c r="R30" s="1247" t="n">
        <x:f>IF($B30="","",COUNTIF('18 RCC-002 Evidence Ledger'!$E$14:$E$213,$B30))</x:f>
        <x:v>0</x:v>
      </x:c>
      <x:c r="S30" s="1247" t="n">
        <x:f>IF($B30="","",COUNTIFS('18 RCC-002 Evidence Ledger'!$E$14:$E$213,$B30,'18 RCC-002 Evidence Ledger'!$T$14:$T$213,"&lt;&gt;Closed — No Action",'18 RCC-002 Evidence Ledger'!$T$14:$T$213,"&lt;&gt;Closed — Incorporated"))</x:f>
        <x:v>0</x:v>
      </x:c>
      <x:c r="T30" s="1248"/>
      <x:c r="U30" s="1249"/>
      <x:c r="V30" s="1242"/>
      <x:c r="W30" s="1248"/>
      <x:c r="X30" s="1244" t="str">
        <x:f>IF($B30="","",IF($D30="Certified Portfolio Holding","CERTIFIED HOLDING",IF(OR($A30="",$D30="",$E30="",$F30="",$G30="",$H30="",$I30=""),"NOT ASSESSED",IF(OR($K30="",$L30&lt;&gt;"Active",$M30="OVERDUE",$M30="MATERIAL EVENT REVIEW",$N30="",$O30="",$W30=""),"NOT ELIGIBLE",IF(OR(AND($F30="Zacks Election",OR($T30="",$T30&lt;50)),OR($U30=4,$U30=5),$V30="No Rating",$V30="Restricted / Unavailable"),"ELIGIBLE WITH EXCEPTION","ELIGIBLE")))))</x:f>
        <x:v>CERTIFIED HOLDING</x:v>
      </x:c>
      <x:c r="Y30" s="1244" t="str">
        <x:f>IF($B30="","",IF($A30="","Canonical MASR ID required",IF(AND($D30&lt;&gt;"Certified Portfolio Holding",OR($K30="",$L30&lt;&gt;"Active",$M30&lt;&gt;"CURRENT",$N30="",$O30="",$W30="")),"Complete MIAR / scoring / empirical eligibility",IF(AND($F30="Zacks Election",OR($T30="",$T30&lt;50)),"Sub-$50B Zacks election exception",IF(OR($U30=4,$U30=5),"Zacks #4/#5 exception review",IF($V30="No Rating","Merrill No Rating exception",IF($V30="Restricted / Unavailable","Merrill restricted / unavailable exception","None")))))))</x:f>
        <x:v>Canonical MASR ID required</x:v>
      </x:c>
      <x:c r="Z30" s="1250" t="n">
        <x:f>IF($B30="","",COUNTIF('24 RCC-004 Candidate Pipeline'!$C$14:$C$213,$B30))</x:f>
        <x:v>0</x:v>
      </x:c>
      <x:c r="AA30" s="1244" t="str">
        <x:f>IF($B30="","",IFERROR(INDEX('24 RCC-004 Candidate Pipeline'!$Y$14:$Y$213,MATCH($B30,'24 RCC-004 Candidate Pipeline'!$C$14:$C$213,0)),""))</x:f>
      </x:c>
      <x:c r="AB30" s="1242" t="str">
        <x:v>Grandfathered — Certified Holding</x:v>
      </x:c>
      <x:c r="AC30" s="1244" t="str">
        <x:f>IF($B30="","",IF(COUNTIFS('24 RCC-004 Candidate Pipeline'!$C$14:$C$213,$B30,'24 RCC-004 Candidate Pipeline'!$AF$14:$AF$213,"Yes — Refer to PEW-004")&gt;0,"REFERRED — PEW-004",IF($Z30&gt;0,"CANDIDATE RECORD ACTIVE","NO ACTIVE CANDIDATE")))</x:f>
        <x:v>NO ACTIVE CANDIDATE</x:v>
      </x:c>
      <x:c r="AD30" s="1244" t="str">
        <x:f>IF($B30="","",IF($A30="","SETUP REQUIRED",IF(COUNTIF($A$14:$A$163,$A30)&gt;1,"DUPLICATE MASR ID",IF(COUNTIF($B$14:$B$163,$B30)&gt;1,"DUPLICATE TICKER",IF(OR($D30="",$E30="",$F30="",$G30="",$H30="",$I30=""),"INCOMPLETE",IF(OR($K30="",$L30=""),"MIAR SETUP REQUIRED",IF($X30="NOT ELIGIBLE","NOT ELIGIBLE",IF($Y30&lt;&gt;"None","EXCEPTION REVIEW",IF(AND($D30&lt;&gt;"Certified Portfolio Holding",OR($E30="Active — Approved Non-Holding",$E30="Conditional",$E30="Candidate — Committee Review"),OR($AB30="",$AB30="Pending")),"COMMITTEE DISPOSITION REQUIRED",IF(AND(OR($E30="Active — Approved Non-Holding",$E30="Conditional"),OR($AG30="",$AH30="")),"CERTIFICATION REQUIRED",IF(OR($E30="Rejected",$E30="Removed",$E30="Archived"),"INACTIVE / CLOSED","CONTROL CLEAR")))))))))))</x:f>
        <x:v>SETUP REQUIRED</x:v>
      </x:c>
      <x:c r="AE30" s="1244" t="str">
        <x:f>IF($AD30="","",IFERROR(INDEX('97 RCC Lists'!$AK$5:$AK$15,MATCH($AD30,'97 RCC Lists'!$AJ$5:$AJ$15,0)),"Review exception"))</x:f>
        <x:v>Assign canonical MASR ID and complete registry setup</x:v>
      </x:c>
      <x:c r="AF30" s="1251"/>
      <x:c r="AG30" s="1242"/>
      <x:c r="AH30" s="1251"/>
      <x:c r="AI30" s="1242"/>
    </x:row>
    <x:row r="31" ht="32" customHeight="1">
      <x:c r="A31" s="1242"/>
      <x:c r="B31" s="1252" t="str">
        <x:f>INDEX('Certified Allocation'!$B$5:$B$51,ROW()-13)</x:f>
        <x:v>CSCO</x:v>
      </x:c>
      <x:c r="C31" s="1252" t="str">
        <x:f>INDEX('Certified Allocation'!$C$5:$C$51,ROW()-13)</x:f>
        <x:v>Cisco Systems, Inc.</x:v>
      </x:c>
      <x:c r="D31" s="1253" t="str">
        <x:v>Certified Portfolio Holding</x:v>
      </x:c>
      <x:c r="E31" s="1253" t="str">
        <x:v>Active — Certified Holding</x:v>
      </x:c>
      <x:c r="F31" s="1253" t="str">
        <x:v>Certified MFPDF / Founders Edition</x:v>
      </x:c>
      <x:c r="G31" s="1252" t="str">
        <x:f>INDEX('Certified Allocation'!$A$5:$A$51,ROW()-13)</x:f>
        <x:v>Digital Infrastructure &amp; AI</x:v>
      </x:c>
      <x:c r="H31" s="1252" t="str">
        <x:f>INDEX('Certified Allocation'!$E$5:$E$51,ROW()-13)</x:f>
        <x:v>Enterprise networking and secure infrastructure</x:v>
      </x:c>
      <x:c r="I31" s="1252" t="str">
        <x:f>INDEX('Certified Allocation'!$D$5:$D$51,ROW()-13)</x:f>
        <x:v>Equity</x:v>
      </x:c>
      <x:c r="J31" s="1254" t="n">
        <x:f>IF($B31="","",IFERROR(INDEX('Certified Allocation'!$F$5:$F$51,MATCH($B31,'Certified Allocation'!$B$5:$B$51,0)),""))</x:f>
        <x:v>0.0156</x:v>
      </x:c>
      <x:c r="K31" s="1252" t="str">
        <x:f>IF($B31="","",IFERROR(INDEX('20 RCC-003 MIAR Registry'!$A$14:$A$60,MATCH($B31,'20 RCC-003 MIAR Registry'!$B$14:$B$60,0)),""))</x:f>
      </x:c>
      <x:c r="L31" s="1252" t="str">
        <x:f>IF($B31="","",IFERROR(INDEX('20 RCC-003 MIAR Registry'!$M$14:$M$60,MATCH($B31,'20 RCC-003 MIAR Registry'!$B$14:$B$60,0)),""))</x:f>
      </x:c>
      <x:c r="M31" s="1252" t="str">
        <x:f>IF($B31="","",IFERROR(INDEX('20 RCC-003 MIAR Registry'!$Z$14:$Z$60,MATCH($B31,'20 RCC-003 MIAR Registry'!$B$14:$B$60,0)),""))</x:f>
        <x:v>NOT INITIALIZED</x:v>
      </x:c>
      <x:c r="N31" s="1255" t="str">
        <x:f>IF($B31="","",IFERROR(INDEX('20 RCC-003 MIAR Registry'!$K$14:$K$60,MATCH($B31,'20 RCC-003 MIAR Registry'!$B$14:$B$60,0)),""))</x:f>
      </x:c>
      <x:c r="O31" s="1255" t="str">
        <x:f>IF($B31="","",IFERROR(INDEX('20 RCC-003 MIAR Registry'!$L$14:$L$60,MATCH($B31,'20 RCC-003 MIAR Registry'!$B$14:$B$60,0)),""))</x:f>
      </x:c>
      <x:c r="P31" s="1252" t="str">
        <x:f>IF($B31="","",IFERROR(INDEX('20 RCC-003 MIAR Registry'!$I$14:$I$60,MATCH($B31,'20 RCC-003 MIAR Registry'!$B$14:$B$60,0)),""))</x:f>
        <x:v>Unassigned</x:v>
      </x:c>
      <x:c r="Q31" s="1252" t="str">
        <x:f>IF($B31="","",IFERROR(INDEX('20 RCC-003 MIAR Registry'!$J$14:$J$60,MATCH($B31,'20 RCC-003 MIAR Registry'!$B$14:$B$60,0)),""))</x:f>
      </x:c>
      <x:c r="R31" s="1256" t="n">
        <x:f>IF($B31="","",COUNTIF('18 RCC-002 Evidence Ledger'!$E$14:$E$213,$B31))</x:f>
        <x:v>0</x:v>
      </x:c>
      <x:c r="S31" s="1256" t="n">
        <x:f>IF($B31="","",COUNTIFS('18 RCC-002 Evidence Ledger'!$E$14:$E$213,$B31,'18 RCC-002 Evidence Ledger'!$T$14:$T$213,"&lt;&gt;Closed — No Action",'18 RCC-002 Evidence Ledger'!$T$14:$T$213,"&lt;&gt;Closed — Incorporated"))</x:f>
        <x:v>0</x:v>
      </x:c>
      <x:c r="T31" s="1248"/>
      <x:c r="U31" s="1249"/>
      <x:c r="V31" s="1242"/>
      <x:c r="W31" s="1248"/>
      <x:c r="X31" s="1253" t="str">
        <x:f>IF($B31="","",IF($D31="Certified Portfolio Holding","CERTIFIED HOLDING",IF(OR($A31="",$D31="",$E31="",$F31="",$G31="",$H31="",$I31=""),"NOT ASSESSED",IF(OR($K31="",$L31&lt;&gt;"Active",$M31="OVERDUE",$M31="MATERIAL EVENT REVIEW",$N31="",$O31="",$W31=""),"NOT ELIGIBLE",IF(OR(AND($F31="Zacks Election",OR($T31="",$T31&lt;50)),OR($U31=4,$U31=5),$V31="No Rating",$V31="Restricted / Unavailable"),"ELIGIBLE WITH EXCEPTION","ELIGIBLE")))))</x:f>
        <x:v>CERTIFIED HOLDING</x:v>
      </x:c>
      <x:c r="Y31" s="1253" t="str">
        <x:f>IF($B31="","",IF($A31="","Canonical MASR ID required",IF(AND($D31&lt;&gt;"Certified Portfolio Holding",OR($K31="",$L31&lt;&gt;"Active",$M31&lt;&gt;"CURRENT",$N31="",$O31="",$W31="")),"Complete MIAR / scoring / empirical eligibility",IF(AND($F31="Zacks Election",OR($T31="",$T31&lt;50)),"Sub-$50B Zacks election exception",IF(OR($U31=4,$U31=5),"Zacks #4/#5 exception review",IF($V31="No Rating","Merrill No Rating exception",IF($V31="Restricted / Unavailable","Merrill restricted / unavailable exception","None")))))))</x:f>
        <x:v>Canonical MASR ID required</x:v>
      </x:c>
      <x:c r="Z31" s="1257" t="n">
        <x:f>IF($B31="","",COUNTIF('24 RCC-004 Candidate Pipeline'!$C$14:$C$213,$B31))</x:f>
        <x:v>0</x:v>
      </x:c>
      <x:c r="AA31" s="1253" t="str">
        <x:f>IF($B31="","",IFERROR(INDEX('24 RCC-004 Candidate Pipeline'!$Y$14:$Y$213,MATCH($B31,'24 RCC-004 Candidate Pipeline'!$C$14:$C$213,0)),""))</x:f>
      </x:c>
      <x:c r="AB31" s="1242" t="str">
        <x:v>Grandfathered — Certified Holding</x:v>
      </x:c>
      <x:c r="AC31" s="1253" t="str">
        <x:f>IF($B31="","",IF(COUNTIFS('24 RCC-004 Candidate Pipeline'!$C$14:$C$213,$B31,'24 RCC-004 Candidate Pipeline'!$AF$14:$AF$213,"Yes — Refer to PEW-004")&gt;0,"REFERRED — PEW-004",IF($Z31&gt;0,"CANDIDATE RECORD ACTIVE","NO ACTIVE CANDIDATE")))</x:f>
        <x:v>NO ACTIVE CANDIDATE</x:v>
      </x:c>
      <x:c r="AD31" s="1253" t="str">
        <x:f>IF($B31="","",IF($A31="","SETUP REQUIRED",IF(COUNTIF($A$14:$A$163,$A31)&gt;1,"DUPLICATE MASR ID",IF(COUNTIF($B$14:$B$163,$B31)&gt;1,"DUPLICATE TICKER",IF(OR($D31="",$E31="",$F31="",$G31="",$H31="",$I31=""),"INCOMPLETE",IF(OR($K31="",$L31=""),"MIAR SETUP REQUIRED",IF($X31="NOT ELIGIBLE","NOT ELIGIBLE",IF($Y31&lt;&gt;"None","EXCEPTION REVIEW",IF(AND($D31&lt;&gt;"Certified Portfolio Holding",OR($E31="Active — Approved Non-Holding",$E31="Conditional",$E31="Candidate — Committee Review"),OR($AB31="",$AB31="Pending")),"COMMITTEE DISPOSITION REQUIRED",IF(AND(OR($E31="Active — Approved Non-Holding",$E31="Conditional"),OR($AG31="",$AH31="")),"CERTIFICATION REQUIRED",IF(OR($E31="Rejected",$E31="Removed",$E31="Archived"),"INACTIVE / CLOSED","CONTROL CLEAR")))))))))))</x:f>
        <x:v>SETUP REQUIRED</x:v>
      </x:c>
      <x:c r="AE31" s="1253" t="str">
        <x:f>IF($AD31="","",IFERROR(INDEX('97 RCC Lists'!$AK$5:$AK$15,MATCH($AD31,'97 RCC Lists'!$AJ$5:$AJ$15,0)),"Review exception"))</x:f>
        <x:v>Assign canonical MASR ID and complete registry setup</x:v>
      </x:c>
      <x:c r="AF31" s="1251"/>
      <x:c r="AG31" s="1242"/>
      <x:c r="AH31" s="1251"/>
      <x:c r="AI31" s="1242"/>
    </x:row>
    <x:row r="32" ht="32" customHeight="1">
      <x:c r="A32" s="1242"/>
      <x:c r="B32" s="1243" t="str">
        <x:f>INDEX('Certified Allocation'!$B$5:$B$51,ROW()-13)</x:f>
        <x:v>KLAC</x:v>
      </x:c>
      <x:c r="C32" s="1243" t="str">
        <x:f>INDEX('Certified Allocation'!$C$5:$C$51,ROW()-13)</x:f>
        <x:v>KLA Corporation</x:v>
      </x:c>
      <x:c r="D32" s="1244" t="str">
        <x:v>Certified Portfolio Holding</x:v>
      </x:c>
      <x:c r="E32" s="1244" t="str">
        <x:v>Active — Certified Holding</x:v>
      </x:c>
      <x:c r="F32" s="1244" t="str">
        <x:v>Certified MFPDF / Founders Edition</x:v>
      </x:c>
      <x:c r="G32" s="1243" t="str">
        <x:f>INDEX('Certified Allocation'!$A$5:$A$51,ROW()-13)</x:f>
        <x:v>Digital Infrastructure &amp; AI</x:v>
      </x:c>
      <x:c r="H32" s="1243" t="str">
        <x:f>INDEX('Certified Allocation'!$E$5:$E$51,ROW()-13)</x:f>
        <x:v>Semiconductor process-control enabler</x:v>
      </x:c>
      <x:c r="I32" s="1243" t="str">
        <x:f>INDEX('Certified Allocation'!$D$5:$D$51,ROW()-13)</x:f>
        <x:v>Equity</x:v>
      </x:c>
      <x:c r="J32" s="1245" t="n">
        <x:f>IF($B32="","",IFERROR(INDEX('Certified Allocation'!$F$5:$F$51,MATCH($B32,'Certified Allocation'!$B$5:$B$51,0)),""))</x:f>
        <x:v>0.0156</x:v>
      </x:c>
      <x:c r="K32" s="1243" t="str">
        <x:f>IF($B32="","",IFERROR(INDEX('20 RCC-003 MIAR Registry'!$A$14:$A$60,MATCH($B32,'20 RCC-003 MIAR Registry'!$B$14:$B$60,0)),""))</x:f>
      </x:c>
      <x:c r="L32" s="1243" t="str">
        <x:f>IF($B32="","",IFERROR(INDEX('20 RCC-003 MIAR Registry'!$M$14:$M$60,MATCH($B32,'20 RCC-003 MIAR Registry'!$B$14:$B$60,0)),""))</x:f>
      </x:c>
      <x:c r="M32" s="1243" t="str">
        <x:f>IF($B32="","",IFERROR(INDEX('20 RCC-003 MIAR Registry'!$Z$14:$Z$60,MATCH($B32,'20 RCC-003 MIAR Registry'!$B$14:$B$60,0)),""))</x:f>
        <x:v>NOT INITIALIZED</x:v>
      </x:c>
      <x:c r="N32" s="1246" t="str">
        <x:f>IF($B32="","",IFERROR(INDEX('20 RCC-003 MIAR Registry'!$K$14:$K$60,MATCH($B32,'20 RCC-003 MIAR Registry'!$B$14:$B$60,0)),""))</x:f>
      </x:c>
      <x:c r="O32" s="1246" t="str">
        <x:f>IF($B32="","",IFERROR(INDEX('20 RCC-003 MIAR Registry'!$L$14:$L$60,MATCH($B32,'20 RCC-003 MIAR Registry'!$B$14:$B$60,0)),""))</x:f>
      </x:c>
      <x:c r="P32" s="1243" t="str">
        <x:f>IF($B32="","",IFERROR(INDEX('20 RCC-003 MIAR Registry'!$I$14:$I$60,MATCH($B32,'20 RCC-003 MIAR Registry'!$B$14:$B$60,0)),""))</x:f>
        <x:v>Unassigned</x:v>
      </x:c>
      <x:c r="Q32" s="1243" t="str">
        <x:f>IF($B32="","",IFERROR(INDEX('20 RCC-003 MIAR Registry'!$J$14:$J$60,MATCH($B32,'20 RCC-003 MIAR Registry'!$B$14:$B$60,0)),""))</x:f>
      </x:c>
      <x:c r="R32" s="1247" t="n">
        <x:f>IF($B32="","",COUNTIF('18 RCC-002 Evidence Ledger'!$E$14:$E$213,$B32))</x:f>
        <x:v>0</x:v>
      </x:c>
      <x:c r="S32" s="1247" t="n">
        <x:f>IF($B32="","",COUNTIFS('18 RCC-002 Evidence Ledger'!$E$14:$E$213,$B32,'18 RCC-002 Evidence Ledger'!$T$14:$T$213,"&lt;&gt;Closed — No Action",'18 RCC-002 Evidence Ledger'!$T$14:$T$213,"&lt;&gt;Closed — Incorporated"))</x:f>
        <x:v>0</x:v>
      </x:c>
      <x:c r="T32" s="1248"/>
      <x:c r="U32" s="1249"/>
      <x:c r="V32" s="1242"/>
      <x:c r="W32" s="1248"/>
      <x:c r="X32" s="1244" t="str">
        <x:f>IF($B32="","",IF($D32="Certified Portfolio Holding","CERTIFIED HOLDING",IF(OR($A32="",$D32="",$E32="",$F32="",$G32="",$H32="",$I32=""),"NOT ASSESSED",IF(OR($K32="",$L32&lt;&gt;"Active",$M32="OVERDUE",$M32="MATERIAL EVENT REVIEW",$N32="",$O32="",$W32=""),"NOT ELIGIBLE",IF(OR(AND($F32="Zacks Election",OR($T32="",$T32&lt;50)),OR($U32=4,$U32=5),$V32="No Rating",$V32="Restricted / Unavailable"),"ELIGIBLE WITH EXCEPTION","ELIGIBLE")))))</x:f>
        <x:v>CERTIFIED HOLDING</x:v>
      </x:c>
      <x:c r="Y32" s="1244" t="str">
        <x:f>IF($B32="","",IF($A32="","Canonical MASR ID required",IF(AND($D32&lt;&gt;"Certified Portfolio Holding",OR($K32="",$L32&lt;&gt;"Active",$M32&lt;&gt;"CURRENT",$N32="",$O32="",$W32="")),"Complete MIAR / scoring / empirical eligibility",IF(AND($F32="Zacks Election",OR($T32="",$T32&lt;50)),"Sub-$50B Zacks election exception",IF(OR($U32=4,$U32=5),"Zacks #4/#5 exception review",IF($V32="No Rating","Merrill No Rating exception",IF($V32="Restricted / Unavailable","Merrill restricted / unavailable exception","None")))))))</x:f>
        <x:v>Canonical MASR ID required</x:v>
      </x:c>
      <x:c r="Z32" s="1250" t="n">
        <x:f>IF($B32="","",COUNTIF('24 RCC-004 Candidate Pipeline'!$C$14:$C$213,$B32))</x:f>
        <x:v>0</x:v>
      </x:c>
      <x:c r="AA32" s="1244" t="str">
        <x:f>IF($B32="","",IFERROR(INDEX('24 RCC-004 Candidate Pipeline'!$Y$14:$Y$213,MATCH($B32,'24 RCC-004 Candidate Pipeline'!$C$14:$C$213,0)),""))</x:f>
      </x:c>
      <x:c r="AB32" s="1242" t="str">
        <x:v>Grandfathered — Certified Holding</x:v>
      </x:c>
      <x:c r="AC32" s="1244" t="str">
        <x:f>IF($B32="","",IF(COUNTIFS('24 RCC-004 Candidate Pipeline'!$C$14:$C$213,$B32,'24 RCC-004 Candidate Pipeline'!$AF$14:$AF$213,"Yes — Refer to PEW-004")&gt;0,"REFERRED — PEW-004",IF($Z32&gt;0,"CANDIDATE RECORD ACTIVE","NO ACTIVE CANDIDATE")))</x:f>
        <x:v>NO ACTIVE CANDIDATE</x:v>
      </x:c>
      <x:c r="AD32" s="1244" t="str">
        <x:f>IF($B32="","",IF($A32="","SETUP REQUIRED",IF(COUNTIF($A$14:$A$163,$A32)&gt;1,"DUPLICATE MASR ID",IF(COUNTIF($B$14:$B$163,$B32)&gt;1,"DUPLICATE TICKER",IF(OR($D32="",$E32="",$F32="",$G32="",$H32="",$I32=""),"INCOMPLETE",IF(OR($K32="",$L32=""),"MIAR SETUP REQUIRED",IF($X32="NOT ELIGIBLE","NOT ELIGIBLE",IF($Y32&lt;&gt;"None","EXCEPTION REVIEW",IF(AND($D32&lt;&gt;"Certified Portfolio Holding",OR($E32="Active — Approved Non-Holding",$E32="Conditional",$E32="Candidate — Committee Review"),OR($AB32="",$AB32="Pending")),"COMMITTEE DISPOSITION REQUIRED",IF(AND(OR($E32="Active — Approved Non-Holding",$E32="Conditional"),OR($AG32="",$AH32="")),"CERTIFICATION REQUIRED",IF(OR($E32="Rejected",$E32="Removed",$E32="Archived"),"INACTIVE / CLOSED","CONTROL CLEAR")))))))))))</x:f>
        <x:v>SETUP REQUIRED</x:v>
      </x:c>
      <x:c r="AE32" s="1244" t="str">
        <x:f>IF($AD32="","",IFERROR(INDEX('97 RCC Lists'!$AK$5:$AK$15,MATCH($AD32,'97 RCC Lists'!$AJ$5:$AJ$15,0)),"Review exception"))</x:f>
        <x:v>Assign canonical MASR ID and complete registry setup</x:v>
      </x:c>
      <x:c r="AF32" s="1251"/>
      <x:c r="AG32" s="1242"/>
      <x:c r="AH32" s="1251"/>
      <x:c r="AI32" s="1242"/>
    </x:row>
    <x:row r="33" ht="32" customHeight="1">
      <x:c r="A33" s="1242"/>
      <x:c r="B33" s="1252" t="str">
        <x:f>INDEX('Certified Allocation'!$B$5:$B$51,ROW()-13)</x:f>
        <x:v>MU</x:v>
      </x:c>
      <x:c r="C33" s="1252" t="str">
        <x:f>INDEX('Certified Allocation'!$C$5:$C$51,ROW()-13)</x:f>
        <x:v>Micron Technology, Inc.</x:v>
      </x:c>
      <x:c r="D33" s="1253" t="str">
        <x:v>Certified Portfolio Holding</x:v>
      </x:c>
      <x:c r="E33" s="1253" t="str">
        <x:v>Active — Certified Holding</x:v>
      </x:c>
      <x:c r="F33" s="1253" t="str">
        <x:v>Certified MFPDF / Founders Edition</x:v>
      </x:c>
      <x:c r="G33" s="1252" t="str">
        <x:f>INDEX('Certified Allocation'!$A$5:$A$51,ROW()-13)</x:f>
        <x:v>Digital Infrastructure &amp; AI</x:v>
      </x:c>
      <x:c r="H33" s="1252" t="str">
        <x:f>INDEX('Certified Allocation'!$E$5:$E$51,ROW()-13)</x:f>
        <x:v>Memory and AI data-cycle enabler</x:v>
      </x:c>
      <x:c r="I33" s="1252" t="str">
        <x:f>INDEX('Certified Allocation'!$D$5:$D$51,ROW()-13)</x:f>
        <x:v>Equity</x:v>
      </x:c>
      <x:c r="J33" s="1254" t="n">
        <x:f>IF($B33="","",IFERROR(INDEX('Certified Allocation'!$F$5:$F$51,MATCH($B33,'Certified Allocation'!$B$5:$B$51,0)),""))</x:f>
        <x:v>0.0156</x:v>
      </x:c>
      <x:c r="K33" s="1252" t="str">
        <x:f>IF($B33="","",IFERROR(INDEX('20 RCC-003 MIAR Registry'!$A$14:$A$60,MATCH($B33,'20 RCC-003 MIAR Registry'!$B$14:$B$60,0)),""))</x:f>
      </x:c>
      <x:c r="L33" s="1252" t="str">
        <x:f>IF($B33="","",IFERROR(INDEX('20 RCC-003 MIAR Registry'!$M$14:$M$60,MATCH($B33,'20 RCC-003 MIAR Registry'!$B$14:$B$60,0)),""))</x:f>
      </x:c>
      <x:c r="M33" s="1252" t="str">
        <x:f>IF($B33="","",IFERROR(INDEX('20 RCC-003 MIAR Registry'!$Z$14:$Z$60,MATCH($B33,'20 RCC-003 MIAR Registry'!$B$14:$B$60,0)),""))</x:f>
        <x:v>NOT INITIALIZED</x:v>
      </x:c>
      <x:c r="N33" s="1255" t="str">
        <x:f>IF($B33="","",IFERROR(INDEX('20 RCC-003 MIAR Registry'!$K$14:$K$60,MATCH($B33,'20 RCC-003 MIAR Registry'!$B$14:$B$60,0)),""))</x:f>
      </x:c>
      <x:c r="O33" s="1255" t="str">
        <x:f>IF($B33="","",IFERROR(INDEX('20 RCC-003 MIAR Registry'!$L$14:$L$60,MATCH($B33,'20 RCC-003 MIAR Registry'!$B$14:$B$60,0)),""))</x:f>
      </x:c>
      <x:c r="P33" s="1252" t="str">
        <x:f>IF($B33="","",IFERROR(INDEX('20 RCC-003 MIAR Registry'!$I$14:$I$60,MATCH($B33,'20 RCC-003 MIAR Registry'!$B$14:$B$60,0)),""))</x:f>
        <x:v>Unassigned</x:v>
      </x:c>
      <x:c r="Q33" s="1252" t="str">
        <x:f>IF($B33="","",IFERROR(INDEX('20 RCC-003 MIAR Registry'!$J$14:$J$60,MATCH($B33,'20 RCC-003 MIAR Registry'!$B$14:$B$60,0)),""))</x:f>
      </x:c>
      <x:c r="R33" s="1256" t="n">
        <x:f>IF($B33="","",COUNTIF('18 RCC-002 Evidence Ledger'!$E$14:$E$213,$B33))</x:f>
        <x:v>0</x:v>
      </x:c>
      <x:c r="S33" s="1256" t="n">
        <x:f>IF($B33="","",COUNTIFS('18 RCC-002 Evidence Ledger'!$E$14:$E$213,$B33,'18 RCC-002 Evidence Ledger'!$T$14:$T$213,"&lt;&gt;Closed — No Action",'18 RCC-002 Evidence Ledger'!$T$14:$T$213,"&lt;&gt;Closed — Incorporated"))</x:f>
        <x:v>0</x:v>
      </x:c>
      <x:c r="T33" s="1248"/>
      <x:c r="U33" s="1249"/>
      <x:c r="V33" s="1242"/>
      <x:c r="W33" s="1248"/>
      <x:c r="X33" s="1253" t="str">
        <x:f>IF($B33="","",IF($D33="Certified Portfolio Holding","CERTIFIED HOLDING",IF(OR($A33="",$D33="",$E33="",$F33="",$G33="",$H33="",$I33=""),"NOT ASSESSED",IF(OR($K33="",$L33&lt;&gt;"Active",$M33="OVERDUE",$M33="MATERIAL EVENT REVIEW",$N33="",$O33="",$W33=""),"NOT ELIGIBLE",IF(OR(AND($F33="Zacks Election",OR($T33="",$T33&lt;50)),OR($U33=4,$U33=5),$V33="No Rating",$V33="Restricted / Unavailable"),"ELIGIBLE WITH EXCEPTION","ELIGIBLE")))))</x:f>
        <x:v>CERTIFIED HOLDING</x:v>
      </x:c>
      <x:c r="Y33" s="1253" t="str">
        <x:f>IF($B33="","",IF($A33="","Canonical MASR ID required",IF(AND($D33&lt;&gt;"Certified Portfolio Holding",OR($K33="",$L33&lt;&gt;"Active",$M33&lt;&gt;"CURRENT",$N33="",$O33="",$W33="")),"Complete MIAR / scoring / empirical eligibility",IF(AND($F33="Zacks Election",OR($T33="",$T33&lt;50)),"Sub-$50B Zacks election exception",IF(OR($U33=4,$U33=5),"Zacks #4/#5 exception review",IF($V33="No Rating","Merrill No Rating exception",IF($V33="Restricted / Unavailable","Merrill restricted / unavailable exception","None")))))))</x:f>
        <x:v>Canonical MASR ID required</x:v>
      </x:c>
      <x:c r="Z33" s="1257" t="n">
        <x:f>IF($B33="","",COUNTIF('24 RCC-004 Candidate Pipeline'!$C$14:$C$213,$B33))</x:f>
        <x:v>0</x:v>
      </x:c>
      <x:c r="AA33" s="1253" t="str">
        <x:f>IF($B33="","",IFERROR(INDEX('24 RCC-004 Candidate Pipeline'!$Y$14:$Y$213,MATCH($B33,'24 RCC-004 Candidate Pipeline'!$C$14:$C$213,0)),""))</x:f>
      </x:c>
      <x:c r="AB33" s="1242" t="str">
        <x:v>Grandfathered — Certified Holding</x:v>
      </x:c>
      <x:c r="AC33" s="1253" t="str">
        <x:f>IF($B33="","",IF(COUNTIFS('24 RCC-004 Candidate Pipeline'!$C$14:$C$213,$B33,'24 RCC-004 Candidate Pipeline'!$AF$14:$AF$213,"Yes — Refer to PEW-004")&gt;0,"REFERRED — PEW-004",IF($Z33&gt;0,"CANDIDATE RECORD ACTIVE","NO ACTIVE CANDIDATE")))</x:f>
        <x:v>NO ACTIVE CANDIDATE</x:v>
      </x:c>
      <x:c r="AD33" s="1253" t="str">
        <x:f>IF($B33="","",IF($A33="","SETUP REQUIRED",IF(COUNTIF($A$14:$A$163,$A33)&gt;1,"DUPLICATE MASR ID",IF(COUNTIF($B$14:$B$163,$B33)&gt;1,"DUPLICATE TICKER",IF(OR($D33="",$E33="",$F33="",$G33="",$H33="",$I33=""),"INCOMPLETE",IF(OR($K33="",$L33=""),"MIAR SETUP REQUIRED",IF($X33="NOT ELIGIBLE","NOT ELIGIBLE",IF($Y33&lt;&gt;"None","EXCEPTION REVIEW",IF(AND($D33&lt;&gt;"Certified Portfolio Holding",OR($E33="Active — Approved Non-Holding",$E33="Conditional",$E33="Candidate — Committee Review"),OR($AB33="",$AB33="Pending")),"COMMITTEE DISPOSITION REQUIRED",IF(AND(OR($E33="Active — Approved Non-Holding",$E33="Conditional"),OR($AG33="",$AH33="")),"CERTIFICATION REQUIRED",IF(OR($E33="Rejected",$E33="Removed",$E33="Archived"),"INACTIVE / CLOSED","CONTROL CLEAR")))))))))))</x:f>
        <x:v>SETUP REQUIRED</x:v>
      </x:c>
      <x:c r="AE33" s="1253" t="str">
        <x:f>IF($AD33="","",IFERROR(INDEX('97 RCC Lists'!$AK$5:$AK$15,MATCH($AD33,'97 RCC Lists'!$AJ$5:$AJ$15,0)),"Review exception"))</x:f>
        <x:v>Assign canonical MASR ID and complete registry setup</x:v>
      </x:c>
      <x:c r="AF33" s="1251"/>
      <x:c r="AG33" s="1242"/>
      <x:c r="AH33" s="1251"/>
      <x:c r="AI33" s="1242"/>
    </x:row>
    <x:row r="34" ht="32" customHeight="1">
      <x:c r="A34" s="1242"/>
      <x:c r="B34" s="1243" t="str">
        <x:f>INDEX('Certified Allocation'!$B$5:$B$51,ROW()-13)</x:f>
        <x:v>ORCL</x:v>
      </x:c>
      <x:c r="C34" s="1243" t="str">
        <x:f>INDEX('Certified Allocation'!$C$5:$C$51,ROW()-13)</x:f>
        <x:v>Oracle Corporation</x:v>
      </x:c>
      <x:c r="D34" s="1244" t="str">
        <x:v>Certified Portfolio Holding</x:v>
      </x:c>
      <x:c r="E34" s="1244" t="str">
        <x:v>Active — Certified Holding</x:v>
      </x:c>
      <x:c r="F34" s="1244" t="str">
        <x:v>Certified MFPDF / Founders Edition</x:v>
      </x:c>
      <x:c r="G34" s="1243" t="str">
        <x:f>INDEX('Certified Allocation'!$A$5:$A$51,ROW()-13)</x:f>
        <x:v>Digital Infrastructure &amp; AI</x:v>
      </x:c>
      <x:c r="H34" s="1243" t="str">
        <x:f>INDEX('Certified Allocation'!$E$5:$E$51,ROW()-13)</x:f>
        <x:v>Enterprise cloud and database platform</x:v>
      </x:c>
      <x:c r="I34" s="1243" t="str">
        <x:f>INDEX('Certified Allocation'!$D$5:$D$51,ROW()-13)</x:f>
        <x:v>Equity</x:v>
      </x:c>
      <x:c r="J34" s="1245" t="n">
        <x:f>IF($B34="","",IFERROR(INDEX('Certified Allocation'!$F$5:$F$51,MATCH($B34,'Certified Allocation'!$B$5:$B$51,0)),""))</x:f>
        <x:v>0.0156</x:v>
      </x:c>
      <x:c r="K34" s="1243" t="str">
        <x:f>IF($B34="","",IFERROR(INDEX('20 RCC-003 MIAR Registry'!$A$14:$A$60,MATCH($B34,'20 RCC-003 MIAR Registry'!$B$14:$B$60,0)),""))</x:f>
      </x:c>
      <x:c r="L34" s="1243" t="str">
        <x:f>IF($B34="","",IFERROR(INDEX('20 RCC-003 MIAR Registry'!$M$14:$M$60,MATCH($B34,'20 RCC-003 MIAR Registry'!$B$14:$B$60,0)),""))</x:f>
      </x:c>
      <x:c r="M34" s="1243" t="str">
        <x:f>IF($B34="","",IFERROR(INDEX('20 RCC-003 MIAR Registry'!$Z$14:$Z$60,MATCH($B34,'20 RCC-003 MIAR Registry'!$B$14:$B$60,0)),""))</x:f>
        <x:v>NOT INITIALIZED</x:v>
      </x:c>
      <x:c r="N34" s="1246" t="str">
        <x:f>IF($B34="","",IFERROR(INDEX('20 RCC-003 MIAR Registry'!$K$14:$K$60,MATCH($B34,'20 RCC-003 MIAR Registry'!$B$14:$B$60,0)),""))</x:f>
      </x:c>
      <x:c r="O34" s="1246" t="str">
        <x:f>IF($B34="","",IFERROR(INDEX('20 RCC-003 MIAR Registry'!$L$14:$L$60,MATCH($B34,'20 RCC-003 MIAR Registry'!$B$14:$B$60,0)),""))</x:f>
      </x:c>
      <x:c r="P34" s="1243" t="str">
        <x:f>IF($B34="","",IFERROR(INDEX('20 RCC-003 MIAR Registry'!$I$14:$I$60,MATCH($B34,'20 RCC-003 MIAR Registry'!$B$14:$B$60,0)),""))</x:f>
        <x:v>Unassigned</x:v>
      </x:c>
      <x:c r="Q34" s="1243" t="str">
        <x:f>IF($B34="","",IFERROR(INDEX('20 RCC-003 MIAR Registry'!$J$14:$J$60,MATCH($B34,'20 RCC-003 MIAR Registry'!$B$14:$B$60,0)),""))</x:f>
      </x:c>
      <x:c r="R34" s="1247" t="n">
        <x:f>IF($B34="","",COUNTIF('18 RCC-002 Evidence Ledger'!$E$14:$E$213,$B34))</x:f>
        <x:v>0</x:v>
      </x:c>
      <x:c r="S34" s="1247" t="n">
        <x:f>IF($B34="","",COUNTIFS('18 RCC-002 Evidence Ledger'!$E$14:$E$213,$B34,'18 RCC-002 Evidence Ledger'!$T$14:$T$213,"&lt;&gt;Closed — No Action",'18 RCC-002 Evidence Ledger'!$T$14:$T$213,"&lt;&gt;Closed — Incorporated"))</x:f>
        <x:v>0</x:v>
      </x:c>
      <x:c r="T34" s="1248"/>
      <x:c r="U34" s="1249"/>
      <x:c r="V34" s="1242"/>
      <x:c r="W34" s="1248"/>
      <x:c r="X34" s="1244" t="str">
        <x:f>IF($B34="","",IF($D34="Certified Portfolio Holding","CERTIFIED HOLDING",IF(OR($A34="",$D34="",$E34="",$F34="",$G34="",$H34="",$I34=""),"NOT ASSESSED",IF(OR($K34="",$L34&lt;&gt;"Active",$M34="OVERDUE",$M34="MATERIAL EVENT REVIEW",$N34="",$O34="",$W34=""),"NOT ELIGIBLE",IF(OR(AND($F34="Zacks Election",OR($T34="",$T34&lt;50)),OR($U34=4,$U34=5),$V34="No Rating",$V34="Restricted / Unavailable"),"ELIGIBLE WITH EXCEPTION","ELIGIBLE")))))</x:f>
        <x:v>CERTIFIED HOLDING</x:v>
      </x:c>
      <x:c r="Y34" s="1244" t="str">
        <x:f>IF($B34="","",IF($A34="","Canonical MASR ID required",IF(AND($D34&lt;&gt;"Certified Portfolio Holding",OR($K34="",$L34&lt;&gt;"Active",$M34&lt;&gt;"CURRENT",$N34="",$O34="",$W34="")),"Complete MIAR / scoring / empirical eligibility",IF(AND($F34="Zacks Election",OR($T34="",$T34&lt;50)),"Sub-$50B Zacks election exception",IF(OR($U34=4,$U34=5),"Zacks #4/#5 exception review",IF($V34="No Rating","Merrill No Rating exception",IF($V34="Restricted / Unavailable","Merrill restricted / unavailable exception","None")))))))</x:f>
        <x:v>Canonical MASR ID required</x:v>
      </x:c>
      <x:c r="Z34" s="1250" t="n">
        <x:f>IF($B34="","",COUNTIF('24 RCC-004 Candidate Pipeline'!$C$14:$C$213,$B34))</x:f>
        <x:v>0</x:v>
      </x:c>
      <x:c r="AA34" s="1244" t="str">
        <x:f>IF($B34="","",IFERROR(INDEX('24 RCC-004 Candidate Pipeline'!$Y$14:$Y$213,MATCH($B34,'24 RCC-004 Candidate Pipeline'!$C$14:$C$213,0)),""))</x:f>
      </x:c>
      <x:c r="AB34" s="1242" t="str">
        <x:v>Grandfathered — Certified Holding</x:v>
      </x:c>
      <x:c r="AC34" s="1244" t="str">
        <x:f>IF($B34="","",IF(COUNTIFS('24 RCC-004 Candidate Pipeline'!$C$14:$C$213,$B34,'24 RCC-004 Candidate Pipeline'!$AF$14:$AF$213,"Yes — Refer to PEW-004")&gt;0,"REFERRED — PEW-004",IF($Z34&gt;0,"CANDIDATE RECORD ACTIVE","NO ACTIVE CANDIDATE")))</x:f>
        <x:v>NO ACTIVE CANDIDATE</x:v>
      </x:c>
      <x:c r="AD34" s="1244" t="str">
        <x:f>IF($B34="","",IF($A34="","SETUP REQUIRED",IF(COUNTIF($A$14:$A$163,$A34)&gt;1,"DUPLICATE MASR ID",IF(COUNTIF($B$14:$B$163,$B34)&gt;1,"DUPLICATE TICKER",IF(OR($D34="",$E34="",$F34="",$G34="",$H34="",$I34=""),"INCOMPLETE",IF(OR($K34="",$L34=""),"MIAR SETUP REQUIRED",IF($X34="NOT ELIGIBLE","NOT ELIGIBLE",IF($Y34&lt;&gt;"None","EXCEPTION REVIEW",IF(AND($D34&lt;&gt;"Certified Portfolio Holding",OR($E34="Active — Approved Non-Holding",$E34="Conditional",$E34="Candidate — Committee Review"),OR($AB34="",$AB34="Pending")),"COMMITTEE DISPOSITION REQUIRED",IF(AND(OR($E34="Active — Approved Non-Holding",$E34="Conditional"),OR($AG34="",$AH34="")),"CERTIFICATION REQUIRED",IF(OR($E34="Rejected",$E34="Removed",$E34="Archived"),"INACTIVE / CLOSED","CONTROL CLEAR")))))))))))</x:f>
        <x:v>SETUP REQUIRED</x:v>
      </x:c>
      <x:c r="AE34" s="1244" t="str">
        <x:f>IF($AD34="","",IFERROR(INDEX('97 RCC Lists'!$AK$5:$AK$15,MATCH($AD34,'97 RCC Lists'!$AJ$5:$AJ$15,0)),"Review exception"))</x:f>
        <x:v>Assign canonical MASR ID and complete registry setup</x:v>
      </x:c>
      <x:c r="AF34" s="1251"/>
      <x:c r="AG34" s="1242"/>
      <x:c r="AH34" s="1251"/>
      <x:c r="AI34" s="1242"/>
    </x:row>
    <x:row r="35" ht="32" customHeight="1">
      <x:c r="A35" s="1242"/>
      <x:c r="B35" s="1252" t="str">
        <x:f>INDEX('Certified Allocation'!$B$5:$B$51,ROW()-13)</x:f>
        <x:v>TXN</x:v>
      </x:c>
      <x:c r="C35" s="1252" t="str">
        <x:f>INDEX('Certified Allocation'!$C$5:$C$51,ROW()-13)</x:f>
        <x:v>Texas Instruments Incorporated</x:v>
      </x:c>
      <x:c r="D35" s="1253" t="str">
        <x:v>Certified Portfolio Holding</x:v>
      </x:c>
      <x:c r="E35" s="1253" t="str">
        <x:v>Active — Certified Holding</x:v>
      </x:c>
      <x:c r="F35" s="1253" t="str">
        <x:v>Certified MFPDF / Founders Edition</x:v>
      </x:c>
      <x:c r="G35" s="1252" t="str">
        <x:f>INDEX('Certified Allocation'!$A$5:$A$51,ROW()-13)</x:f>
        <x:v>Digital Infrastructure &amp; AI</x:v>
      </x:c>
      <x:c r="H35" s="1252" t="str">
        <x:f>INDEX('Certified Allocation'!$E$5:$E$51,ROW()-13)</x:f>
        <x:v>Analog semiconductor infrastructure</x:v>
      </x:c>
      <x:c r="I35" s="1252" t="str">
        <x:f>INDEX('Certified Allocation'!$D$5:$D$51,ROW()-13)</x:f>
        <x:v>Equity</x:v>
      </x:c>
      <x:c r="J35" s="1254" t="n">
        <x:f>IF($B35="","",IFERROR(INDEX('Certified Allocation'!$F$5:$F$51,MATCH($B35,'Certified Allocation'!$B$5:$B$51,0)),""))</x:f>
        <x:v>0.0156</x:v>
      </x:c>
      <x:c r="K35" s="1252" t="str">
        <x:f>IF($B35="","",IFERROR(INDEX('20 RCC-003 MIAR Registry'!$A$14:$A$60,MATCH($B35,'20 RCC-003 MIAR Registry'!$B$14:$B$60,0)),""))</x:f>
      </x:c>
      <x:c r="L35" s="1252" t="str">
        <x:f>IF($B35="","",IFERROR(INDEX('20 RCC-003 MIAR Registry'!$M$14:$M$60,MATCH($B35,'20 RCC-003 MIAR Registry'!$B$14:$B$60,0)),""))</x:f>
      </x:c>
      <x:c r="M35" s="1252" t="str">
        <x:f>IF($B35="","",IFERROR(INDEX('20 RCC-003 MIAR Registry'!$Z$14:$Z$60,MATCH($B35,'20 RCC-003 MIAR Registry'!$B$14:$B$60,0)),""))</x:f>
        <x:v>NOT INITIALIZED</x:v>
      </x:c>
      <x:c r="N35" s="1255" t="str">
        <x:f>IF($B35="","",IFERROR(INDEX('20 RCC-003 MIAR Registry'!$K$14:$K$60,MATCH($B35,'20 RCC-003 MIAR Registry'!$B$14:$B$60,0)),""))</x:f>
      </x:c>
      <x:c r="O35" s="1255" t="str">
        <x:f>IF($B35="","",IFERROR(INDEX('20 RCC-003 MIAR Registry'!$L$14:$L$60,MATCH($B35,'20 RCC-003 MIAR Registry'!$B$14:$B$60,0)),""))</x:f>
      </x:c>
      <x:c r="P35" s="1252" t="str">
        <x:f>IF($B35="","",IFERROR(INDEX('20 RCC-003 MIAR Registry'!$I$14:$I$60,MATCH($B35,'20 RCC-003 MIAR Registry'!$B$14:$B$60,0)),""))</x:f>
        <x:v>Unassigned</x:v>
      </x:c>
      <x:c r="Q35" s="1252" t="str">
        <x:f>IF($B35="","",IFERROR(INDEX('20 RCC-003 MIAR Registry'!$J$14:$J$60,MATCH($B35,'20 RCC-003 MIAR Registry'!$B$14:$B$60,0)),""))</x:f>
      </x:c>
      <x:c r="R35" s="1256" t="n">
        <x:f>IF($B35="","",COUNTIF('18 RCC-002 Evidence Ledger'!$E$14:$E$213,$B35))</x:f>
        <x:v>0</x:v>
      </x:c>
      <x:c r="S35" s="1256" t="n">
        <x:f>IF($B35="","",COUNTIFS('18 RCC-002 Evidence Ledger'!$E$14:$E$213,$B35,'18 RCC-002 Evidence Ledger'!$T$14:$T$213,"&lt;&gt;Closed — No Action",'18 RCC-002 Evidence Ledger'!$T$14:$T$213,"&lt;&gt;Closed — Incorporated"))</x:f>
        <x:v>0</x:v>
      </x:c>
      <x:c r="T35" s="1248"/>
      <x:c r="U35" s="1249"/>
      <x:c r="V35" s="1242"/>
      <x:c r="W35" s="1248"/>
      <x:c r="X35" s="1253" t="str">
        <x:f>IF($B35="","",IF($D35="Certified Portfolio Holding","CERTIFIED HOLDING",IF(OR($A35="",$D35="",$E35="",$F35="",$G35="",$H35="",$I35=""),"NOT ASSESSED",IF(OR($K35="",$L35&lt;&gt;"Active",$M35="OVERDUE",$M35="MATERIAL EVENT REVIEW",$N35="",$O35="",$W35=""),"NOT ELIGIBLE",IF(OR(AND($F35="Zacks Election",OR($T35="",$T35&lt;50)),OR($U35=4,$U35=5),$V35="No Rating",$V35="Restricted / Unavailable"),"ELIGIBLE WITH EXCEPTION","ELIGIBLE")))))</x:f>
        <x:v>CERTIFIED HOLDING</x:v>
      </x:c>
      <x:c r="Y35" s="1253" t="str">
        <x:f>IF($B35="","",IF($A35="","Canonical MASR ID required",IF(AND($D35&lt;&gt;"Certified Portfolio Holding",OR($K35="",$L35&lt;&gt;"Active",$M35&lt;&gt;"CURRENT",$N35="",$O35="",$W35="")),"Complete MIAR / scoring / empirical eligibility",IF(AND($F35="Zacks Election",OR($T35="",$T35&lt;50)),"Sub-$50B Zacks election exception",IF(OR($U35=4,$U35=5),"Zacks #4/#5 exception review",IF($V35="No Rating","Merrill No Rating exception",IF($V35="Restricted / Unavailable","Merrill restricted / unavailable exception","None")))))))</x:f>
        <x:v>Canonical MASR ID required</x:v>
      </x:c>
      <x:c r="Z35" s="1257" t="n">
        <x:f>IF($B35="","",COUNTIF('24 RCC-004 Candidate Pipeline'!$C$14:$C$213,$B35))</x:f>
        <x:v>0</x:v>
      </x:c>
      <x:c r="AA35" s="1253" t="str">
        <x:f>IF($B35="","",IFERROR(INDEX('24 RCC-004 Candidate Pipeline'!$Y$14:$Y$213,MATCH($B35,'24 RCC-004 Candidate Pipeline'!$C$14:$C$213,0)),""))</x:f>
      </x:c>
      <x:c r="AB35" s="1242" t="str">
        <x:v>Grandfathered — Certified Holding</x:v>
      </x:c>
      <x:c r="AC35" s="1253" t="str">
        <x:f>IF($B35="","",IF(COUNTIFS('24 RCC-004 Candidate Pipeline'!$C$14:$C$213,$B35,'24 RCC-004 Candidate Pipeline'!$AF$14:$AF$213,"Yes — Refer to PEW-004")&gt;0,"REFERRED — PEW-004",IF($Z35&gt;0,"CANDIDATE RECORD ACTIVE","NO ACTIVE CANDIDATE")))</x:f>
        <x:v>NO ACTIVE CANDIDATE</x:v>
      </x:c>
      <x:c r="AD35" s="1253" t="str">
        <x:f>IF($B35="","",IF($A35="","SETUP REQUIRED",IF(COUNTIF($A$14:$A$163,$A35)&gt;1,"DUPLICATE MASR ID",IF(COUNTIF($B$14:$B$163,$B35)&gt;1,"DUPLICATE TICKER",IF(OR($D35="",$E35="",$F35="",$G35="",$H35="",$I35=""),"INCOMPLETE",IF(OR($K35="",$L35=""),"MIAR SETUP REQUIRED",IF($X35="NOT ELIGIBLE","NOT ELIGIBLE",IF($Y35&lt;&gt;"None","EXCEPTION REVIEW",IF(AND($D35&lt;&gt;"Certified Portfolio Holding",OR($E35="Active — Approved Non-Holding",$E35="Conditional",$E35="Candidate — Committee Review"),OR($AB35="",$AB35="Pending")),"COMMITTEE DISPOSITION REQUIRED",IF(AND(OR($E35="Active — Approved Non-Holding",$E35="Conditional"),OR($AG35="",$AH35="")),"CERTIFICATION REQUIRED",IF(OR($E35="Rejected",$E35="Removed",$E35="Archived"),"INACTIVE / CLOSED","CONTROL CLEAR")))))))))))</x:f>
        <x:v>SETUP REQUIRED</x:v>
      </x:c>
      <x:c r="AE35" s="1253" t="str">
        <x:f>IF($AD35="","",IFERROR(INDEX('97 RCC Lists'!$AK$5:$AK$15,MATCH($AD35,'97 RCC Lists'!$AJ$5:$AJ$15,0)),"Review exception"))</x:f>
        <x:v>Assign canonical MASR ID and complete registry setup</x:v>
      </x:c>
      <x:c r="AF35" s="1251"/>
      <x:c r="AG35" s="1242"/>
      <x:c r="AH35" s="1251"/>
      <x:c r="AI35" s="1242"/>
    </x:row>
    <x:row r="36" ht="32" customHeight="1">
      <x:c r="A36" s="1242"/>
      <x:c r="B36" s="1243" t="str">
        <x:f>INDEX('Certified Allocation'!$B$5:$B$51,ROW()-13)</x:f>
        <x:v>VRT</x:v>
      </x:c>
      <x:c r="C36" s="1243" t="str">
        <x:f>INDEX('Certified Allocation'!$C$5:$C$51,ROW()-13)</x:f>
        <x:v>Vertiv Holdings Co.</x:v>
      </x:c>
      <x:c r="D36" s="1244" t="str">
        <x:v>Certified Portfolio Holding</x:v>
      </x:c>
      <x:c r="E36" s="1244" t="str">
        <x:v>Active — Certified Holding</x:v>
      </x:c>
      <x:c r="F36" s="1244" t="str">
        <x:v>Certified MFPDF / Founders Edition</x:v>
      </x:c>
      <x:c r="G36" s="1243" t="str">
        <x:f>INDEX('Certified Allocation'!$A$5:$A$51,ROW()-13)</x:f>
        <x:v>Digital Infrastructure &amp; AI</x:v>
      </x:c>
      <x:c r="H36" s="1243" t="str">
        <x:f>INDEX('Certified Allocation'!$E$5:$E$51,ROW()-13)</x:f>
        <x:v>Critical data-center infrastructure</x:v>
      </x:c>
      <x:c r="I36" s="1243" t="str">
        <x:f>INDEX('Certified Allocation'!$D$5:$D$51,ROW()-13)</x:f>
        <x:v>Equity</x:v>
      </x:c>
      <x:c r="J36" s="1245" t="n">
        <x:f>IF($B36="","",IFERROR(INDEX('Certified Allocation'!$F$5:$F$51,MATCH($B36,'Certified Allocation'!$B$5:$B$51,0)),""))</x:f>
        <x:v>0.0155</x:v>
      </x:c>
      <x:c r="K36" s="1243" t="str">
        <x:f>IF($B36="","",IFERROR(INDEX('20 RCC-003 MIAR Registry'!$A$14:$A$60,MATCH($B36,'20 RCC-003 MIAR Registry'!$B$14:$B$60,0)),""))</x:f>
      </x:c>
      <x:c r="L36" s="1243" t="str">
        <x:f>IF($B36="","",IFERROR(INDEX('20 RCC-003 MIAR Registry'!$M$14:$M$60,MATCH($B36,'20 RCC-003 MIAR Registry'!$B$14:$B$60,0)),""))</x:f>
      </x:c>
      <x:c r="M36" s="1243" t="str">
        <x:f>IF($B36="","",IFERROR(INDEX('20 RCC-003 MIAR Registry'!$Z$14:$Z$60,MATCH($B36,'20 RCC-003 MIAR Registry'!$B$14:$B$60,0)),""))</x:f>
        <x:v>NOT INITIALIZED</x:v>
      </x:c>
      <x:c r="N36" s="1246" t="str">
        <x:f>IF($B36="","",IFERROR(INDEX('20 RCC-003 MIAR Registry'!$K$14:$K$60,MATCH($B36,'20 RCC-003 MIAR Registry'!$B$14:$B$60,0)),""))</x:f>
      </x:c>
      <x:c r="O36" s="1246" t="str">
        <x:f>IF($B36="","",IFERROR(INDEX('20 RCC-003 MIAR Registry'!$L$14:$L$60,MATCH($B36,'20 RCC-003 MIAR Registry'!$B$14:$B$60,0)),""))</x:f>
      </x:c>
      <x:c r="P36" s="1243" t="str">
        <x:f>IF($B36="","",IFERROR(INDEX('20 RCC-003 MIAR Registry'!$I$14:$I$60,MATCH($B36,'20 RCC-003 MIAR Registry'!$B$14:$B$60,0)),""))</x:f>
        <x:v>Unassigned</x:v>
      </x:c>
      <x:c r="Q36" s="1243" t="str">
        <x:f>IF($B36="","",IFERROR(INDEX('20 RCC-003 MIAR Registry'!$J$14:$J$60,MATCH($B36,'20 RCC-003 MIAR Registry'!$B$14:$B$60,0)),""))</x:f>
      </x:c>
      <x:c r="R36" s="1247" t="n">
        <x:f>IF($B36="","",COUNTIF('18 RCC-002 Evidence Ledger'!$E$14:$E$213,$B36))</x:f>
        <x:v>0</x:v>
      </x:c>
      <x:c r="S36" s="1247" t="n">
        <x:f>IF($B36="","",COUNTIFS('18 RCC-002 Evidence Ledger'!$E$14:$E$213,$B36,'18 RCC-002 Evidence Ledger'!$T$14:$T$213,"&lt;&gt;Closed — No Action",'18 RCC-002 Evidence Ledger'!$T$14:$T$213,"&lt;&gt;Closed — Incorporated"))</x:f>
        <x:v>0</x:v>
      </x:c>
      <x:c r="T36" s="1248"/>
      <x:c r="U36" s="1249"/>
      <x:c r="V36" s="1242"/>
      <x:c r="W36" s="1248"/>
      <x:c r="X36" s="1244" t="str">
        <x:f>IF($B36="","",IF($D36="Certified Portfolio Holding","CERTIFIED HOLDING",IF(OR($A36="",$D36="",$E36="",$F36="",$G36="",$H36="",$I36=""),"NOT ASSESSED",IF(OR($K36="",$L36&lt;&gt;"Active",$M36="OVERDUE",$M36="MATERIAL EVENT REVIEW",$N36="",$O36="",$W36=""),"NOT ELIGIBLE",IF(OR(AND($F36="Zacks Election",OR($T36="",$T36&lt;50)),OR($U36=4,$U36=5),$V36="No Rating",$V36="Restricted / Unavailable"),"ELIGIBLE WITH EXCEPTION","ELIGIBLE")))))</x:f>
        <x:v>CERTIFIED HOLDING</x:v>
      </x:c>
      <x:c r="Y36" s="1244" t="str">
        <x:f>IF($B36="","",IF($A36="","Canonical MASR ID required",IF(AND($D36&lt;&gt;"Certified Portfolio Holding",OR($K36="",$L36&lt;&gt;"Active",$M36&lt;&gt;"CURRENT",$N36="",$O36="",$W36="")),"Complete MIAR / scoring / empirical eligibility",IF(AND($F36="Zacks Election",OR($T36="",$T36&lt;50)),"Sub-$50B Zacks election exception",IF(OR($U36=4,$U36=5),"Zacks #4/#5 exception review",IF($V36="No Rating","Merrill No Rating exception",IF($V36="Restricted / Unavailable","Merrill restricted / unavailable exception","None")))))))</x:f>
        <x:v>Canonical MASR ID required</x:v>
      </x:c>
      <x:c r="Z36" s="1250" t="n">
        <x:f>IF($B36="","",COUNTIF('24 RCC-004 Candidate Pipeline'!$C$14:$C$213,$B36))</x:f>
        <x:v>1</x:v>
      </x:c>
      <x:c r="AA36" s="1244" t="str">
        <x:f>IF($B36="","",IFERROR(INDEX('24 RCC-004 Candidate Pipeline'!$Y$14:$Y$213,MATCH($B36,'24 RCC-004 Candidate Pipeline'!$C$14:$C$213,0)),""))</x:f>
        <x:v>Intake</x:v>
      </x:c>
      <x:c r="AB36" s="1242" t="str">
        <x:v>Grandfathered — Certified Holding</x:v>
      </x:c>
      <x:c r="AC36" s="1244" t="str">
        <x:f>IF($B36="","",IF(COUNTIFS('24 RCC-004 Candidate Pipeline'!$C$14:$C$213,$B36,'24 RCC-004 Candidate Pipeline'!$AF$14:$AF$213,"Yes — Refer to PEW-004")&gt;0,"REFERRED — PEW-004",IF($Z36&gt;0,"CANDIDATE RECORD ACTIVE","NO ACTIVE CANDIDATE")))</x:f>
        <x:v>CANDIDATE RECORD ACTIVE</x:v>
      </x:c>
      <x:c r="AD36" s="1244" t="str">
        <x:f>IF($B36="","",IF($A36="","SETUP REQUIRED",IF(COUNTIF($A$14:$A$163,$A36)&gt;1,"DUPLICATE MASR ID",IF(COUNTIF($B$14:$B$163,$B36)&gt;1,"DUPLICATE TICKER",IF(OR($D36="",$E36="",$F36="",$G36="",$H36="",$I36=""),"INCOMPLETE",IF(OR($K36="",$L36=""),"MIAR SETUP REQUIRED",IF($X36="NOT ELIGIBLE","NOT ELIGIBLE",IF($Y36&lt;&gt;"None","EXCEPTION REVIEW",IF(AND($D36&lt;&gt;"Certified Portfolio Holding",OR($E36="Active — Approved Non-Holding",$E36="Conditional",$E36="Candidate — Committee Review"),OR($AB36="",$AB36="Pending")),"COMMITTEE DISPOSITION REQUIRED",IF(AND(OR($E36="Active — Approved Non-Holding",$E36="Conditional"),OR($AG36="",$AH36="")),"CERTIFICATION REQUIRED",IF(OR($E36="Rejected",$E36="Removed",$E36="Archived"),"INACTIVE / CLOSED","CONTROL CLEAR")))))))))))</x:f>
        <x:v>SETUP REQUIRED</x:v>
      </x:c>
      <x:c r="AE36" s="1244" t="str">
        <x:f>IF($AD36="","",IFERROR(INDEX('97 RCC Lists'!$AK$5:$AK$15,MATCH($AD36,'97 RCC Lists'!$AJ$5:$AJ$15,0)),"Review exception"))</x:f>
        <x:v>Assign canonical MASR ID and complete registry setup</x:v>
      </x:c>
      <x:c r="AF36" s="1251"/>
      <x:c r="AG36" s="1242"/>
      <x:c r="AH36" s="1251"/>
      <x:c r="AI36" s="1242"/>
    </x:row>
    <x:row r="37" ht="32" customHeight="1">
      <x:c r="A37" s="1242"/>
      <x:c r="B37" s="1252" t="str">
        <x:f>INDEX('Certified Allocation'!$B$5:$B$51,ROW()-13)</x:f>
        <x:v>DHR</x:v>
      </x:c>
      <x:c r="C37" s="1252" t="str">
        <x:f>INDEX('Certified Allocation'!$C$5:$C$51,ROW()-13)</x:f>
        <x:v>Danaher Corporation</x:v>
      </x:c>
      <x:c r="D37" s="1253" t="str">
        <x:v>Certified Portfolio Holding</x:v>
      </x:c>
      <x:c r="E37" s="1253" t="str">
        <x:v>Active — Certified Holding</x:v>
      </x:c>
      <x:c r="F37" s="1253" t="str">
        <x:v>Certified MFPDF / Founders Edition</x:v>
      </x:c>
      <x:c r="G37" s="1252" t="str">
        <x:f>INDEX('Certified Allocation'!$A$5:$A$51,ROW()-13)</x:f>
        <x:v>Industrials &amp; Infrastructure</x:v>
      </x:c>
      <x:c r="H37" s="1252" t="str">
        <x:f>INDEX('Certified Allocation'!$E$5:$E$51,ROW()-13)</x:f>
        <x:v>Life-science tools and industrial quality</x:v>
      </x:c>
      <x:c r="I37" s="1252" t="str">
        <x:f>INDEX('Certified Allocation'!$D$5:$D$51,ROW()-13)</x:f>
        <x:v>Equity</x:v>
      </x:c>
      <x:c r="J37" s="1254" t="n">
        <x:f>IF($B37="","",IFERROR(INDEX('Certified Allocation'!$F$5:$F$51,MATCH($B37,'Certified Allocation'!$B$5:$B$51,0)),""))</x:f>
        <x:v>0.03</x:v>
      </x:c>
      <x:c r="K37" s="1252" t="str">
        <x:f>IF($B37="","",IFERROR(INDEX('20 RCC-003 MIAR Registry'!$A$14:$A$60,MATCH($B37,'20 RCC-003 MIAR Registry'!$B$14:$B$60,0)),""))</x:f>
      </x:c>
      <x:c r="L37" s="1252" t="str">
        <x:f>IF($B37="","",IFERROR(INDEX('20 RCC-003 MIAR Registry'!$M$14:$M$60,MATCH($B37,'20 RCC-003 MIAR Registry'!$B$14:$B$60,0)),""))</x:f>
      </x:c>
      <x:c r="M37" s="1252" t="str">
        <x:f>IF($B37="","",IFERROR(INDEX('20 RCC-003 MIAR Registry'!$Z$14:$Z$60,MATCH($B37,'20 RCC-003 MIAR Registry'!$B$14:$B$60,0)),""))</x:f>
        <x:v>NOT INITIALIZED</x:v>
      </x:c>
      <x:c r="N37" s="1255" t="str">
        <x:f>IF($B37="","",IFERROR(INDEX('20 RCC-003 MIAR Registry'!$K$14:$K$60,MATCH($B37,'20 RCC-003 MIAR Registry'!$B$14:$B$60,0)),""))</x:f>
      </x:c>
      <x:c r="O37" s="1255" t="str">
        <x:f>IF($B37="","",IFERROR(INDEX('20 RCC-003 MIAR Registry'!$L$14:$L$60,MATCH($B37,'20 RCC-003 MIAR Registry'!$B$14:$B$60,0)),""))</x:f>
      </x:c>
      <x:c r="P37" s="1252" t="str">
        <x:f>IF($B37="","",IFERROR(INDEX('20 RCC-003 MIAR Registry'!$I$14:$I$60,MATCH($B37,'20 RCC-003 MIAR Registry'!$B$14:$B$60,0)),""))</x:f>
        <x:v>Unassigned</x:v>
      </x:c>
      <x:c r="Q37" s="1252" t="str">
        <x:f>IF($B37="","",IFERROR(INDEX('20 RCC-003 MIAR Registry'!$J$14:$J$60,MATCH($B37,'20 RCC-003 MIAR Registry'!$B$14:$B$60,0)),""))</x:f>
      </x:c>
      <x:c r="R37" s="1256" t="n">
        <x:f>IF($B37="","",COUNTIF('18 RCC-002 Evidence Ledger'!$E$14:$E$213,$B37))</x:f>
        <x:v>0</x:v>
      </x:c>
      <x:c r="S37" s="1256" t="n">
        <x:f>IF($B37="","",COUNTIFS('18 RCC-002 Evidence Ledger'!$E$14:$E$213,$B37,'18 RCC-002 Evidence Ledger'!$T$14:$T$213,"&lt;&gt;Closed — No Action",'18 RCC-002 Evidence Ledger'!$T$14:$T$213,"&lt;&gt;Closed — Incorporated"))</x:f>
        <x:v>0</x:v>
      </x:c>
      <x:c r="T37" s="1248"/>
      <x:c r="U37" s="1249"/>
      <x:c r="V37" s="1242"/>
      <x:c r="W37" s="1248"/>
      <x:c r="X37" s="1253" t="str">
        <x:f>IF($B37="","",IF($D37="Certified Portfolio Holding","CERTIFIED HOLDING",IF(OR($A37="",$D37="",$E37="",$F37="",$G37="",$H37="",$I37=""),"NOT ASSESSED",IF(OR($K37="",$L37&lt;&gt;"Active",$M37="OVERDUE",$M37="MATERIAL EVENT REVIEW",$N37="",$O37="",$W37=""),"NOT ELIGIBLE",IF(OR(AND($F37="Zacks Election",OR($T37="",$T37&lt;50)),OR($U37=4,$U37=5),$V37="No Rating",$V37="Restricted / Unavailable"),"ELIGIBLE WITH EXCEPTION","ELIGIBLE")))))</x:f>
        <x:v>CERTIFIED HOLDING</x:v>
      </x:c>
      <x:c r="Y37" s="1253" t="str">
        <x:f>IF($B37="","",IF($A37="","Canonical MASR ID required",IF(AND($D37&lt;&gt;"Certified Portfolio Holding",OR($K37="",$L37&lt;&gt;"Active",$M37&lt;&gt;"CURRENT",$N37="",$O37="",$W37="")),"Complete MIAR / scoring / empirical eligibility",IF(AND($F37="Zacks Election",OR($T37="",$T37&lt;50)),"Sub-$50B Zacks election exception",IF(OR($U37=4,$U37=5),"Zacks #4/#5 exception review",IF($V37="No Rating","Merrill No Rating exception",IF($V37="Restricted / Unavailable","Merrill restricted / unavailable exception","None")))))))</x:f>
        <x:v>Canonical MASR ID required</x:v>
      </x:c>
      <x:c r="Z37" s="1257" t="n">
        <x:f>IF($B37="","",COUNTIF('24 RCC-004 Candidate Pipeline'!$C$14:$C$213,$B37))</x:f>
        <x:v>0</x:v>
      </x:c>
      <x:c r="AA37" s="1253" t="str">
        <x:f>IF($B37="","",IFERROR(INDEX('24 RCC-004 Candidate Pipeline'!$Y$14:$Y$213,MATCH($B37,'24 RCC-004 Candidate Pipeline'!$C$14:$C$213,0)),""))</x:f>
      </x:c>
      <x:c r="AB37" s="1242" t="str">
        <x:v>Grandfathered — Certified Holding</x:v>
      </x:c>
      <x:c r="AC37" s="1253" t="str">
        <x:f>IF($B37="","",IF(COUNTIFS('24 RCC-004 Candidate Pipeline'!$C$14:$C$213,$B37,'24 RCC-004 Candidate Pipeline'!$AF$14:$AF$213,"Yes — Refer to PEW-004")&gt;0,"REFERRED — PEW-004",IF($Z37&gt;0,"CANDIDATE RECORD ACTIVE","NO ACTIVE CANDIDATE")))</x:f>
        <x:v>NO ACTIVE CANDIDATE</x:v>
      </x:c>
      <x:c r="AD37" s="1253" t="str">
        <x:f>IF($B37="","",IF($A37="","SETUP REQUIRED",IF(COUNTIF($A$14:$A$163,$A37)&gt;1,"DUPLICATE MASR ID",IF(COUNTIF($B$14:$B$163,$B37)&gt;1,"DUPLICATE TICKER",IF(OR($D37="",$E37="",$F37="",$G37="",$H37="",$I37=""),"INCOMPLETE",IF(OR($K37="",$L37=""),"MIAR SETUP REQUIRED",IF($X37="NOT ELIGIBLE","NOT ELIGIBLE",IF($Y37&lt;&gt;"None","EXCEPTION REVIEW",IF(AND($D37&lt;&gt;"Certified Portfolio Holding",OR($E37="Active — Approved Non-Holding",$E37="Conditional",$E37="Candidate — Committee Review"),OR($AB37="",$AB37="Pending")),"COMMITTEE DISPOSITION REQUIRED",IF(AND(OR($E37="Active — Approved Non-Holding",$E37="Conditional"),OR($AG37="",$AH37="")),"CERTIFICATION REQUIRED",IF(OR($E37="Rejected",$E37="Removed",$E37="Archived"),"INACTIVE / CLOSED","CONTROL CLEAR")))))))))))</x:f>
        <x:v>SETUP REQUIRED</x:v>
      </x:c>
      <x:c r="AE37" s="1253" t="str">
        <x:f>IF($AD37="","",IFERROR(INDEX('97 RCC Lists'!$AK$5:$AK$15,MATCH($AD37,'97 RCC Lists'!$AJ$5:$AJ$15,0)),"Review exception"))</x:f>
        <x:v>Assign canonical MASR ID and complete registry setup</x:v>
      </x:c>
      <x:c r="AF37" s="1251"/>
      <x:c r="AG37" s="1242"/>
      <x:c r="AH37" s="1251"/>
      <x:c r="AI37" s="1242"/>
    </x:row>
    <x:row r="38" ht="32" customHeight="1">
      <x:c r="A38" s="1242"/>
      <x:c r="B38" s="1243" t="str">
        <x:f>INDEX('Certified Allocation'!$B$5:$B$51,ROW()-13)</x:f>
        <x:v>RTX</x:v>
      </x:c>
      <x:c r="C38" s="1243" t="str">
        <x:f>INDEX('Certified Allocation'!$C$5:$C$51,ROW()-13)</x:f>
        <x:v>RTX Corporation</x:v>
      </x:c>
      <x:c r="D38" s="1244" t="str">
        <x:v>Certified Portfolio Holding</x:v>
      </x:c>
      <x:c r="E38" s="1244" t="str">
        <x:v>Active — Certified Holding</x:v>
      </x:c>
      <x:c r="F38" s="1244" t="str">
        <x:v>Certified MFPDF / Founders Edition</x:v>
      </x:c>
      <x:c r="G38" s="1243" t="str">
        <x:f>INDEX('Certified Allocation'!$A$5:$A$51,ROW()-13)</x:f>
        <x:v>Industrials &amp; Infrastructure</x:v>
      </x:c>
      <x:c r="H38" s="1243" t="str">
        <x:f>INDEX('Certified Allocation'!$E$5:$E$51,ROW()-13)</x:f>
        <x:v>Aerospace and defense systems leader</x:v>
      </x:c>
      <x:c r="I38" s="1243" t="str">
        <x:f>INDEX('Certified Allocation'!$D$5:$D$51,ROW()-13)</x:f>
        <x:v>Equity</x:v>
      </x:c>
      <x:c r="J38" s="1245" t="n">
        <x:f>IF($B38="","",IFERROR(INDEX('Certified Allocation'!$F$5:$F$51,MATCH($B38,'Certified Allocation'!$B$5:$B$51,0)),""))</x:f>
        <x:v>0.0299</x:v>
      </x:c>
      <x:c r="K38" s="1243" t="str">
        <x:f>IF($B38="","",IFERROR(INDEX('20 RCC-003 MIAR Registry'!$A$14:$A$60,MATCH($B38,'20 RCC-003 MIAR Registry'!$B$14:$B$60,0)),""))</x:f>
      </x:c>
      <x:c r="L38" s="1243" t="str">
        <x:f>IF($B38="","",IFERROR(INDEX('20 RCC-003 MIAR Registry'!$M$14:$M$60,MATCH($B38,'20 RCC-003 MIAR Registry'!$B$14:$B$60,0)),""))</x:f>
      </x:c>
      <x:c r="M38" s="1243" t="str">
        <x:f>IF($B38="","",IFERROR(INDEX('20 RCC-003 MIAR Registry'!$Z$14:$Z$60,MATCH($B38,'20 RCC-003 MIAR Registry'!$B$14:$B$60,0)),""))</x:f>
        <x:v>NOT INITIALIZED</x:v>
      </x:c>
      <x:c r="N38" s="1246" t="str">
        <x:f>IF($B38="","",IFERROR(INDEX('20 RCC-003 MIAR Registry'!$K$14:$K$60,MATCH($B38,'20 RCC-003 MIAR Registry'!$B$14:$B$60,0)),""))</x:f>
      </x:c>
      <x:c r="O38" s="1246" t="str">
        <x:f>IF($B38="","",IFERROR(INDEX('20 RCC-003 MIAR Registry'!$L$14:$L$60,MATCH($B38,'20 RCC-003 MIAR Registry'!$B$14:$B$60,0)),""))</x:f>
      </x:c>
      <x:c r="P38" s="1243" t="str">
        <x:f>IF($B38="","",IFERROR(INDEX('20 RCC-003 MIAR Registry'!$I$14:$I$60,MATCH($B38,'20 RCC-003 MIAR Registry'!$B$14:$B$60,0)),""))</x:f>
        <x:v>Unassigned</x:v>
      </x:c>
      <x:c r="Q38" s="1243" t="str">
        <x:f>IF($B38="","",IFERROR(INDEX('20 RCC-003 MIAR Registry'!$J$14:$J$60,MATCH($B38,'20 RCC-003 MIAR Registry'!$B$14:$B$60,0)),""))</x:f>
      </x:c>
      <x:c r="R38" s="1247" t="n">
        <x:f>IF($B38="","",COUNTIF('18 RCC-002 Evidence Ledger'!$E$14:$E$213,$B38))</x:f>
        <x:v>0</x:v>
      </x:c>
      <x:c r="S38" s="1247" t="n">
        <x:f>IF($B38="","",COUNTIFS('18 RCC-002 Evidence Ledger'!$E$14:$E$213,$B38,'18 RCC-002 Evidence Ledger'!$T$14:$T$213,"&lt;&gt;Closed — No Action",'18 RCC-002 Evidence Ledger'!$T$14:$T$213,"&lt;&gt;Closed — Incorporated"))</x:f>
        <x:v>0</x:v>
      </x:c>
      <x:c r="T38" s="1248"/>
      <x:c r="U38" s="1249"/>
      <x:c r="V38" s="1242"/>
      <x:c r="W38" s="1248"/>
      <x:c r="X38" s="1244" t="str">
        <x:f>IF($B38="","",IF($D38="Certified Portfolio Holding","CERTIFIED HOLDING",IF(OR($A38="",$D38="",$E38="",$F38="",$G38="",$H38="",$I38=""),"NOT ASSESSED",IF(OR($K38="",$L38&lt;&gt;"Active",$M38="OVERDUE",$M38="MATERIAL EVENT REVIEW",$N38="",$O38="",$W38=""),"NOT ELIGIBLE",IF(OR(AND($F38="Zacks Election",OR($T38="",$T38&lt;50)),OR($U38=4,$U38=5),$V38="No Rating",$V38="Restricted / Unavailable"),"ELIGIBLE WITH EXCEPTION","ELIGIBLE")))))</x:f>
        <x:v>CERTIFIED HOLDING</x:v>
      </x:c>
      <x:c r="Y38" s="1244" t="str">
        <x:f>IF($B38="","",IF($A38="","Canonical MASR ID required",IF(AND($D38&lt;&gt;"Certified Portfolio Holding",OR($K38="",$L38&lt;&gt;"Active",$M38&lt;&gt;"CURRENT",$N38="",$O38="",$W38="")),"Complete MIAR / scoring / empirical eligibility",IF(AND($F38="Zacks Election",OR($T38="",$T38&lt;50)),"Sub-$50B Zacks election exception",IF(OR($U38=4,$U38=5),"Zacks #4/#5 exception review",IF($V38="No Rating","Merrill No Rating exception",IF($V38="Restricted / Unavailable","Merrill restricted / unavailable exception","None")))))))</x:f>
        <x:v>Canonical MASR ID required</x:v>
      </x:c>
      <x:c r="Z38" s="1250" t="n">
        <x:f>IF($B38="","",COUNTIF('24 RCC-004 Candidate Pipeline'!$C$14:$C$213,$B38))</x:f>
        <x:v>0</x:v>
      </x:c>
      <x:c r="AA38" s="1244" t="str">
        <x:f>IF($B38="","",IFERROR(INDEX('24 RCC-004 Candidate Pipeline'!$Y$14:$Y$213,MATCH($B38,'24 RCC-004 Candidate Pipeline'!$C$14:$C$213,0)),""))</x:f>
      </x:c>
      <x:c r="AB38" s="1242" t="str">
        <x:v>Grandfathered — Certified Holding</x:v>
      </x:c>
      <x:c r="AC38" s="1244" t="str">
        <x:f>IF($B38="","",IF(COUNTIFS('24 RCC-004 Candidate Pipeline'!$C$14:$C$213,$B38,'24 RCC-004 Candidate Pipeline'!$AF$14:$AF$213,"Yes — Refer to PEW-004")&gt;0,"REFERRED — PEW-004",IF($Z38&gt;0,"CANDIDATE RECORD ACTIVE","NO ACTIVE CANDIDATE")))</x:f>
        <x:v>NO ACTIVE CANDIDATE</x:v>
      </x:c>
      <x:c r="AD38" s="1244" t="str">
        <x:f>IF($B38="","",IF($A38="","SETUP REQUIRED",IF(COUNTIF($A$14:$A$163,$A38)&gt;1,"DUPLICATE MASR ID",IF(COUNTIF($B$14:$B$163,$B38)&gt;1,"DUPLICATE TICKER",IF(OR($D38="",$E38="",$F38="",$G38="",$H38="",$I38=""),"INCOMPLETE",IF(OR($K38="",$L38=""),"MIAR SETUP REQUIRED",IF($X38="NOT ELIGIBLE","NOT ELIGIBLE",IF($Y38&lt;&gt;"None","EXCEPTION REVIEW",IF(AND($D38&lt;&gt;"Certified Portfolio Holding",OR($E38="Active — Approved Non-Holding",$E38="Conditional",$E38="Candidate — Committee Review"),OR($AB38="",$AB38="Pending")),"COMMITTEE DISPOSITION REQUIRED",IF(AND(OR($E38="Active — Approved Non-Holding",$E38="Conditional"),OR($AG38="",$AH38="")),"CERTIFICATION REQUIRED",IF(OR($E38="Rejected",$E38="Removed",$E38="Archived"),"INACTIVE / CLOSED","CONTROL CLEAR")))))))))))</x:f>
        <x:v>SETUP REQUIRED</x:v>
      </x:c>
      <x:c r="AE38" s="1244" t="str">
        <x:f>IF($AD38="","",IFERROR(INDEX('97 RCC Lists'!$AK$5:$AK$15,MATCH($AD38,'97 RCC Lists'!$AJ$5:$AJ$15,0)),"Review exception"))</x:f>
        <x:v>Assign canonical MASR ID and complete registry setup</x:v>
      </x:c>
      <x:c r="AF38" s="1251"/>
      <x:c r="AG38" s="1242"/>
      <x:c r="AH38" s="1251"/>
      <x:c r="AI38" s="1242"/>
    </x:row>
    <x:row r="39" ht="32" customHeight="1">
      <x:c r="A39" s="1242"/>
      <x:c r="B39" s="1252" t="str">
        <x:f>INDEX('Certified Allocation'!$B$5:$B$51,ROW()-13)</x:f>
        <x:v>DE</x:v>
      </x:c>
      <x:c r="C39" s="1252" t="str">
        <x:f>INDEX('Certified Allocation'!$C$5:$C$51,ROW()-13)</x:f>
        <x:v>Deere &amp; Company</x:v>
      </x:c>
      <x:c r="D39" s="1253" t="str">
        <x:v>Certified Portfolio Holding</x:v>
      </x:c>
      <x:c r="E39" s="1253" t="str">
        <x:v>Active — Certified Holding</x:v>
      </x:c>
      <x:c r="F39" s="1253" t="str">
        <x:v>Certified MFPDF / Founders Edition</x:v>
      </x:c>
      <x:c r="G39" s="1252" t="str">
        <x:f>INDEX('Certified Allocation'!$A$5:$A$51,ROW()-13)</x:f>
        <x:v>Industrials &amp; Infrastructure</x:v>
      </x:c>
      <x:c r="H39" s="1252" t="str">
        <x:f>INDEX('Certified Allocation'!$E$5:$E$51,ROW()-13)</x:f>
        <x:v>Precision agriculture and equipment leader</x:v>
      </x:c>
      <x:c r="I39" s="1252" t="str">
        <x:f>INDEX('Certified Allocation'!$D$5:$D$51,ROW()-13)</x:f>
        <x:v>Equity</x:v>
      </x:c>
      <x:c r="J39" s="1254" t="n">
        <x:f>IF($B39="","",IFERROR(INDEX('Certified Allocation'!$F$5:$F$51,MATCH($B39,'Certified Allocation'!$B$5:$B$51,0)),""))</x:f>
        <x:v>0.0177</x:v>
      </x:c>
      <x:c r="K39" s="1252" t="str">
        <x:f>IF($B39="","",IFERROR(INDEX('20 RCC-003 MIAR Registry'!$A$14:$A$60,MATCH($B39,'20 RCC-003 MIAR Registry'!$B$14:$B$60,0)),""))</x:f>
      </x:c>
      <x:c r="L39" s="1252" t="str">
        <x:f>IF($B39="","",IFERROR(INDEX('20 RCC-003 MIAR Registry'!$M$14:$M$60,MATCH($B39,'20 RCC-003 MIAR Registry'!$B$14:$B$60,0)),""))</x:f>
      </x:c>
      <x:c r="M39" s="1252" t="str">
        <x:f>IF($B39="","",IFERROR(INDEX('20 RCC-003 MIAR Registry'!$Z$14:$Z$60,MATCH($B39,'20 RCC-003 MIAR Registry'!$B$14:$B$60,0)),""))</x:f>
        <x:v>NOT INITIALIZED</x:v>
      </x:c>
      <x:c r="N39" s="1255" t="str">
        <x:f>IF($B39="","",IFERROR(INDEX('20 RCC-003 MIAR Registry'!$K$14:$K$60,MATCH($B39,'20 RCC-003 MIAR Registry'!$B$14:$B$60,0)),""))</x:f>
      </x:c>
      <x:c r="O39" s="1255" t="str">
        <x:f>IF($B39="","",IFERROR(INDEX('20 RCC-003 MIAR Registry'!$L$14:$L$60,MATCH($B39,'20 RCC-003 MIAR Registry'!$B$14:$B$60,0)),""))</x:f>
      </x:c>
      <x:c r="P39" s="1252" t="str">
        <x:f>IF($B39="","",IFERROR(INDEX('20 RCC-003 MIAR Registry'!$I$14:$I$60,MATCH($B39,'20 RCC-003 MIAR Registry'!$B$14:$B$60,0)),""))</x:f>
        <x:v>Unassigned</x:v>
      </x:c>
      <x:c r="Q39" s="1252" t="str">
        <x:f>IF($B39="","",IFERROR(INDEX('20 RCC-003 MIAR Registry'!$J$14:$J$60,MATCH($B39,'20 RCC-003 MIAR Registry'!$B$14:$B$60,0)),""))</x:f>
      </x:c>
      <x:c r="R39" s="1256" t="n">
        <x:f>IF($B39="","",COUNTIF('18 RCC-002 Evidence Ledger'!$E$14:$E$213,$B39))</x:f>
        <x:v>0</x:v>
      </x:c>
      <x:c r="S39" s="1256" t="n">
        <x:f>IF($B39="","",COUNTIFS('18 RCC-002 Evidence Ledger'!$E$14:$E$213,$B39,'18 RCC-002 Evidence Ledger'!$T$14:$T$213,"&lt;&gt;Closed — No Action",'18 RCC-002 Evidence Ledger'!$T$14:$T$213,"&lt;&gt;Closed — Incorporated"))</x:f>
        <x:v>0</x:v>
      </x:c>
      <x:c r="T39" s="1248"/>
      <x:c r="U39" s="1249"/>
      <x:c r="V39" s="1242"/>
      <x:c r="W39" s="1248"/>
      <x:c r="X39" s="1253" t="str">
        <x:f>IF($B39="","",IF($D39="Certified Portfolio Holding","CERTIFIED HOLDING",IF(OR($A39="",$D39="",$E39="",$F39="",$G39="",$H39="",$I39=""),"NOT ASSESSED",IF(OR($K39="",$L39&lt;&gt;"Active",$M39="OVERDUE",$M39="MATERIAL EVENT REVIEW",$N39="",$O39="",$W39=""),"NOT ELIGIBLE",IF(OR(AND($F39="Zacks Election",OR($T39="",$T39&lt;50)),OR($U39=4,$U39=5),$V39="No Rating",$V39="Restricted / Unavailable"),"ELIGIBLE WITH EXCEPTION","ELIGIBLE")))))</x:f>
        <x:v>CERTIFIED HOLDING</x:v>
      </x:c>
      <x:c r="Y39" s="1253" t="str">
        <x:f>IF($B39="","",IF($A39="","Canonical MASR ID required",IF(AND($D39&lt;&gt;"Certified Portfolio Holding",OR($K39="",$L39&lt;&gt;"Active",$M39&lt;&gt;"CURRENT",$N39="",$O39="",$W39="")),"Complete MIAR / scoring / empirical eligibility",IF(AND($F39="Zacks Election",OR($T39="",$T39&lt;50)),"Sub-$50B Zacks election exception",IF(OR($U39=4,$U39=5),"Zacks #4/#5 exception review",IF($V39="No Rating","Merrill No Rating exception",IF($V39="Restricted / Unavailable","Merrill restricted / unavailable exception","None")))))))</x:f>
        <x:v>Canonical MASR ID required</x:v>
      </x:c>
      <x:c r="Z39" s="1257" t="n">
        <x:f>IF($B39="","",COUNTIF('24 RCC-004 Candidate Pipeline'!$C$14:$C$213,$B39))</x:f>
        <x:v>0</x:v>
      </x:c>
      <x:c r="AA39" s="1253" t="str">
        <x:f>IF($B39="","",IFERROR(INDEX('24 RCC-004 Candidate Pipeline'!$Y$14:$Y$213,MATCH($B39,'24 RCC-004 Candidate Pipeline'!$C$14:$C$213,0)),""))</x:f>
      </x:c>
      <x:c r="AB39" s="1242" t="str">
        <x:v>Grandfathered — Certified Holding</x:v>
      </x:c>
      <x:c r="AC39" s="1253" t="str">
        <x:f>IF($B39="","",IF(COUNTIFS('24 RCC-004 Candidate Pipeline'!$C$14:$C$213,$B39,'24 RCC-004 Candidate Pipeline'!$AF$14:$AF$213,"Yes — Refer to PEW-004")&gt;0,"REFERRED — PEW-004",IF($Z39&gt;0,"CANDIDATE RECORD ACTIVE","NO ACTIVE CANDIDATE")))</x:f>
        <x:v>NO ACTIVE CANDIDATE</x:v>
      </x:c>
      <x:c r="AD39" s="1253" t="str">
        <x:f>IF($B39="","",IF($A39="","SETUP REQUIRED",IF(COUNTIF($A$14:$A$163,$A39)&gt;1,"DUPLICATE MASR ID",IF(COUNTIF($B$14:$B$163,$B39)&gt;1,"DUPLICATE TICKER",IF(OR($D39="",$E39="",$F39="",$G39="",$H39="",$I39=""),"INCOMPLETE",IF(OR($K39="",$L39=""),"MIAR SETUP REQUIRED",IF($X39="NOT ELIGIBLE","NOT ELIGIBLE",IF($Y39&lt;&gt;"None","EXCEPTION REVIEW",IF(AND($D39&lt;&gt;"Certified Portfolio Holding",OR($E39="Active — Approved Non-Holding",$E39="Conditional",$E39="Candidate — Committee Review"),OR($AB39="",$AB39="Pending")),"COMMITTEE DISPOSITION REQUIRED",IF(AND(OR($E39="Active — Approved Non-Holding",$E39="Conditional"),OR($AG39="",$AH39="")),"CERTIFICATION REQUIRED",IF(OR($E39="Rejected",$E39="Removed",$E39="Archived"),"INACTIVE / CLOSED","CONTROL CLEAR")))))))))))</x:f>
        <x:v>SETUP REQUIRED</x:v>
      </x:c>
      <x:c r="AE39" s="1253" t="str">
        <x:f>IF($AD39="","",IFERROR(INDEX('97 RCC Lists'!$AK$5:$AK$15,MATCH($AD39,'97 RCC Lists'!$AJ$5:$AJ$15,0)),"Review exception"))</x:f>
        <x:v>Assign canonical MASR ID and complete registry setup</x:v>
      </x:c>
      <x:c r="AF39" s="1251"/>
      <x:c r="AG39" s="1242"/>
      <x:c r="AH39" s="1251"/>
      <x:c r="AI39" s="1242"/>
    </x:row>
    <x:row r="40" ht="32" customHeight="1">
      <x:c r="A40" s="1242"/>
      <x:c r="B40" s="1243" t="str">
        <x:f>INDEX('Certified Allocation'!$B$5:$B$51,ROW()-13)</x:f>
        <x:v>CAT</x:v>
      </x:c>
      <x:c r="C40" s="1243" t="str">
        <x:f>INDEX('Certified Allocation'!$C$5:$C$51,ROW()-13)</x:f>
        <x:v>Caterpillar Inc.</x:v>
      </x:c>
      <x:c r="D40" s="1244" t="str">
        <x:v>Certified Portfolio Holding</x:v>
      </x:c>
      <x:c r="E40" s="1244" t="str">
        <x:v>Active — Certified Holding</x:v>
      </x:c>
      <x:c r="F40" s="1244" t="str">
        <x:v>Certified MFPDF / Founders Edition</x:v>
      </x:c>
      <x:c r="G40" s="1243" t="str">
        <x:f>INDEX('Certified Allocation'!$A$5:$A$51,ROW()-13)</x:f>
        <x:v>Industrials &amp; Infrastructure</x:v>
      </x:c>
      <x:c r="H40" s="1243" t="str">
        <x:f>INDEX('Certified Allocation'!$E$5:$E$51,ROW()-13)</x:f>
        <x:v>Heavy equipment and infrastructure leader</x:v>
      </x:c>
      <x:c r="I40" s="1243" t="str">
        <x:f>INDEX('Certified Allocation'!$D$5:$D$51,ROW()-13)</x:f>
        <x:v>Equity</x:v>
      </x:c>
      <x:c r="J40" s="1245" t="n">
        <x:f>IF($B40="","",IFERROR(INDEX('Certified Allocation'!$F$5:$F$51,MATCH($B40,'Certified Allocation'!$B$5:$B$51,0)),""))</x:f>
        <x:v>0.0156</x:v>
      </x:c>
      <x:c r="K40" s="1243" t="str">
        <x:f>IF($B40="","",IFERROR(INDEX('20 RCC-003 MIAR Registry'!$A$14:$A$60,MATCH($B40,'20 RCC-003 MIAR Registry'!$B$14:$B$60,0)),""))</x:f>
      </x:c>
      <x:c r="L40" s="1243" t="str">
        <x:f>IF($B40="","",IFERROR(INDEX('20 RCC-003 MIAR Registry'!$M$14:$M$60,MATCH($B40,'20 RCC-003 MIAR Registry'!$B$14:$B$60,0)),""))</x:f>
      </x:c>
      <x:c r="M40" s="1243" t="str">
        <x:f>IF($B40="","",IFERROR(INDEX('20 RCC-003 MIAR Registry'!$Z$14:$Z$60,MATCH($B40,'20 RCC-003 MIAR Registry'!$B$14:$B$60,0)),""))</x:f>
        <x:v>NOT INITIALIZED</x:v>
      </x:c>
      <x:c r="N40" s="1246" t="str">
        <x:f>IF($B40="","",IFERROR(INDEX('20 RCC-003 MIAR Registry'!$K$14:$K$60,MATCH($B40,'20 RCC-003 MIAR Registry'!$B$14:$B$60,0)),""))</x:f>
      </x:c>
      <x:c r="O40" s="1246" t="str">
        <x:f>IF($B40="","",IFERROR(INDEX('20 RCC-003 MIAR Registry'!$L$14:$L$60,MATCH($B40,'20 RCC-003 MIAR Registry'!$B$14:$B$60,0)),""))</x:f>
      </x:c>
      <x:c r="P40" s="1243" t="str">
        <x:f>IF($B40="","",IFERROR(INDEX('20 RCC-003 MIAR Registry'!$I$14:$I$60,MATCH($B40,'20 RCC-003 MIAR Registry'!$B$14:$B$60,0)),""))</x:f>
        <x:v>Unassigned</x:v>
      </x:c>
      <x:c r="Q40" s="1243" t="str">
        <x:f>IF($B40="","",IFERROR(INDEX('20 RCC-003 MIAR Registry'!$J$14:$J$60,MATCH($B40,'20 RCC-003 MIAR Registry'!$B$14:$B$60,0)),""))</x:f>
      </x:c>
      <x:c r="R40" s="1247" t="n">
        <x:f>IF($B40="","",COUNTIF('18 RCC-002 Evidence Ledger'!$E$14:$E$213,$B40))</x:f>
        <x:v>0</x:v>
      </x:c>
      <x:c r="S40" s="1247" t="n">
        <x:f>IF($B40="","",COUNTIFS('18 RCC-002 Evidence Ledger'!$E$14:$E$213,$B40,'18 RCC-002 Evidence Ledger'!$T$14:$T$213,"&lt;&gt;Closed — No Action",'18 RCC-002 Evidence Ledger'!$T$14:$T$213,"&lt;&gt;Closed — Incorporated"))</x:f>
        <x:v>0</x:v>
      </x:c>
      <x:c r="T40" s="1248"/>
      <x:c r="U40" s="1249"/>
      <x:c r="V40" s="1242"/>
      <x:c r="W40" s="1248"/>
      <x:c r="X40" s="1244" t="str">
        <x:f>IF($B40="","",IF($D40="Certified Portfolio Holding","CERTIFIED HOLDING",IF(OR($A40="",$D40="",$E40="",$F40="",$G40="",$H40="",$I40=""),"NOT ASSESSED",IF(OR($K40="",$L40&lt;&gt;"Active",$M40="OVERDUE",$M40="MATERIAL EVENT REVIEW",$N40="",$O40="",$W40=""),"NOT ELIGIBLE",IF(OR(AND($F40="Zacks Election",OR($T40="",$T40&lt;50)),OR($U40=4,$U40=5),$V40="No Rating",$V40="Restricted / Unavailable"),"ELIGIBLE WITH EXCEPTION","ELIGIBLE")))))</x:f>
        <x:v>CERTIFIED HOLDING</x:v>
      </x:c>
      <x:c r="Y40" s="1244" t="str">
        <x:f>IF($B40="","",IF($A40="","Canonical MASR ID required",IF(AND($D40&lt;&gt;"Certified Portfolio Holding",OR($K40="",$L40&lt;&gt;"Active",$M40&lt;&gt;"CURRENT",$N40="",$O40="",$W40="")),"Complete MIAR / scoring / empirical eligibility",IF(AND($F40="Zacks Election",OR($T40="",$T40&lt;50)),"Sub-$50B Zacks election exception",IF(OR($U40=4,$U40=5),"Zacks #4/#5 exception review",IF($V40="No Rating","Merrill No Rating exception",IF($V40="Restricted / Unavailable","Merrill restricted / unavailable exception","None")))))))</x:f>
        <x:v>Canonical MASR ID required</x:v>
      </x:c>
      <x:c r="Z40" s="1250" t="n">
        <x:f>IF($B40="","",COUNTIF('24 RCC-004 Candidate Pipeline'!$C$14:$C$213,$B40))</x:f>
        <x:v>0</x:v>
      </x:c>
      <x:c r="AA40" s="1244" t="str">
        <x:f>IF($B40="","",IFERROR(INDEX('24 RCC-004 Candidate Pipeline'!$Y$14:$Y$213,MATCH($B40,'24 RCC-004 Candidate Pipeline'!$C$14:$C$213,0)),""))</x:f>
      </x:c>
      <x:c r="AB40" s="1242" t="str">
        <x:v>Grandfathered — Certified Holding</x:v>
      </x:c>
      <x:c r="AC40" s="1244" t="str">
        <x:f>IF($B40="","",IF(COUNTIFS('24 RCC-004 Candidate Pipeline'!$C$14:$C$213,$B40,'24 RCC-004 Candidate Pipeline'!$AF$14:$AF$213,"Yes — Refer to PEW-004")&gt;0,"REFERRED — PEW-004",IF($Z40&gt;0,"CANDIDATE RECORD ACTIVE","NO ACTIVE CANDIDATE")))</x:f>
        <x:v>NO ACTIVE CANDIDATE</x:v>
      </x:c>
      <x:c r="AD40" s="1244" t="str">
        <x:f>IF($B40="","",IF($A40="","SETUP REQUIRED",IF(COUNTIF($A$14:$A$163,$A40)&gt;1,"DUPLICATE MASR ID",IF(COUNTIF($B$14:$B$163,$B40)&gt;1,"DUPLICATE TICKER",IF(OR($D40="",$E40="",$F40="",$G40="",$H40="",$I40=""),"INCOMPLETE",IF(OR($K40="",$L40=""),"MIAR SETUP REQUIRED",IF($X40="NOT ELIGIBLE","NOT ELIGIBLE",IF($Y40&lt;&gt;"None","EXCEPTION REVIEW",IF(AND($D40&lt;&gt;"Certified Portfolio Holding",OR($E40="Active — Approved Non-Holding",$E40="Conditional",$E40="Candidate — Committee Review"),OR($AB40="",$AB40="Pending")),"COMMITTEE DISPOSITION REQUIRED",IF(AND(OR($E40="Active — Approved Non-Holding",$E40="Conditional"),OR($AG40="",$AH40="")),"CERTIFICATION REQUIRED",IF(OR($E40="Rejected",$E40="Removed",$E40="Archived"),"INACTIVE / CLOSED","CONTROL CLEAR")))))))))))</x:f>
        <x:v>SETUP REQUIRED</x:v>
      </x:c>
      <x:c r="AE40" s="1244" t="str">
        <x:f>IF($AD40="","",IFERROR(INDEX('97 RCC Lists'!$AK$5:$AK$15,MATCH($AD40,'97 RCC Lists'!$AJ$5:$AJ$15,0)),"Review exception"))</x:f>
        <x:v>Assign canonical MASR ID and complete registry setup</x:v>
      </x:c>
      <x:c r="AF40" s="1251"/>
      <x:c r="AG40" s="1242"/>
      <x:c r="AH40" s="1251"/>
      <x:c r="AI40" s="1242"/>
    </x:row>
    <x:row r="41" ht="32" customHeight="1">
      <x:c r="A41" s="1242"/>
      <x:c r="B41" s="1252" t="str">
        <x:f>INDEX('Certified Allocation'!$B$5:$B$51,ROW()-13)</x:f>
        <x:v>ETN</x:v>
      </x:c>
      <x:c r="C41" s="1252" t="str">
        <x:f>INDEX('Certified Allocation'!$C$5:$C$51,ROW()-13)</x:f>
        <x:v>Eaton Corporation plc</x:v>
      </x:c>
      <x:c r="D41" s="1253" t="str">
        <x:v>Certified Portfolio Holding</x:v>
      </x:c>
      <x:c r="E41" s="1253" t="str">
        <x:v>Active — Certified Holding</x:v>
      </x:c>
      <x:c r="F41" s="1253" t="str">
        <x:v>Certified MFPDF / Founders Edition</x:v>
      </x:c>
      <x:c r="G41" s="1252" t="str">
        <x:f>INDEX('Certified Allocation'!$A$5:$A$51,ROW()-13)</x:f>
        <x:v>Industrials &amp; Infrastructure</x:v>
      </x:c>
      <x:c r="H41" s="1252" t="str">
        <x:f>INDEX('Certified Allocation'!$E$5:$E$51,ROW()-13)</x:f>
        <x:v>Electrification and power-management leader</x:v>
      </x:c>
      <x:c r="I41" s="1252" t="str">
        <x:f>INDEX('Certified Allocation'!$D$5:$D$51,ROW()-13)</x:f>
        <x:v>Equity</x:v>
      </x:c>
      <x:c r="J41" s="1254" t="n">
        <x:f>IF($B41="","",IFERROR(INDEX('Certified Allocation'!$F$5:$F$51,MATCH($B41,'Certified Allocation'!$B$5:$B$51,0)),""))</x:f>
        <x:v>0.0156</x:v>
      </x:c>
      <x:c r="K41" s="1252" t="str">
        <x:f>IF($B41="","",IFERROR(INDEX('20 RCC-003 MIAR Registry'!$A$14:$A$60,MATCH($B41,'20 RCC-003 MIAR Registry'!$B$14:$B$60,0)),""))</x:f>
      </x:c>
      <x:c r="L41" s="1252" t="str">
        <x:f>IF($B41="","",IFERROR(INDEX('20 RCC-003 MIAR Registry'!$M$14:$M$60,MATCH($B41,'20 RCC-003 MIAR Registry'!$B$14:$B$60,0)),""))</x:f>
      </x:c>
      <x:c r="M41" s="1252" t="str">
        <x:f>IF($B41="","",IFERROR(INDEX('20 RCC-003 MIAR Registry'!$Z$14:$Z$60,MATCH($B41,'20 RCC-003 MIAR Registry'!$B$14:$B$60,0)),""))</x:f>
        <x:v>NOT INITIALIZED</x:v>
      </x:c>
      <x:c r="N41" s="1255" t="str">
        <x:f>IF($B41="","",IFERROR(INDEX('20 RCC-003 MIAR Registry'!$K$14:$K$60,MATCH($B41,'20 RCC-003 MIAR Registry'!$B$14:$B$60,0)),""))</x:f>
      </x:c>
      <x:c r="O41" s="1255" t="str">
        <x:f>IF($B41="","",IFERROR(INDEX('20 RCC-003 MIAR Registry'!$L$14:$L$60,MATCH($B41,'20 RCC-003 MIAR Registry'!$B$14:$B$60,0)),""))</x:f>
      </x:c>
      <x:c r="P41" s="1252" t="str">
        <x:f>IF($B41="","",IFERROR(INDEX('20 RCC-003 MIAR Registry'!$I$14:$I$60,MATCH($B41,'20 RCC-003 MIAR Registry'!$B$14:$B$60,0)),""))</x:f>
        <x:v>Unassigned</x:v>
      </x:c>
      <x:c r="Q41" s="1252" t="str">
        <x:f>IF($B41="","",IFERROR(INDEX('20 RCC-003 MIAR Registry'!$J$14:$J$60,MATCH($B41,'20 RCC-003 MIAR Registry'!$B$14:$B$60,0)),""))</x:f>
      </x:c>
      <x:c r="R41" s="1256" t="n">
        <x:f>IF($B41="","",COUNTIF('18 RCC-002 Evidence Ledger'!$E$14:$E$213,$B41))</x:f>
        <x:v>0</x:v>
      </x:c>
      <x:c r="S41" s="1256" t="n">
        <x:f>IF($B41="","",COUNTIFS('18 RCC-002 Evidence Ledger'!$E$14:$E$213,$B41,'18 RCC-002 Evidence Ledger'!$T$14:$T$213,"&lt;&gt;Closed — No Action",'18 RCC-002 Evidence Ledger'!$T$14:$T$213,"&lt;&gt;Closed — Incorporated"))</x:f>
        <x:v>0</x:v>
      </x:c>
      <x:c r="T41" s="1248"/>
      <x:c r="U41" s="1249"/>
      <x:c r="V41" s="1242"/>
      <x:c r="W41" s="1248"/>
      <x:c r="X41" s="1253" t="str">
        <x:f>IF($B41="","",IF($D41="Certified Portfolio Holding","CERTIFIED HOLDING",IF(OR($A41="",$D41="",$E41="",$F41="",$G41="",$H41="",$I41=""),"NOT ASSESSED",IF(OR($K41="",$L41&lt;&gt;"Active",$M41="OVERDUE",$M41="MATERIAL EVENT REVIEW",$N41="",$O41="",$W41=""),"NOT ELIGIBLE",IF(OR(AND($F41="Zacks Election",OR($T41="",$T41&lt;50)),OR($U41=4,$U41=5),$V41="No Rating",$V41="Restricted / Unavailable"),"ELIGIBLE WITH EXCEPTION","ELIGIBLE")))))</x:f>
        <x:v>CERTIFIED HOLDING</x:v>
      </x:c>
      <x:c r="Y41" s="1253" t="str">
        <x:f>IF($B41="","",IF($A41="","Canonical MASR ID required",IF(AND($D41&lt;&gt;"Certified Portfolio Holding",OR($K41="",$L41&lt;&gt;"Active",$M41&lt;&gt;"CURRENT",$N41="",$O41="",$W41="")),"Complete MIAR / scoring / empirical eligibility",IF(AND($F41="Zacks Election",OR($T41="",$T41&lt;50)),"Sub-$50B Zacks election exception",IF(OR($U41=4,$U41=5),"Zacks #4/#5 exception review",IF($V41="No Rating","Merrill No Rating exception",IF($V41="Restricted / Unavailable","Merrill restricted / unavailable exception","None")))))))</x:f>
        <x:v>Canonical MASR ID required</x:v>
      </x:c>
      <x:c r="Z41" s="1257" t="n">
        <x:f>IF($B41="","",COUNTIF('24 RCC-004 Candidate Pipeline'!$C$14:$C$213,$B41))</x:f>
        <x:v>0</x:v>
      </x:c>
      <x:c r="AA41" s="1253" t="str">
        <x:f>IF($B41="","",IFERROR(INDEX('24 RCC-004 Candidate Pipeline'!$Y$14:$Y$213,MATCH($B41,'24 RCC-004 Candidate Pipeline'!$C$14:$C$213,0)),""))</x:f>
      </x:c>
      <x:c r="AB41" s="1242" t="str">
        <x:v>Grandfathered — Certified Holding</x:v>
      </x:c>
      <x:c r="AC41" s="1253" t="str">
        <x:f>IF($B41="","",IF(COUNTIFS('24 RCC-004 Candidate Pipeline'!$C$14:$C$213,$B41,'24 RCC-004 Candidate Pipeline'!$AF$14:$AF$213,"Yes — Refer to PEW-004")&gt;0,"REFERRED — PEW-004",IF($Z41&gt;0,"CANDIDATE RECORD ACTIVE","NO ACTIVE CANDIDATE")))</x:f>
        <x:v>NO ACTIVE CANDIDATE</x:v>
      </x:c>
      <x:c r="AD41" s="1253" t="str">
        <x:f>IF($B41="","",IF($A41="","SETUP REQUIRED",IF(COUNTIF($A$14:$A$163,$A41)&gt;1,"DUPLICATE MASR ID",IF(COUNTIF($B$14:$B$163,$B41)&gt;1,"DUPLICATE TICKER",IF(OR($D41="",$E41="",$F41="",$G41="",$H41="",$I41=""),"INCOMPLETE",IF(OR($K41="",$L41=""),"MIAR SETUP REQUIRED",IF($X41="NOT ELIGIBLE","NOT ELIGIBLE",IF($Y41&lt;&gt;"None","EXCEPTION REVIEW",IF(AND($D41&lt;&gt;"Certified Portfolio Holding",OR($E41="Active — Approved Non-Holding",$E41="Conditional",$E41="Candidate — Committee Review"),OR($AB41="",$AB41="Pending")),"COMMITTEE DISPOSITION REQUIRED",IF(AND(OR($E41="Active — Approved Non-Holding",$E41="Conditional"),OR($AG41="",$AH41="")),"CERTIFICATION REQUIRED",IF(OR($E41="Rejected",$E41="Removed",$E41="Archived"),"INACTIVE / CLOSED","CONTROL CLEAR")))))))))))</x:f>
        <x:v>SETUP REQUIRED</x:v>
      </x:c>
      <x:c r="AE41" s="1253" t="str">
        <x:f>IF($AD41="","",IFERROR(INDEX('97 RCC Lists'!$AK$5:$AK$15,MATCH($AD41,'97 RCC Lists'!$AJ$5:$AJ$15,0)),"Review exception"))</x:f>
        <x:v>Assign canonical MASR ID and complete registry setup</x:v>
      </x:c>
      <x:c r="AF41" s="1251"/>
      <x:c r="AG41" s="1242"/>
      <x:c r="AH41" s="1251"/>
      <x:c r="AI41" s="1242"/>
    </x:row>
    <x:row r="42" ht="32" customHeight="1">
      <x:c r="A42" s="1242"/>
      <x:c r="B42" s="1243" t="str">
        <x:f>INDEX('Certified Allocation'!$B$5:$B$51,ROW()-13)</x:f>
        <x:v>GE</x:v>
      </x:c>
      <x:c r="C42" s="1243" t="str">
        <x:f>INDEX('Certified Allocation'!$C$5:$C$51,ROW()-13)</x:f>
        <x:v>GE Aerospace</x:v>
      </x:c>
      <x:c r="D42" s="1244" t="str">
        <x:v>Certified Portfolio Holding</x:v>
      </x:c>
      <x:c r="E42" s="1244" t="str">
        <x:v>Active — Certified Holding</x:v>
      </x:c>
      <x:c r="F42" s="1244" t="str">
        <x:v>Certified MFPDF / Founders Edition</x:v>
      </x:c>
      <x:c r="G42" s="1243" t="str">
        <x:f>INDEX('Certified Allocation'!$A$5:$A$51,ROW()-13)</x:f>
        <x:v>Industrials &amp; Infrastructure</x:v>
      </x:c>
      <x:c r="H42" s="1243" t="str">
        <x:f>INDEX('Certified Allocation'!$E$5:$E$51,ROW()-13)</x:f>
        <x:v>Aerospace propulsion leader</x:v>
      </x:c>
      <x:c r="I42" s="1243" t="str">
        <x:f>INDEX('Certified Allocation'!$D$5:$D$51,ROW()-13)</x:f>
        <x:v>Equity</x:v>
      </x:c>
      <x:c r="J42" s="1245" t="n">
        <x:f>IF($B42="","",IFERROR(INDEX('Certified Allocation'!$F$5:$F$51,MATCH($B42,'Certified Allocation'!$B$5:$B$51,0)),""))</x:f>
        <x:v>0.0156</x:v>
      </x:c>
      <x:c r="K42" s="1243" t="str">
        <x:f>IF($B42="","",IFERROR(INDEX('20 RCC-003 MIAR Registry'!$A$14:$A$60,MATCH($B42,'20 RCC-003 MIAR Registry'!$B$14:$B$60,0)),""))</x:f>
      </x:c>
      <x:c r="L42" s="1243" t="str">
        <x:f>IF($B42="","",IFERROR(INDEX('20 RCC-003 MIAR Registry'!$M$14:$M$60,MATCH($B42,'20 RCC-003 MIAR Registry'!$B$14:$B$60,0)),""))</x:f>
      </x:c>
      <x:c r="M42" s="1243" t="str">
        <x:f>IF($B42="","",IFERROR(INDEX('20 RCC-003 MIAR Registry'!$Z$14:$Z$60,MATCH($B42,'20 RCC-003 MIAR Registry'!$B$14:$B$60,0)),""))</x:f>
        <x:v>NOT INITIALIZED</x:v>
      </x:c>
      <x:c r="N42" s="1246" t="str">
        <x:f>IF($B42="","",IFERROR(INDEX('20 RCC-003 MIAR Registry'!$K$14:$K$60,MATCH($B42,'20 RCC-003 MIAR Registry'!$B$14:$B$60,0)),""))</x:f>
      </x:c>
      <x:c r="O42" s="1246" t="str">
        <x:f>IF($B42="","",IFERROR(INDEX('20 RCC-003 MIAR Registry'!$L$14:$L$60,MATCH($B42,'20 RCC-003 MIAR Registry'!$B$14:$B$60,0)),""))</x:f>
      </x:c>
      <x:c r="P42" s="1243" t="str">
        <x:f>IF($B42="","",IFERROR(INDEX('20 RCC-003 MIAR Registry'!$I$14:$I$60,MATCH($B42,'20 RCC-003 MIAR Registry'!$B$14:$B$60,0)),""))</x:f>
        <x:v>Unassigned</x:v>
      </x:c>
      <x:c r="Q42" s="1243" t="str">
        <x:f>IF($B42="","",IFERROR(INDEX('20 RCC-003 MIAR Registry'!$J$14:$J$60,MATCH($B42,'20 RCC-003 MIAR Registry'!$B$14:$B$60,0)),""))</x:f>
      </x:c>
      <x:c r="R42" s="1247" t="n">
        <x:f>IF($B42="","",COUNTIF('18 RCC-002 Evidence Ledger'!$E$14:$E$213,$B42))</x:f>
        <x:v>0</x:v>
      </x:c>
      <x:c r="S42" s="1247" t="n">
        <x:f>IF($B42="","",COUNTIFS('18 RCC-002 Evidence Ledger'!$E$14:$E$213,$B42,'18 RCC-002 Evidence Ledger'!$T$14:$T$213,"&lt;&gt;Closed — No Action",'18 RCC-002 Evidence Ledger'!$T$14:$T$213,"&lt;&gt;Closed — Incorporated"))</x:f>
        <x:v>0</x:v>
      </x:c>
      <x:c r="T42" s="1248"/>
      <x:c r="U42" s="1249"/>
      <x:c r="V42" s="1242"/>
      <x:c r="W42" s="1248"/>
      <x:c r="X42" s="1244" t="str">
        <x:f>IF($B42="","",IF($D42="Certified Portfolio Holding","CERTIFIED HOLDING",IF(OR($A42="",$D42="",$E42="",$F42="",$G42="",$H42="",$I42=""),"NOT ASSESSED",IF(OR($K42="",$L42&lt;&gt;"Active",$M42="OVERDUE",$M42="MATERIAL EVENT REVIEW",$N42="",$O42="",$W42=""),"NOT ELIGIBLE",IF(OR(AND($F42="Zacks Election",OR($T42="",$T42&lt;50)),OR($U42=4,$U42=5),$V42="No Rating",$V42="Restricted / Unavailable"),"ELIGIBLE WITH EXCEPTION","ELIGIBLE")))))</x:f>
        <x:v>CERTIFIED HOLDING</x:v>
      </x:c>
      <x:c r="Y42" s="1244" t="str">
        <x:f>IF($B42="","",IF($A42="","Canonical MASR ID required",IF(AND($D42&lt;&gt;"Certified Portfolio Holding",OR($K42="",$L42&lt;&gt;"Active",$M42&lt;&gt;"CURRENT",$N42="",$O42="",$W42="")),"Complete MIAR / scoring / empirical eligibility",IF(AND($F42="Zacks Election",OR($T42="",$T42&lt;50)),"Sub-$50B Zacks election exception",IF(OR($U42=4,$U42=5),"Zacks #4/#5 exception review",IF($V42="No Rating","Merrill No Rating exception",IF($V42="Restricted / Unavailable","Merrill restricted / unavailable exception","None")))))))</x:f>
        <x:v>Canonical MASR ID required</x:v>
      </x:c>
      <x:c r="Z42" s="1250" t="n">
        <x:f>IF($B42="","",COUNTIF('24 RCC-004 Candidate Pipeline'!$C$14:$C$213,$B42))</x:f>
        <x:v>0</x:v>
      </x:c>
      <x:c r="AA42" s="1244" t="str">
        <x:f>IF($B42="","",IFERROR(INDEX('24 RCC-004 Candidate Pipeline'!$Y$14:$Y$213,MATCH($B42,'24 RCC-004 Candidate Pipeline'!$C$14:$C$213,0)),""))</x:f>
      </x:c>
      <x:c r="AB42" s="1242" t="str">
        <x:v>Grandfathered — Certified Holding</x:v>
      </x:c>
      <x:c r="AC42" s="1244" t="str">
        <x:f>IF($B42="","",IF(COUNTIFS('24 RCC-004 Candidate Pipeline'!$C$14:$C$213,$B42,'24 RCC-004 Candidate Pipeline'!$AF$14:$AF$213,"Yes — Refer to PEW-004")&gt;0,"REFERRED — PEW-004",IF($Z42&gt;0,"CANDIDATE RECORD ACTIVE","NO ACTIVE CANDIDATE")))</x:f>
        <x:v>NO ACTIVE CANDIDATE</x:v>
      </x:c>
      <x:c r="AD42" s="1244" t="str">
        <x:f>IF($B42="","",IF($A42="","SETUP REQUIRED",IF(COUNTIF($A$14:$A$163,$A42)&gt;1,"DUPLICATE MASR ID",IF(COUNTIF($B$14:$B$163,$B42)&gt;1,"DUPLICATE TICKER",IF(OR($D42="",$E42="",$F42="",$G42="",$H42="",$I42=""),"INCOMPLETE",IF(OR($K42="",$L42=""),"MIAR SETUP REQUIRED",IF($X42="NOT ELIGIBLE","NOT ELIGIBLE",IF($Y42&lt;&gt;"None","EXCEPTION REVIEW",IF(AND($D42&lt;&gt;"Certified Portfolio Holding",OR($E42="Active — Approved Non-Holding",$E42="Conditional",$E42="Candidate — Committee Review"),OR($AB42="",$AB42="Pending")),"COMMITTEE DISPOSITION REQUIRED",IF(AND(OR($E42="Active — Approved Non-Holding",$E42="Conditional"),OR($AG42="",$AH42="")),"CERTIFICATION REQUIRED",IF(OR($E42="Rejected",$E42="Removed",$E42="Archived"),"INACTIVE / CLOSED","CONTROL CLEAR")))))))))))</x:f>
        <x:v>SETUP REQUIRED</x:v>
      </x:c>
      <x:c r="AE42" s="1244" t="str">
        <x:f>IF($AD42="","",IFERROR(INDEX('97 RCC Lists'!$AK$5:$AK$15,MATCH($AD42,'97 RCC Lists'!$AJ$5:$AJ$15,0)),"Review exception"))</x:f>
        <x:v>Assign canonical MASR ID and complete registry setup</x:v>
      </x:c>
      <x:c r="AF42" s="1251"/>
      <x:c r="AG42" s="1242"/>
      <x:c r="AH42" s="1251"/>
      <x:c r="AI42" s="1242"/>
    </x:row>
    <x:row r="43" ht="32" customHeight="1">
      <x:c r="A43" s="1242"/>
      <x:c r="B43" s="1252" t="str">
        <x:f>INDEX('Certified Allocation'!$B$5:$B$51,ROW()-13)</x:f>
        <x:v>PH</x:v>
      </x:c>
      <x:c r="C43" s="1252" t="str">
        <x:f>INDEX('Certified Allocation'!$C$5:$C$51,ROW()-13)</x:f>
        <x:v>Parker-Hannifin Corporation</x:v>
      </x:c>
      <x:c r="D43" s="1253" t="str">
        <x:v>Certified Portfolio Holding</x:v>
      </x:c>
      <x:c r="E43" s="1253" t="str">
        <x:v>Active — Certified Holding</x:v>
      </x:c>
      <x:c r="F43" s="1253" t="str">
        <x:v>Certified MFPDF / Founders Edition</x:v>
      </x:c>
      <x:c r="G43" s="1252" t="str">
        <x:f>INDEX('Certified Allocation'!$A$5:$A$51,ROW()-13)</x:f>
        <x:v>Industrials &amp; Infrastructure</x:v>
      </x:c>
      <x:c r="H43" s="1252" t="str">
        <x:f>INDEX('Certified Allocation'!$E$5:$E$51,ROW()-13)</x:f>
        <x:v>Motion and control systems leader</x:v>
      </x:c>
      <x:c r="I43" s="1252" t="str">
        <x:f>INDEX('Certified Allocation'!$D$5:$D$51,ROW()-13)</x:f>
        <x:v>Equity</x:v>
      </x:c>
      <x:c r="J43" s="1254" t="n">
        <x:f>IF($B43="","",IFERROR(INDEX('Certified Allocation'!$F$5:$F$51,MATCH($B43,'Certified Allocation'!$B$5:$B$51,0)),""))</x:f>
        <x:v>0.0156</x:v>
      </x:c>
      <x:c r="K43" s="1252" t="str">
        <x:f>IF($B43="","",IFERROR(INDEX('20 RCC-003 MIAR Registry'!$A$14:$A$60,MATCH($B43,'20 RCC-003 MIAR Registry'!$B$14:$B$60,0)),""))</x:f>
      </x:c>
      <x:c r="L43" s="1252" t="str">
        <x:f>IF($B43="","",IFERROR(INDEX('20 RCC-003 MIAR Registry'!$M$14:$M$60,MATCH($B43,'20 RCC-003 MIAR Registry'!$B$14:$B$60,0)),""))</x:f>
      </x:c>
      <x:c r="M43" s="1252" t="str">
        <x:f>IF($B43="","",IFERROR(INDEX('20 RCC-003 MIAR Registry'!$Z$14:$Z$60,MATCH($B43,'20 RCC-003 MIAR Registry'!$B$14:$B$60,0)),""))</x:f>
        <x:v>NOT INITIALIZED</x:v>
      </x:c>
      <x:c r="N43" s="1255" t="str">
        <x:f>IF($B43="","",IFERROR(INDEX('20 RCC-003 MIAR Registry'!$K$14:$K$60,MATCH($B43,'20 RCC-003 MIAR Registry'!$B$14:$B$60,0)),""))</x:f>
      </x:c>
      <x:c r="O43" s="1255" t="str">
        <x:f>IF($B43="","",IFERROR(INDEX('20 RCC-003 MIAR Registry'!$L$14:$L$60,MATCH($B43,'20 RCC-003 MIAR Registry'!$B$14:$B$60,0)),""))</x:f>
      </x:c>
      <x:c r="P43" s="1252" t="str">
        <x:f>IF($B43="","",IFERROR(INDEX('20 RCC-003 MIAR Registry'!$I$14:$I$60,MATCH($B43,'20 RCC-003 MIAR Registry'!$B$14:$B$60,0)),""))</x:f>
        <x:v>Unassigned</x:v>
      </x:c>
      <x:c r="Q43" s="1252" t="str">
        <x:f>IF($B43="","",IFERROR(INDEX('20 RCC-003 MIAR Registry'!$J$14:$J$60,MATCH($B43,'20 RCC-003 MIAR Registry'!$B$14:$B$60,0)),""))</x:f>
      </x:c>
      <x:c r="R43" s="1256" t="n">
        <x:f>IF($B43="","",COUNTIF('18 RCC-002 Evidence Ledger'!$E$14:$E$213,$B43))</x:f>
        <x:v>0</x:v>
      </x:c>
      <x:c r="S43" s="1256" t="n">
        <x:f>IF($B43="","",COUNTIFS('18 RCC-002 Evidence Ledger'!$E$14:$E$213,$B43,'18 RCC-002 Evidence Ledger'!$T$14:$T$213,"&lt;&gt;Closed — No Action",'18 RCC-002 Evidence Ledger'!$T$14:$T$213,"&lt;&gt;Closed — Incorporated"))</x:f>
        <x:v>0</x:v>
      </x:c>
      <x:c r="T43" s="1248"/>
      <x:c r="U43" s="1249"/>
      <x:c r="V43" s="1242"/>
      <x:c r="W43" s="1248"/>
      <x:c r="X43" s="1253" t="str">
        <x:f>IF($B43="","",IF($D43="Certified Portfolio Holding","CERTIFIED HOLDING",IF(OR($A43="",$D43="",$E43="",$F43="",$G43="",$H43="",$I43=""),"NOT ASSESSED",IF(OR($K43="",$L43&lt;&gt;"Active",$M43="OVERDUE",$M43="MATERIAL EVENT REVIEW",$N43="",$O43="",$W43=""),"NOT ELIGIBLE",IF(OR(AND($F43="Zacks Election",OR($T43="",$T43&lt;50)),OR($U43=4,$U43=5),$V43="No Rating",$V43="Restricted / Unavailable"),"ELIGIBLE WITH EXCEPTION","ELIGIBLE")))))</x:f>
        <x:v>CERTIFIED HOLDING</x:v>
      </x:c>
      <x:c r="Y43" s="1253" t="str">
        <x:f>IF($B43="","",IF($A43="","Canonical MASR ID required",IF(AND($D43&lt;&gt;"Certified Portfolio Holding",OR($K43="",$L43&lt;&gt;"Active",$M43&lt;&gt;"CURRENT",$N43="",$O43="",$W43="")),"Complete MIAR / scoring / empirical eligibility",IF(AND($F43="Zacks Election",OR($T43="",$T43&lt;50)),"Sub-$50B Zacks election exception",IF(OR($U43=4,$U43=5),"Zacks #4/#5 exception review",IF($V43="No Rating","Merrill No Rating exception",IF($V43="Restricted / Unavailable","Merrill restricted / unavailable exception","None")))))))</x:f>
        <x:v>Canonical MASR ID required</x:v>
      </x:c>
      <x:c r="Z43" s="1257" t="n">
        <x:f>IF($B43="","",COUNTIF('24 RCC-004 Candidate Pipeline'!$C$14:$C$213,$B43))</x:f>
        <x:v>0</x:v>
      </x:c>
      <x:c r="AA43" s="1253" t="str">
        <x:f>IF($B43="","",IFERROR(INDEX('24 RCC-004 Candidate Pipeline'!$Y$14:$Y$213,MATCH($B43,'24 RCC-004 Candidate Pipeline'!$C$14:$C$213,0)),""))</x:f>
      </x:c>
      <x:c r="AB43" s="1242" t="str">
        <x:v>Grandfathered — Certified Holding</x:v>
      </x:c>
      <x:c r="AC43" s="1253" t="str">
        <x:f>IF($B43="","",IF(COUNTIFS('24 RCC-004 Candidate Pipeline'!$C$14:$C$213,$B43,'24 RCC-004 Candidate Pipeline'!$AF$14:$AF$213,"Yes — Refer to PEW-004")&gt;0,"REFERRED — PEW-004",IF($Z43&gt;0,"CANDIDATE RECORD ACTIVE","NO ACTIVE CANDIDATE")))</x:f>
        <x:v>NO ACTIVE CANDIDATE</x:v>
      </x:c>
      <x:c r="AD43" s="1253" t="str">
        <x:f>IF($B43="","",IF($A43="","SETUP REQUIRED",IF(COUNTIF($A$14:$A$163,$A43)&gt;1,"DUPLICATE MASR ID",IF(COUNTIF($B$14:$B$163,$B43)&gt;1,"DUPLICATE TICKER",IF(OR($D43="",$E43="",$F43="",$G43="",$H43="",$I43=""),"INCOMPLETE",IF(OR($K43="",$L43=""),"MIAR SETUP REQUIRED",IF($X43="NOT ELIGIBLE","NOT ELIGIBLE",IF($Y43&lt;&gt;"None","EXCEPTION REVIEW",IF(AND($D43&lt;&gt;"Certified Portfolio Holding",OR($E43="Active — Approved Non-Holding",$E43="Conditional",$E43="Candidate — Committee Review"),OR($AB43="",$AB43="Pending")),"COMMITTEE DISPOSITION REQUIRED",IF(AND(OR($E43="Active — Approved Non-Holding",$E43="Conditional"),OR($AG43="",$AH43="")),"CERTIFICATION REQUIRED",IF(OR($E43="Rejected",$E43="Removed",$E43="Archived"),"INACTIVE / CLOSED","CONTROL CLEAR")))))))))))</x:f>
        <x:v>SETUP REQUIRED</x:v>
      </x:c>
      <x:c r="AE43" s="1253" t="str">
        <x:f>IF($AD43="","",IFERROR(INDEX('97 RCC Lists'!$AK$5:$AK$15,MATCH($AD43,'97 RCC Lists'!$AJ$5:$AJ$15,0)),"Review exception"))</x:f>
        <x:v>Assign canonical MASR ID and complete registry setup</x:v>
      </x:c>
      <x:c r="AF43" s="1251"/>
      <x:c r="AG43" s="1242"/>
      <x:c r="AH43" s="1251"/>
      <x:c r="AI43" s="1242"/>
    </x:row>
    <x:row r="44" ht="32" customHeight="1">
      <x:c r="A44" s="1242"/>
      <x:c r="B44" s="1243" t="str">
        <x:f>INDEX('Certified Allocation'!$B$5:$B$51,ROW()-13)</x:f>
        <x:v>TT</x:v>
      </x:c>
      <x:c r="C44" s="1243" t="str">
        <x:f>INDEX('Certified Allocation'!$C$5:$C$51,ROW()-13)</x:f>
        <x:v>Trane Technologies plc</x:v>
      </x:c>
      <x:c r="D44" s="1244" t="str">
        <x:v>Certified Portfolio Holding</x:v>
      </x:c>
      <x:c r="E44" s="1244" t="str">
        <x:v>Active — Certified Holding</x:v>
      </x:c>
      <x:c r="F44" s="1244" t="str">
        <x:v>Certified MFPDF / Founders Edition</x:v>
      </x:c>
      <x:c r="G44" s="1243" t="str">
        <x:f>INDEX('Certified Allocation'!$A$5:$A$51,ROW()-13)</x:f>
        <x:v>Industrials &amp; Infrastructure</x:v>
      </x:c>
      <x:c r="H44" s="1243" t="str">
        <x:f>INDEX('Certified Allocation'!$E$5:$E$51,ROW()-13)</x:f>
        <x:v>Climate and building efficiency leader</x:v>
      </x:c>
      <x:c r="I44" s="1243" t="str">
        <x:f>INDEX('Certified Allocation'!$D$5:$D$51,ROW()-13)</x:f>
        <x:v>Equity</x:v>
      </x:c>
      <x:c r="J44" s="1245" t="n">
        <x:f>IF($B44="","",IFERROR(INDEX('Certified Allocation'!$F$5:$F$51,MATCH($B44,'Certified Allocation'!$B$5:$B$51,0)),""))</x:f>
        <x:v>0.0156</x:v>
      </x:c>
      <x:c r="K44" s="1243" t="str">
        <x:f>IF($B44="","",IFERROR(INDEX('20 RCC-003 MIAR Registry'!$A$14:$A$60,MATCH($B44,'20 RCC-003 MIAR Registry'!$B$14:$B$60,0)),""))</x:f>
      </x:c>
      <x:c r="L44" s="1243" t="str">
        <x:f>IF($B44="","",IFERROR(INDEX('20 RCC-003 MIAR Registry'!$M$14:$M$60,MATCH($B44,'20 RCC-003 MIAR Registry'!$B$14:$B$60,0)),""))</x:f>
      </x:c>
      <x:c r="M44" s="1243" t="str">
        <x:f>IF($B44="","",IFERROR(INDEX('20 RCC-003 MIAR Registry'!$Z$14:$Z$60,MATCH($B44,'20 RCC-003 MIAR Registry'!$B$14:$B$60,0)),""))</x:f>
        <x:v>NOT INITIALIZED</x:v>
      </x:c>
      <x:c r="N44" s="1246" t="str">
        <x:f>IF($B44="","",IFERROR(INDEX('20 RCC-003 MIAR Registry'!$K$14:$K$60,MATCH($B44,'20 RCC-003 MIAR Registry'!$B$14:$B$60,0)),""))</x:f>
      </x:c>
      <x:c r="O44" s="1246" t="str">
        <x:f>IF($B44="","",IFERROR(INDEX('20 RCC-003 MIAR Registry'!$L$14:$L$60,MATCH($B44,'20 RCC-003 MIAR Registry'!$B$14:$B$60,0)),""))</x:f>
      </x:c>
      <x:c r="P44" s="1243" t="str">
        <x:f>IF($B44="","",IFERROR(INDEX('20 RCC-003 MIAR Registry'!$I$14:$I$60,MATCH($B44,'20 RCC-003 MIAR Registry'!$B$14:$B$60,0)),""))</x:f>
        <x:v>Unassigned</x:v>
      </x:c>
      <x:c r="Q44" s="1243" t="str">
        <x:f>IF($B44="","",IFERROR(INDEX('20 RCC-003 MIAR Registry'!$J$14:$J$60,MATCH($B44,'20 RCC-003 MIAR Registry'!$B$14:$B$60,0)),""))</x:f>
      </x:c>
      <x:c r="R44" s="1247" t="n">
        <x:f>IF($B44="","",COUNTIF('18 RCC-002 Evidence Ledger'!$E$14:$E$213,$B44))</x:f>
        <x:v>0</x:v>
      </x:c>
      <x:c r="S44" s="1247" t="n">
        <x:f>IF($B44="","",COUNTIFS('18 RCC-002 Evidence Ledger'!$E$14:$E$213,$B44,'18 RCC-002 Evidence Ledger'!$T$14:$T$213,"&lt;&gt;Closed — No Action",'18 RCC-002 Evidence Ledger'!$T$14:$T$213,"&lt;&gt;Closed — Incorporated"))</x:f>
        <x:v>0</x:v>
      </x:c>
      <x:c r="T44" s="1248"/>
      <x:c r="U44" s="1249"/>
      <x:c r="V44" s="1242"/>
      <x:c r="W44" s="1248"/>
      <x:c r="X44" s="1244" t="str">
        <x:f>IF($B44="","",IF($D44="Certified Portfolio Holding","CERTIFIED HOLDING",IF(OR($A44="",$D44="",$E44="",$F44="",$G44="",$H44="",$I44=""),"NOT ASSESSED",IF(OR($K44="",$L44&lt;&gt;"Active",$M44="OVERDUE",$M44="MATERIAL EVENT REVIEW",$N44="",$O44="",$W44=""),"NOT ELIGIBLE",IF(OR(AND($F44="Zacks Election",OR($T44="",$T44&lt;50)),OR($U44=4,$U44=5),$V44="No Rating",$V44="Restricted / Unavailable"),"ELIGIBLE WITH EXCEPTION","ELIGIBLE")))))</x:f>
        <x:v>CERTIFIED HOLDING</x:v>
      </x:c>
      <x:c r="Y44" s="1244" t="str">
        <x:f>IF($B44="","",IF($A44="","Canonical MASR ID required",IF(AND($D44&lt;&gt;"Certified Portfolio Holding",OR($K44="",$L44&lt;&gt;"Active",$M44&lt;&gt;"CURRENT",$N44="",$O44="",$W44="")),"Complete MIAR / scoring / empirical eligibility",IF(AND($F44="Zacks Election",OR($T44="",$T44&lt;50)),"Sub-$50B Zacks election exception",IF(OR($U44=4,$U44=5),"Zacks #4/#5 exception review",IF($V44="No Rating","Merrill No Rating exception",IF($V44="Restricted / Unavailable","Merrill restricted / unavailable exception","None")))))))</x:f>
        <x:v>Canonical MASR ID required</x:v>
      </x:c>
      <x:c r="Z44" s="1250" t="n">
        <x:f>IF($B44="","",COUNTIF('24 RCC-004 Candidate Pipeline'!$C$14:$C$213,$B44))</x:f>
        <x:v>0</x:v>
      </x:c>
      <x:c r="AA44" s="1244" t="str">
        <x:f>IF($B44="","",IFERROR(INDEX('24 RCC-004 Candidate Pipeline'!$Y$14:$Y$213,MATCH($B44,'24 RCC-004 Candidate Pipeline'!$C$14:$C$213,0)),""))</x:f>
      </x:c>
      <x:c r="AB44" s="1242" t="str">
        <x:v>Grandfathered — Certified Holding</x:v>
      </x:c>
      <x:c r="AC44" s="1244" t="str">
        <x:f>IF($B44="","",IF(COUNTIFS('24 RCC-004 Candidate Pipeline'!$C$14:$C$213,$B44,'24 RCC-004 Candidate Pipeline'!$AF$14:$AF$213,"Yes — Refer to PEW-004")&gt;0,"REFERRED — PEW-004",IF($Z44&gt;0,"CANDIDATE RECORD ACTIVE","NO ACTIVE CANDIDATE")))</x:f>
        <x:v>NO ACTIVE CANDIDATE</x:v>
      </x:c>
      <x:c r="AD44" s="1244" t="str">
        <x:f>IF($B44="","",IF($A44="","SETUP REQUIRED",IF(COUNTIF($A$14:$A$163,$A44)&gt;1,"DUPLICATE MASR ID",IF(COUNTIF($B$14:$B$163,$B44)&gt;1,"DUPLICATE TICKER",IF(OR($D44="",$E44="",$F44="",$G44="",$H44="",$I44=""),"INCOMPLETE",IF(OR($K44="",$L44=""),"MIAR SETUP REQUIRED",IF($X44="NOT ELIGIBLE","NOT ELIGIBLE",IF($Y44&lt;&gt;"None","EXCEPTION REVIEW",IF(AND($D44&lt;&gt;"Certified Portfolio Holding",OR($E44="Active — Approved Non-Holding",$E44="Conditional",$E44="Candidate — Committee Review"),OR($AB44="",$AB44="Pending")),"COMMITTEE DISPOSITION REQUIRED",IF(AND(OR($E44="Active — Approved Non-Holding",$E44="Conditional"),OR($AG44="",$AH44="")),"CERTIFICATION REQUIRED",IF(OR($E44="Rejected",$E44="Removed",$E44="Archived"),"INACTIVE / CLOSED","CONTROL CLEAR")))))))))))</x:f>
        <x:v>SETUP REQUIRED</x:v>
      </x:c>
      <x:c r="AE44" s="1244" t="str">
        <x:f>IF($AD44="","",IFERROR(INDEX('97 RCC Lists'!$AK$5:$AK$15,MATCH($AD44,'97 RCC Lists'!$AJ$5:$AJ$15,0)),"Review exception"))</x:f>
        <x:v>Assign canonical MASR ID and complete registry setup</x:v>
      </x:c>
      <x:c r="AF44" s="1251"/>
      <x:c r="AG44" s="1242"/>
      <x:c r="AH44" s="1251"/>
      <x:c r="AI44" s="1242"/>
    </x:row>
    <x:row r="45" ht="32" customHeight="1">
      <x:c r="A45" s="1242"/>
      <x:c r="B45" s="1252" t="str">
        <x:f>INDEX('Certified Allocation'!$B$5:$B$51,ROW()-13)</x:f>
        <x:v>UNP</x:v>
      </x:c>
      <x:c r="C45" s="1252" t="str">
        <x:f>INDEX('Certified Allocation'!$C$5:$C$51,ROW()-13)</x:f>
        <x:v>Union Pacific Corporation</x:v>
      </x:c>
      <x:c r="D45" s="1253" t="str">
        <x:v>Certified Portfolio Holding</x:v>
      </x:c>
      <x:c r="E45" s="1253" t="str">
        <x:v>Active — Certified Holding</x:v>
      </x:c>
      <x:c r="F45" s="1253" t="str">
        <x:v>Certified MFPDF / Founders Edition</x:v>
      </x:c>
      <x:c r="G45" s="1252" t="str">
        <x:f>INDEX('Certified Allocation'!$A$5:$A$51,ROW()-13)</x:f>
        <x:v>Industrials &amp; Infrastructure</x:v>
      </x:c>
      <x:c r="H45" s="1252" t="str">
        <x:f>INDEX('Certified Allocation'!$E$5:$E$51,ROW()-13)</x:f>
        <x:v>Freight rail infrastructure</x:v>
      </x:c>
      <x:c r="I45" s="1252" t="str">
        <x:f>INDEX('Certified Allocation'!$D$5:$D$51,ROW()-13)</x:f>
        <x:v>Equity</x:v>
      </x:c>
      <x:c r="J45" s="1254" t="n">
        <x:f>IF($B45="","",IFERROR(INDEX('Certified Allocation'!$F$5:$F$51,MATCH($B45,'Certified Allocation'!$B$5:$B$51,0)),""))</x:f>
        <x:v>0.0155</x:v>
      </x:c>
      <x:c r="K45" s="1252" t="str">
        <x:f>IF($B45="","",IFERROR(INDEX('20 RCC-003 MIAR Registry'!$A$14:$A$60,MATCH($B45,'20 RCC-003 MIAR Registry'!$B$14:$B$60,0)),""))</x:f>
      </x:c>
      <x:c r="L45" s="1252" t="str">
        <x:f>IF($B45="","",IFERROR(INDEX('20 RCC-003 MIAR Registry'!$M$14:$M$60,MATCH($B45,'20 RCC-003 MIAR Registry'!$B$14:$B$60,0)),""))</x:f>
      </x:c>
      <x:c r="M45" s="1252" t="str">
        <x:f>IF($B45="","",IFERROR(INDEX('20 RCC-003 MIAR Registry'!$Z$14:$Z$60,MATCH($B45,'20 RCC-003 MIAR Registry'!$B$14:$B$60,0)),""))</x:f>
        <x:v>NOT INITIALIZED</x:v>
      </x:c>
      <x:c r="N45" s="1255" t="str">
        <x:f>IF($B45="","",IFERROR(INDEX('20 RCC-003 MIAR Registry'!$K$14:$K$60,MATCH($B45,'20 RCC-003 MIAR Registry'!$B$14:$B$60,0)),""))</x:f>
      </x:c>
      <x:c r="O45" s="1255" t="str">
        <x:f>IF($B45="","",IFERROR(INDEX('20 RCC-003 MIAR Registry'!$L$14:$L$60,MATCH($B45,'20 RCC-003 MIAR Registry'!$B$14:$B$60,0)),""))</x:f>
      </x:c>
      <x:c r="P45" s="1252" t="str">
        <x:f>IF($B45="","",IFERROR(INDEX('20 RCC-003 MIAR Registry'!$I$14:$I$60,MATCH($B45,'20 RCC-003 MIAR Registry'!$B$14:$B$60,0)),""))</x:f>
        <x:v>Unassigned</x:v>
      </x:c>
      <x:c r="Q45" s="1252" t="str">
        <x:f>IF($B45="","",IFERROR(INDEX('20 RCC-003 MIAR Registry'!$J$14:$J$60,MATCH($B45,'20 RCC-003 MIAR Registry'!$B$14:$B$60,0)),""))</x:f>
      </x:c>
      <x:c r="R45" s="1256" t="n">
        <x:f>IF($B45="","",COUNTIF('18 RCC-002 Evidence Ledger'!$E$14:$E$213,$B45))</x:f>
        <x:v>0</x:v>
      </x:c>
      <x:c r="S45" s="1256" t="n">
        <x:f>IF($B45="","",COUNTIFS('18 RCC-002 Evidence Ledger'!$E$14:$E$213,$B45,'18 RCC-002 Evidence Ledger'!$T$14:$T$213,"&lt;&gt;Closed — No Action",'18 RCC-002 Evidence Ledger'!$T$14:$T$213,"&lt;&gt;Closed — Incorporated"))</x:f>
        <x:v>0</x:v>
      </x:c>
      <x:c r="T45" s="1248"/>
      <x:c r="U45" s="1249"/>
      <x:c r="V45" s="1242"/>
      <x:c r="W45" s="1248"/>
      <x:c r="X45" s="1253" t="str">
        <x:f>IF($B45="","",IF($D45="Certified Portfolio Holding","CERTIFIED HOLDING",IF(OR($A45="",$D45="",$E45="",$F45="",$G45="",$H45="",$I45=""),"NOT ASSESSED",IF(OR($K45="",$L45&lt;&gt;"Active",$M45="OVERDUE",$M45="MATERIAL EVENT REVIEW",$N45="",$O45="",$W45=""),"NOT ELIGIBLE",IF(OR(AND($F45="Zacks Election",OR($T45="",$T45&lt;50)),OR($U45=4,$U45=5),$V45="No Rating",$V45="Restricted / Unavailable"),"ELIGIBLE WITH EXCEPTION","ELIGIBLE")))))</x:f>
        <x:v>CERTIFIED HOLDING</x:v>
      </x:c>
      <x:c r="Y45" s="1253" t="str">
        <x:f>IF($B45="","",IF($A45="","Canonical MASR ID required",IF(AND($D45&lt;&gt;"Certified Portfolio Holding",OR($K45="",$L45&lt;&gt;"Active",$M45&lt;&gt;"CURRENT",$N45="",$O45="",$W45="")),"Complete MIAR / scoring / empirical eligibility",IF(AND($F45="Zacks Election",OR($T45="",$T45&lt;50)),"Sub-$50B Zacks election exception",IF(OR($U45=4,$U45=5),"Zacks #4/#5 exception review",IF($V45="No Rating","Merrill No Rating exception",IF($V45="Restricted / Unavailable","Merrill restricted / unavailable exception","None")))))))</x:f>
        <x:v>Canonical MASR ID required</x:v>
      </x:c>
      <x:c r="Z45" s="1257" t="n">
        <x:f>IF($B45="","",COUNTIF('24 RCC-004 Candidate Pipeline'!$C$14:$C$213,$B45))</x:f>
        <x:v>0</x:v>
      </x:c>
      <x:c r="AA45" s="1253" t="str">
        <x:f>IF($B45="","",IFERROR(INDEX('24 RCC-004 Candidate Pipeline'!$Y$14:$Y$213,MATCH($B45,'24 RCC-004 Candidate Pipeline'!$C$14:$C$213,0)),""))</x:f>
      </x:c>
      <x:c r="AB45" s="1242" t="str">
        <x:v>Grandfathered — Certified Holding</x:v>
      </x:c>
      <x:c r="AC45" s="1253" t="str">
        <x:f>IF($B45="","",IF(COUNTIFS('24 RCC-004 Candidate Pipeline'!$C$14:$C$213,$B45,'24 RCC-004 Candidate Pipeline'!$AF$14:$AF$213,"Yes — Refer to PEW-004")&gt;0,"REFERRED — PEW-004",IF($Z45&gt;0,"CANDIDATE RECORD ACTIVE","NO ACTIVE CANDIDATE")))</x:f>
        <x:v>NO ACTIVE CANDIDATE</x:v>
      </x:c>
      <x:c r="AD45" s="1253" t="str">
        <x:f>IF($B45="","",IF($A45="","SETUP REQUIRED",IF(COUNTIF($A$14:$A$163,$A45)&gt;1,"DUPLICATE MASR ID",IF(COUNTIF($B$14:$B$163,$B45)&gt;1,"DUPLICATE TICKER",IF(OR($D45="",$E45="",$F45="",$G45="",$H45="",$I45=""),"INCOMPLETE",IF(OR($K45="",$L45=""),"MIAR SETUP REQUIRED",IF($X45="NOT ELIGIBLE","NOT ELIGIBLE",IF($Y45&lt;&gt;"None","EXCEPTION REVIEW",IF(AND($D45&lt;&gt;"Certified Portfolio Holding",OR($E45="Active — Approved Non-Holding",$E45="Conditional",$E45="Candidate — Committee Review"),OR($AB45="",$AB45="Pending")),"COMMITTEE DISPOSITION REQUIRED",IF(AND(OR($E45="Active — Approved Non-Holding",$E45="Conditional"),OR($AG45="",$AH45="")),"CERTIFICATION REQUIRED",IF(OR($E45="Rejected",$E45="Removed",$E45="Archived"),"INACTIVE / CLOSED","CONTROL CLEAR")))))))))))</x:f>
        <x:v>SETUP REQUIRED</x:v>
      </x:c>
      <x:c r="AE45" s="1253" t="str">
        <x:f>IF($AD45="","",IFERROR(INDEX('97 RCC Lists'!$AK$5:$AK$15,MATCH($AD45,'97 RCC Lists'!$AJ$5:$AJ$15,0)),"Review exception"))</x:f>
        <x:v>Assign canonical MASR ID and complete registry setup</x:v>
      </x:c>
      <x:c r="AF45" s="1251"/>
      <x:c r="AG45" s="1242"/>
      <x:c r="AH45" s="1251"/>
      <x:c r="AI45" s="1242"/>
    </x:row>
    <x:row r="46" ht="32" customHeight="1">
      <x:c r="A46" s="1242"/>
      <x:c r="B46" s="1243" t="str">
        <x:f>INDEX('Certified Allocation'!$B$5:$B$51,ROW()-13)</x:f>
        <x:v>CME</x:v>
      </x:c>
      <x:c r="C46" s="1243" t="str">
        <x:f>INDEX('Certified Allocation'!$C$5:$C$51,ROW()-13)</x:f>
        <x:v>CME Group Inc.</x:v>
      </x:c>
      <x:c r="D46" s="1244" t="str">
        <x:v>Certified Portfolio Holding</x:v>
      </x:c>
      <x:c r="E46" s="1244" t="str">
        <x:v>Active — Certified Holding</x:v>
      </x:c>
      <x:c r="F46" s="1244" t="str">
        <x:v>Certified MFPDF / Founders Edition</x:v>
      </x:c>
      <x:c r="G46" s="1243" t="str">
        <x:f>INDEX('Certified Allocation'!$A$5:$A$51,ROW()-13)</x:f>
        <x:v>Financial Infrastructure</x:v>
      </x:c>
      <x:c r="H46" s="1243" t="str">
        <x:f>INDEX('Certified Allocation'!$E$5:$E$51,ROW()-13)</x:f>
        <x:v>Market infrastructure and derivatives exchange</x:v>
      </x:c>
      <x:c r="I46" s="1243" t="str">
        <x:f>INDEX('Certified Allocation'!$D$5:$D$51,ROW()-13)</x:f>
        <x:v>Equity</x:v>
      </x:c>
      <x:c r="J46" s="1245" t="n">
        <x:f>IF($B46="","",IFERROR(INDEX('Certified Allocation'!$F$5:$F$51,MATCH($B46,'Certified Allocation'!$B$5:$B$51,0)),""))</x:f>
        <x:v>0.0302</x:v>
      </x:c>
      <x:c r="K46" s="1243" t="str">
        <x:f>IF($B46="","",IFERROR(INDEX('20 RCC-003 MIAR Registry'!$A$14:$A$60,MATCH($B46,'20 RCC-003 MIAR Registry'!$B$14:$B$60,0)),""))</x:f>
      </x:c>
      <x:c r="L46" s="1243" t="str">
        <x:f>IF($B46="","",IFERROR(INDEX('20 RCC-003 MIAR Registry'!$M$14:$M$60,MATCH($B46,'20 RCC-003 MIAR Registry'!$B$14:$B$60,0)),""))</x:f>
      </x:c>
      <x:c r="M46" s="1243" t="str">
        <x:f>IF($B46="","",IFERROR(INDEX('20 RCC-003 MIAR Registry'!$Z$14:$Z$60,MATCH($B46,'20 RCC-003 MIAR Registry'!$B$14:$B$60,0)),""))</x:f>
        <x:v>NOT INITIALIZED</x:v>
      </x:c>
      <x:c r="N46" s="1246" t="str">
        <x:f>IF($B46="","",IFERROR(INDEX('20 RCC-003 MIAR Registry'!$K$14:$K$60,MATCH($B46,'20 RCC-003 MIAR Registry'!$B$14:$B$60,0)),""))</x:f>
      </x:c>
      <x:c r="O46" s="1246" t="str">
        <x:f>IF($B46="","",IFERROR(INDEX('20 RCC-003 MIAR Registry'!$L$14:$L$60,MATCH($B46,'20 RCC-003 MIAR Registry'!$B$14:$B$60,0)),""))</x:f>
      </x:c>
      <x:c r="P46" s="1243" t="str">
        <x:f>IF($B46="","",IFERROR(INDEX('20 RCC-003 MIAR Registry'!$I$14:$I$60,MATCH($B46,'20 RCC-003 MIAR Registry'!$B$14:$B$60,0)),""))</x:f>
        <x:v>Unassigned</x:v>
      </x:c>
      <x:c r="Q46" s="1243" t="str">
        <x:f>IF($B46="","",IFERROR(INDEX('20 RCC-003 MIAR Registry'!$J$14:$J$60,MATCH($B46,'20 RCC-003 MIAR Registry'!$B$14:$B$60,0)),""))</x:f>
      </x:c>
      <x:c r="R46" s="1247" t="n">
        <x:f>IF($B46="","",COUNTIF('18 RCC-002 Evidence Ledger'!$E$14:$E$213,$B46))</x:f>
        <x:v>0</x:v>
      </x:c>
      <x:c r="S46" s="1247" t="n">
        <x:f>IF($B46="","",COUNTIFS('18 RCC-002 Evidence Ledger'!$E$14:$E$213,$B46,'18 RCC-002 Evidence Ledger'!$T$14:$T$213,"&lt;&gt;Closed — No Action",'18 RCC-002 Evidence Ledger'!$T$14:$T$213,"&lt;&gt;Closed — Incorporated"))</x:f>
        <x:v>0</x:v>
      </x:c>
      <x:c r="T46" s="1248"/>
      <x:c r="U46" s="1249"/>
      <x:c r="V46" s="1242"/>
      <x:c r="W46" s="1248"/>
      <x:c r="X46" s="1244" t="str">
        <x:f>IF($B46="","",IF($D46="Certified Portfolio Holding","CERTIFIED HOLDING",IF(OR($A46="",$D46="",$E46="",$F46="",$G46="",$H46="",$I46=""),"NOT ASSESSED",IF(OR($K46="",$L46&lt;&gt;"Active",$M46="OVERDUE",$M46="MATERIAL EVENT REVIEW",$N46="",$O46="",$W46=""),"NOT ELIGIBLE",IF(OR(AND($F46="Zacks Election",OR($T46="",$T46&lt;50)),OR($U46=4,$U46=5),$V46="No Rating",$V46="Restricted / Unavailable"),"ELIGIBLE WITH EXCEPTION","ELIGIBLE")))))</x:f>
        <x:v>CERTIFIED HOLDING</x:v>
      </x:c>
      <x:c r="Y46" s="1244" t="str">
        <x:f>IF($B46="","",IF($A46="","Canonical MASR ID required",IF(AND($D46&lt;&gt;"Certified Portfolio Holding",OR($K46="",$L46&lt;&gt;"Active",$M46&lt;&gt;"CURRENT",$N46="",$O46="",$W46="")),"Complete MIAR / scoring / empirical eligibility",IF(AND($F46="Zacks Election",OR($T46="",$T46&lt;50)),"Sub-$50B Zacks election exception",IF(OR($U46=4,$U46=5),"Zacks #4/#5 exception review",IF($V46="No Rating","Merrill No Rating exception",IF($V46="Restricted / Unavailable","Merrill restricted / unavailable exception","None")))))))</x:f>
        <x:v>Canonical MASR ID required</x:v>
      </x:c>
      <x:c r="Z46" s="1250" t="n">
        <x:f>IF($B46="","",COUNTIF('24 RCC-004 Candidate Pipeline'!$C$14:$C$213,$B46))</x:f>
        <x:v>0</x:v>
      </x:c>
      <x:c r="AA46" s="1244" t="str">
        <x:f>IF($B46="","",IFERROR(INDEX('24 RCC-004 Candidate Pipeline'!$Y$14:$Y$213,MATCH($B46,'24 RCC-004 Candidate Pipeline'!$C$14:$C$213,0)),""))</x:f>
      </x:c>
      <x:c r="AB46" s="1242" t="str">
        <x:v>Grandfathered — Certified Holding</x:v>
      </x:c>
      <x:c r="AC46" s="1244" t="str">
        <x:f>IF($B46="","",IF(COUNTIFS('24 RCC-004 Candidate Pipeline'!$C$14:$C$213,$B46,'24 RCC-004 Candidate Pipeline'!$AF$14:$AF$213,"Yes — Refer to PEW-004")&gt;0,"REFERRED — PEW-004",IF($Z46&gt;0,"CANDIDATE RECORD ACTIVE","NO ACTIVE CANDIDATE")))</x:f>
        <x:v>NO ACTIVE CANDIDATE</x:v>
      </x:c>
      <x:c r="AD46" s="1244" t="str">
        <x:f>IF($B46="","",IF($A46="","SETUP REQUIRED",IF(COUNTIF($A$14:$A$163,$A46)&gt;1,"DUPLICATE MASR ID",IF(COUNTIF($B$14:$B$163,$B46)&gt;1,"DUPLICATE TICKER",IF(OR($D46="",$E46="",$F46="",$G46="",$H46="",$I46=""),"INCOMPLETE",IF(OR($K46="",$L46=""),"MIAR SETUP REQUIRED",IF($X46="NOT ELIGIBLE","NOT ELIGIBLE",IF($Y46&lt;&gt;"None","EXCEPTION REVIEW",IF(AND($D46&lt;&gt;"Certified Portfolio Holding",OR($E46="Active — Approved Non-Holding",$E46="Conditional",$E46="Candidate — Committee Review"),OR($AB46="",$AB46="Pending")),"COMMITTEE DISPOSITION REQUIRED",IF(AND(OR($E46="Active — Approved Non-Holding",$E46="Conditional"),OR($AG46="",$AH46="")),"CERTIFICATION REQUIRED",IF(OR($E46="Rejected",$E46="Removed",$E46="Archived"),"INACTIVE / CLOSED","CONTROL CLEAR")))))))))))</x:f>
        <x:v>SETUP REQUIRED</x:v>
      </x:c>
      <x:c r="AE46" s="1244" t="str">
        <x:f>IF($AD46="","",IFERROR(INDEX('97 RCC Lists'!$AK$5:$AK$15,MATCH($AD46,'97 RCC Lists'!$AJ$5:$AJ$15,0)),"Review exception"))</x:f>
        <x:v>Assign canonical MASR ID and complete registry setup</x:v>
      </x:c>
      <x:c r="AF46" s="1251"/>
      <x:c r="AG46" s="1242"/>
      <x:c r="AH46" s="1251"/>
      <x:c r="AI46" s="1242"/>
    </x:row>
    <x:row r="47" ht="32" customHeight="1">
      <x:c r="A47" s="1242"/>
      <x:c r="B47" s="1252" t="str">
        <x:f>INDEX('Certified Allocation'!$B$5:$B$51,ROW()-13)</x:f>
        <x:v>MMC</x:v>
      </x:c>
      <x:c r="C47" s="1252" t="str">
        <x:f>INDEX('Certified Allocation'!$C$5:$C$51,ROW()-13)</x:f>
        <x:v>Marsh &amp; McLennan Companies, Inc.</x:v>
      </x:c>
      <x:c r="D47" s="1253" t="str">
        <x:v>Certified Portfolio Holding</x:v>
      </x:c>
      <x:c r="E47" s="1253" t="str">
        <x:v>Active — Certified Holding</x:v>
      </x:c>
      <x:c r="F47" s="1253" t="str">
        <x:v>Certified MFPDF / Founders Edition</x:v>
      </x:c>
      <x:c r="G47" s="1252" t="str">
        <x:f>INDEX('Certified Allocation'!$A$5:$A$51,ROW()-13)</x:f>
        <x:v>Financial Infrastructure</x:v>
      </x:c>
      <x:c r="H47" s="1252" t="str">
        <x:f>INDEX('Certified Allocation'!$E$5:$E$51,ROW()-13)</x:f>
        <x:v>Risk, insurance and advisory infrastructure</x:v>
      </x:c>
      <x:c r="I47" s="1252" t="str">
        <x:f>INDEX('Certified Allocation'!$D$5:$D$51,ROW()-13)</x:f>
        <x:v>Equity</x:v>
      </x:c>
      <x:c r="J47" s="1254" t="n">
        <x:f>IF($B47="","",IFERROR(INDEX('Certified Allocation'!$F$5:$F$51,MATCH($B47,'Certified Allocation'!$B$5:$B$51,0)),""))</x:f>
        <x:v>0.02</x:v>
      </x:c>
      <x:c r="K47" s="1252" t="str">
        <x:f>IF($B47="","",IFERROR(INDEX('20 RCC-003 MIAR Registry'!$A$14:$A$60,MATCH($B47,'20 RCC-003 MIAR Registry'!$B$14:$B$60,0)),""))</x:f>
      </x:c>
      <x:c r="L47" s="1252" t="str">
        <x:f>IF($B47="","",IFERROR(INDEX('20 RCC-003 MIAR Registry'!$M$14:$M$60,MATCH($B47,'20 RCC-003 MIAR Registry'!$B$14:$B$60,0)),""))</x:f>
      </x:c>
      <x:c r="M47" s="1252" t="str">
        <x:f>IF($B47="","",IFERROR(INDEX('20 RCC-003 MIAR Registry'!$Z$14:$Z$60,MATCH($B47,'20 RCC-003 MIAR Registry'!$B$14:$B$60,0)),""))</x:f>
        <x:v>NOT INITIALIZED</x:v>
      </x:c>
      <x:c r="N47" s="1255" t="str">
        <x:f>IF($B47="","",IFERROR(INDEX('20 RCC-003 MIAR Registry'!$K$14:$K$60,MATCH($B47,'20 RCC-003 MIAR Registry'!$B$14:$B$60,0)),""))</x:f>
      </x:c>
      <x:c r="O47" s="1255" t="str">
        <x:f>IF($B47="","",IFERROR(INDEX('20 RCC-003 MIAR Registry'!$L$14:$L$60,MATCH($B47,'20 RCC-003 MIAR Registry'!$B$14:$B$60,0)),""))</x:f>
      </x:c>
      <x:c r="P47" s="1252" t="str">
        <x:f>IF($B47="","",IFERROR(INDEX('20 RCC-003 MIAR Registry'!$I$14:$I$60,MATCH($B47,'20 RCC-003 MIAR Registry'!$B$14:$B$60,0)),""))</x:f>
        <x:v>Unassigned</x:v>
      </x:c>
      <x:c r="Q47" s="1252" t="str">
        <x:f>IF($B47="","",IFERROR(INDEX('20 RCC-003 MIAR Registry'!$J$14:$J$60,MATCH($B47,'20 RCC-003 MIAR Registry'!$B$14:$B$60,0)),""))</x:f>
      </x:c>
      <x:c r="R47" s="1256" t="n">
        <x:f>IF($B47="","",COUNTIF('18 RCC-002 Evidence Ledger'!$E$14:$E$213,$B47))</x:f>
        <x:v>0</x:v>
      </x:c>
      <x:c r="S47" s="1256" t="n">
        <x:f>IF($B47="","",COUNTIFS('18 RCC-002 Evidence Ledger'!$E$14:$E$213,$B47,'18 RCC-002 Evidence Ledger'!$T$14:$T$213,"&lt;&gt;Closed — No Action",'18 RCC-002 Evidence Ledger'!$T$14:$T$213,"&lt;&gt;Closed — Incorporated"))</x:f>
        <x:v>0</x:v>
      </x:c>
      <x:c r="T47" s="1248"/>
      <x:c r="U47" s="1249"/>
      <x:c r="V47" s="1242"/>
      <x:c r="W47" s="1248"/>
      <x:c r="X47" s="1253" t="str">
        <x:f>IF($B47="","",IF($D47="Certified Portfolio Holding","CERTIFIED HOLDING",IF(OR($A47="",$D47="",$E47="",$F47="",$G47="",$H47="",$I47=""),"NOT ASSESSED",IF(OR($K47="",$L47&lt;&gt;"Active",$M47="OVERDUE",$M47="MATERIAL EVENT REVIEW",$N47="",$O47="",$W47=""),"NOT ELIGIBLE",IF(OR(AND($F47="Zacks Election",OR($T47="",$T47&lt;50)),OR($U47=4,$U47=5),$V47="No Rating",$V47="Restricted / Unavailable"),"ELIGIBLE WITH EXCEPTION","ELIGIBLE")))))</x:f>
        <x:v>CERTIFIED HOLDING</x:v>
      </x:c>
      <x:c r="Y47" s="1253" t="str">
        <x:f>IF($B47="","",IF($A47="","Canonical MASR ID required",IF(AND($D47&lt;&gt;"Certified Portfolio Holding",OR($K47="",$L47&lt;&gt;"Active",$M47&lt;&gt;"CURRENT",$N47="",$O47="",$W47="")),"Complete MIAR / scoring / empirical eligibility",IF(AND($F47="Zacks Election",OR($T47="",$T47&lt;50)),"Sub-$50B Zacks election exception",IF(OR($U47=4,$U47=5),"Zacks #4/#5 exception review",IF($V47="No Rating","Merrill No Rating exception",IF($V47="Restricted / Unavailable","Merrill restricted / unavailable exception","None")))))))</x:f>
        <x:v>Canonical MASR ID required</x:v>
      </x:c>
      <x:c r="Z47" s="1257" t="n">
        <x:f>IF($B47="","",COUNTIF('24 RCC-004 Candidate Pipeline'!$C$14:$C$213,$B47))</x:f>
        <x:v>0</x:v>
      </x:c>
      <x:c r="AA47" s="1253" t="str">
        <x:f>IF($B47="","",IFERROR(INDEX('24 RCC-004 Candidate Pipeline'!$Y$14:$Y$213,MATCH($B47,'24 RCC-004 Candidate Pipeline'!$C$14:$C$213,0)),""))</x:f>
      </x:c>
      <x:c r="AB47" s="1242" t="str">
        <x:v>Grandfathered — Certified Holding</x:v>
      </x:c>
      <x:c r="AC47" s="1253" t="str">
        <x:f>IF($B47="","",IF(COUNTIFS('24 RCC-004 Candidate Pipeline'!$C$14:$C$213,$B47,'24 RCC-004 Candidate Pipeline'!$AF$14:$AF$213,"Yes — Refer to PEW-004")&gt;0,"REFERRED — PEW-004",IF($Z47&gt;0,"CANDIDATE RECORD ACTIVE","NO ACTIVE CANDIDATE")))</x:f>
        <x:v>NO ACTIVE CANDIDATE</x:v>
      </x:c>
      <x:c r="AD47" s="1253" t="str">
        <x:f>IF($B47="","",IF($A47="","SETUP REQUIRED",IF(COUNTIF($A$14:$A$163,$A47)&gt;1,"DUPLICATE MASR ID",IF(COUNTIF($B$14:$B$163,$B47)&gt;1,"DUPLICATE TICKER",IF(OR($D47="",$E47="",$F47="",$G47="",$H47="",$I47=""),"INCOMPLETE",IF(OR($K47="",$L47=""),"MIAR SETUP REQUIRED",IF($X47="NOT ELIGIBLE","NOT ELIGIBLE",IF($Y47&lt;&gt;"None","EXCEPTION REVIEW",IF(AND($D47&lt;&gt;"Certified Portfolio Holding",OR($E47="Active — Approved Non-Holding",$E47="Conditional",$E47="Candidate — Committee Review"),OR($AB47="",$AB47="Pending")),"COMMITTEE DISPOSITION REQUIRED",IF(AND(OR($E47="Active — Approved Non-Holding",$E47="Conditional"),OR($AG47="",$AH47="")),"CERTIFICATION REQUIRED",IF(OR($E47="Rejected",$E47="Removed",$E47="Archived"),"INACTIVE / CLOSED","CONTROL CLEAR")))))))))))</x:f>
        <x:v>SETUP REQUIRED</x:v>
      </x:c>
      <x:c r="AE47" s="1253" t="str">
        <x:f>IF($AD47="","",IFERROR(INDEX('97 RCC Lists'!$AK$5:$AK$15,MATCH($AD47,'97 RCC Lists'!$AJ$5:$AJ$15,0)),"Review exception"))</x:f>
        <x:v>Assign canonical MASR ID and complete registry setup</x:v>
      </x:c>
      <x:c r="AF47" s="1251"/>
      <x:c r="AG47" s="1242"/>
      <x:c r="AH47" s="1251"/>
      <x:c r="AI47" s="1242"/>
    </x:row>
    <x:row r="48" ht="32" customHeight="1">
      <x:c r="A48" s="1242"/>
      <x:c r="B48" s="1243" t="str">
        <x:f>INDEX('Certified Allocation'!$B$5:$B$51,ROW()-13)</x:f>
        <x:v>GS</x:v>
      </x:c>
      <x:c r="C48" s="1243" t="str">
        <x:f>INDEX('Certified Allocation'!$C$5:$C$51,ROW()-13)</x:f>
        <x:v>The Goldman Sachs Group, Inc.</x:v>
      </x:c>
      <x:c r="D48" s="1244" t="str">
        <x:v>Certified Portfolio Holding</x:v>
      </x:c>
      <x:c r="E48" s="1244" t="str">
        <x:v>Active — Certified Holding</x:v>
      </x:c>
      <x:c r="F48" s="1244" t="str">
        <x:v>Certified MFPDF / Founders Edition</x:v>
      </x:c>
      <x:c r="G48" s="1243" t="str">
        <x:f>INDEX('Certified Allocation'!$A$5:$A$51,ROW()-13)</x:f>
        <x:v>Financial Infrastructure</x:v>
      </x:c>
      <x:c r="H48" s="1243" t="str">
        <x:f>INDEX('Certified Allocation'!$E$5:$E$51,ROW()-13)</x:f>
        <x:v>Investment banking and capital markets</x:v>
      </x:c>
      <x:c r="I48" s="1243" t="str">
        <x:f>INDEX('Certified Allocation'!$D$5:$D$51,ROW()-13)</x:f>
        <x:v>Equity</x:v>
      </x:c>
      <x:c r="J48" s="1245" t="n">
        <x:f>IF($B48="","",IFERROR(INDEX('Certified Allocation'!$F$5:$F$51,MATCH($B48,'Certified Allocation'!$B$5:$B$51,0)),""))</x:f>
        <x:v>0.0156</x:v>
      </x:c>
      <x:c r="K48" s="1243" t="str">
        <x:f>IF($B48="","",IFERROR(INDEX('20 RCC-003 MIAR Registry'!$A$14:$A$60,MATCH($B48,'20 RCC-003 MIAR Registry'!$B$14:$B$60,0)),""))</x:f>
      </x:c>
      <x:c r="L48" s="1243" t="str">
        <x:f>IF($B48="","",IFERROR(INDEX('20 RCC-003 MIAR Registry'!$M$14:$M$60,MATCH($B48,'20 RCC-003 MIAR Registry'!$B$14:$B$60,0)),""))</x:f>
      </x:c>
      <x:c r="M48" s="1243" t="str">
        <x:f>IF($B48="","",IFERROR(INDEX('20 RCC-003 MIAR Registry'!$Z$14:$Z$60,MATCH($B48,'20 RCC-003 MIAR Registry'!$B$14:$B$60,0)),""))</x:f>
        <x:v>NOT INITIALIZED</x:v>
      </x:c>
      <x:c r="N48" s="1246" t="str">
        <x:f>IF($B48="","",IFERROR(INDEX('20 RCC-003 MIAR Registry'!$K$14:$K$60,MATCH($B48,'20 RCC-003 MIAR Registry'!$B$14:$B$60,0)),""))</x:f>
      </x:c>
      <x:c r="O48" s="1246" t="str">
        <x:f>IF($B48="","",IFERROR(INDEX('20 RCC-003 MIAR Registry'!$L$14:$L$60,MATCH($B48,'20 RCC-003 MIAR Registry'!$B$14:$B$60,0)),""))</x:f>
      </x:c>
      <x:c r="P48" s="1243" t="str">
        <x:f>IF($B48="","",IFERROR(INDEX('20 RCC-003 MIAR Registry'!$I$14:$I$60,MATCH($B48,'20 RCC-003 MIAR Registry'!$B$14:$B$60,0)),""))</x:f>
        <x:v>Unassigned</x:v>
      </x:c>
      <x:c r="Q48" s="1243" t="str">
        <x:f>IF($B48="","",IFERROR(INDEX('20 RCC-003 MIAR Registry'!$J$14:$J$60,MATCH($B48,'20 RCC-003 MIAR Registry'!$B$14:$B$60,0)),""))</x:f>
      </x:c>
      <x:c r="R48" s="1247" t="n">
        <x:f>IF($B48="","",COUNTIF('18 RCC-002 Evidence Ledger'!$E$14:$E$213,$B48))</x:f>
        <x:v>0</x:v>
      </x:c>
      <x:c r="S48" s="1247" t="n">
        <x:f>IF($B48="","",COUNTIFS('18 RCC-002 Evidence Ledger'!$E$14:$E$213,$B48,'18 RCC-002 Evidence Ledger'!$T$14:$T$213,"&lt;&gt;Closed — No Action",'18 RCC-002 Evidence Ledger'!$T$14:$T$213,"&lt;&gt;Closed — Incorporated"))</x:f>
        <x:v>0</x:v>
      </x:c>
      <x:c r="T48" s="1248"/>
      <x:c r="U48" s="1249"/>
      <x:c r="V48" s="1242"/>
      <x:c r="W48" s="1248"/>
      <x:c r="X48" s="1244" t="str">
        <x:f>IF($B48="","",IF($D48="Certified Portfolio Holding","CERTIFIED HOLDING",IF(OR($A48="",$D48="",$E48="",$F48="",$G48="",$H48="",$I48=""),"NOT ASSESSED",IF(OR($K48="",$L48&lt;&gt;"Active",$M48="OVERDUE",$M48="MATERIAL EVENT REVIEW",$N48="",$O48="",$W48=""),"NOT ELIGIBLE",IF(OR(AND($F48="Zacks Election",OR($T48="",$T48&lt;50)),OR($U48=4,$U48=5),$V48="No Rating",$V48="Restricted / Unavailable"),"ELIGIBLE WITH EXCEPTION","ELIGIBLE")))))</x:f>
        <x:v>CERTIFIED HOLDING</x:v>
      </x:c>
      <x:c r="Y48" s="1244" t="str">
        <x:f>IF($B48="","",IF($A48="","Canonical MASR ID required",IF(AND($D48&lt;&gt;"Certified Portfolio Holding",OR($K48="",$L48&lt;&gt;"Active",$M48&lt;&gt;"CURRENT",$N48="",$O48="",$W48="")),"Complete MIAR / scoring / empirical eligibility",IF(AND($F48="Zacks Election",OR($T48="",$T48&lt;50)),"Sub-$50B Zacks election exception",IF(OR($U48=4,$U48=5),"Zacks #4/#5 exception review",IF($V48="No Rating","Merrill No Rating exception",IF($V48="Restricted / Unavailable","Merrill restricted / unavailable exception","None")))))))</x:f>
        <x:v>Canonical MASR ID required</x:v>
      </x:c>
      <x:c r="Z48" s="1250" t="n">
        <x:f>IF($B48="","",COUNTIF('24 RCC-004 Candidate Pipeline'!$C$14:$C$213,$B48))</x:f>
        <x:v>0</x:v>
      </x:c>
      <x:c r="AA48" s="1244" t="str">
        <x:f>IF($B48="","",IFERROR(INDEX('24 RCC-004 Candidate Pipeline'!$Y$14:$Y$213,MATCH($B48,'24 RCC-004 Candidate Pipeline'!$C$14:$C$213,0)),""))</x:f>
      </x:c>
      <x:c r="AB48" s="1242" t="str">
        <x:v>Grandfathered — Certified Holding</x:v>
      </x:c>
      <x:c r="AC48" s="1244" t="str">
        <x:f>IF($B48="","",IF(COUNTIFS('24 RCC-004 Candidate Pipeline'!$C$14:$C$213,$B48,'24 RCC-004 Candidate Pipeline'!$AF$14:$AF$213,"Yes — Refer to PEW-004")&gt;0,"REFERRED — PEW-004",IF($Z48&gt;0,"CANDIDATE RECORD ACTIVE","NO ACTIVE CANDIDATE")))</x:f>
        <x:v>NO ACTIVE CANDIDATE</x:v>
      </x:c>
      <x:c r="AD48" s="1244" t="str">
        <x:f>IF($B48="","",IF($A48="","SETUP REQUIRED",IF(COUNTIF($A$14:$A$163,$A48)&gt;1,"DUPLICATE MASR ID",IF(COUNTIF($B$14:$B$163,$B48)&gt;1,"DUPLICATE TICKER",IF(OR($D48="",$E48="",$F48="",$G48="",$H48="",$I48=""),"INCOMPLETE",IF(OR($K48="",$L48=""),"MIAR SETUP REQUIRED",IF($X48="NOT ELIGIBLE","NOT ELIGIBLE",IF($Y48&lt;&gt;"None","EXCEPTION REVIEW",IF(AND($D48&lt;&gt;"Certified Portfolio Holding",OR($E48="Active — Approved Non-Holding",$E48="Conditional",$E48="Candidate — Committee Review"),OR($AB48="",$AB48="Pending")),"COMMITTEE DISPOSITION REQUIRED",IF(AND(OR($E48="Active — Approved Non-Holding",$E48="Conditional"),OR($AG48="",$AH48="")),"CERTIFICATION REQUIRED",IF(OR($E48="Rejected",$E48="Removed",$E48="Archived"),"INACTIVE / CLOSED","CONTROL CLEAR")))))))))))</x:f>
        <x:v>SETUP REQUIRED</x:v>
      </x:c>
      <x:c r="AE48" s="1244" t="str">
        <x:f>IF($AD48="","",IFERROR(INDEX('97 RCC Lists'!$AK$5:$AK$15,MATCH($AD48,'97 RCC Lists'!$AJ$5:$AJ$15,0)),"Review exception"))</x:f>
        <x:v>Assign canonical MASR ID and complete registry setup</x:v>
      </x:c>
      <x:c r="AF48" s="1251"/>
      <x:c r="AG48" s="1242"/>
      <x:c r="AH48" s="1251"/>
      <x:c r="AI48" s="1242"/>
    </x:row>
    <x:row r="49" ht="32" customHeight="1">
      <x:c r="A49" s="1242"/>
      <x:c r="B49" s="1252" t="str">
        <x:f>INDEX('Certified Allocation'!$B$5:$B$51,ROW()-13)</x:f>
        <x:v>JPM</x:v>
      </x:c>
      <x:c r="C49" s="1252" t="str">
        <x:f>INDEX('Certified Allocation'!$C$5:$C$51,ROW()-13)</x:f>
        <x:v>JPMorgan Chase &amp; Co.</x:v>
      </x:c>
      <x:c r="D49" s="1253" t="str">
        <x:v>Certified Portfolio Holding</x:v>
      </x:c>
      <x:c r="E49" s="1253" t="str">
        <x:v>Active — Certified Holding</x:v>
      </x:c>
      <x:c r="F49" s="1253" t="str">
        <x:v>Certified MFPDF / Founders Edition</x:v>
      </x:c>
      <x:c r="G49" s="1252" t="str">
        <x:f>INDEX('Certified Allocation'!$A$5:$A$51,ROW()-13)</x:f>
        <x:v>Financial Infrastructure</x:v>
      </x:c>
      <x:c r="H49" s="1252" t="str">
        <x:f>INDEX('Certified Allocation'!$E$5:$E$51,ROW()-13)</x:f>
        <x:v>Diversified banking and capital markets anchor</x:v>
      </x:c>
      <x:c r="I49" s="1252" t="str">
        <x:f>INDEX('Certified Allocation'!$D$5:$D$51,ROW()-13)</x:f>
        <x:v>Equity</x:v>
      </x:c>
      <x:c r="J49" s="1254" t="n">
        <x:f>IF($B49="","",IFERROR(INDEX('Certified Allocation'!$F$5:$F$51,MATCH($B49,'Certified Allocation'!$B$5:$B$51,0)),""))</x:f>
        <x:v>0.0156</x:v>
      </x:c>
      <x:c r="K49" s="1252" t="str">
        <x:f>IF($B49="","",IFERROR(INDEX('20 RCC-003 MIAR Registry'!$A$14:$A$60,MATCH($B49,'20 RCC-003 MIAR Registry'!$B$14:$B$60,0)),""))</x:f>
      </x:c>
      <x:c r="L49" s="1252" t="str">
        <x:f>IF($B49="","",IFERROR(INDEX('20 RCC-003 MIAR Registry'!$M$14:$M$60,MATCH($B49,'20 RCC-003 MIAR Registry'!$B$14:$B$60,0)),""))</x:f>
      </x:c>
      <x:c r="M49" s="1252" t="str">
        <x:f>IF($B49="","",IFERROR(INDEX('20 RCC-003 MIAR Registry'!$Z$14:$Z$60,MATCH($B49,'20 RCC-003 MIAR Registry'!$B$14:$B$60,0)),""))</x:f>
        <x:v>NOT INITIALIZED</x:v>
      </x:c>
      <x:c r="N49" s="1255" t="str">
        <x:f>IF($B49="","",IFERROR(INDEX('20 RCC-003 MIAR Registry'!$K$14:$K$60,MATCH($B49,'20 RCC-003 MIAR Registry'!$B$14:$B$60,0)),""))</x:f>
      </x:c>
      <x:c r="O49" s="1255" t="str">
        <x:f>IF($B49="","",IFERROR(INDEX('20 RCC-003 MIAR Registry'!$L$14:$L$60,MATCH($B49,'20 RCC-003 MIAR Registry'!$B$14:$B$60,0)),""))</x:f>
      </x:c>
      <x:c r="P49" s="1252" t="str">
        <x:f>IF($B49="","",IFERROR(INDEX('20 RCC-003 MIAR Registry'!$I$14:$I$60,MATCH($B49,'20 RCC-003 MIAR Registry'!$B$14:$B$60,0)),""))</x:f>
        <x:v>Unassigned</x:v>
      </x:c>
      <x:c r="Q49" s="1252" t="str">
        <x:f>IF($B49="","",IFERROR(INDEX('20 RCC-003 MIAR Registry'!$J$14:$J$60,MATCH($B49,'20 RCC-003 MIAR Registry'!$B$14:$B$60,0)),""))</x:f>
      </x:c>
      <x:c r="R49" s="1256" t="n">
        <x:f>IF($B49="","",COUNTIF('18 RCC-002 Evidence Ledger'!$E$14:$E$213,$B49))</x:f>
        <x:v>0</x:v>
      </x:c>
      <x:c r="S49" s="1256" t="n">
        <x:f>IF($B49="","",COUNTIFS('18 RCC-002 Evidence Ledger'!$E$14:$E$213,$B49,'18 RCC-002 Evidence Ledger'!$T$14:$T$213,"&lt;&gt;Closed — No Action",'18 RCC-002 Evidence Ledger'!$T$14:$T$213,"&lt;&gt;Closed — Incorporated"))</x:f>
        <x:v>0</x:v>
      </x:c>
      <x:c r="T49" s="1248"/>
      <x:c r="U49" s="1249"/>
      <x:c r="V49" s="1242"/>
      <x:c r="W49" s="1248"/>
      <x:c r="X49" s="1253" t="str">
        <x:f>IF($B49="","",IF($D49="Certified Portfolio Holding","CERTIFIED HOLDING",IF(OR($A49="",$D49="",$E49="",$F49="",$G49="",$H49="",$I49=""),"NOT ASSESSED",IF(OR($K49="",$L49&lt;&gt;"Active",$M49="OVERDUE",$M49="MATERIAL EVENT REVIEW",$N49="",$O49="",$W49=""),"NOT ELIGIBLE",IF(OR(AND($F49="Zacks Election",OR($T49="",$T49&lt;50)),OR($U49=4,$U49=5),$V49="No Rating",$V49="Restricted / Unavailable"),"ELIGIBLE WITH EXCEPTION","ELIGIBLE")))))</x:f>
        <x:v>CERTIFIED HOLDING</x:v>
      </x:c>
      <x:c r="Y49" s="1253" t="str">
        <x:f>IF($B49="","",IF($A49="","Canonical MASR ID required",IF(AND($D49&lt;&gt;"Certified Portfolio Holding",OR($K49="",$L49&lt;&gt;"Active",$M49&lt;&gt;"CURRENT",$N49="",$O49="",$W49="")),"Complete MIAR / scoring / empirical eligibility",IF(AND($F49="Zacks Election",OR($T49="",$T49&lt;50)),"Sub-$50B Zacks election exception",IF(OR($U49=4,$U49=5),"Zacks #4/#5 exception review",IF($V49="No Rating","Merrill No Rating exception",IF($V49="Restricted / Unavailable","Merrill restricted / unavailable exception","None")))))))</x:f>
        <x:v>Canonical MASR ID required</x:v>
      </x:c>
      <x:c r="Z49" s="1257" t="n">
        <x:f>IF($B49="","",COUNTIF('24 RCC-004 Candidate Pipeline'!$C$14:$C$213,$B49))</x:f>
        <x:v>0</x:v>
      </x:c>
      <x:c r="AA49" s="1253" t="str">
        <x:f>IF($B49="","",IFERROR(INDEX('24 RCC-004 Candidate Pipeline'!$Y$14:$Y$213,MATCH($B49,'24 RCC-004 Candidate Pipeline'!$C$14:$C$213,0)),""))</x:f>
      </x:c>
      <x:c r="AB49" s="1242" t="str">
        <x:v>Grandfathered — Certified Holding</x:v>
      </x:c>
      <x:c r="AC49" s="1253" t="str">
        <x:f>IF($B49="","",IF(COUNTIFS('24 RCC-004 Candidate Pipeline'!$C$14:$C$213,$B49,'24 RCC-004 Candidate Pipeline'!$AF$14:$AF$213,"Yes — Refer to PEW-004")&gt;0,"REFERRED — PEW-004",IF($Z49&gt;0,"CANDIDATE RECORD ACTIVE","NO ACTIVE CANDIDATE")))</x:f>
        <x:v>NO ACTIVE CANDIDATE</x:v>
      </x:c>
      <x:c r="AD49" s="1253" t="str">
        <x:f>IF($B49="","",IF($A49="","SETUP REQUIRED",IF(COUNTIF($A$14:$A$163,$A49)&gt;1,"DUPLICATE MASR ID",IF(COUNTIF($B$14:$B$163,$B49)&gt;1,"DUPLICATE TICKER",IF(OR($D49="",$E49="",$F49="",$G49="",$H49="",$I49=""),"INCOMPLETE",IF(OR($K49="",$L49=""),"MIAR SETUP REQUIRED",IF($X49="NOT ELIGIBLE","NOT ELIGIBLE",IF($Y49&lt;&gt;"None","EXCEPTION REVIEW",IF(AND($D49&lt;&gt;"Certified Portfolio Holding",OR($E49="Active — Approved Non-Holding",$E49="Conditional",$E49="Candidate — Committee Review"),OR($AB49="",$AB49="Pending")),"COMMITTEE DISPOSITION REQUIRED",IF(AND(OR($E49="Active — Approved Non-Holding",$E49="Conditional"),OR($AG49="",$AH49="")),"CERTIFICATION REQUIRED",IF(OR($E49="Rejected",$E49="Removed",$E49="Archived"),"INACTIVE / CLOSED","CONTROL CLEAR")))))))))))</x:f>
        <x:v>SETUP REQUIRED</x:v>
      </x:c>
      <x:c r="AE49" s="1253" t="str">
        <x:f>IF($AD49="","",IFERROR(INDEX('97 RCC Lists'!$AK$5:$AK$15,MATCH($AD49,'97 RCC Lists'!$AJ$5:$AJ$15,0)),"Review exception"))</x:f>
        <x:v>Assign canonical MASR ID and complete registry setup</x:v>
      </x:c>
      <x:c r="AF49" s="1251"/>
      <x:c r="AG49" s="1242"/>
      <x:c r="AH49" s="1251"/>
      <x:c r="AI49" s="1242"/>
    </x:row>
    <x:row r="50" ht="32" customHeight="1">
      <x:c r="A50" s="1242"/>
      <x:c r="B50" s="1243" t="str">
        <x:f>INDEX('Certified Allocation'!$B$5:$B$51,ROW()-13)</x:f>
        <x:v>VFH</x:v>
      </x:c>
      <x:c r="C50" s="1243" t="str">
        <x:f>INDEX('Certified Allocation'!$C$5:$C$51,ROW()-13)</x:f>
        <x:v>Vanguard Financials ETF</x:v>
      </x:c>
      <x:c r="D50" s="1244" t="str">
        <x:v>Certified Portfolio Holding</x:v>
      </x:c>
      <x:c r="E50" s="1244" t="str">
        <x:v>Active — Certified Holding</x:v>
      </x:c>
      <x:c r="F50" s="1244" t="str">
        <x:v>Certified MFPDF / Founders Edition</x:v>
      </x:c>
      <x:c r="G50" s="1243" t="str">
        <x:f>INDEX('Certified Allocation'!$A$5:$A$51,ROW()-13)</x:f>
        <x:v>Financial Infrastructure</x:v>
      </x:c>
      <x:c r="H50" s="1243" t="str">
        <x:f>INDEX('Certified Allocation'!$E$5:$E$51,ROW()-13)</x:f>
        <x:v>Diversified financial-sector implementation ETF</x:v>
      </x:c>
      <x:c r="I50" s="1243" t="str">
        <x:f>INDEX('Certified Allocation'!$D$5:$D$51,ROW()-13)</x:f>
        <x:v>ETF</x:v>
      </x:c>
      <x:c r="J50" s="1245" t="n">
        <x:f>IF($B50="","",IFERROR(INDEX('Certified Allocation'!$F$5:$F$51,MATCH($B50,'Certified Allocation'!$B$5:$B$51,0)),""))</x:f>
        <x:v>0.0156</x:v>
      </x:c>
      <x:c r="K50" s="1243" t="str">
        <x:f>IF($B50="","",IFERROR(INDEX('20 RCC-003 MIAR Registry'!$A$14:$A$60,MATCH($B50,'20 RCC-003 MIAR Registry'!$B$14:$B$60,0)),""))</x:f>
      </x:c>
      <x:c r="L50" s="1243" t="str">
        <x:f>IF($B50="","",IFERROR(INDEX('20 RCC-003 MIAR Registry'!$M$14:$M$60,MATCH($B50,'20 RCC-003 MIAR Registry'!$B$14:$B$60,0)),""))</x:f>
      </x:c>
      <x:c r="M50" s="1243" t="str">
        <x:f>IF($B50="","",IFERROR(INDEX('20 RCC-003 MIAR Registry'!$Z$14:$Z$60,MATCH($B50,'20 RCC-003 MIAR Registry'!$B$14:$B$60,0)),""))</x:f>
        <x:v>NOT INITIALIZED</x:v>
      </x:c>
      <x:c r="N50" s="1246" t="str">
        <x:f>IF($B50="","",IFERROR(INDEX('20 RCC-003 MIAR Registry'!$K$14:$K$60,MATCH($B50,'20 RCC-003 MIAR Registry'!$B$14:$B$60,0)),""))</x:f>
      </x:c>
      <x:c r="O50" s="1246" t="str">
        <x:f>IF($B50="","",IFERROR(INDEX('20 RCC-003 MIAR Registry'!$L$14:$L$60,MATCH($B50,'20 RCC-003 MIAR Registry'!$B$14:$B$60,0)),""))</x:f>
      </x:c>
      <x:c r="P50" s="1243" t="str">
        <x:f>IF($B50="","",IFERROR(INDEX('20 RCC-003 MIAR Registry'!$I$14:$I$60,MATCH($B50,'20 RCC-003 MIAR Registry'!$B$14:$B$60,0)),""))</x:f>
        <x:v>Unassigned</x:v>
      </x:c>
      <x:c r="Q50" s="1243" t="str">
        <x:f>IF($B50="","",IFERROR(INDEX('20 RCC-003 MIAR Registry'!$J$14:$J$60,MATCH($B50,'20 RCC-003 MIAR Registry'!$B$14:$B$60,0)),""))</x:f>
      </x:c>
      <x:c r="R50" s="1247" t="n">
        <x:f>IF($B50="","",COUNTIF('18 RCC-002 Evidence Ledger'!$E$14:$E$213,$B50))</x:f>
        <x:v>0</x:v>
      </x:c>
      <x:c r="S50" s="1247" t="n">
        <x:f>IF($B50="","",COUNTIFS('18 RCC-002 Evidence Ledger'!$E$14:$E$213,$B50,'18 RCC-002 Evidence Ledger'!$T$14:$T$213,"&lt;&gt;Closed — No Action",'18 RCC-002 Evidence Ledger'!$T$14:$T$213,"&lt;&gt;Closed — Incorporated"))</x:f>
        <x:v>0</x:v>
      </x:c>
      <x:c r="T50" s="1248"/>
      <x:c r="U50" s="1249"/>
      <x:c r="V50" s="1242"/>
      <x:c r="W50" s="1248"/>
      <x:c r="X50" s="1244" t="str">
        <x:f>IF($B50="","",IF($D50="Certified Portfolio Holding","CERTIFIED HOLDING",IF(OR($A50="",$D50="",$E50="",$F50="",$G50="",$H50="",$I50=""),"NOT ASSESSED",IF(OR($K50="",$L50&lt;&gt;"Active",$M50="OVERDUE",$M50="MATERIAL EVENT REVIEW",$N50="",$O50="",$W50=""),"NOT ELIGIBLE",IF(OR(AND($F50="Zacks Election",OR($T50="",$T50&lt;50)),OR($U50=4,$U50=5),$V50="No Rating",$V50="Restricted / Unavailable"),"ELIGIBLE WITH EXCEPTION","ELIGIBLE")))))</x:f>
        <x:v>CERTIFIED HOLDING</x:v>
      </x:c>
      <x:c r="Y50" s="1244" t="str">
        <x:f>IF($B50="","",IF($A50="","Canonical MASR ID required",IF(AND($D50&lt;&gt;"Certified Portfolio Holding",OR($K50="",$L50&lt;&gt;"Active",$M50&lt;&gt;"CURRENT",$N50="",$O50="",$W50="")),"Complete MIAR / scoring / empirical eligibility",IF(AND($F50="Zacks Election",OR($T50="",$T50&lt;50)),"Sub-$50B Zacks election exception",IF(OR($U50=4,$U50=5),"Zacks #4/#5 exception review",IF($V50="No Rating","Merrill No Rating exception",IF($V50="Restricted / Unavailable","Merrill restricted / unavailable exception","None")))))))</x:f>
        <x:v>Canonical MASR ID required</x:v>
      </x:c>
      <x:c r="Z50" s="1250" t="n">
        <x:f>IF($B50="","",COUNTIF('24 RCC-004 Candidate Pipeline'!$C$14:$C$213,$B50))</x:f>
        <x:v>0</x:v>
      </x:c>
      <x:c r="AA50" s="1244" t="str">
        <x:f>IF($B50="","",IFERROR(INDEX('24 RCC-004 Candidate Pipeline'!$Y$14:$Y$213,MATCH($B50,'24 RCC-004 Candidate Pipeline'!$C$14:$C$213,0)),""))</x:f>
      </x:c>
      <x:c r="AB50" s="1242" t="str">
        <x:v>Grandfathered — Certified Holding</x:v>
      </x:c>
      <x:c r="AC50" s="1244" t="str">
        <x:f>IF($B50="","",IF(COUNTIFS('24 RCC-004 Candidate Pipeline'!$C$14:$C$213,$B50,'24 RCC-004 Candidate Pipeline'!$AF$14:$AF$213,"Yes — Refer to PEW-004")&gt;0,"REFERRED — PEW-004",IF($Z50&gt;0,"CANDIDATE RECORD ACTIVE","NO ACTIVE CANDIDATE")))</x:f>
        <x:v>NO ACTIVE CANDIDATE</x:v>
      </x:c>
      <x:c r="AD50" s="1244" t="str">
        <x:f>IF($B50="","",IF($A50="","SETUP REQUIRED",IF(COUNTIF($A$14:$A$163,$A50)&gt;1,"DUPLICATE MASR ID",IF(COUNTIF($B$14:$B$163,$B50)&gt;1,"DUPLICATE TICKER",IF(OR($D50="",$E50="",$F50="",$G50="",$H50="",$I50=""),"INCOMPLETE",IF(OR($K50="",$L50=""),"MIAR SETUP REQUIRED",IF($X50="NOT ELIGIBLE","NOT ELIGIBLE",IF($Y50&lt;&gt;"None","EXCEPTION REVIEW",IF(AND($D50&lt;&gt;"Certified Portfolio Holding",OR($E50="Active — Approved Non-Holding",$E50="Conditional",$E50="Candidate — Committee Review"),OR($AB50="",$AB50="Pending")),"COMMITTEE DISPOSITION REQUIRED",IF(AND(OR($E50="Active — Approved Non-Holding",$E50="Conditional"),OR($AG50="",$AH50="")),"CERTIFICATION REQUIRED",IF(OR($E50="Rejected",$E50="Removed",$E50="Archived"),"INACTIVE / CLOSED","CONTROL CLEAR")))))))))))</x:f>
        <x:v>SETUP REQUIRED</x:v>
      </x:c>
      <x:c r="AE50" s="1244" t="str">
        <x:f>IF($AD50="","",IFERROR(INDEX('97 RCC Lists'!$AK$5:$AK$15,MATCH($AD50,'97 RCC Lists'!$AJ$5:$AJ$15,0)),"Review exception"))</x:f>
        <x:v>Assign canonical MASR ID and complete registry setup</x:v>
      </x:c>
      <x:c r="AF50" s="1251"/>
      <x:c r="AG50" s="1242"/>
      <x:c r="AH50" s="1251"/>
      <x:c r="AI50" s="1242"/>
    </x:row>
    <x:row r="51" ht="32" customHeight="1">
      <x:c r="A51" s="1242"/>
      <x:c r="B51" s="1252" t="str">
        <x:f>INDEX('Certified Allocation'!$B$5:$B$51,ROW()-13)</x:f>
        <x:v>VHT</x:v>
      </x:c>
      <x:c r="C51" s="1252" t="str">
        <x:f>INDEX('Certified Allocation'!$C$5:$C$51,ROW()-13)</x:f>
        <x:v>Vanguard Health Care ETF</x:v>
      </x:c>
      <x:c r="D51" s="1253" t="str">
        <x:v>Certified Portfolio Holding</x:v>
      </x:c>
      <x:c r="E51" s="1253" t="str">
        <x:v>Active — Certified Holding</x:v>
      </x:c>
      <x:c r="F51" s="1253" t="str">
        <x:v>Certified MFPDF / Founders Edition</x:v>
      </x:c>
      <x:c r="G51" s="1252" t="str">
        <x:f>INDEX('Certified Allocation'!$A$5:$A$51,ROW()-13)</x:f>
        <x:v>Healthcare Leadership</x:v>
      </x:c>
      <x:c r="H51" s="1252" t="str">
        <x:f>INDEX('Certified Allocation'!$E$5:$E$51,ROW()-13)</x:f>
        <x:v>Diversified healthcare implementation ETF</x:v>
      </x:c>
      <x:c r="I51" s="1252" t="str">
        <x:f>INDEX('Certified Allocation'!$D$5:$D$51,ROW()-13)</x:f>
        <x:v>ETF</x:v>
      </x:c>
      <x:c r="J51" s="1254" t="n">
        <x:f>IF($B51="","",IFERROR(INDEX('Certified Allocation'!$F$5:$F$51,MATCH($B51,'Certified Allocation'!$B$5:$B$51,0)),""))</x:f>
        <x:v>0.0206</x:v>
      </x:c>
      <x:c r="K51" s="1252" t="str">
        <x:f>IF($B51="","",IFERROR(INDEX('20 RCC-003 MIAR Registry'!$A$14:$A$60,MATCH($B51,'20 RCC-003 MIAR Registry'!$B$14:$B$60,0)),""))</x:f>
      </x:c>
      <x:c r="L51" s="1252" t="str">
        <x:f>IF($B51="","",IFERROR(INDEX('20 RCC-003 MIAR Registry'!$M$14:$M$60,MATCH($B51,'20 RCC-003 MIAR Registry'!$B$14:$B$60,0)),""))</x:f>
      </x:c>
      <x:c r="M51" s="1252" t="str">
        <x:f>IF($B51="","",IFERROR(INDEX('20 RCC-003 MIAR Registry'!$Z$14:$Z$60,MATCH($B51,'20 RCC-003 MIAR Registry'!$B$14:$B$60,0)),""))</x:f>
        <x:v>NOT INITIALIZED</x:v>
      </x:c>
      <x:c r="N51" s="1255" t="str">
        <x:f>IF($B51="","",IFERROR(INDEX('20 RCC-003 MIAR Registry'!$K$14:$K$60,MATCH($B51,'20 RCC-003 MIAR Registry'!$B$14:$B$60,0)),""))</x:f>
      </x:c>
      <x:c r="O51" s="1255" t="str">
        <x:f>IF($B51="","",IFERROR(INDEX('20 RCC-003 MIAR Registry'!$L$14:$L$60,MATCH($B51,'20 RCC-003 MIAR Registry'!$B$14:$B$60,0)),""))</x:f>
      </x:c>
      <x:c r="P51" s="1252" t="str">
        <x:f>IF($B51="","",IFERROR(INDEX('20 RCC-003 MIAR Registry'!$I$14:$I$60,MATCH($B51,'20 RCC-003 MIAR Registry'!$B$14:$B$60,0)),""))</x:f>
        <x:v>Unassigned</x:v>
      </x:c>
      <x:c r="Q51" s="1252" t="str">
        <x:f>IF($B51="","",IFERROR(INDEX('20 RCC-003 MIAR Registry'!$J$14:$J$60,MATCH($B51,'20 RCC-003 MIAR Registry'!$B$14:$B$60,0)),""))</x:f>
      </x:c>
      <x:c r="R51" s="1256" t="n">
        <x:f>IF($B51="","",COUNTIF('18 RCC-002 Evidence Ledger'!$E$14:$E$213,$B51))</x:f>
        <x:v>0</x:v>
      </x:c>
      <x:c r="S51" s="1256" t="n">
        <x:f>IF($B51="","",COUNTIFS('18 RCC-002 Evidence Ledger'!$E$14:$E$213,$B51,'18 RCC-002 Evidence Ledger'!$T$14:$T$213,"&lt;&gt;Closed — No Action",'18 RCC-002 Evidence Ledger'!$T$14:$T$213,"&lt;&gt;Closed — Incorporated"))</x:f>
        <x:v>0</x:v>
      </x:c>
      <x:c r="T51" s="1248"/>
      <x:c r="U51" s="1249"/>
      <x:c r="V51" s="1242"/>
      <x:c r="W51" s="1248"/>
      <x:c r="X51" s="1253" t="str">
        <x:f>IF($B51="","",IF($D51="Certified Portfolio Holding","CERTIFIED HOLDING",IF(OR($A51="",$D51="",$E51="",$F51="",$G51="",$H51="",$I51=""),"NOT ASSESSED",IF(OR($K51="",$L51&lt;&gt;"Active",$M51="OVERDUE",$M51="MATERIAL EVENT REVIEW",$N51="",$O51="",$W51=""),"NOT ELIGIBLE",IF(OR(AND($F51="Zacks Election",OR($T51="",$T51&lt;50)),OR($U51=4,$U51=5),$V51="No Rating",$V51="Restricted / Unavailable"),"ELIGIBLE WITH EXCEPTION","ELIGIBLE")))))</x:f>
        <x:v>CERTIFIED HOLDING</x:v>
      </x:c>
      <x:c r="Y51" s="1253" t="str">
        <x:f>IF($B51="","",IF($A51="","Canonical MASR ID required",IF(AND($D51&lt;&gt;"Certified Portfolio Holding",OR($K51="",$L51&lt;&gt;"Active",$M51&lt;&gt;"CURRENT",$N51="",$O51="",$W51="")),"Complete MIAR / scoring / empirical eligibility",IF(AND($F51="Zacks Election",OR($T51="",$T51&lt;50)),"Sub-$50B Zacks election exception",IF(OR($U51=4,$U51=5),"Zacks #4/#5 exception review",IF($V51="No Rating","Merrill No Rating exception",IF($V51="Restricted / Unavailable","Merrill restricted / unavailable exception","None")))))))</x:f>
        <x:v>Canonical MASR ID required</x:v>
      </x:c>
      <x:c r="Z51" s="1257" t="n">
        <x:f>IF($B51="","",COUNTIF('24 RCC-004 Candidate Pipeline'!$C$14:$C$213,$B51))</x:f>
        <x:v>0</x:v>
      </x:c>
      <x:c r="AA51" s="1253" t="str">
        <x:f>IF($B51="","",IFERROR(INDEX('24 RCC-004 Candidate Pipeline'!$Y$14:$Y$213,MATCH($B51,'24 RCC-004 Candidate Pipeline'!$C$14:$C$213,0)),""))</x:f>
      </x:c>
      <x:c r="AB51" s="1242" t="str">
        <x:v>Grandfathered — Certified Holding</x:v>
      </x:c>
      <x:c r="AC51" s="1253" t="str">
        <x:f>IF($B51="","",IF(COUNTIFS('24 RCC-004 Candidate Pipeline'!$C$14:$C$213,$B51,'24 RCC-004 Candidate Pipeline'!$AF$14:$AF$213,"Yes — Refer to PEW-004")&gt;0,"REFERRED — PEW-004",IF($Z51&gt;0,"CANDIDATE RECORD ACTIVE","NO ACTIVE CANDIDATE")))</x:f>
        <x:v>NO ACTIVE CANDIDATE</x:v>
      </x:c>
      <x:c r="AD51" s="1253" t="str">
        <x:f>IF($B51="","",IF($A51="","SETUP REQUIRED",IF(COUNTIF($A$14:$A$163,$A51)&gt;1,"DUPLICATE MASR ID",IF(COUNTIF($B$14:$B$163,$B51)&gt;1,"DUPLICATE TICKER",IF(OR($D51="",$E51="",$F51="",$G51="",$H51="",$I51=""),"INCOMPLETE",IF(OR($K51="",$L51=""),"MIAR SETUP REQUIRED",IF($X51="NOT ELIGIBLE","NOT ELIGIBLE",IF($Y51&lt;&gt;"None","EXCEPTION REVIEW",IF(AND($D51&lt;&gt;"Certified Portfolio Holding",OR($E51="Active — Approved Non-Holding",$E51="Conditional",$E51="Candidate — Committee Review"),OR($AB51="",$AB51="Pending")),"COMMITTEE DISPOSITION REQUIRED",IF(AND(OR($E51="Active — Approved Non-Holding",$E51="Conditional"),OR($AG51="",$AH51="")),"CERTIFICATION REQUIRED",IF(OR($E51="Rejected",$E51="Removed",$E51="Archived"),"INACTIVE / CLOSED","CONTROL CLEAR")))))))))))</x:f>
        <x:v>SETUP REQUIRED</x:v>
      </x:c>
      <x:c r="AE51" s="1253" t="str">
        <x:f>IF($AD51="","",IFERROR(INDEX('97 RCC Lists'!$AK$5:$AK$15,MATCH($AD51,'97 RCC Lists'!$AJ$5:$AJ$15,0)),"Review exception"))</x:f>
        <x:v>Assign canonical MASR ID and complete registry setup</x:v>
      </x:c>
      <x:c r="AF51" s="1251"/>
      <x:c r="AG51" s="1242"/>
      <x:c r="AH51" s="1251"/>
      <x:c r="AI51" s="1242"/>
    </x:row>
    <x:row r="52" ht="32" customHeight="1">
      <x:c r="A52" s="1242"/>
      <x:c r="B52" s="1243" t="str">
        <x:f>INDEX('Certified Allocation'!$B$5:$B$51,ROW()-13)</x:f>
        <x:v>SYK</x:v>
      </x:c>
      <x:c r="C52" s="1243" t="str">
        <x:f>INDEX('Certified Allocation'!$C$5:$C$51,ROW()-13)</x:f>
        <x:v>Stryker Corporation</x:v>
      </x:c>
      <x:c r="D52" s="1244" t="str">
        <x:v>Certified Portfolio Holding</x:v>
      </x:c>
      <x:c r="E52" s="1244" t="str">
        <x:v>Active — Certified Holding</x:v>
      </x:c>
      <x:c r="F52" s="1244" t="str">
        <x:v>Certified MFPDF / Founders Edition</x:v>
      </x:c>
      <x:c r="G52" s="1243" t="str">
        <x:f>INDEX('Certified Allocation'!$A$5:$A$51,ROW()-13)</x:f>
        <x:v>Healthcare Leadership</x:v>
      </x:c>
      <x:c r="H52" s="1243" t="str">
        <x:f>INDEX('Certified Allocation'!$E$5:$E$51,ROW()-13)</x:f>
        <x:v>Medical technology leader</x:v>
      </x:c>
      <x:c r="I52" s="1243" t="str">
        <x:f>INDEX('Certified Allocation'!$D$5:$D$51,ROW()-13)</x:f>
        <x:v>Equity</x:v>
      </x:c>
      <x:c r="J52" s="1245" t="n">
        <x:f>IF($B52="","",IFERROR(INDEX('Certified Allocation'!$F$5:$F$51,MATCH($B52,'Certified Allocation'!$B$5:$B$51,0)),""))</x:f>
        <x:v>0.0155</x:v>
      </x:c>
      <x:c r="K52" s="1243" t="str">
        <x:f>IF($B52="","",IFERROR(INDEX('20 RCC-003 MIAR Registry'!$A$14:$A$60,MATCH($B52,'20 RCC-003 MIAR Registry'!$B$14:$B$60,0)),""))</x:f>
      </x:c>
      <x:c r="L52" s="1243" t="str">
        <x:f>IF($B52="","",IFERROR(INDEX('20 RCC-003 MIAR Registry'!$M$14:$M$60,MATCH($B52,'20 RCC-003 MIAR Registry'!$B$14:$B$60,0)),""))</x:f>
      </x:c>
      <x:c r="M52" s="1243" t="str">
        <x:f>IF($B52="","",IFERROR(INDEX('20 RCC-003 MIAR Registry'!$Z$14:$Z$60,MATCH($B52,'20 RCC-003 MIAR Registry'!$B$14:$B$60,0)),""))</x:f>
        <x:v>NOT INITIALIZED</x:v>
      </x:c>
      <x:c r="N52" s="1246" t="str">
        <x:f>IF($B52="","",IFERROR(INDEX('20 RCC-003 MIAR Registry'!$K$14:$K$60,MATCH($B52,'20 RCC-003 MIAR Registry'!$B$14:$B$60,0)),""))</x:f>
      </x:c>
      <x:c r="O52" s="1246" t="str">
        <x:f>IF($B52="","",IFERROR(INDEX('20 RCC-003 MIAR Registry'!$L$14:$L$60,MATCH($B52,'20 RCC-003 MIAR Registry'!$B$14:$B$60,0)),""))</x:f>
      </x:c>
      <x:c r="P52" s="1243" t="str">
        <x:f>IF($B52="","",IFERROR(INDEX('20 RCC-003 MIAR Registry'!$I$14:$I$60,MATCH($B52,'20 RCC-003 MIAR Registry'!$B$14:$B$60,0)),""))</x:f>
        <x:v>Unassigned</x:v>
      </x:c>
      <x:c r="Q52" s="1243" t="str">
        <x:f>IF($B52="","",IFERROR(INDEX('20 RCC-003 MIAR Registry'!$J$14:$J$60,MATCH($B52,'20 RCC-003 MIAR Registry'!$B$14:$B$60,0)),""))</x:f>
      </x:c>
      <x:c r="R52" s="1247" t="n">
        <x:f>IF($B52="","",COUNTIF('18 RCC-002 Evidence Ledger'!$E$14:$E$213,$B52))</x:f>
        <x:v>0</x:v>
      </x:c>
      <x:c r="S52" s="1247" t="n">
        <x:f>IF($B52="","",COUNTIFS('18 RCC-002 Evidence Ledger'!$E$14:$E$213,$B52,'18 RCC-002 Evidence Ledger'!$T$14:$T$213,"&lt;&gt;Closed — No Action",'18 RCC-002 Evidence Ledger'!$T$14:$T$213,"&lt;&gt;Closed — Incorporated"))</x:f>
        <x:v>0</x:v>
      </x:c>
      <x:c r="T52" s="1248"/>
      <x:c r="U52" s="1249"/>
      <x:c r="V52" s="1242"/>
      <x:c r="W52" s="1248"/>
      <x:c r="X52" s="1244" t="str">
        <x:f>IF($B52="","",IF($D52="Certified Portfolio Holding","CERTIFIED HOLDING",IF(OR($A52="",$D52="",$E52="",$F52="",$G52="",$H52="",$I52=""),"NOT ASSESSED",IF(OR($K52="",$L52&lt;&gt;"Active",$M52="OVERDUE",$M52="MATERIAL EVENT REVIEW",$N52="",$O52="",$W52=""),"NOT ELIGIBLE",IF(OR(AND($F52="Zacks Election",OR($T52="",$T52&lt;50)),OR($U52=4,$U52=5),$V52="No Rating",$V52="Restricted / Unavailable"),"ELIGIBLE WITH EXCEPTION","ELIGIBLE")))))</x:f>
        <x:v>CERTIFIED HOLDING</x:v>
      </x:c>
      <x:c r="Y52" s="1244" t="str">
        <x:f>IF($B52="","",IF($A52="","Canonical MASR ID required",IF(AND($D52&lt;&gt;"Certified Portfolio Holding",OR($K52="",$L52&lt;&gt;"Active",$M52&lt;&gt;"CURRENT",$N52="",$O52="",$W52="")),"Complete MIAR / scoring / empirical eligibility",IF(AND($F52="Zacks Election",OR($T52="",$T52&lt;50)),"Sub-$50B Zacks election exception",IF(OR($U52=4,$U52=5),"Zacks #4/#5 exception review",IF($V52="No Rating","Merrill No Rating exception",IF($V52="Restricted / Unavailable","Merrill restricted / unavailable exception","None")))))))</x:f>
        <x:v>Canonical MASR ID required</x:v>
      </x:c>
      <x:c r="Z52" s="1250" t="n">
        <x:f>IF($B52="","",COUNTIF('24 RCC-004 Candidate Pipeline'!$C$14:$C$213,$B52))</x:f>
        <x:v>0</x:v>
      </x:c>
      <x:c r="AA52" s="1244" t="str">
        <x:f>IF($B52="","",IFERROR(INDEX('24 RCC-004 Candidate Pipeline'!$Y$14:$Y$213,MATCH($B52,'24 RCC-004 Candidate Pipeline'!$C$14:$C$213,0)),""))</x:f>
      </x:c>
      <x:c r="AB52" s="1242" t="str">
        <x:v>Grandfathered — Certified Holding</x:v>
      </x:c>
      <x:c r="AC52" s="1244" t="str">
        <x:f>IF($B52="","",IF(COUNTIFS('24 RCC-004 Candidate Pipeline'!$C$14:$C$213,$B52,'24 RCC-004 Candidate Pipeline'!$AF$14:$AF$213,"Yes — Refer to PEW-004")&gt;0,"REFERRED — PEW-004",IF($Z52&gt;0,"CANDIDATE RECORD ACTIVE","NO ACTIVE CANDIDATE")))</x:f>
        <x:v>NO ACTIVE CANDIDATE</x:v>
      </x:c>
      <x:c r="AD52" s="1244" t="str">
        <x:f>IF($B52="","",IF($A52="","SETUP REQUIRED",IF(COUNTIF($A$14:$A$163,$A52)&gt;1,"DUPLICATE MASR ID",IF(COUNTIF($B$14:$B$163,$B52)&gt;1,"DUPLICATE TICKER",IF(OR($D52="",$E52="",$F52="",$G52="",$H52="",$I52=""),"INCOMPLETE",IF(OR($K52="",$L52=""),"MIAR SETUP REQUIRED",IF($X52="NOT ELIGIBLE","NOT ELIGIBLE",IF($Y52&lt;&gt;"None","EXCEPTION REVIEW",IF(AND($D52&lt;&gt;"Certified Portfolio Holding",OR($E52="Active — Approved Non-Holding",$E52="Conditional",$E52="Candidate — Committee Review"),OR($AB52="",$AB52="Pending")),"COMMITTEE DISPOSITION REQUIRED",IF(AND(OR($E52="Active — Approved Non-Holding",$E52="Conditional"),OR($AG52="",$AH52="")),"CERTIFICATION REQUIRED",IF(OR($E52="Rejected",$E52="Removed",$E52="Archived"),"INACTIVE / CLOSED","CONTROL CLEAR")))))))))))</x:f>
        <x:v>SETUP REQUIRED</x:v>
      </x:c>
      <x:c r="AE52" s="1244" t="str">
        <x:f>IF($AD52="","",IFERROR(INDEX('97 RCC Lists'!$AK$5:$AK$15,MATCH($AD52,'97 RCC Lists'!$AJ$5:$AJ$15,0)),"Review exception"))</x:f>
        <x:v>Assign canonical MASR ID and complete registry setup</x:v>
      </x:c>
      <x:c r="AF52" s="1251"/>
      <x:c r="AG52" s="1242"/>
      <x:c r="AH52" s="1251"/>
      <x:c r="AI52" s="1242"/>
    </x:row>
    <x:row r="53" ht="32" customHeight="1">
      <x:c r="A53" s="1242"/>
      <x:c r="B53" s="1252" t="str">
        <x:f>INDEX('Certified Allocation'!$B$5:$B$51,ROW()-13)</x:f>
        <x:v>LNG</x:v>
      </x:c>
      <x:c r="C53" s="1252" t="str">
        <x:f>INDEX('Certified Allocation'!$C$5:$C$51,ROW()-13)</x:f>
        <x:v>Cheniere Energy, Inc.</x:v>
      </x:c>
      <x:c r="D53" s="1253" t="str">
        <x:v>Certified Portfolio Holding</x:v>
      </x:c>
      <x:c r="E53" s="1253" t="str">
        <x:v>Active — Certified Holding</x:v>
      </x:c>
      <x:c r="F53" s="1253" t="str">
        <x:v>Certified MFPDF / Founders Edition</x:v>
      </x:c>
      <x:c r="G53" s="1252" t="str">
        <x:f>INDEX('Certified Allocation'!$A$5:$A$51,ROW()-13)</x:f>
        <x:v>Energy &amp; Natural Resources</x:v>
      </x:c>
      <x:c r="H53" s="1252" t="str">
        <x:f>INDEX('Certified Allocation'!$E$5:$E$51,ROW()-13)</x:f>
        <x:v>LNG export infrastructure</x:v>
      </x:c>
      <x:c r="I53" s="1252" t="str">
        <x:f>INDEX('Certified Allocation'!$D$5:$D$51,ROW()-13)</x:f>
        <x:v>Equity</x:v>
      </x:c>
      <x:c r="J53" s="1254" t="n">
        <x:f>IF($B53="","",IFERROR(INDEX('Certified Allocation'!$F$5:$F$51,MATCH($B53,'Certified Allocation'!$B$5:$B$51,0)),""))</x:f>
        <x:v>0.0302</x:v>
      </x:c>
      <x:c r="K53" s="1252" t="str">
        <x:f>IF($B53="","",IFERROR(INDEX('20 RCC-003 MIAR Registry'!$A$14:$A$60,MATCH($B53,'20 RCC-003 MIAR Registry'!$B$14:$B$60,0)),""))</x:f>
      </x:c>
      <x:c r="L53" s="1252" t="str">
        <x:f>IF($B53="","",IFERROR(INDEX('20 RCC-003 MIAR Registry'!$M$14:$M$60,MATCH($B53,'20 RCC-003 MIAR Registry'!$B$14:$B$60,0)),""))</x:f>
      </x:c>
      <x:c r="M53" s="1252" t="str">
        <x:f>IF($B53="","",IFERROR(INDEX('20 RCC-003 MIAR Registry'!$Z$14:$Z$60,MATCH($B53,'20 RCC-003 MIAR Registry'!$B$14:$B$60,0)),""))</x:f>
        <x:v>NOT INITIALIZED</x:v>
      </x:c>
      <x:c r="N53" s="1255" t="str">
        <x:f>IF($B53="","",IFERROR(INDEX('20 RCC-003 MIAR Registry'!$K$14:$K$60,MATCH($B53,'20 RCC-003 MIAR Registry'!$B$14:$B$60,0)),""))</x:f>
      </x:c>
      <x:c r="O53" s="1255" t="str">
        <x:f>IF($B53="","",IFERROR(INDEX('20 RCC-003 MIAR Registry'!$L$14:$L$60,MATCH($B53,'20 RCC-003 MIAR Registry'!$B$14:$B$60,0)),""))</x:f>
      </x:c>
      <x:c r="P53" s="1252" t="str">
        <x:f>IF($B53="","",IFERROR(INDEX('20 RCC-003 MIAR Registry'!$I$14:$I$60,MATCH($B53,'20 RCC-003 MIAR Registry'!$B$14:$B$60,0)),""))</x:f>
        <x:v>Unassigned</x:v>
      </x:c>
      <x:c r="Q53" s="1252" t="str">
        <x:f>IF($B53="","",IFERROR(INDEX('20 RCC-003 MIAR Registry'!$J$14:$J$60,MATCH($B53,'20 RCC-003 MIAR Registry'!$B$14:$B$60,0)),""))</x:f>
      </x:c>
      <x:c r="R53" s="1256" t="n">
        <x:f>IF($B53="","",COUNTIF('18 RCC-002 Evidence Ledger'!$E$14:$E$213,$B53))</x:f>
        <x:v>0</x:v>
      </x:c>
      <x:c r="S53" s="1256" t="n">
        <x:f>IF($B53="","",COUNTIFS('18 RCC-002 Evidence Ledger'!$E$14:$E$213,$B53,'18 RCC-002 Evidence Ledger'!$T$14:$T$213,"&lt;&gt;Closed — No Action",'18 RCC-002 Evidence Ledger'!$T$14:$T$213,"&lt;&gt;Closed — Incorporated"))</x:f>
        <x:v>0</x:v>
      </x:c>
      <x:c r="T53" s="1248"/>
      <x:c r="U53" s="1249"/>
      <x:c r="V53" s="1242"/>
      <x:c r="W53" s="1248"/>
      <x:c r="X53" s="1253" t="str">
        <x:f>IF($B53="","",IF($D53="Certified Portfolio Holding","CERTIFIED HOLDING",IF(OR($A53="",$D53="",$E53="",$F53="",$G53="",$H53="",$I53=""),"NOT ASSESSED",IF(OR($K53="",$L53&lt;&gt;"Active",$M53="OVERDUE",$M53="MATERIAL EVENT REVIEW",$N53="",$O53="",$W53=""),"NOT ELIGIBLE",IF(OR(AND($F53="Zacks Election",OR($T53="",$T53&lt;50)),OR($U53=4,$U53=5),$V53="No Rating",$V53="Restricted / Unavailable"),"ELIGIBLE WITH EXCEPTION","ELIGIBLE")))))</x:f>
        <x:v>CERTIFIED HOLDING</x:v>
      </x:c>
      <x:c r="Y53" s="1253" t="str">
        <x:f>IF($B53="","",IF($A53="","Canonical MASR ID required",IF(AND($D53&lt;&gt;"Certified Portfolio Holding",OR($K53="",$L53&lt;&gt;"Active",$M53&lt;&gt;"CURRENT",$N53="",$O53="",$W53="")),"Complete MIAR / scoring / empirical eligibility",IF(AND($F53="Zacks Election",OR($T53="",$T53&lt;50)),"Sub-$50B Zacks election exception",IF(OR($U53=4,$U53=5),"Zacks #4/#5 exception review",IF($V53="No Rating","Merrill No Rating exception",IF($V53="Restricted / Unavailable","Merrill restricted / unavailable exception","None")))))))</x:f>
        <x:v>Canonical MASR ID required</x:v>
      </x:c>
      <x:c r="Z53" s="1257" t="n">
        <x:f>IF($B53="","",COUNTIF('24 RCC-004 Candidate Pipeline'!$C$14:$C$213,$B53))</x:f>
        <x:v>0</x:v>
      </x:c>
      <x:c r="AA53" s="1253" t="str">
        <x:f>IF($B53="","",IFERROR(INDEX('24 RCC-004 Candidate Pipeline'!$Y$14:$Y$213,MATCH($B53,'24 RCC-004 Candidate Pipeline'!$C$14:$C$213,0)),""))</x:f>
      </x:c>
      <x:c r="AB53" s="1242" t="str">
        <x:v>Grandfathered — Certified Holding</x:v>
      </x:c>
      <x:c r="AC53" s="1253" t="str">
        <x:f>IF($B53="","",IF(COUNTIFS('24 RCC-004 Candidate Pipeline'!$C$14:$C$213,$B53,'24 RCC-004 Candidate Pipeline'!$AF$14:$AF$213,"Yes — Refer to PEW-004")&gt;0,"REFERRED — PEW-004",IF($Z53&gt;0,"CANDIDATE RECORD ACTIVE","NO ACTIVE CANDIDATE")))</x:f>
        <x:v>NO ACTIVE CANDIDATE</x:v>
      </x:c>
      <x:c r="AD53" s="1253" t="str">
        <x:f>IF($B53="","",IF($A53="","SETUP REQUIRED",IF(COUNTIF($A$14:$A$163,$A53)&gt;1,"DUPLICATE MASR ID",IF(COUNTIF($B$14:$B$163,$B53)&gt;1,"DUPLICATE TICKER",IF(OR($D53="",$E53="",$F53="",$G53="",$H53="",$I53=""),"INCOMPLETE",IF(OR($K53="",$L53=""),"MIAR SETUP REQUIRED",IF($X53="NOT ELIGIBLE","NOT ELIGIBLE",IF($Y53&lt;&gt;"None","EXCEPTION REVIEW",IF(AND($D53&lt;&gt;"Certified Portfolio Holding",OR($E53="Active — Approved Non-Holding",$E53="Conditional",$E53="Candidate — Committee Review"),OR($AB53="",$AB53="Pending")),"COMMITTEE DISPOSITION REQUIRED",IF(AND(OR($E53="Active — Approved Non-Holding",$E53="Conditional"),OR($AG53="",$AH53="")),"CERTIFICATION REQUIRED",IF(OR($E53="Rejected",$E53="Removed",$E53="Archived"),"INACTIVE / CLOSED","CONTROL CLEAR")))))))))))</x:f>
        <x:v>SETUP REQUIRED</x:v>
      </x:c>
      <x:c r="AE53" s="1253" t="str">
        <x:f>IF($AD53="","",IFERROR(INDEX('97 RCC Lists'!$AK$5:$AK$15,MATCH($AD53,'97 RCC Lists'!$AJ$5:$AJ$15,0)),"Review exception"))</x:f>
        <x:v>Assign canonical MASR ID and complete registry setup</x:v>
      </x:c>
      <x:c r="AF53" s="1251"/>
      <x:c r="AG53" s="1242"/>
      <x:c r="AH53" s="1251"/>
      <x:c r="AI53" s="1242"/>
    </x:row>
    <x:row r="54" ht="32" customHeight="1">
      <x:c r="A54" s="1242"/>
      <x:c r="B54" s="1243" t="str">
        <x:f>INDEX('Certified Allocation'!$B$5:$B$51,ROW()-13)</x:f>
        <x:v>VPU</x:v>
      </x:c>
      <x:c r="C54" s="1243" t="str">
        <x:f>INDEX('Certified Allocation'!$C$5:$C$51,ROW()-13)</x:f>
        <x:v>Vanguard Utilities ETF</x:v>
      </x:c>
      <x:c r="D54" s="1244" t="str">
        <x:v>Certified Portfolio Holding</x:v>
      </x:c>
      <x:c r="E54" s="1244" t="str">
        <x:v>Active — Certified Holding</x:v>
      </x:c>
      <x:c r="F54" s="1244" t="str">
        <x:v>Certified MFPDF / Founders Edition</x:v>
      </x:c>
      <x:c r="G54" s="1243" t="str">
        <x:f>INDEX('Certified Allocation'!$A$5:$A$51,ROW()-13)</x:f>
        <x:v>Energy &amp; Natural Resources</x:v>
      </x:c>
      <x:c r="H54" s="1243" t="str">
        <x:f>INDEX('Certified Allocation'!$E$5:$E$51,ROW()-13)</x:f>
        <x:v>Utilities and defensive infrastructure ETF</x:v>
      </x:c>
      <x:c r="I54" s="1243" t="str">
        <x:f>INDEX('Certified Allocation'!$D$5:$D$51,ROW()-13)</x:f>
        <x:v>ETF</x:v>
      </x:c>
      <x:c r="J54" s="1245" t="n">
        <x:f>IF($B54="","",IFERROR(INDEX('Certified Allocation'!$F$5:$F$51,MATCH($B54,'Certified Allocation'!$B$5:$B$51,0)),""))</x:f>
        <x:v>0.0302</x:v>
      </x:c>
      <x:c r="K54" s="1243" t="str">
        <x:f>IF($B54="","",IFERROR(INDEX('20 RCC-003 MIAR Registry'!$A$14:$A$60,MATCH($B54,'20 RCC-003 MIAR Registry'!$B$14:$B$60,0)),""))</x:f>
      </x:c>
      <x:c r="L54" s="1243" t="str">
        <x:f>IF($B54="","",IFERROR(INDEX('20 RCC-003 MIAR Registry'!$M$14:$M$60,MATCH($B54,'20 RCC-003 MIAR Registry'!$B$14:$B$60,0)),""))</x:f>
      </x:c>
      <x:c r="M54" s="1243" t="str">
        <x:f>IF($B54="","",IFERROR(INDEX('20 RCC-003 MIAR Registry'!$Z$14:$Z$60,MATCH($B54,'20 RCC-003 MIAR Registry'!$B$14:$B$60,0)),""))</x:f>
        <x:v>NOT INITIALIZED</x:v>
      </x:c>
      <x:c r="N54" s="1246" t="str">
        <x:f>IF($B54="","",IFERROR(INDEX('20 RCC-003 MIAR Registry'!$K$14:$K$60,MATCH($B54,'20 RCC-003 MIAR Registry'!$B$14:$B$60,0)),""))</x:f>
      </x:c>
      <x:c r="O54" s="1246" t="str">
        <x:f>IF($B54="","",IFERROR(INDEX('20 RCC-003 MIAR Registry'!$L$14:$L$60,MATCH($B54,'20 RCC-003 MIAR Registry'!$B$14:$B$60,0)),""))</x:f>
      </x:c>
      <x:c r="P54" s="1243" t="str">
        <x:f>IF($B54="","",IFERROR(INDEX('20 RCC-003 MIAR Registry'!$I$14:$I$60,MATCH($B54,'20 RCC-003 MIAR Registry'!$B$14:$B$60,0)),""))</x:f>
        <x:v>Unassigned</x:v>
      </x:c>
      <x:c r="Q54" s="1243" t="str">
        <x:f>IF($B54="","",IFERROR(INDEX('20 RCC-003 MIAR Registry'!$J$14:$J$60,MATCH($B54,'20 RCC-003 MIAR Registry'!$B$14:$B$60,0)),""))</x:f>
      </x:c>
      <x:c r="R54" s="1247" t="n">
        <x:f>IF($B54="","",COUNTIF('18 RCC-002 Evidence Ledger'!$E$14:$E$213,$B54))</x:f>
        <x:v>0</x:v>
      </x:c>
      <x:c r="S54" s="1247" t="n">
        <x:f>IF($B54="","",COUNTIFS('18 RCC-002 Evidence Ledger'!$E$14:$E$213,$B54,'18 RCC-002 Evidence Ledger'!$T$14:$T$213,"&lt;&gt;Closed — No Action",'18 RCC-002 Evidence Ledger'!$T$14:$T$213,"&lt;&gt;Closed — Incorporated"))</x:f>
        <x:v>0</x:v>
      </x:c>
      <x:c r="T54" s="1248"/>
      <x:c r="U54" s="1249"/>
      <x:c r="V54" s="1242"/>
      <x:c r="W54" s="1248"/>
      <x:c r="X54" s="1244" t="str">
        <x:f>IF($B54="","",IF($D54="Certified Portfolio Holding","CERTIFIED HOLDING",IF(OR($A54="",$D54="",$E54="",$F54="",$G54="",$H54="",$I54=""),"NOT ASSESSED",IF(OR($K54="",$L54&lt;&gt;"Active",$M54="OVERDUE",$M54="MATERIAL EVENT REVIEW",$N54="",$O54="",$W54=""),"NOT ELIGIBLE",IF(OR(AND($F54="Zacks Election",OR($T54="",$T54&lt;50)),OR($U54=4,$U54=5),$V54="No Rating",$V54="Restricted / Unavailable"),"ELIGIBLE WITH EXCEPTION","ELIGIBLE")))))</x:f>
        <x:v>CERTIFIED HOLDING</x:v>
      </x:c>
      <x:c r="Y54" s="1244" t="str">
        <x:f>IF($B54="","",IF($A54="","Canonical MASR ID required",IF(AND($D54&lt;&gt;"Certified Portfolio Holding",OR($K54="",$L54&lt;&gt;"Active",$M54&lt;&gt;"CURRENT",$N54="",$O54="",$W54="")),"Complete MIAR / scoring / empirical eligibility",IF(AND($F54="Zacks Election",OR($T54="",$T54&lt;50)),"Sub-$50B Zacks election exception",IF(OR($U54=4,$U54=5),"Zacks #4/#5 exception review",IF($V54="No Rating","Merrill No Rating exception",IF($V54="Restricted / Unavailable","Merrill restricted / unavailable exception","None")))))))</x:f>
        <x:v>Canonical MASR ID required</x:v>
      </x:c>
      <x:c r="Z54" s="1250" t="n">
        <x:f>IF($B54="","",COUNTIF('24 RCC-004 Candidate Pipeline'!$C$14:$C$213,$B54))</x:f>
        <x:v>0</x:v>
      </x:c>
      <x:c r="AA54" s="1244" t="str">
        <x:f>IF($B54="","",IFERROR(INDEX('24 RCC-004 Candidate Pipeline'!$Y$14:$Y$213,MATCH($B54,'24 RCC-004 Candidate Pipeline'!$C$14:$C$213,0)),""))</x:f>
      </x:c>
      <x:c r="AB54" s="1242" t="str">
        <x:v>Grandfathered — Certified Holding</x:v>
      </x:c>
      <x:c r="AC54" s="1244" t="str">
        <x:f>IF($B54="","",IF(COUNTIFS('24 RCC-004 Candidate Pipeline'!$C$14:$C$213,$B54,'24 RCC-004 Candidate Pipeline'!$AF$14:$AF$213,"Yes — Refer to PEW-004")&gt;0,"REFERRED — PEW-004",IF($Z54&gt;0,"CANDIDATE RECORD ACTIVE","NO ACTIVE CANDIDATE")))</x:f>
        <x:v>NO ACTIVE CANDIDATE</x:v>
      </x:c>
      <x:c r="AD54" s="1244" t="str">
        <x:f>IF($B54="","",IF($A54="","SETUP REQUIRED",IF(COUNTIF($A$14:$A$163,$A54)&gt;1,"DUPLICATE MASR ID",IF(COUNTIF($B$14:$B$163,$B54)&gt;1,"DUPLICATE TICKER",IF(OR($D54="",$E54="",$F54="",$G54="",$H54="",$I54=""),"INCOMPLETE",IF(OR($K54="",$L54=""),"MIAR SETUP REQUIRED",IF($X54="NOT ELIGIBLE","NOT ELIGIBLE",IF($Y54&lt;&gt;"None","EXCEPTION REVIEW",IF(AND($D54&lt;&gt;"Certified Portfolio Holding",OR($E54="Active — Approved Non-Holding",$E54="Conditional",$E54="Candidate — Committee Review"),OR($AB54="",$AB54="Pending")),"COMMITTEE DISPOSITION REQUIRED",IF(AND(OR($E54="Active — Approved Non-Holding",$E54="Conditional"),OR($AG54="",$AH54="")),"CERTIFICATION REQUIRED",IF(OR($E54="Rejected",$E54="Removed",$E54="Archived"),"INACTIVE / CLOSED","CONTROL CLEAR")))))))))))</x:f>
        <x:v>SETUP REQUIRED</x:v>
      </x:c>
      <x:c r="AE54" s="1244" t="str">
        <x:f>IF($AD54="","",IFERROR(INDEX('97 RCC Lists'!$AK$5:$AK$15,MATCH($AD54,'97 RCC Lists'!$AJ$5:$AJ$15,0)),"Review exception"))</x:f>
        <x:v>Assign canonical MASR ID and complete registry setup</x:v>
      </x:c>
      <x:c r="AF54" s="1251"/>
      <x:c r="AG54" s="1242"/>
      <x:c r="AH54" s="1251"/>
      <x:c r="AI54" s="1242"/>
    </x:row>
    <x:row r="55" ht="32" customHeight="1">
      <x:c r="A55" s="1242"/>
      <x:c r="B55" s="1252" t="str">
        <x:f>INDEX('Certified Allocation'!$B$5:$B$51,ROW()-13)</x:f>
        <x:v>XOM</x:v>
      </x:c>
      <x:c r="C55" s="1252" t="str">
        <x:f>INDEX('Certified Allocation'!$C$5:$C$51,ROW()-13)</x:f>
        <x:v>Exxon Mobil Corporation</x:v>
      </x:c>
      <x:c r="D55" s="1253" t="str">
        <x:v>Certified Portfolio Holding</x:v>
      </x:c>
      <x:c r="E55" s="1253" t="str">
        <x:v>Active — Certified Holding</x:v>
      </x:c>
      <x:c r="F55" s="1253" t="str">
        <x:v>Certified MFPDF / Founders Edition</x:v>
      </x:c>
      <x:c r="G55" s="1252" t="str">
        <x:f>INDEX('Certified Allocation'!$A$5:$A$51,ROW()-13)</x:f>
        <x:v>Energy &amp; Natural Resources</x:v>
      </x:c>
      <x:c r="H55" s="1252" t="str">
        <x:f>INDEX('Certified Allocation'!$E$5:$E$51,ROW()-13)</x:f>
        <x:v>Integrated energy leader</x:v>
      </x:c>
      <x:c r="I55" s="1252" t="str">
        <x:f>INDEX('Certified Allocation'!$D$5:$D$51,ROW()-13)</x:f>
        <x:v>Equity</x:v>
      </x:c>
      <x:c r="J55" s="1254" t="n">
        <x:f>IF($B55="","",IFERROR(INDEX('Certified Allocation'!$F$5:$F$51,MATCH($B55,'Certified Allocation'!$B$5:$B$51,0)),""))</x:f>
        <x:v>0.0256</x:v>
      </x:c>
      <x:c r="K55" s="1252" t="str">
        <x:f>IF($B55="","",IFERROR(INDEX('20 RCC-003 MIAR Registry'!$A$14:$A$60,MATCH($B55,'20 RCC-003 MIAR Registry'!$B$14:$B$60,0)),""))</x:f>
      </x:c>
      <x:c r="L55" s="1252" t="str">
        <x:f>IF($B55="","",IFERROR(INDEX('20 RCC-003 MIAR Registry'!$M$14:$M$60,MATCH($B55,'20 RCC-003 MIAR Registry'!$B$14:$B$60,0)),""))</x:f>
      </x:c>
      <x:c r="M55" s="1252" t="str">
        <x:f>IF($B55="","",IFERROR(INDEX('20 RCC-003 MIAR Registry'!$Z$14:$Z$60,MATCH($B55,'20 RCC-003 MIAR Registry'!$B$14:$B$60,0)),""))</x:f>
        <x:v>NOT INITIALIZED</x:v>
      </x:c>
      <x:c r="N55" s="1255" t="str">
        <x:f>IF($B55="","",IFERROR(INDEX('20 RCC-003 MIAR Registry'!$K$14:$K$60,MATCH($B55,'20 RCC-003 MIAR Registry'!$B$14:$B$60,0)),""))</x:f>
      </x:c>
      <x:c r="O55" s="1255" t="str">
        <x:f>IF($B55="","",IFERROR(INDEX('20 RCC-003 MIAR Registry'!$L$14:$L$60,MATCH($B55,'20 RCC-003 MIAR Registry'!$B$14:$B$60,0)),""))</x:f>
      </x:c>
      <x:c r="P55" s="1252" t="str">
        <x:f>IF($B55="","",IFERROR(INDEX('20 RCC-003 MIAR Registry'!$I$14:$I$60,MATCH($B55,'20 RCC-003 MIAR Registry'!$B$14:$B$60,0)),""))</x:f>
        <x:v>Unassigned</x:v>
      </x:c>
      <x:c r="Q55" s="1252" t="str">
        <x:f>IF($B55="","",IFERROR(INDEX('20 RCC-003 MIAR Registry'!$J$14:$J$60,MATCH($B55,'20 RCC-003 MIAR Registry'!$B$14:$B$60,0)),""))</x:f>
      </x:c>
      <x:c r="R55" s="1256" t="n">
        <x:f>IF($B55="","",COUNTIF('18 RCC-002 Evidence Ledger'!$E$14:$E$213,$B55))</x:f>
        <x:v>0</x:v>
      </x:c>
      <x:c r="S55" s="1256" t="n">
        <x:f>IF($B55="","",COUNTIFS('18 RCC-002 Evidence Ledger'!$E$14:$E$213,$B55,'18 RCC-002 Evidence Ledger'!$T$14:$T$213,"&lt;&gt;Closed — No Action",'18 RCC-002 Evidence Ledger'!$T$14:$T$213,"&lt;&gt;Closed — Incorporated"))</x:f>
        <x:v>0</x:v>
      </x:c>
      <x:c r="T55" s="1248"/>
      <x:c r="U55" s="1249"/>
      <x:c r="V55" s="1242"/>
      <x:c r="W55" s="1248"/>
      <x:c r="X55" s="1253" t="str">
        <x:f>IF($B55="","",IF($D55="Certified Portfolio Holding","CERTIFIED HOLDING",IF(OR($A55="",$D55="",$E55="",$F55="",$G55="",$H55="",$I55=""),"NOT ASSESSED",IF(OR($K55="",$L55&lt;&gt;"Active",$M55="OVERDUE",$M55="MATERIAL EVENT REVIEW",$N55="",$O55="",$W55=""),"NOT ELIGIBLE",IF(OR(AND($F55="Zacks Election",OR($T55="",$T55&lt;50)),OR($U55=4,$U55=5),$V55="No Rating",$V55="Restricted / Unavailable"),"ELIGIBLE WITH EXCEPTION","ELIGIBLE")))))</x:f>
        <x:v>CERTIFIED HOLDING</x:v>
      </x:c>
      <x:c r="Y55" s="1253" t="str">
        <x:f>IF($B55="","",IF($A55="","Canonical MASR ID required",IF(AND($D55&lt;&gt;"Certified Portfolio Holding",OR($K55="",$L55&lt;&gt;"Active",$M55&lt;&gt;"CURRENT",$N55="",$O55="",$W55="")),"Complete MIAR / scoring / empirical eligibility",IF(AND($F55="Zacks Election",OR($T55="",$T55&lt;50)),"Sub-$50B Zacks election exception",IF(OR($U55=4,$U55=5),"Zacks #4/#5 exception review",IF($V55="No Rating","Merrill No Rating exception",IF($V55="Restricted / Unavailable","Merrill restricted / unavailable exception","None")))))))</x:f>
        <x:v>Canonical MASR ID required</x:v>
      </x:c>
      <x:c r="Z55" s="1257" t="n">
        <x:f>IF($B55="","",COUNTIF('24 RCC-004 Candidate Pipeline'!$C$14:$C$213,$B55))</x:f>
        <x:v>0</x:v>
      </x:c>
      <x:c r="AA55" s="1253" t="str">
        <x:f>IF($B55="","",IFERROR(INDEX('24 RCC-004 Candidate Pipeline'!$Y$14:$Y$213,MATCH($B55,'24 RCC-004 Candidate Pipeline'!$C$14:$C$213,0)),""))</x:f>
      </x:c>
      <x:c r="AB55" s="1242" t="str">
        <x:v>Grandfathered — Certified Holding</x:v>
      </x:c>
      <x:c r="AC55" s="1253" t="str">
        <x:f>IF($B55="","",IF(COUNTIFS('24 RCC-004 Candidate Pipeline'!$C$14:$C$213,$B55,'24 RCC-004 Candidate Pipeline'!$AF$14:$AF$213,"Yes — Refer to PEW-004")&gt;0,"REFERRED — PEW-004",IF($Z55&gt;0,"CANDIDATE RECORD ACTIVE","NO ACTIVE CANDIDATE")))</x:f>
        <x:v>NO ACTIVE CANDIDATE</x:v>
      </x:c>
      <x:c r="AD55" s="1253" t="str">
        <x:f>IF($B55="","",IF($A55="","SETUP REQUIRED",IF(COUNTIF($A$14:$A$163,$A55)&gt;1,"DUPLICATE MASR ID",IF(COUNTIF($B$14:$B$163,$B55)&gt;1,"DUPLICATE TICKER",IF(OR($D55="",$E55="",$F55="",$G55="",$H55="",$I55=""),"INCOMPLETE",IF(OR($K55="",$L55=""),"MIAR SETUP REQUIRED",IF($X55="NOT ELIGIBLE","NOT ELIGIBLE",IF($Y55&lt;&gt;"None","EXCEPTION REVIEW",IF(AND($D55&lt;&gt;"Certified Portfolio Holding",OR($E55="Active — Approved Non-Holding",$E55="Conditional",$E55="Candidate — Committee Review"),OR($AB55="",$AB55="Pending")),"COMMITTEE DISPOSITION REQUIRED",IF(AND(OR($E55="Active — Approved Non-Holding",$E55="Conditional"),OR($AG55="",$AH55="")),"CERTIFICATION REQUIRED",IF(OR($E55="Rejected",$E55="Removed",$E55="Archived"),"INACTIVE / CLOSED","CONTROL CLEAR")))))))))))</x:f>
        <x:v>SETUP REQUIRED</x:v>
      </x:c>
      <x:c r="AE55" s="1253" t="str">
        <x:f>IF($AD55="","",IFERROR(INDEX('97 RCC Lists'!$AK$5:$AK$15,MATCH($AD55,'97 RCC Lists'!$AJ$5:$AJ$15,0)),"Review exception"))</x:f>
        <x:v>Assign canonical MASR ID and complete registry setup</x:v>
      </x:c>
      <x:c r="AF55" s="1251"/>
      <x:c r="AG55" s="1242"/>
      <x:c r="AH55" s="1251"/>
      <x:c r="AI55" s="1242"/>
    </x:row>
    <x:row r="56" ht="32" customHeight="1">
      <x:c r="A56" s="1242"/>
      <x:c r="B56" s="1243" t="str">
        <x:f>INDEX('Certified Allocation'!$B$5:$B$51,ROW()-13)</x:f>
        <x:v>CVX</x:v>
      </x:c>
      <x:c r="C56" s="1243" t="str">
        <x:f>INDEX('Certified Allocation'!$C$5:$C$51,ROW()-13)</x:f>
        <x:v>Chevron Corporation</x:v>
      </x:c>
      <x:c r="D56" s="1244" t="str">
        <x:v>Certified Portfolio Holding</x:v>
      </x:c>
      <x:c r="E56" s="1244" t="str">
        <x:v>Active — Certified Holding</x:v>
      </x:c>
      <x:c r="F56" s="1244" t="str">
        <x:v>Certified MFPDF / Founders Edition</x:v>
      </x:c>
      <x:c r="G56" s="1243" t="str">
        <x:f>INDEX('Certified Allocation'!$A$5:$A$51,ROW()-13)</x:f>
        <x:v>Energy &amp; Natural Resources</x:v>
      </x:c>
      <x:c r="H56" s="1243" t="str">
        <x:f>INDEX('Certified Allocation'!$E$5:$E$51,ROW()-13)</x:f>
        <x:v>Integrated energy leader</x:v>
      </x:c>
      <x:c r="I56" s="1243" t="str">
        <x:f>INDEX('Certified Allocation'!$D$5:$D$51,ROW()-13)</x:f>
        <x:v>Equity</x:v>
      </x:c>
      <x:c r="J56" s="1245" t="n">
        <x:f>IF($B56="","",IFERROR(INDEX('Certified Allocation'!$F$5:$F$51,MATCH($B56,'Certified Allocation'!$B$5:$B$51,0)),""))</x:f>
        <x:v>0.0156</x:v>
      </x:c>
      <x:c r="K56" s="1243" t="str">
        <x:f>IF($B56="","",IFERROR(INDEX('20 RCC-003 MIAR Registry'!$A$14:$A$60,MATCH($B56,'20 RCC-003 MIAR Registry'!$B$14:$B$60,0)),""))</x:f>
      </x:c>
      <x:c r="L56" s="1243" t="str">
        <x:f>IF($B56="","",IFERROR(INDEX('20 RCC-003 MIAR Registry'!$M$14:$M$60,MATCH($B56,'20 RCC-003 MIAR Registry'!$B$14:$B$60,0)),""))</x:f>
      </x:c>
      <x:c r="M56" s="1243" t="str">
        <x:f>IF($B56="","",IFERROR(INDEX('20 RCC-003 MIAR Registry'!$Z$14:$Z$60,MATCH($B56,'20 RCC-003 MIAR Registry'!$B$14:$B$60,0)),""))</x:f>
        <x:v>NOT INITIALIZED</x:v>
      </x:c>
      <x:c r="N56" s="1246" t="str">
        <x:f>IF($B56="","",IFERROR(INDEX('20 RCC-003 MIAR Registry'!$K$14:$K$60,MATCH($B56,'20 RCC-003 MIAR Registry'!$B$14:$B$60,0)),""))</x:f>
      </x:c>
      <x:c r="O56" s="1246" t="str">
        <x:f>IF($B56="","",IFERROR(INDEX('20 RCC-003 MIAR Registry'!$L$14:$L$60,MATCH($B56,'20 RCC-003 MIAR Registry'!$B$14:$B$60,0)),""))</x:f>
      </x:c>
      <x:c r="P56" s="1243" t="str">
        <x:f>IF($B56="","",IFERROR(INDEX('20 RCC-003 MIAR Registry'!$I$14:$I$60,MATCH($B56,'20 RCC-003 MIAR Registry'!$B$14:$B$60,0)),""))</x:f>
        <x:v>Unassigned</x:v>
      </x:c>
      <x:c r="Q56" s="1243" t="str">
        <x:f>IF($B56="","",IFERROR(INDEX('20 RCC-003 MIAR Registry'!$J$14:$J$60,MATCH($B56,'20 RCC-003 MIAR Registry'!$B$14:$B$60,0)),""))</x:f>
      </x:c>
      <x:c r="R56" s="1247" t="n">
        <x:f>IF($B56="","",COUNTIF('18 RCC-002 Evidence Ledger'!$E$14:$E$213,$B56))</x:f>
        <x:v>0</x:v>
      </x:c>
      <x:c r="S56" s="1247" t="n">
        <x:f>IF($B56="","",COUNTIFS('18 RCC-002 Evidence Ledger'!$E$14:$E$213,$B56,'18 RCC-002 Evidence Ledger'!$T$14:$T$213,"&lt;&gt;Closed — No Action",'18 RCC-002 Evidence Ledger'!$T$14:$T$213,"&lt;&gt;Closed — Incorporated"))</x:f>
        <x:v>0</x:v>
      </x:c>
      <x:c r="T56" s="1248"/>
      <x:c r="U56" s="1249"/>
      <x:c r="V56" s="1242"/>
      <x:c r="W56" s="1248"/>
      <x:c r="X56" s="1244" t="str">
        <x:f>IF($B56="","",IF($D56="Certified Portfolio Holding","CERTIFIED HOLDING",IF(OR($A56="",$D56="",$E56="",$F56="",$G56="",$H56="",$I56=""),"NOT ASSESSED",IF(OR($K56="",$L56&lt;&gt;"Active",$M56="OVERDUE",$M56="MATERIAL EVENT REVIEW",$N56="",$O56="",$W56=""),"NOT ELIGIBLE",IF(OR(AND($F56="Zacks Election",OR($T56="",$T56&lt;50)),OR($U56=4,$U56=5),$V56="No Rating",$V56="Restricted / Unavailable"),"ELIGIBLE WITH EXCEPTION","ELIGIBLE")))))</x:f>
        <x:v>CERTIFIED HOLDING</x:v>
      </x:c>
      <x:c r="Y56" s="1244" t="str">
        <x:f>IF($B56="","",IF($A56="","Canonical MASR ID required",IF(AND($D56&lt;&gt;"Certified Portfolio Holding",OR($K56="",$L56&lt;&gt;"Active",$M56&lt;&gt;"CURRENT",$N56="",$O56="",$W56="")),"Complete MIAR / scoring / empirical eligibility",IF(AND($F56="Zacks Election",OR($T56="",$T56&lt;50)),"Sub-$50B Zacks election exception",IF(OR($U56=4,$U56=5),"Zacks #4/#5 exception review",IF($V56="No Rating","Merrill No Rating exception",IF($V56="Restricted / Unavailable","Merrill restricted / unavailable exception","None")))))))</x:f>
        <x:v>Canonical MASR ID required</x:v>
      </x:c>
      <x:c r="Z56" s="1250" t="n">
        <x:f>IF($B56="","",COUNTIF('24 RCC-004 Candidate Pipeline'!$C$14:$C$213,$B56))</x:f>
        <x:v>0</x:v>
      </x:c>
      <x:c r="AA56" s="1244" t="str">
        <x:f>IF($B56="","",IFERROR(INDEX('24 RCC-004 Candidate Pipeline'!$Y$14:$Y$213,MATCH($B56,'24 RCC-004 Candidate Pipeline'!$C$14:$C$213,0)),""))</x:f>
      </x:c>
      <x:c r="AB56" s="1242" t="str">
        <x:v>Grandfathered — Certified Holding</x:v>
      </x:c>
      <x:c r="AC56" s="1244" t="str">
        <x:f>IF($B56="","",IF(COUNTIFS('24 RCC-004 Candidate Pipeline'!$C$14:$C$213,$B56,'24 RCC-004 Candidate Pipeline'!$AF$14:$AF$213,"Yes — Refer to PEW-004")&gt;0,"REFERRED — PEW-004",IF($Z56&gt;0,"CANDIDATE RECORD ACTIVE","NO ACTIVE CANDIDATE")))</x:f>
        <x:v>NO ACTIVE CANDIDATE</x:v>
      </x:c>
      <x:c r="AD56" s="1244" t="str">
        <x:f>IF($B56="","",IF($A56="","SETUP REQUIRED",IF(COUNTIF($A$14:$A$163,$A56)&gt;1,"DUPLICATE MASR ID",IF(COUNTIF($B$14:$B$163,$B56)&gt;1,"DUPLICATE TICKER",IF(OR($D56="",$E56="",$F56="",$G56="",$H56="",$I56=""),"INCOMPLETE",IF(OR($K56="",$L56=""),"MIAR SETUP REQUIRED",IF($X56="NOT ELIGIBLE","NOT ELIGIBLE",IF($Y56&lt;&gt;"None","EXCEPTION REVIEW",IF(AND($D56&lt;&gt;"Certified Portfolio Holding",OR($E56="Active — Approved Non-Holding",$E56="Conditional",$E56="Candidate — Committee Review"),OR($AB56="",$AB56="Pending")),"COMMITTEE DISPOSITION REQUIRED",IF(AND(OR($E56="Active — Approved Non-Holding",$E56="Conditional"),OR($AG56="",$AH56="")),"CERTIFICATION REQUIRED",IF(OR($E56="Rejected",$E56="Removed",$E56="Archived"),"INACTIVE / CLOSED","CONTROL CLEAR")))))))))))</x:f>
        <x:v>SETUP REQUIRED</x:v>
      </x:c>
      <x:c r="AE56" s="1244" t="str">
        <x:f>IF($AD56="","",IFERROR(INDEX('97 RCC Lists'!$AK$5:$AK$15,MATCH($AD56,'97 RCC Lists'!$AJ$5:$AJ$15,0)),"Review exception"))</x:f>
        <x:v>Assign canonical MASR ID and complete registry setup</x:v>
      </x:c>
      <x:c r="AF56" s="1251"/>
      <x:c r="AG56" s="1242"/>
      <x:c r="AH56" s="1251"/>
      <x:c r="AI56" s="1242"/>
    </x:row>
    <x:row r="57" ht="32" customHeight="1">
      <x:c r="A57" s="1242"/>
      <x:c r="B57" s="1252" t="str">
        <x:f>INDEX('Certified Allocation'!$B$5:$B$51,ROW()-13)</x:f>
        <x:v>VDE</x:v>
      </x:c>
      <x:c r="C57" s="1252" t="str">
        <x:f>INDEX('Certified Allocation'!$C$5:$C$51,ROW()-13)</x:f>
        <x:v>Vanguard Energy ETF</x:v>
      </x:c>
      <x:c r="D57" s="1253" t="str">
        <x:v>Certified Portfolio Holding</x:v>
      </x:c>
      <x:c r="E57" s="1253" t="str">
        <x:v>Active — Certified Holding</x:v>
      </x:c>
      <x:c r="F57" s="1253" t="str">
        <x:v>Certified MFPDF / Founders Edition</x:v>
      </x:c>
      <x:c r="G57" s="1252" t="str">
        <x:f>INDEX('Certified Allocation'!$A$5:$A$51,ROW()-13)</x:f>
        <x:v>Energy &amp; Natural Resources</x:v>
      </x:c>
      <x:c r="H57" s="1252" t="str">
        <x:f>INDEX('Certified Allocation'!$E$5:$E$51,ROW()-13)</x:f>
        <x:v>Diversified energy implementation ETF</x:v>
      </x:c>
      <x:c r="I57" s="1252" t="str">
        <x:f>INDEX('Certified Allocation'!$D$5:$D$51,ROW()-13)</x:f>
        <x:v>ETF</x:v>
      </x:c>
      <x:c r="J57" s="1254" t="n">
        <x:f>IF($B57="","",IFERROR(INDEX('Certified Allocation'!$F$5:$F$51,MATCH($B57,'Certified Allocation'!$B$5:$B$51,0)),""))</x:f>
        <x:v>0.0156</x:v>
      </x:c>
      <x:c r="K57" s="1252" t="str">
        <x:f>IF($B57="","",IFERROR(INDEX('20 RCC-003 MIAR Registry'!$A$14:$A$60,MATCH($B57,'20 RCC-003 MIAR Registry'!$B$14:$B$60,0)),""))</x:f>
      </x:c>
      <x:c r="L57" s="1252" t="str">
        <x:f>IF($B57="","",IFERROR(INDEX('20 RCC-003 MIAR Registry'!$M$14:$M$60,MATCH($B57,'20 RCC-003 MIAR Registry'!$B$14:$B$60,0)),""))</x:f>
      </x:c>
      <x:c r="M57" s="1252" t="str">
        <x:f>IF($B57="","",IFERROR(INDEX('20 RCC-003 MIAR Registry'!$Z$14:$Z$60,MATCH($B57,'20 RCC-003 MIAR Registry'!$B$14:$B$60,0)),""))</x:f>
        <x:v>NOT INITIALIZED</x:v>
      </x:c>
      <x:c r="N57" s="1255" t="str">
        <x:f>IF($B57="","",IFERROR(INDEX('20 RCC-003 MIAR Registry'!$K$14:$K$60,MATCH($B57,'20 RCC-003 MIAR Registry'!$B$14:$B$60,0)),""))</x:f>
      </x:c>
      <x:c r="O57" s="1255" t="str">
        <x:f>IF($B57="","",IFERROR(INDEX('20 RCC-003 MIAR Registry'!$L$14:$L$60,MATCH($B57,'20 RCC-003 MIAR Registry'!$B$14:$B$60,0)),""))</x:f>
      </x:c>
      <x:c r="P57" s="1252" t="str">
        <x:f>IF($B57="","",IFERROR(INDEX('20 RCC-003 MIAR Registry'!$I$14:$I$60,MATCH($B57,'20 RCC-003 MIAR Registry'!$B$14:$B$60,0)),""))</x:f>
        <x:v>Unassigned</x:v>
      </x:c>
      <x:c r="Q57" s="1252" t="str">
        <x:f>IF($B57="","",IFERROR(INDEX('20 RCC-003 MIAR Registry'!$J$14:$J$60,MATCH($B57,'20 RCC-003 MIAR Registry'!$B$14:$B$60,0)),""))</x:f>
      </x:c>
      <x:c r="R57" s="1256" t="n">
        <x:f>IF($B57="","",COUNTIF('18 RCC-002 Evidence Ledger'!$E$14:$E$213,$B57))</x:f>
        <x:v>0</x:v>
      </x:c>
      <x:c r="S57" s="1256" t="n">
        <x:f>IF($B57="","",COUNTIFS('18 RCC-002 Evidence Ledger'!$E$14:$E$213,$B57,'18 RCC-002 Evidence Ledger'!$T$14:$T$213,"&lt;&gt;Closed — No Action",'18 RCC-002 Evidence Ledger'!$T$14:$T$213,"&lt;&gt;Closed — Incorporated"))</x:f>
        <x:v>0</x:v>
      </x:c>
      <x:c r="T57" s="1248"/>
      <x:c r="U57" s="1249"/>
      <x:c r="V57" s="1242"/>
      <x:c r="W57" s="1248"/>
      <x:c r="X57" s="1253" t="str">
        <x:f>IF($B57="","",IF($D57="Certified Portfolio Holding","CERTIFIED HOLDING",IF(OR($A57="",$D57="",$E57="",$F57="",$G57="",$H57="",$I57=""),"NOT ASSESSED",IF(OR($K57="",$L57&lt;&gt;"Active",$M57="OVERDUE",$M57="MATERIAL EVENT REVIEW",$N57="",$O57="",$W57=""),"NOT ELIGIBLE",IF(OR(AND($F57="Zacks Election",OR($T57="",$T57&lt;50)),OR($U57=4,$U57=5),$V57="No Rating",$V57="Restricted / Unavailable"),"ELIGIBLE WITH EXCEPTION","ELIGIBLE")))))</x:f>
        <x:v>CERTIFIED HOLDING</x:v>
      </x:c>
      <x:c r="Y57" s="1253" t="str">
        <x:f>IF($B57="","",IF($A57="","Canonical MASR ID required",IF(AND($D57&lt;&gt;"Certified Portfolio Holding",OR($K57="",$L57&lt;&gt;"Active",$M57&lt;&gt;"CURRENT",$N57="",$O57="",$W57="")),"Complete MIAR / scoring / empirical eligibility",IF(AND($F57="Zacks Election",OR($T57="",$T57&lt;50)),"Sub-$50B Zacks election exception",IF(OR($U57=4,$U57=5),"Zacks #4/#5 exception review",IF($V57="No Rating","Merrill No Rating exception",IF($V57="Restricted / Unavailable","Merrill restricted / unavailable exception","None")))))))</x:f>
        <x:v>Canonical MASR ID required</x:v>
      </x:c>
      <x:c r="Z57" s="1257" t="n">
        <x:f>IF($B57="","",COUNTIF('24 RCC-004 Candidate Pipeline'!$C$14:$C$213,$B57))</x:f>
        <x:v>0</x:v>
      </x:c>
      <x:c r="AA57" s="1253" t="str">
        <x:f>IF($B57="","",IFERROR(INDEX('24 RCC-004 Candidate Pipeline'!$Y$14:$Y$213,MATCH($B57,'24 RCC-004 Candidate Pipeline'!$C$14:$C$213,0)),""))</x:f>
      </x:c>
      <x:c r="AB57" s="1242" t="str">
        <x:v>Grandfathered — Certified Holding</x:v>
      </x:c>
      <x:c r="AC57" s="1253" t="str">
        <x:f>IF($B57="","",IF(COUNTIFS('24 RCC-004 Candidate Pipeline'!$C$14:$C$213,$B57,'24 RCC-004 Candidate Pipeline'!$AF$14:$AF$213,"Yes — Refer to PEW-004")&gt;0,"REFERRED — PEW-004",IF($Z57&gt;0,"CANDIDATE RECORD ACTIVE","NO ACTIVE CANDIDATE")))</x:f>
        <x:v>NO ACTIVE CANDIDATE</x:v>
      </x:c>
      <x:c r="AD57" s="1253" t="str">
        <x:f>IF($B57="","",IF($A57="","SETUP REQUIRED",IF(COUNTIF($A$14:$A$163,$A57)&gt;1,"DUPLICATE MASR ID",IF(COUNTIF($B$14:$B$163,$B57)&gt;1,"DUPLICATE TICKER",IF(OR($D57="",$E57="",$F57="",$G57="",$H57="",$I57=""),"INCOMPLETE",IF(OR($K57="",$L57=""),"MIAR SETUP REQUIRED",IF($X57="NOT ELIGIBLE","NOT ELIGIBLE",IF($Y57&lt;&gt;"None","EXCEPTION REVIEW",IF(AND($D57&lt;&gt;"Certified Portfolio Holding",OR($E57="Active — Approved Non-Holding",$E57="Conditional",$E57="Candidate — Committee Review"),OR($AB57="",$AB57="Pending")),"COMMITTEE DISPOSITION REQUIRED",IF(AND(OR($E57="Active — Approved Non-Holding",$E57="Conditional"),OR($AG57="",$AH57="")),"CERTIFICATION REQUIRED",IF(OR($E57="Rejected",$E57="Removed",$E57="Archived"),"INACTIVE / CLOSED","CONTROL CLEAR")))))))))))</x:f>
        <x:v>SETUP REQUIRED</x:v>
      </x:c>
      <x:c r="AE57" s="1253" t="str">
        <x:f>IF($AD57="","",IFERROR(INDEX('97 RCC Lists'!$AK$5:$AK$15,MATCH($AD57,'97 RCC Lists'!$AJ$5:$AJ$15,0)),"Review exception"))</x:f>
        <x:v>Assign canonical MASR ID and complete registry setup</x:v>
      </x:c>
      <x:c r="AF57" s="1251"/>
      <x:c r="AG57" s="1242"/>
      <x:c r="AH57" s="1251"/>
      <x:c r="AI57" s="1242"/>
    </x:row>
    <x:row r="58" ht="32" customHeight="1">
      <x:c r="A58" s="1242"/>
      <x:c r="B58" s="1243" t="str">
        <x:f>INDEX('Certified Allocation'!$B$5:$B$51,ROW()-13)</x:f>
        <x:v>JEPI</x:v>
      </x:c>
      <x:c r="C58" s="1243" t="str">
        <x:f>INDEX('Certified Allocation'!$C$5:$C$51,ROW()-13)</x:f>
        <x:v>JPMorgan Equity Premium Income ETF</x:v>
      </x:c>
      <x:c r="D58" s="1244" t="str">
        <x:v>Certified Portfolio Holding</x:v>
      </x:c>
      <x:c r="E58" s="1244" t="str">
        <x:v>Active — Certified Holding</x:v>
      </x:c>
      <x:c r="F58" s="1244" t="str">
        <x:v>Certified MFPDF / Founders Edition</x:v>
      </x:c>
      <x:c r="G58" s="1243" t="str">
        <x:f>INDEX('Certified Allocation'!$A$5:$A$51,ROW()-13)</x:f>
        <x:v>Income &amp; Risk Management</x:v>
      </x:c>
      <x:c r="H58" s="1243" t="str">
        <x:f>INDEX('Certified Allocation'!$E$5:$E$51,ROW()-13)</x:f>
        <x:v>Diversified equity income and volatility moderation</x:v>
      </x:c>
      <x:c r="I58" s="1243" t="str">
        <x:f>INDEX('Certified Allocation'!$D$5:$D$51,ROW()-13)</x:f>
        <x:v>ETF</x:v>
      </x:c>
      <x:c r="J58" s="1245" t="n">
        <x:f>IF($B58="","",IFERROR(INDEX('Certified Allocation'!$F$5:$F$51,MATCH($B58,'Certified Allocation'!$B$5:$B$51,0)),""))</x:f>
        <x:v>0.0302</x:v>
      </x:c>
      <x:c r="K58" s="1243" t="str">
        <x:f>IF($B58="","",IFERROR(INDEX('20 RCC-003 MIAR Registry'!$A$14:$A$60,MATCH($B58,'20 RCC-003 MIAR Registry'!$B$14:$B$60,0)),""))</x:f>
      </x:c>
      <x:c r="L58" s="1243" t="str">
        <x:f>IF($B58="","",IFERROR(INDEX('20 RCC-003 MIAR Registry'!$M$14:$M$60,MATCH($B58,'20 RCC-003 MIAR Registry'!$B$14:$B$60,0)),""))</x:f>
      </x:c>
      <x:c r="M58" s="1243" t="str">
        <x:f>IF($B58="","",IFERROR(INDEX('20 RCC-003 MIAR Registry'!$Z$14:$Z$60,MATCH($B58,'20 RCC-003 MIAR Registry'!$B$14:$B$60,0)),""))</x:f>
        <x:v>NOT INITIALIZED</x:v>
      </x:c>
      <x:c r="N58" s="1246" t="str">
        <x:f>IF($B58="","",IFERROR(INDEX('20 RCC-003 MIAR Registry'!$K$14:$K$60,MATCH($B58,'20 RCC-003 MIAR Registry'!$B$14:$B$60,0)),""))</x:f>
      </x:c>
      <x:c r="O58" s="1246" t="str">
        <x:f>IF($B58="","",IFERROR(INDEX('20 RCC-003 MIAR Registry'!$L$14:$L$60,MATCH($B58,'20 RCC-003 MIAR Registry'!$B$14:$B$60,0)),""))</x:f>
      </x:c>
      <x:c r="P58" s="1243" t="str">
        <x:f>IF($B58="","",IFERROR(INDEX('20 RCC-003 MIAR Registry'!$I$14:$I$60,MATCH($B58,'20 RCC-003 MIAR Registry'!$B$14:$B$60,0)),""))</x:f>
        <x:v>Unassigned</x:v>
      </x:c>
      <x:c r="Q58" s="1243" t="str">
        <x:f>IF($B58="","",IFERROR(INDEX('20 RCC-003 MIAR Registry'!$J$14:$J$60,MATCH($B58,'20 RCC-003 MIAR Registry'!$B$14:$B$60,0)),""))</x:f>
      </x:c>
      <x:c r="R58" s="1247" t="n">
        <x:f>IF($B58="","",COUNTIF('18 RCC-002 Evidence Ledger'!$E$14:$E$213,$B58))</x:f>
        <x:v>0</x:v>
      </x:c>
      <x:c r="S58" s="1247" t="n">
        <x:f>IF($B58="","",COUNTIFS('18 RCC-002 Evidence Ledger'!$E$14:$E$213,$B58,'18 RCC-002 Evidence Ledger'!$T$14:$T$213,"&lt;&gt;Closed — No Action",'18 RCC-002 Evidence Ledger'!$T$14:$T$213,"&lt;&gt;Closed — Incorporated"))</x:f>
        <x:v>0</x:v>
      </x:c>
      <x:c r="T58" s="1248"/>
      <x:c r="U58" s="1249"/>
      <x:c r="V58" s="1242"/>
      <x:c r="W58" s="1248"/>
      <x:c r="X58" s="1244" t="str">
        <x:f>IF($B58="","",IF($D58="Certified Portfolio Holding","CERTIFIED HOLDING",IF(OR($A58="",$D58="",$E58="",$F58="",$G58="",$H58="",$I58=""),"NOT ASSESSED",IF(OR($K58="",$L58&lt;&gt;"Active",$M58="OVERDUE",$M58="MATERIAL EVENT REVIEW",$N58="",$O58="",$W58=""),"NOT ELIGIBLE",IF(OR(AND($F58="Zacks Election",OR($T58="",$T58&lt;50)),OR($U58=4,$U58=5),$V58="No Rating",$V58="Restricted / Unavailable"),"ELIGIBLE WITH EXCEPTION","ELIGIBLE")))))</x:f>
        <x:v>CERTIFIED HOLDING</x:v>
      </x:c>
      <x:c r="Y58" s="1244" t="str">
        <x:f>IF($B58="","",IF($A58="","Canonical MASR ID required",IF(AND($D58&lt;&gt;"Certified Portfolio Holding",OR($K58="",$L58&lt;&gt;"Active",$M58&lt;&gt;"CURRENT",$N58="",$O58="",$W58="")),"Complete MIAR / scoring / empirical eligibility",IF(AND($F58="Zacks Election",OR($T58="",$T58&lt;50)),"Sub-$50B Zacks election exception",IF(OR($U58=4,$U58=5),"Zacks #4/#5 exception review",IF($V58="No Rating","Merrill No Rating exception",IF($V58="Restricted / Unavailable","Merrill restricted / unavailable exception","None")))))))</x:f>
        <x:v>Canonical MASR ID required</x:v>
      </x:c>
      <x:c r="Z58" s="1250" t="n">
        <x:f>IF($B58="","",COUNTIF('24 RCC-004 Candidate Pipeline'!$C$14:$C$213,$B58))</x:f>
        <x:v>0</x:v>
      </x:c>
      <x:c r="AA58" s="1244" t="str">
        <x:f>IF($B58="","",IFERROR(INDEX('24 RCC-004 Candidate Pipeline'!$Y$14:$Y$213,MATCH($B58,'24 RCC-004 Candidate Pipeline'!$C$14:$C$213,0)),""))</x:f>
      </x:c>
      <x:c r="AB58" s="1242" t="str">
        <x:v>Grandfathered — Certified Holding</x:v>
      </x:c>
      <x:c r="AC58" s="1244" t="str">
        <x:f>IF($B58="","",IF(COUNTIFS('24 RCC-004 Candidate Pipeline'!$C$14:$C$213,$B58,'24 RCC-004 Candidate Pipeline'!$AF$14:$AF$213,"Yes — Refer to PEW-004")&gt;0,"REFERRED — PEW-004",IF($Z58&gt;0,"CANDIDATE RECORD ACTIVE","NO ACTIVE CANDIDATE")))</x:f>
        <x:v>NO ACTIVE CANDIDATE</x:v>
      </x:c>
      <x:c r="AD58" s="1244" t="str">
        <x:f>IF($B58="","",IF($A58="","SETUP REQUIRED",IF(COUNTIF($A$14:$A$163,$A58)&gt;1,"DUPLICATE MASR ID",IF(COUNTIF($B$14:$B$163,$B58)&gt;1,"DUPLICATE TICKER",IF(OR($D58="",$E58="",$F58="",$G58="",$H58="",$I58=""),"INCOMPLETE",IF(OR($K58="",$L58=""),"MIAR SETUP REQUIRED",IF($X58="NOT ELIGIBLE","NOT ELIGIBLE",IF($Y58&lt;&gt;"None","EXCEPTION REVIEW",IF(AND($D58&lt;&gt;"Certified Portfolio Holding",OR($E58="Active — Approved Non-Holding",$E58="Conditional",$E58="Candidate — Committee Review"),OR($AB58="",$AB58="Pending")),"COMMITTEE DISPOSITION REQUIRED",IF(AND(OR($E58="Active — Approved Non-Holding",$E58="Conditional"),OR($AG58="",$AH58="")),"CERTIFICATION REQUIRED",IF(OR($E58="Rejected",$E58="Removed",$E58="Archived"),"INACTIVE / CLOSED","CONTROL CLEAR")))))))))))</x:f>
        <x:v>SETUP REQUIRED</x:v>
      </x:c>
      <x:c r="AE58" s="1244" t="str">
        <x:f>IF($AD58="","",IFERROR(INDEX('97 RCC Lists'!$AK$5:$AK$15,MATCH($AD58,'97 RCC Lists'!$AJ$5:$AJ$15,0)),"Review exception"))</x:f>
        <x:v>Assign canonical MASR ID and complete registry setup</x:v>
      </x:c>
      <x:c r="AF58" s="1251"/>
      <x:c r="AG58" s="1242"/>
      <x:c r="AH58" s="1251"/>
      <x:c r="AI58" s="1242"/>
    </x:row>
    <x:row r="59" ht="32" customHeight="1">
      <x:c r="A59" s="1242"/>
      <x:c r="B59" s="1252" t="str">
        <x:f>INDEX('Certified Allocation'!$B$5:$B$51,ROW()-13)</x:f>
        <x:v>JEPQ</x:v>
      </x:c>
      <x:c r="C59" s="1252" t="str">
        <x:f>INDEX('Certified Allocation'!$C$5:$C$51,ROW()-13)</x:f>
        <x:v>JPMorgan Nasdaq Equity Premium Income ETF</x:v>
      </x:c>
      <x:c r="D59" s="1253" t="str">
        <x:v>Certified Portfolio Holding</x:v>
      </x:c>
      <x:c r="E59" s="1253" t="str">
        <x:v>Active — Certified Holding</x:v>
      </x:c>
      <x:c r="F59" s="1253" t="str">
        <x:v>Certified MFPDF / Founders Edition</x:v>
      </x:c>
      <x:c r="G59" s="1252" t="str">
        <x:f>INDEX('Certified Allocation'!$A$5:$A$51,ROW()-13)</x:f>
        <x:v>Income &amp; Risk Management</x:v>
      </x:c>
      <x:c r="H59" s="1252" t="str">
        <x:f>INDEX('Certified Allocation'!$E$5:$E$51,ROW()-13)</x:f>
        <x:v>Technology equity income implementation</x:v>
      </x:c>
      <x:c r="I59" s="1252" t="str">
        <x:f>INDEX('Certified Allocation'!$D$5:$D$51,ROW()-13)</x:f>
        <x:v>ETF</x:v>
      </x:c>
      <x:c r="J59" s="1254" t="n">
        <x:f>IF($B59="","",IFERROR(INDEX('Certified Allocation'!$F$5:$F$51,MATCH($B59,'Certified Allocation'!$B$5:$B$51,0)),""))</x:f>
        <x:v>0.0302</x:v>
      </x:c>
      <x:c r="K59" s="1252" t="str">
        <x:f>IF($B59="","",IFERROR(INDEX('20 RCC-003 MIAR Registry'!$A$14:$A$60,MATCH($B59,'20 RCC-003 MIAR Registry'!$B$14:$B$60,0)),""))</x:f>
      </x:c>
      <x:c r="L59" s="1252" t="str">
        <x:f>IF($B59="","",IFERROR(INDEX('20 RCC-003 MIAR Registry'!$M$14:$M$60,MATCH($B59,'20 RCC-003 MIAR Registry'!$B$14:$B$60,0)),""))</x:f>
      </x:c>
      <x:c r="M59" s="1252" t="str">
        <x:f>IF($B59="","",IFERROR(INDEX('20 RCC-003 MIAR Registry'!$Z$14:$Z$60,MATCH($B59,'20 RCC-003 MIAR Registry'!$B$14:$B$60,0)),""))</x:f>
        <x:v>NOT INITIALIZED</x:v>
      </x:c>
      <x:c r="N59" s="1255" t="str">
        <x:f>IF($B59="","",IFERROR(INDEX('20 RCC-003 MIAR Registry'!$K$14:$K$60,MATCH($B59,'20 RCC-003 MIAR Registry'!$B$14:$B$60,0)),""))</x:f>
      </x:c>
      <x:c r="O59" s="1255" t="str">
        <x:f>IF($B59="","",IFERROR(INDEX('20 RCC-003 MIAR Registry'!$L$14:$L$60,MATCH($B59,'20 RCC-003 MIAR Registry'!$B$14:$B$60,0)),""))</x:f>
      </x:c>
      <x:c r="P59" s="1252" t="str">
        <x:f>IF($B59="","",IFERROR(INDEX('20 RCC-003 MIAR Registry'!$I$14:$I$60,MATCH($B59,'20 RCC-003 MIAR Registry'!$B$14:$B$60,0)),""))</x:f>
        <x:v>Unassigned</x:v>
      </x:c>
      <x:c r="Q59" s="1252" t="str">
        <x:f>IF($B59="","",IFERROR(INDEX('20 RCC-003 MIAR Registry'!$J$14:$J$60,MATCH($B59,'20 RCC-003 MIAR Registry'!$B$14:$B$60,0)),""))</x:f>
      </x:c>
      <x:c r="R59" s="1256" t="n">
        <x:f>IF($B59="","",COUNTIF('18 RCC-002 Evidence Ledger'!$E$14:$E$213,$B59))</x:f>
        <x:v>0</x:v>
      </x:c>
      <x:c r="S59" s="1256" t="n">
        <x:f>IF($B59="","",COUNTIFS('18 RCC-002 Evidence Ledger'!$E$14:$E$213,$B59,'18 RCC-002 Evidence Ledger'!$T$14:$T$213,"&lt;&gt;Closed — No Action",'18 RCC-002 Evidence Ledger'!$T$14:$T$213,"&lt;&gt;Closed — Incorporated"))</x:f>
        <x:v>0</x:v>
      </x:c>
      <x:c r="T59" s="1248"/>
      <x:c r="U59" s="1249"/>
      <x:c r="V59" s="1242"/>
      <x:c r="W59" s="1248"/>
      <x:c r="X59" s="1253" t="str">
        <x:f>IF($B59="","",IF($D59="Certified Portfolio Holding","CERTIFIED HOLDING",IF(OR($A59="",$D59="",$E59="",$F59="",$G59="",$H59="",$I59=""),"NOT ASSESSED",IF(OR($K59="",$L59&lt;&gt;"Active",$M59="OVERDUE",$M59="MATERIAL EVENT REVIEW",$N59="",$O59="",$W59=""),"NOT ELIGIBLE",IF(OR(AND($F59="Zacks Election",OR($T59="",$T59&lt;50)),OR($U59=4,$U59=5),$V59="No Rating",$V59="Restricted / Unavailable"),"ELIGIBLE WITH EXCEPTION","ELIGIBLE")))))</x:f>
        <x:v>CERTIFIED HOLDING</x:v>
      </x:c>
      <x:c r="Y59" s="1253" t="str">
        <x:f>IF($B59="","",IF($A59="","Canonical MASR ID required",IF(AND($D59&lt;&gt;"Certified Portfolio Holding",OR($K59="",$L59&lt;&gt;"Active",$M59&lt;&gt;"CURRENT",$N59="",$O59="",$W59="")),"Complete MIAR / scoring / empirical eligibility",IF(AND($F59="Zacks Election",OR($T59="",$T59&lt;50)),"Sub-$50B Zacks election exception",IF(OR($U59=4,$U59=5),"Zacks #4/#5 exception review",IF($V59="No Rating","Merrill No Rating exception",IF($V59="Restricted / Unavailable","Merrill restricted / unavailable exception","None")))))))</x:f>
        <x:v>Canonical MASR ID required</x:v>
      </x:c>
      <x:c r="Z59" s="1257" t="n">
        <x:f>IF($B59="","",COUNTIF('24 RCC-004 Candidate Pipeline'!$C$14:$C$213,$B59))</x:f>
        <x:v>0</x:v>
      </x:c>
      <x:c r="AA59" s="1253" t="str">
        <x:f>IF($B59="","",IFERROR(INDEX('24 RCC-004 Candidate Pipeline'!$Y$14:$Y$213,MATCH($B59,'24 RCC-004 Candidate Pipeline'!$C$14:$C$213,0)),""))</x:f>
      </x:c>
      <x:c r="AB59" s="1242" t="str">
        <x:v>Grandfathered — Certified Holding</x:v>
      </x:c>
      <x:c r="AC59" s="1253" t="str">
        <x:f>IF($B59="","",IF(COUNTIFS('24 RCC-004 Candidate Pipeline'!$C$14:$C$213,$B59,'24 RCC-004 Candidate Pipeline'!$AF$14:$AF$213,"Yes — Refer to PEW-004")&gt;0,"REFERRED — PEW-004",IF($Z59&gt;0,"CANDIDATE RECORD ACTIVE","NO ACTIVE CANDIDATE")))</x:f>
        <x:v>NO ACTIVE CANDIDATE</x:v>
      </x:c>
      <x:c r="AD59" s="1253" t="str">
        <x:f>IF($B59="","",IF($A59="","SETUP REQUIRED",IF(COUNTIF($A$14:$A$163,$A59)&gt;1,"DUPLICATE MASR ID",IF(COUNTIF($B$14:$B$163,$B59)&gt;1,"DUPLICATE TICKER",IF(OR($D59="",$E59="",$F59="",$G59="",$H59="",$I59=""),"INCOMPLETE",IF(OR($K59="",$L59=""),"MIAR SETUP REQUIRED",IF($X59="NOT ELIGIBLE","NOT ELIGIBLE",IF($Y59&lt;&gt;"None","EXCEPTION REVIEW",IF(AND($D59&lt;&gt;"Certified Portfolio Holding",OR($E59="Active — Approved Non-Holding",$E59="Conditional",$E59="Candidate — Committee Review"),OR($AB59="",$AB59="Pending")),"COMMITTEE DISPOSITION REQUIRED",IF(AND(OR($E59="Active — Approved Non-Holding",$E59="Conditional"),OR($AG59="",$AH59="")),"CERTIFICATION REQUIRED",IF(OR($E59="Rejected",$E59="Removed",$E59="Archived"),"INACTIVE / CLOSED","CONTROL CLEAR")))))))))))</x:f>
        <x:v>SETUP REQUIRED</x:v>
      </x:c>
      <x:c r="AE59" s="1253" t="str">
        <x:f>IF($AD59="","",IFERROR(INDEX('97 RCC Lists'!$AK$5:$AK$15,MATCH($AD59,'97 RCC Lists'!$AJ$5:$AJ$15,0)),"Review exception"))</x:f>
        <x:v>Assign canonical MASR ID and complete registry setup</x:v>
      </x:c>
      <x:c r="AF59" s="1251"/>
      <x:c r="AG59" s="1242"/>
      <x:c r="AH59" s="1251"/>
      <x:c r="AI59" s="1242"/>
    </x:row>
    <x:row r="60" ht="32" customHeight="1">
      <x:c r="A60" s="1242"/>
      <x:c r="B60" s="1243" t="str">
        <x:f>INDEX('Certified Allocation'!$B$5:$B$51,ROW()-13)</x:f>
        <x:v>PFF</x:v>
      </x:c>
      <x:c r="C60" s="1243" t="str">
        <x:f>INDEX('Certified Allocation'!$C$5:$C$51,ROW()-13)</x:f>
        <x:v>iShares Preferred and Income Securities ETF</x:v>
      </x:c>
      <x:c r="D60" s="1244" t="str">
        <x:v>Certified Portfolio Holding</x:v>
      </x:c>
      <x:c r="E60" s="1244" t="str">
        <x:v>Active — Certified Holding</x:v>
      </x:c>
      <x:c r="F60" s="1244" t="str">
        <x:v>Certified MFPDF / Founders Edition</x:v>
      </x:c>
      <x:c r="G60" s="1243" t="str">
        <x:f>INDEX('Certified Allocation'!$A$5:$A$51,ROW()-13)</x:f>
        <x:v>Income &amp; Risk Management</x:v>
      </x:c>
      <x:c r="H60" s="1243" t="str">
        <x:f>INDEX('Certified Allocation'!$E$5:$E$51,ROW()-13)</x:f>
        <x:v>Preferred securities income diversification</x:v>
      </x:c>
      <x:c r="I60" s="1243" t="str">
        <x:f>INDEX('Certified Allocation'!$D$5:$D$51,ROW()-13)</x:f>
        <x:v>ETF</x:v>
      </x:c>
      <x:c r="J60" s="1245" t="n">
        <x:f>IF($B60="","",IFERROR(INDEX('Certified Allocation'!$F$5:$F$51,MATCH($B60,'Certified Allocation'!$B$5:$B$51,0)),""))</x:f>
        <x:v>0.0302</x:v>
      </x:c>
      <x:c r="K60" s="1243" t="str">
        <x:f>IF($B60="","",IFERROR(INDEX('20 RCC-003 MIAR Registry'!$A$14:$A$60,MATCH($B60,'20 RCC-003 MIAR Registry'!$B$14:$B$60,0)),""))</x:f>
      </x:c>
      <x:c r="L60" s="1243" t="str">
        <x:f>IF($B60="","",IFERROR(INDEX('20 RCC-003 MIAR Registry'!$M$14:$M$60,MATCH($B60,'20 RCC-003 MIAR Registry'!$B$14:$B$60,0)),""))</x:f>
      </x:c>
      <x:c r="M60" s="1243" t="str">
        <x:f>IF($B60="","",IFERROR(INDEX('20 RCC-003 MIAR Registry'!$Z$14:$Z$60,MATCH($B60,'20 RCC-003 MIAR Registry'!$B$14:$B$60,0)),""))</x:f>
        <x:v>NOT INITIALIZED</x:v>
      </x:c>
      <x:c r="N60" s="1246" t="str">
        <x:f>IF($B60="","",IFERROR(INDEX('20 RCC-003 MIAR Registry'!$K$14:$K$60,MATCH($B60,'20 RCC-003 MIAR Registry'!$B$14:$B$60,0)),""))</x:f>
      </x:c>
      <x:c r="O60" s="1246" t="str">
        <x:f>IF($B60="","",IFERROR(INDEX('20 RCC-003 MIAR Registry'!$L$14:$L$60,MATCH($B60,'20 RCC-003 MIAR Registry'!$B$14:$B$60,0)),""))</x:f>
      </x:c>
      <x:c r="P60" s="1243" t="str">
        <x:f>IF($B60="","",IFERROR(INDEX('20 RCC-003 MIAR Registry'!$I$14:$I$60,MATCH($B60,'20 RCC-003 MIAR Registry'!$B$14:$B$60,0)),""))</x:f>
        <x:v>Unassigned</x:v>
      </x:c>
      <x:c r="Q60" s="1243" t="str">
        <x:f>IF($B60="","",IFERROR(INDEX('20 RCC-003 MIAR Registry'!$J$14:$J$60,MATCH($B60,'20 RCC-003 MIAR Registry'!$B$14:$B$60,0)),""))</x:f>
      </x:c>
      <x:c r="R60" s="1247" t="n">
        <x:f>IF($B60="","",COUNTIF('18 RCC-002 Evidence Ledger'!$E$14:$E$213,$B60))</x:f>
        <x:v>0</x:v>
      </x:c>
      <x:c r="S60" s="1247" t="n">
        <x:f>IF($B60="","",COUNTIFS('18 RCC-002 Evidence Ledger'!$E$14:$E$213,$B60,'18 RCC-002 Evidence Ledger'!$T$14:$T$213,"&lt;&gt;Closed — No Action",'18 RCC-002 Evidence Ledger'!$T$14:$T$213,"&lt;&gt;Closed — Incorporated"))</x:f>
        <x:v>0</x:v>
      </x:c>
      <x:c r="T60" s="1248"/>
      <x:c r="U60" s="1249"/>
      <x:c r="V60" s="1242"/>
      <x:c r="W60" s="1248"/>
      <x:c r="X60" s="1244" t="str">
        <x:f>IF($B60="","",IF($D60="Certified Portfolio Holding","CERTIFIED HOLDING",IF(OR($A60="",$D60="",$E60="",$F60="",$G60="",$H60="",$I60=""),"NOT ASSESSED",IF(OR($K60="",$L60&lt;&gt;"Active",$M60="OVERDUE",$M60="MATERIAL EVENT REVIEW",$N60="",$O60="",$W60=""),"NOT ELIGIBLE",IF(OR(AND($F60="Zacks Election",OR($T60="",$T60&lt;50)),OR($U60=4,$U60=5),$V60="No Rating",$V60="Restricted / Unavailable"),"ELIGIBLE WITH EXCEPTION","ELIGIBLE")))))</x:f>
        <x:v>CERTIFIED HOLDING</x:v>
      </x:c>
      <x:c r="Y60" s="1244" t="str">
        <x:f>IF($B60="","",IF($A60="","Canonical MASR ID required",IF(AND($D60&lt;&gt;"Certified Portfolio Holding",OR($K60="",$L60&lt;&gt;"Active",$M60&lt;&gt;"CURRENT",$N60="",$O60="",$W60="")),"Complete MIAR / scoring / empirical eligibility",IF(AND($F60="Zacks Election",OR($T60="",$T60&lt;50)),"Sub-$50B Zacks election exception",IF(OR($U60=4,$U60=5),"Zacks #4/#5 exception review",IF($V60="No Rating","Merrill No Rating exception",IF($V60="Restricted / Unavailable","Merrill restricted / unavailable exception","None")))))))</x:f>
        <x:v>Canonical MASR ID required</x:v>
      </x:c>
      <x:c r="Z60" s="1250" t="n">
        <x:f>IF($B60="","",COUNTIF('24 RCC-004 Candidate Pipeline'!$C$14:$C$213,$B60))</x:f>
        <x:v>0</x:v>
      </x:c>
      <x:c r="AA60" s="1244" t="str">
        <x:f>IF($B60="","",IFERROR(INDEX('24 RCC-004 Candidate Pipeline'!$Y$14:$Y$213,MATCH($B60,'24 RCC-004 Candidate Pipeline'!$C$14:$C$213,0)),""))</x:f>
      </x:c>
      <x:c r="AB60" s="1242" t="str">
        <x:v>Grandfathered — Certified Holding</x:v>
      </x:c>
      <x:c r="AC60" s="1244" t="str">
        <x:f>IF($B60="","",IF(COUNTIFS('24 RCC-004 Candidate Pipeline'!$C$14:$C$213,$B60,'24 RCC-004 Candidate Pipeline'!$AF$14:$AF$213,"Yes — Refer to PEW-004")&gt;0,"REFERRED — PEW-004",IF($Z60&gt;0,"CANDIDATE RECORD ACTIVE","NO ACTIVE CANDIDATE")))</x:f>
        <x:v>NO ACTIVE CANDIDATE</x:v>
      </x:c>
      <x:c r="AD60" s="1244" t="str">
        <x:f>IF($B60="","",IF($A60="","SETUP REQUIRED",IF(COUNTIF($A$14:$A$163,$A60)&gt;1,"DUPLICATE MASR ID",IF(COUNTIF($B$14:$B$163,$B60)&gt;1,"DUPLICATE TICKER",IF(OR($D60="",$E60="",$F60="",$G60="",$H60="",$I60=""),"INCOMPLETE",IF(OR($K60="",$L60=""),"MIAR SETUP REQUIRED",IF($X60="NOT ELIGIBLE","NOT ELIGIBLE",IF($Y60&lt;&gt;"None","EXCEPTION REVIEW",IF(AND($D60&lt;&gt;"Certified Portfolio Holding",OR($E60="Active — Approved Non-Holding",$E60="Conditional",$E60="Candidate — Committee Review"),OR($AB60="",$AB60="Pending")),"COMMITTEE DISPOSITION REQUIRED",IF(AND(OR($E60="Active — Approved Non-Holding",$E60="Conditional"),OR($AG60="",$AH60="")),"CERTIFICATION REQUIRED",IF(OR($E60="Rejected",$E60="Removed",$E60="Archived"),"INACTIVE / CLOSED","CONTROL CLEAR")))))))))))</x:f>
        <x:v>SETUP REQUIRED</x:v>
      </x:c>
      <x:c r="AE60" s="1244" t="str">
        <x:f>IF($AD60="","",IFERROR(INDEX('97 RCC Lists'!$AK$5:$AK$15,MATCH($AD60,'97 RCC Lists'!$AJ$5:$AJ$15,0)),"Review exception"))</x:f>
        <x:v>Assign canonical MASR ID and complete registry setup</x:v>
      </x:c>
      <x:c r="AF60" s="1251"/>
      <x:c r="AG60" s="1242"/>
      <x:c r="AH60" s="1251"/>
      <x:c r="AI60" s="1242"/>
    </x:row>
    <x:row r="61" ht="32" customHeight="1">
      <x:c r="A61" s="1242"/>
      <x:c r="B61" s="1242" t="str">
        <x:v>EMR</x:v>
      </x:c>
      <x:c r="C61" s="1242" t="str">
        <x:v>Emerson Electric Co.</x:v>
      </x:c>
      <x:c r="D61" s="1242" t="str">
        <x:v>Research Candidate</x:v>
      </x:c>
      <x:c r="E61" s="1242" t="str">
        <x:v>Candidate — Under Research</x:v>
      </x:c>
      <x:c r="F61" s="1242" t="str">
        <x:v>Manifest Research</x:v>
      </x:c>
      <x:c r="G61" s="1242" t="str">
        <x:v>Industrials &amp; Infrastructure</x:v>
      </x:c>
      <x:c r="H61" s="1242" t="str">
        <x:v>Industrial automation and control-systems candidate</x:v>
      </x:c>
      <x:c r="I61" s="1242" t="str">
        <x:v>Equity</x:v>
      </x:c>
      <x:c r="J61" s="1258" t="str">
        <x:f>IF($B61="","",IFERROR(INDEX('Certified Allocation'!$F$5:$F$51,MATCH($B61,'Certified Allocation'!$B$5:$B$51,0)),""))</x:f>
      </x:c>
      <x:c r="K61" s="1252" t="str">
        <x:f>IF($B61="","",IFERROR(INDEX('20 RCC-003 MIAR Registry'!$A$14:$A$60,MATCH($B61,'20 RCC-003 MIAR Registry'!$B$14:$B$60,0)),""))</x:f>
      </x:c>
      <x:c r="L61" s="1252" t="str">
        <x:f>IF($B61="","",IFERROR(INDEX('20 RCC-003 MIAR Registry'!$M$14:$M$60,MATCH($B61,'20 RCC-003 MIAR Registry'!$B$14:$B$60,0)),""))</x:f>
      </x:c>
      <x:c r="M61" s="1252" t="str">
        <x:f>IF($B61="","",IFERROR(INDEX('20 RCC-003 MIAR Registry'!$Z$14:$Z$60,MATCH($B61,'20 RCC-003 MIAR Registry'!$B$14:$B$60,0)),""))</x:f>
      </x:c>
      <x:c r="N61" s="1255" t="str">
        <x:f>IF($B61="","",IFERROR(INDEX('20 RCC-003 MIAR Registry'!$K$14:$K$60,MATCH($B61,'20 RCC-003 MIAR Registry'!$B$14:$B$60,0)),""))</x:f>
      </x:c>
      <x:c r="O61" s="1255" t="str">
        <x:f>IF($B61="","",IFERROR(INDEX('20 RCC-003 MIAR Registry'!$L$14:$L$60,MATCH($B61,'20 RCC-003 MIAR Registry'!$B$14:$B$60,0)),""))</x:f>
      </x:c>
      <x:c r="P61" s="1252" t="str">
        <x:f>IF($B61="","",IFERROR(INDEX('20 RCC-003 MIAR Registry'!$I$14:$I$60,MATCH($B61,'20 RCC-003 MIAR Registry'!$B$14:$B$60,0)),""))</x:f>
      </x:c>
      <x:c r="Q61" s="1252" t="str">
        <x:f>IF($B61="","",IFERROR(INDEX('20 RCC-003 MIAR Registry'!$J$14:$J$60,MATCH($B61,'20 RCC-003 MIAR Registry'!$B$14:$B$60,0)),""))</x:f>
      </x:c>
      <x:c r="R61" s="1256" t="n">
        <x:f>IF($B61="","",COUNTIF('18 RCC-002 Evidence Ledger'!$E$14:$E$213,$B61))</x:f>
        <x:v>0</x:v>
      </x:c>
      <x:c r="S61" s="1256" t="n">
        <x:f>IF($B61="","",COUNTIFS('18 RCC-002 Evidence Ledger'!$E$14:$E$213,$B61,'18 RCC-002 Evidence Ledger'!$T$14:$T$213,"&lt;&gt;Closed — No Action",'18 RCC-002 Evidence Ledger'!$T$14:$T$213,"&lt;&gt;Closed — Incorporated"))</x:f>
        <x:v>0</x:v>
      </x:c>
      <x:c r="T61" s="1248"/>
      <x:c r="U61" s="1249"/>
      <x:c r="V61" s="1242"/>
      <x:c r="W61" s="1248"/>
      <x:c r="X61" s="1253" t="str">
        <x:f>IF($B61="","",IF($D61="Certified Portfolio Holding","CERTIFIED HOLDING",IF(OR($A61="",$D61="",$E61="",$F61="",$G61="",$H61="",$I61=""),"NOT ASSESSED",IF(OR($K61="",$L61&lt;&gt;"Active",$M61="OVERDUE",$M61="MATERIAL EVENT REVIEW",$N61="",$O61="",$W61=""),"NOT ELIGIBLE",IF(OR(AND($F61="Zacks Election",OR($T61="",$T61&lt;50)),OR($U61=4,$U61=5),$V61="No Rating",$V61="Restricted / Unavailable"),"ELIGIBLE WITH EXCEPTION","ELIGIBLE")))))</x:f>
        <x:v>NOT ASSESSED</x:v>
      </x:c>
      <x:c r="Y61" s="1253" t="str">
        <x:f>IF($B61="","",IF($A61="","Canonical MASR ID required",IF(AND($D61&lt;&gt;"Certified Portfolio Holding",OR($K61="",$L61&lt;&gt;"Active",$M61&lt;&gt;"CURRENT",$N61="",$O61="",$W61="")),"Complete MIAR / scoring / empirical eligibility",IF(AND($F61="Zacks Election",OR($T61="",$T61&lt;50)),"Sub-$50B Zacks election exception",IF(OR($U61=4,$U61=5),"Zacks #4/#5 exception review",IF($V61="No Rating","Merrill No Rating exception",IF($V61="Restricted / Unavailable","Merrill restricted / unavailable exception","None")))))))</x:f>
        <x:v>Canonical MASR ID required</x:v>
      </x:c>
      <x:c r="Z61" s="1257" t="n">
        <x:f>IF($B61="","",COUNTIF('24 RCC-004 Candidate Pipeline'!$C$14:$C$213,$B61))</x:f>
        <x:v>1</x:v>
      </x:c>
      <x:c r="AA61" s="1253" t="str">
        <x:f>IF($B61="","",IFERROR(INDEX('24 RCC-004 Candidate Pipeline'!$Y$14:$Y$213,MATCH($B61,'24 RCC-004 Candidate Pipeline'!$C$14:$C$213,0)),""))</x:f>
        <x:v>Intake</x:v>
      </x:c>
      <x:c r="AB61" s="1242"/>
      <x:c r="AC61" s="1253" t="str">
        <x:f>IF($B61="","",IF(COUNTIFS('24 RCC-004 Candidate Pipeline'!$C$14:$C$213,$B61,'24 RCC-004 Candidate Pipeline'!$AF$14:$AF$213,"Yes — Refer to PEW-004")&gt;0,"REFERRED — PEW-004",IF($Z61&gt;0,"CANDIDATE RECORD ACTIVE","NO ACTIVE CANDIDATE")))</x:f>
        <x:v>CANDIDATE RECORD ACTIVE</x:v>
      </x:c>
      <x:c r="AD61" s="1253" t="str">
        <x:f>IF($B61="","",IF($A61="","SETUP REQUIRED",IF(COUNTIF($A$14:$A$163,$A61)&gt;1,"DUPLICATE MASR ID",IF(COUNTIF($B$14:$B$163,$B61)&gt;1,"DUPLICATE TICKER",IF(OR($D61="",$E61="",$F61="",$G61="",$H61="",$I61=""),"INCOMPLETE",IF(OR($K61="",$L61=""),"MIAR SETUP REQUIRED",IF($X61="NOT ELIGIBLE","NOT ELIGIBLE",IF($Y61&lt;&gt;"None","EXCEPTION REVIEW",IF(AND($D61&lt;&gt;"Certified Portfolio Holding",OR($E61="Active — Approved Non-Holding",$E61="Conditional",$E61="Candidate — Committee Review"),OR($AB61="",$AB61="Pending")),"COMMITTEE DISPOSITION REQUIRED",IF(AND(OR($E61="Active — Approved Non-Holding",$E61="Conditional"),OR($AG61="",$AH61="")),"CERTIFICATION REQUIRED",IF(OR($E61="Rejected",$E61="Removed",$E61="Archived"),"INACTIVE / CLOSED","CONTROL CLEAR")))))))))))</x:f>
        <x:v>SETUP REQUIRED</x:v>
      </x:c>
      <x:c r="AE61" s="1253" t="str">
        <x:f>IF($AD61="","",IFERROR(INDEX('97 RCC Lists'!$AK$5:$AK$15,MATCH($AD61,'97 RCC Lists'!$AJ$5:$AJ$15,0)),"Review exception"))</x:f>
        <x:v>Assign canonical MASR ID and complete registry setup</x:v>
      </x:c>
      <x:c r="AF61" s="1251"/>
      <x:c r="AG61" s="1242"/>
      <x:c r="AH61" s="1251"/>
      <x:c r="AI61" s="1242"/>
    </x:row>
    <x:row r="62" ht="32" customHeight="1">
      <x:c r="A62" s="1242"/>
      <x:c r="B62" s="1242" t="str">
        <x:v>BA</x:v>
      </x:c>
      <x:c r="C62" s="1242" t="str">
        <x:v>The Boeing Company</x:v>
      </x:c>
      <x:c r="D62" s="1242" t="str">
        <x:v>Research Candidate</x:v>
      </x:c>
      <x:c r="E62" s="1242" t="str">
        <x:v>Candidate — Under Research</x:v>
      </x:c>
      <x:c r="F62" s="1242" t="str">
        <x:v>Manifest Research</x:v>
      </x:c>
      <x:c r="G62" s="1242" t="str">
        <x:v>Industrials &amp; Infrastructure</x:v>
      </x:c>
      <x:c r="H62" s="1242" t="str">
        <x:v>Commercial aerospace manufacturing recovery candidate</x:v>
      </x:c>
      <x:c r="I62" s="1242" t="str">
        <x:v>Equity</x:v>
      </x:c>
      <x:c r="J62" s="1259" t="str">
        <x:f>IF($B62="","",IFERROR(INDEX('Certified Allocation'!$F$5:$F$51,MATCH($B62,'Certified Allocation'!$B$5:$B$51,0)),""))</x:f>
      </x:c>
      <x:c r="K62" s="1243" t="str">
        <x:f>IF($B62="","",IFERROR(INDEX('20 RCC-003 MIAR Registry'!$A$14:$A$60,MATCH($B62,'20 RCC-003 MIAR Registry'!$B$14:$B$60,0)),""))</x:f>
      </x:c>
      <x:c r="L62" s="1243" t="str">
        <x:f>IF($B62="","",IFERROR(INDEX('20 RCC-003 MIAR Registry'!$M$14:$M$60,MATCH($B62,'20 RCC-003 MIAR Registry'!$B$14:$B$60,0)),""))</x:f>
      </x:c>
      <x:c r="M62" s="1243" t="str">
        <x:f>IF($B62="","",IFERROR(INDEX('20 RCC-003 MIAR Registry'!$Z$14:$Z$60,MATCH($B62,'20 RCC-003 MIAR Registry'!$B$14:$B$60,0)),""))</x:f>
      </x:c>
      <x:c r="N62" s="1246" t="str">
        <x:f>IF($B62="","",IFERROR(INDEX('20 RCC-003 MIAR Registry'!$K$14:$K$60,MATCH($B62,'20 RCC-003 MIAR Registry'!$B$14:$B$60,0)),""))</x:f>
      </x:c>
      <x:c r="O62" s="1246" t="str">
        <x:f>IF($B62="","",IFERROR(INDEX('20 RCC-003 MIAR Registry'!$L$14:$L$60,MATCH($B62,'20 RCC-003 MIAR Registry'!$B$14:$B$60,0)),""))</x:f>
      </x:c>
      <x:c r="P62" s="1243" t="str">
        <x:f>IF($B62="","",IFERROR(INDEX('20 RCC-003 MIAR Registry'!$I$14:$I$60,MATCH($B62,'20 RCC-003 MIAR Registry'!$B$14:$B$60,0)),""))</x:f>
      </x:c>
      <x:c r="Q62" s="1243" t="str">
        <x:f>IF($B62="","",IFERROR(INDEX('20 RCC-003 MIAR Registry'!$J$14:$J$60,MATCH($B62,'20 RCC-003 MIAR Registry'!$B$14:$B$60,0)),""))</x:f>
      </x:c>
      <x:c r="R62" s="1247" t="n">
        <x:f>IF($B62="","",COUNTIF('18 RCC-002 Evidence Ledger'!$E$14:$E$213,$B62))</x:f>
        <x:v>0</x:v>
      </x:c>
      <x:c r="S62" s="1247" t="n">
        <x:f>IF($B62="","",COUNTIFS('18 RCC-002 Evidence Ledger'!$E$14:$E$213,$B62,'18 RCC-002 Evidence Ledger'!$T$14:$T$213,"&lt;&gt;Closed — No Action",'18 RCC-002 Evidence Ledger'!$T$14:$T$213,"&lt;&gt;Closed — Incorporated"))</x:f>
        <x:v>0</x:v>
      </x:c>
      <x:c r="T62" s="1248"/>
      <x:c r="U62" s="1249"/>
      <x:c r="V62" s="1242"/>
      <x:c r="W62" s="1248"/>
      <x:c r="X62" s="1244" t="str">
        <x:f>IF($B62="","",IF($D62="Certified Portfolio Holding","CERTIFIED HOLDING",IF(OR($A62="",$D62="",$E62="",$F62="",$G62="",$H62="",$I62=""),"NOT ASSESSED",IF(OR($K62="",$L62&lt;&gt;"Active",$M62="OVERDUE",$M62="MATERIAL EVENT REVIEW",$N62="",$O62="",$W62=""),"NOT ELIGIBLE",IF(OR(AND($F62="Zacks Election",OR($T62="",$T62&lt;50)),OR($U62=4,$U62=5),$V62="No Rating",$V62="Restricted / Unavailable"),"ELIGIBLE WITH EXCEPTION","ELIGIBLE")))))</x:f>
        <x:v>NOT ASSESSED</x:v>
      </x:c>
      <x:c r="Y62" s="1244" t="str">
        <x:f>IF($B62="","",IF($A62="","Canonical MASR ID required",IF(AND($D62&lt;&gt;"Certified Portfolio Holding",OR($K62="",$L62&lt;&gt;"Active",$M62&lt;&gt;"CURRENT",$N62="",$O62="",$W62="")),"Complete MIAR / scoring / empirical eligibility",IF(AND($F62="Zacks Election",OR($T62="",$T62&lt;50)),"Sub-$50B Zacks election exception",IF(OR($U62=4,$U62=5),"Zacks #4/#5 exception review",IF($V62="No Rating","Merrill No Rating exception",IF($V62="Restricted / Unavailable","Merrill restricted / unavailable exception","None")))))))</x:f>
        <x:v>Canonical MASR ID required</x:v>
      </x:c>
      <x:c r="Z62" s="1250" t="n">
        <x:f>IF($B62="","",COUNTIF('24 RCC-004 Candidate Pipeline'!$C$14:$C$213,$B62))</x:f>
        <x:v>1</x:v>
      </x:c>
      <x:c r="AA62" s="1244" t="str">
        <x:f>IF($B62="","",IFERROR(INDEX('24 RCC-004 Candidate Pipeline'!$Y$14:$Y$213,MATCH($B62,'24 RCC-004 Candidate Pipeline'!$C$14:$C$213,0)),""))</x:f>
        <x:v>Intake</x:v>
      </x:c>
      <x:c r="AB62" s="1242"/>
      <x:c r="AC62" s="1244" t="str">
        <x:f>IF($B62="","",IF(COUNTIFS('24 RCC-004 Candidate Pipeline'!$C$14:$C$213,$B62,'24 RCC-004 Candidate Pipeline'!$AF$14:$AF$213,"Yes — Refer to PEW-004")&gt;0,"REFERRED — PEW-004",IF($Z62&gt;0,"CANDIDATE RECORD ACTIVE","NO ACTIVE CANDIDATE")))</x:f>
        <x:v>CANDIDATE RECORD ACTIVE</x:v>
      </x:c>
      <x:c r="AD62" s="1244" t="str">
        <x:f>IF($B62="","",IF($A62="","SETUP REQUIRED",IF(COUNTIF($A$14:$A$163,$A62)&gt;1,"DUPLICATE MASR ID",IF(COUNTIF($B$14:$B$163,$B62)&gt;1,"DUPLICATE TICKER",IF(OR($D62="",$E62="",$F62="",$G62="",$H62="",$I62=""),"INCOMPLETE",IF(OR($K62="",$L62=""),"MIAR SETUP REQUIRED",IF($X62="NOT ELIGIBLE","NOT ELIGIBLE",IF($Y62&lt;&gt;"None","EXCEPTION REVIEW",IF(AND($D62&lt;&gt;"Certified Portfolio Holding",OR($E62="Active — Approved Non-Holding",$E62="Conditional",$E62="Candidate — Committee Review"),OR($AB62="",$AB62="Pending")),"COMMITTEE DISPOSITION REQUIRED",IF(AND(OR($E62="Active — Approved Non-Holding",$E62="Conditional"),OR($AG62="",$AH62="")),"CERTIFICATION REQUIRED",IF(OR($E62="Rejected",$E62="Removed",$E62="Archived"),"INACTIVE / CLOSED","CONTROL CLEAR")))))))))))</x:f>
        <x:v>SETUP REQUIRED</x:v>
      </x:c>
      <x:c r="AE62" s="1244" t="str">
        <x:f>IF($AD62="","",IFERROR(INDEX('97 RCC Lists'!$AK$5:$AK$15,MATCH($AD62,'97 RCC Lists'!$AJ$5:$AJ$15,0)),"Review exception"))</x:f>
        <x:v>Assign canonical MASR ID and complete registry setup</x:v>
      </x:c>
      <x:c r="AF62" s="1251"/>
      <x:c r="AG62" s="1242"/>
      <x:c r="AH62" s="1251"/>
      <x:c r="AI62" s="1242"/>
    </x:row>
    <x:row r="63" ht="32" customHeight="1">
      <x:c r="A63" s="1242"/>
      <x:c r="B63" s="1242" t="str">
        <x:v>HXL</x:v>
      </x:c>
      <x:c r="C63" s="1242" t="str">
        <x:v>Hexcel Corporation</x:v>
      </x:c>
      <x:c r="D63" s="1242" t="str">
        <x:v>Research Candidate</x:v>
      </x:c>
      <x:c r="E63" s="1242" t="str">
        <x:v>Candidate — Under Research</x:v>
      </x:c>
      <x:c r="F63" s="1242" t="str">
        <x:v>Manifest Research</x:v>
      </x:c>
      <x:c r="G63" s="1242" t="str">
        <x:v>Industrials &amp; Infrastructure</x:v>
      </x:c>
      <x:c r="H63" s="1242" t="str">
        <x:v>Advanced composites and widebody aerospace supplier candidate</x:v>
      </x:c>
      <x:c r="I63" s="1242" t="str">
        <x:v>Equity</x:v>
      </x:c>
      <x:c r="J63" s="1258" t="str">
        <x:f>IF($B63="","",IFERROR(INDEX('Certified Allocation'!$F$5:$F$51,MATCH($B63,'Certified Allocation'!$B$5:$B$51,0)),""))</x:f>
      </x:c>
      <x:c r="K63" s="1252" t="str">
        <x:f>IF($B63="","",IFERROR(INDEX('20 RCC-003 MIAR Registry'!$A$14:$A$60,MATCH($B63,'20 RCC-003 MIAR Registry'!$B$14:$B$60,0)),""))</x:f>
      </x:c>
      <x:c r="L63" s="1252" t="str">
        <x:f>IF($B63="","",IFERROR(INDEX('20 RCC-003 MIAR Registry'!$M$14:$M$60,MATCH($B63,'20 RCC-003 MIAR Registry'!$B$14:$B$60,0)),""))</x:f>
      </x:c>
      <x:c r="M63" s="1252" t="str">
        <x:f>IF($B63="","",IFERROR(INDEX('20 RCC-003 MIAR Registry'!$Z$14:$Z$60,MATCH($B63,'20 RCC-003 MIAR Registry'!$B$14:$B$60,0)),""))</x:f>
      </x:c>
      <x:c r="N63" s="1255" t="str">
        <x:f>IF($B63="","",IFERROR(INDEX('20 RCC-003 MIAR Registry'!$K$14:$K$60,MATCH($B63,'20 RCC-003 MIAR Registry'!$B$14:$B$60,0)),""))</x:f>
      </x:c>
      <x:c r="O63" s="1255" t="str">
        <x:f>IF($B63="","",IFERROR(INDEX('20 RCC-003 MIAR Registry'!$L$14:$L$60,MATCH($B63,'20 RCC-003 MIAR Registry'!$B$14:$B$60,0)),""))</x:f>
      </x:c>
      <x:c r="P63" s="1252" t="str">
        <x:f>IF($B63="","",IFERROR(INDEX('20 RCC-003 MIAR Registry'!$I$14:$I$60,MATCH($B63,'20 RCC-003 MIAR Registry'!$B$14:$B$60,0)),""))</x:f>
      </x:c>
      <x:c r="Q63" s="1252" t="str">
        <x:f>IF($B63="","",IFERROR(INDEX('20 RCC-003 MIAR Registry'!$J$14:$J$60,MATCH($B63,'20 RCC-003 MIAR Registry'!$B$14:$B$60,0)),""))</x:f>
      </x:c>
      <x:c r="R63" s="1256" t="n">
        <x:f>IF($B63="","",COUNTIF('18 RCC-002 Evidence Ledger'!$E$14:$E$213,$B63))</x:f>
        <x:v>0</x:v>
      </x:c>
      <x:c r="S63" s="1256" t="n">
        <x:f>IF($B63="","",COUNTIFS('18 RCC-002 Evidence Ledger'!$E$14:$E$213,$B63,'18 RCC-002 Evidence Ledger'!$T$14:$T$213,"&lt;&gt;Closed — No Action",'18 RCC-002 Evidence Ledger'!$T$14:$T$213,"&lt;&gt;Closed — Incorporated"))</x:f>
        <x:v>0</x:v>
      </x:c>
      <x:c r="T63" s="1248"/>
      <x:c r="U63" s="1249"/>
      <x:c r="V63" s="1242"/>
      <x:c r="W63" s="1248"/>
      <x:c r="X63" s="1253" t="str">
        <x:f>IF($B63="","",IF($D63="Certified Portfolio Holding","CERTIFIED HOLDING",IF(OR($A63="",$D63="",$E63="",$F63="",$G63="",$H63="",$I63=""),"NOT ASSESSED",IF(OR($K63="",$L63&lt;&gt;"Active",$M63="OVERDUE",$M63="MATERIAL EVENT REVIEW",$N63="",$O63="",$W63=""),"NOT ELIGIBLE",IF(OR(AND($F63="Zacks Election",OR($T63="",$T63&lt;50)),OR($U63=4,$U63=5),$V63="No Rating",$V63="Restricted / Unavailable"),"ELIGIBLE WITH EXCEPTION","ELIGIBLE")))))</x:f>
        <x:v>NOT ASSESSED</x:v>
      </x:c>
      <x:c r="Y63" s="1253" t="str">
        <x:f>IF($B63="","",IF($A63="","Canonical MASR ID required",IF(AND($D63&lt;&gt;"Certified Portfolio Holding",OR($K63="",$L63&lt;&gt;"Active",$M63&lt;&gt;"CURRENT",$N63="",$O63="",$W63="")),"Complete MIAR / scoring / empirical eligibility",IF(AND($F63="Zacks Election",OR($T63="",$T63&lt;50)),"Sub-$50B Zacks election exception",IF(OR($U63=4,$U63=5),"Zacks #4/#5 exception review",IF($V63="No Rating","Merrill No Rating exception",IF($V63="Restricted / Unavailable","Merrill restricted / unavailable exception","None")))))))</x:f>
        <x:v>Canonical MASR ID required</x:v>
      </x:c>
      <x:c r="Z63" s="1257" t="n">
        <x:f>IF($B63="","",COUNTIF('24 RCC-004 Candidate Pipeline'!$C$14:$C$213,$B63))</x:f>
        <x:v>1</x:v>
      </x:c>
      <x:c r="AA63" s="1253" t="str">
        <x:f>IF($B63="","",IFERROR(INDEX('24 RCC-004 Candidate Pipeline'!$Y$14:$Y$213,MATCH($B63,'24 RCC-004 Candidate Pipeline'!$C$14:$C$213,0)),""))</x:f>
        <x:v>Intake</x:v>
      </x:c>
      <x:c r="AB63" s="1242"/>
      <x:c r="AC63" s="1253" t="str">
        <x:f>IF($B63="","",IF(COUNTIFS('24 RCC-004 Candidate Pipeline'!$C$14:$C$213,$B63,'24 RCC-004 Candidate Pipeline'!$AF$14:$AF$213,"Yes — Refer to PEW-004")&gt;0,"REFERRED — PEW-004",IF($Z63&gt;0,"CANDIDATE RECORD ACTIVE","NO ACTIVE CANDIDATE")))</x:f>
        <x:v>CANDIDATE RECORD ACTIVE</x:v>
      </x:c>
      <x:c r="AD63" s="1253" t="str">
        <x:f>IF($B63="","",IF($A63="","SETUP REQUIRED",IF(COUNTIF($A$14:$A$163,$A63)&gt;1,"DUPLICATE MASR ID",IF(COUNTIF($B$14:$B$163,$B63)&gt;1,"DUPLICATE TICKER",IF(OR($D63="",$E63="",$F63="",$G63="",$H63="",$I63=""),"INCOMPLETE",IF(OR($K63="",$L63=""),"MIAR SETUP REQUIRED",IF($X63="NOT ELIGIBLE","NOT ELIGIBLE",IF($Y63&lt;&gt;"None","EXCEPTION REVIEW",IF(AND($D63&lt;&gt;"Certified Portfolio Holding",OR($E63="Active — Approved Non-Holding",$E63="Conditional",$E63="Candidate — Committee Review"),OR($AB63="",$AB63="Pending")),"COMMITTEE DISPOSITION REQUIRED",IF(AND(OR($E63="Active — Approved Non-Holding",$E63="Conditional"),OR($AG63="",$AH63="")),"CERTIFICATION REQUIRED",IF(OR($E63="Rejected",$E63="Removed",$E63="Archived"),"INACTIVE / CLOSED","CONTROL CLEAR")))))))))))</x:f>
        <x:v>SETUP REQUIRED</x:v>
      </x:c>
      <x:c r="AE63" s="1253" t="str">
        <x:f>IF($AD63="","",IFERROR(INDEX('97 RCC Lists'!$AK$5:$AK$15,MATCH($AD63,'97 RCC Lists'!$AJ$5:$AJ$15,0)),"Review exception"))</x:f>
        <x:v>Assign canonical MASR ID and complete registry setup</x:v>
      </x:c>
      <x:c r="AF63" s="1251"/>
      <x:c r="AG63" s="1242"/>
      <x:c r="AH63" s="1251"/>
      <x:c r="AI63" s="1242"/>
    </x:row>
    <x:row r="64" ht="32" customHeight="1">
      <x:c r="A64" s="1242"/>
      <x:c r="B64" s="1242" t="str">
        <x:v>HUBB</x:v>
      </x:c>
      <x:c r="C64" s="1242" t="str">
        <x:v>Hubbell Incorporated</x:v>
      </x:c>
      <x:c r="D64" s="1242" t="str">
        <x:v>Research Candidate</x:v>
      </x:c>
      <x:c r="E64" s="1242" t="str">
        <x:v>Candidate — Under Research</x:v>
      </x:c>
      <x:c r="F64" s="1242" t="str">
        <x:v>Manifest Research</x:v>
      </x:c>
      <x:c r="G64" s="1242" t="str">
        <x:v>Digital Infrastructure &amp; AI</x:v>
      </x:c>
      <x:c r="H64" s="1242" t="str">
        <x:v>Grid connection and electrical infrastructure candidate</x:v>
      </x:c>
      <x:c r="I64" s="1242" t="str">
        <x:v>Equity</x:v>
      </x:c>
      <x:c r="J64" s="1259" t="str">
        <x:f>IF($B64="","",IFERROR(INDEX('Certified Allocation'!$F$5:$F$51,MATCH($B64,'Certified Allocation'!$B$5:$B$51,0)),""))</x:f>
      </x:c>
      <x:c r="K64" s="1243" t="str">
        <x:f>IF($B64="","",IFERROR(INDEX('20 RCC-003 MIAR Registry'!$A$14:$A$60,MATCH($B64,'20 RCC-003 MIAR Registry'!$B$14:$B$60,0)),""))</x:f>
      </x:c>
      <x:c r="L64" s="1243" t="str">
        <x:f>IF($B64="","",IFERROR(INDEX('20 RCC-003 MIAR Registry'!$M$14:$M$60,MATCH($B64,'20 RCC-003 MIAR Registry'!$B$14:$B$60,0)),""))</x:f>
      </x:c>
      <x:c r="M64" s="1243" t="str">
        <x:f>IF($B64="","",IFERROR(INDEX('20 RCC-003 MIAR Registry'!$Z$14:$Z$60,MATCH($B64,'20 RCC-003 MIAR Registry'!$B$14:$B$60,0)),""))</x:f>
      </x:c>
      <x:c r="N64" s="1246" t="str">
        <x:f>IF($B64="","",IFERROR(INDEX('20 RCC-003 MIAR Registry'!$K$14:$K$60,MATCH($B64,'20 RCC-003 MIAR Registry'!$B$14:$B$60,0)),""))</x:f>
      </x:c>
      <x:c r="O64" s="1246" t="str">
        <x:f>IF($B64="","",IFERROR(INDEX('20 RCC-003 MIAR Registry'!$L$14:$L$60,MATCH($B64,'20 RCC-003 MIAR Registry'!$B$14:$B$60,0)),""))</x:f>
      </x:c>
      <x:c r="P64" s="1243" t="str">
        <x:f>IF($B64="","",IFERROR(INDEX('20 RCC-003 MIAR Registry'!$I$14:$I$60,MATCH($B64,'20 RCC-003 MIAR Registry'!$B$14:$B$60,0)),""))</x:f>
      </x:c>
      <x:c r="Q64" s="1243" t="str">
        <x:f>IF($B64="","",IFERROR(INDEX('20 RCC-003 MIAR Registry'!$J$14:$J$60,MATCH($B64,'20 RCC-003 MIAR Registry'!$B$14:$B$60,0)),""))</x:f>
      </x:c>
      <x:c r="R64" s="1247" t="n">
        <x:f>IF($B64="","",COUNTIF('18 RCC-002 Evidence Ledger'!$E$14:$E$213,$B64))</x:f>
        <x:v>0</x:v>
      </x:c>
      <x:c r="S64" s="1247" t="n">
        <x:f>IF($B64="","",COUNTIFS('18 RCC-002 Evidence Ledger'!$E$14:$E$213,$B64,'18 RCC-002 Evidence Ledger'!$T$14:$T$213,"&lt;&gt;Closed — No Action",'18 RCC-002 Evidence Ledger'!$T$14:$T$213,"&lt;&gt;Closed — Incorporated"))</x:f>
        <x:v>0</x:v>
      </x:c>
      <x:c r="T64" s="1248"/>
      <x:c r="U64" s="1249"/>
      <x:c r="V64" s="1242"/>
      <x:c r="W64" s="1248"/>
      <x:c r="X64" s="1244" t="str">
        <x:f>IF($B64="","",IF($D64="Certified Portfolio Holding","CERTIFIED HOLDING",IF(OR($A64="",$D64="",$E64="",$F64="",$G64="",$H64="",$I64=""),"NOT ASSESSED",IF(OR($K64="",$L64&lt;&gt;"Active",$M64="OVERDUE",$M64="MATERIAL EVENT REVIEW",$N64="",$O64="",$W64=""),"NOT ELIGIBLE",IF(OR(AND($F64="Zacks Election",OR($T64="",$T64&lt;50)),OR($U64=4,$U64=5),$V64="No Rating",$V64="Restricted / Unavailable"),"ELIGIBLE WITH EXCEPTION","ELIGIBLE")))))</x:f>
        <x:v>NOT ASSESSED</x:v>
      </x:c>
      <x:c r="Y64" s="1244" t="str">
        <x:f>IF($B64="","",IF($A64="","Canonical MASR ID required",IF(AND($D64&lt;&gt;"Certified Portfolio Holding",OR($K64="",$L64&lt;&gt;"Active",$M64&lt;&gt;"CURRENT",$N64="",$O64="",$W64="")),"Complete MIAR / scoring / empirical eligibility",IF(AND($F64="Zacks Election",OR($T64="",$T64&lt;50)),"Sub-$50B Zacks election exception",IF(OR($U64=4,$U64=5),"Zacks #4/#5 exception review",IF($V64="No Rating","Merrill No Rating exception",IF($V64="Restricted / Unavailable","Merrill restricted / unavailable exception","None")))))))</x:f>
        <x:v>Canonical MASR ID required</x:v>
      </x:c>
      <x:c r="Z64" s="1250" t="n">
        <x:f>IF($B64="","",COUNTIF('24 RCC-004 Candidate Pipeline'!$C$14:$C$213,$B64))</x:f>
        <x:v>1</x:v>
      </x:c>
      <x:c r="AA64" s="1244" t="str">
        <x:f>IF($B64="","",IFERROR(INDEX('24 RCC-004 Candidate Pipeline'!$Y$14:$Y$213,MATCH($B64,'24 RCC-004 Candidate Pipeline'!$C$14:$C$213,0)),""))</x:f>
        <x:v>Intake</x:v>
      </x:c>
      <x:c r="AB64" s="1242"/>
      <x:c r="AC64" s="1244" t="str">
        <x:f>IF($B64="","",IF(COUNTIFS('24 RCC-004 Candidate Pipeline'!$C$14:$C$213,$B64,'24 RCC-004 Candidate Pipeline'!$AF$14:$AF$213,"Yes — Refer to PEW-004")&gt;0,"REFERRED — PEW-004",IF($Z64&gt;0,"CANDIDATE RECORD ACTIVE","NO ACTIVE CANDIDATE")))</x:f>
        <x:v>CANDIDATE RECORD ACTIVE</x:v>
      </x:c>
      <x:c r="AD64" s="1244" t="str">
        <x:f>IF($B64="","",IF($A64="","SETUP REQUIRED",IF(COUNTIF($A$14:$A$163,$A64)&gt;1,"DUPLICATE MASR ID",IF(COUNTIF($B$14:$B$163,$B64)&gt;1,"DUPLICATE TICKER",IF(OR($D64="",$E64="",$F64="",$G64="",$H64="",$I64=""),"INCOMPLETE",IF(OR($K64="",$L64=""),"MIAR SETUP REQUIRED",IF($X64="NOT ELIGIBLE","NOT ELIGIBLE",IF($Y64&lt;&gt;"None","EXCEPTION REVIEW",IF(AND($D64&lt;&gt;"Certified Portfolio Holding",OR($E64="Active — Approved Non-Holding",$E64="Conditional",$E64="Candidate — Committee Review"),OR($AB64="",$AB64="Pending")),"COMMITTEE DISPOSITION REQUIRED",IF(AND(OR($E64="Active — Approved Non-Holding",$E64="Conditional"),OR($AG64="",$AH64="")),"CERTIFICATION REQUIRED",IF(OR($E64="Rejected",$E64="Removed",$E64="Archived"),"INACTIVE / CLOSED","CONTROL CLEAR")))))))))))</x:f>
        <x:v>SETUP REQUIRED</x:v>
      </x:c>
      <x:c r="AE64" s="1244" t="str">
        <x:f>IF($AD64="","",IFERROR(INDEX('97 RCC Lists'!$AK$5:$AK$15,MATCH($AD64,'97 RCC Lists'!$AJ$5:$AJ$15,0)),"Review exception"))</x:f>
        <x:v>Assign canonical MASR ID and complete registry setup</x:v>
      </x:c>
      <x:c r="AF64" s="1251"/>
      <x:c r="AG64" s="1242"/>
      <x:c r="AH64" s="1251"/>
      <x:c r="AI64" s="1242"/>
    </x:row>
    <x:row r="65" ht="32" customHeight="1">
      <x:c r="A65" s="1242"/>
      <x:c r="B65" s="1242" t="str">
        <x:v>RRX</x:v>
      </x:c>
      <x:c r="C65" s="1242" t="str">
        <x:v>Regal Rexnord Corporation</x:v>
      </x:c>
      <x:c r="D65" s="1242" t="str">
        <x:v>Research Candidate</x:v>
      </x:c>
      <x:c r="E65" s="1242" t="str">
        <x:v>Candidate — Under Research</x:v>
      </x:c>
      <x:c r="F65" s="1242" t="str">
        <x:v>Manifest Research</x:v>
      </x:c>
      <x:c r="G65" s="1242" t="str">
        <x:v>Industrials &amp; Infrastructure</x:v>
      </x:c>
      <x:c r="H65" s="1242" t="str">
        <x:v>Industrial power-transmission and automation candidate</x:v>
      </x:c>
      <x:c r="I65" s="1242" t="str">
        <x:v>Equity</x:v>
      </x:c>
      <x:c r="J65" s="1258" t="str">
        <x:f>IF($B65="","",IFERROR(INDEX('Certified Allocation'!$F$5:$F$51,MATCH($B65,'Certified Allocation'!$B$5:$B$51,0)),""))</x:f>
      </x:c>
      <x:c r="K65" s="1252" t="str">
        <x:f>IF($B65="","",IFERROR(INDEX('20 RCC-003 MIAR Registry'!$A$14:$A$60,MATCH($B65,'20 RCC-003 MIAR Registry'!$B$14:$B$60,0)),""))</x:f>
      </x:c>
      <x:c r="L65" s="1252" t="str">
        <x:f>IF($B65="","",IFERROR(INDEX('20 RCC-003 MIAR Registry'!$M$14:$M$60,MATCH($B65,'20 RCC-003 MIAR Registry'!$B$14:$B$60,0)),""))</x:f>
      </x:c>
      <x:c r="M65" s="1252" t="str">
        <x:f>IF($B65="","",IFERROR(INDEX('20 RCC-003 MIAR Registry'!$Z$14:$Z$60,MATCH($B65,'20 RCC-003 MIAR Registry'!$B$14:$B$60,0)),""))</x:f>
      </x:c>
      <x:c r="N65" s="1255" t="str">
        <x:f>IF($B65="","",IFERROR(INDEX('20 RCC-003 MIAR Registry'!$K$14:$K$60,MATCH($B65,'20 RCC-003 MIAR Registry'!$B$14:$B$60,0)),""))</x:f>
      </x:c>
      <x:c r="O65" s="1255" t="str">
        <x:f>IF($B65="","",IFERROR(INDEX('20 RCC-003 MIAR Registry'!$L$14:$L$60,MATCH($B65,'20 RCC-003 MIAR Registry'!$B$14:$B$60,0)),""))</x:f>
      </x:c>
      <x:c r="P65" s="1252" t="str">
        <x:f>IF($B65="","",IFERROR(INDEX('20 RCC-003 MIAR Registry'!$I$14:$I$60,MATCH($B65,'20 RCC-003 MIAR Registry'!$B$14:$B$60,0)),""))</x:f>
      </x:c>
      <x:c r="Q65" s="1252" t="str">
        <x:f>IF($B65="","",IFERROR(INDEX('20 RCC-003 MIAR Registry'!$J$14:$J$60,MATCH($B65,'20 RCC-003 MIAR Registry'!$B$14:$B$60,0)),""))</x:f>
      </x:c>
      <x:c r="R65" s="1256" t="n">
        <x:f>IF($B65="","",COUNTIF('18 RCC-002 Evidence Ledger'!$E$14:$E$213,$B65))</x:f>
        <x:v>0</x:v>
      </x:c>
      <x:c r="S65" s="1256" t="n">
        <x:f>IF($B65="","",COUNTIFS('18 RCC-002 Evidence Ledger'!$E$14:$E$213,$B65,'18 RCC-002 Evidence Ledger'!$T$14:$T$213,"&lt;&gt;Closed — No Action",'18 RCC-002 Evidence Ledger'!$T$14:$T$213,"&lt;&gt;Closed — Incorporated"))</x:f>
        <x:v>0</x:v>
      </x:c>
      <x:c r="T65" s="1248"/>
      <x:c r="U65" s="1249"/>
      <x:c r="V65" s="1242"/>
      <x:c r="W65" s="1248"/>
      <x:c r="X65" s="1253" t="str">
        <x:f>IF($B65="","",IF($D65="Certified Portfolio Holding","CERTIFIED HOLDING",IF(OR($A65="",$D65="",$E65="",$F65="",$G65="",$H65="",$I65=""),"NOT ASSESSED",IF(OR($K65="",$L65&lt;&gt;"Active",$M65="OVERDUE",$M65="MATERIAL EVENT REVIEW",$N65="",$O65="",$W65=""),"NOT ELIGIBLE",IF(OR(AND($F65="Zacks Election",OR($T65="",$T65&lt;50)),OR($U65=4,$U65=5),$V65="No Rating",$V65="Restricted / Unavailable"),"ELIGIBLE WITH EXCEPTION","ELIGIBLE")))))</x:f>
        <x:v>NOT ASSESSED</x:v>
      </x:c>
      <x:c r="Y65" s="1253" t="str">
        <x:f>IF($B65="","",IF($A65="","Canonical MASR ID required",IF(AND($D65&lt;&gt;"Certified Portfolio Holding",OR($K65="",$L65&lt;&gt;"Active",$M65&lt;&gt;"CURRENT",$N65="",$O65="",$W65="")),"Complete MIAR / scoring / empirical eligibility",IF(AND($F65="Zacks Election",OR($T65="",$T65&lt;50)),"Sub-$50B Zacks election exception",IF(OR($U65=4,$U65=5),"Zacks #4/#5 exception review",IF($V65="No Rating","Merrill No Rating exception",IF($V65="Restricted / Unavailable","Merrill restricted / unavailable exception","None")))))))</x:f>
        <x:v>Canonical MASR ID required</x:v>
      </x:c>
      <x:c r="Z65" s="1257" t="n">
        <x:f>IF($B65="","",COUNTIF('24 RCC-004 Candidate Pipeline'!$C$14:$C$213,$B65))</x:f>
        <x:v>1</x:v>
      </x:c>
      <x:c r="AA65" s="1253" t="str">
        <x:f>IF($B65="","",IFERROR(INDEX('24 RCC-004 Candidate Pipeline'!$Y$14:$Y$213,MATCH($B65,'24 RCC-004 Candidate Pipeline'!$C$14:$C$213,0)),""))</x:f>
        <x:v>Intake</x:v>
      </x:c>
      <x:c r="AB65" s="1242"/>
      <x:c r="AC65" s="1253" t="str">
        <x:f>IF($B65="","",IF(COUNTIFS('24 RCC-004 Candidate Pipeline'!$C$14:$C$213,$B65,'24 RCC-004 Candidate Pipeline'!$AF$14:$AF$213,"Yes — Refer to PEW-004")&gt;0,"REFERRED — PEW-004",IF($Z65&gt;0,"CANDIDATE RECORD ACTIVE","NO ACTIVE CANDIDATE")))</x:f>
        <x:v>CANDIDATE RECORD ACTIVE</x:v>
      </x:c>
      <x:c r="AD65" s="1253" t="str">
        <x:f>IF($B65="","",IF($A65="","SETUP REQUIRED",IF(COUNTIF($A$14:$A$163,$A65)&gt;1,"DUPLICATE MASR ID",IF(COUNTIF($B$14:$B$163,$B65)&gt;1,"DUPLICATE TICKER",IF(OR($D65="",$E65="",$F65="",$G65="",$H65="",$I65=""),"INCOMPLETE",IF(OR($K65="",$L65=""),"MIAR SETUP REQUIRED",IF($X65="NOT ELIGIBLE","NOT ELIGIBLE",IF($Y65&lt;&gt;"None","EXCEPTION REVIEW",IF(AND($D65&lt;&gt;"Certified Portfolio Holding",OR($E65="Active — Approved Non-Holding",$E65="Conditional",$E65="Candidate — Committee Review"),OR($AB65="",$AB65="Pending")),"COMMITTEE DISPOSITION REQUIRED",IF(AND(OR($E65="Active — Approved Non-Holding",$E65="Conditional"),OR($AG65="",$AH65="")),"CERTIFICATION REQUIRED",IF(OR($E65="Rejected",$E65="Removed",$E65="Archived"),"INACTIVE / CLOSED","CONTROL CLEAR")))))))))))</x:f>
        <x:v>SETUP REQUIRED</x:v>
      </x:c>
      <x:c r="AE65" s="1253" t="str">
        <x:f>IF($AD65="","",IFERROR(INDEX('97 RCC Lists'!$AK$5:$AK$15,MATCH($AD65,'97 RCC Lists'!$AJ$5:$AJ$15,0)),"Review exception"))</x:f>
        <x:v>Assign canonical MASR ID and complete registry setup</x:v>
      </x:c>
      <x:c r="AF65" s="1251"/>
      <x:c r="AG65" s="1242"/>
      <x:c r="AH65" s="1251"/>
      <x:c r="AI65" s="1242"/>
    </x:row>
    <x:row r="66" ht="32" customHeight="1">
      <x:c r="A66" s="1242"/>
      <x:c r="B66" s="1242" t="str">
        <x:v>BKR</x:v>
      </x:c>
      <x:c r="C66" s="1242" t="str">
        <x:v>Baker Hughes Company</x:v>
      </x:c>
      <x:c r="D66" s="1242" t="str">
        <x:v>Research Candidate</x:v>
      </x:c>
      <x:c r="E66" s="1242" t="str">
        <x:v>Candidate — Under Research</x:v>
      </x:c>
      <x:c r="F66" s="1242" t="str">
        <x:v>Manifest Research</x:v>
      </x:c>
      <x:c r="G66" s="1242" t="str">
        <x:v>Energy &amp; Natural Resources</x:v>
      </x:c>
      <x:c r="H66" s="1242" t="str">
        <x:v>Energy infrastructure and power-demand enabler candidate</x:v>
      </x:c>
      <x:c r="I66" s="1242" t="str">
        <x:v>Equity</x:v>
      </x:c>
      <x:c r="J66" s="1259" t="str">
        <x:f>IF($B66="","",IFERROR(INDEX('Certified Allocation'!$F$5:$F$51,MATCH($B66,'Certified Allocation'!$B$5:$B$51,0)),""))</x:f>
      </x:c>
      <x:c r="K66" s="1243" t="str">
        <x:f>IF($B66="","",IFERROR(INDEX('20 RCC-003 MIAR Registry'!$A$14:$A$60,MATCH($B66,'20 RCC-003 MIAR Registry'!$B$14:$B$60,0)),""))</x:f>
      </x:c>
      <x:c r="L66" s="1243" t="str">
        <x:f>IF($B66="","",IFERROR(INDEX('20 RCC-003 MIAR Registry'!$M$14:$M$60,MATCH($B66,'20 RCC-003 MIAR Registry'!$B$14:$B$60,0)),""))</x:f>
      </x:c>
      <x:c r="M66" s="1243" t="str">
        <x:f>IF($B66="","",IFERROR(INDEX('20 RCC-003 MIAR Registry'!$Z$14:$Z$60,MATCH($B66,'20 RCC-003 MIAR Registry'!$B$14:$B$60,0)),""))</x:f>
      </x:c>
      <x:c r="N66" s="1246" t="str">
        <x:f>IF($B66="","",IFERROR(INDEX('20 RCC-003 MIAR Registry'!$K$14:$K$60,MATCH($B66,'20 RCC-003 MIAR Registry'!$B$14:$B$60,0)),""))</x:f>
      </x:c>
      <x:c r="O66" s="1246" t="str">
        <x:f>IF($B66="","",IFERROR(INDEX('20 RCC-003 MIAR Registry'!$L$14:$L$60,MATCH($B66,'20 RCC-003 MIAR Registry'!$B$14:$B$60,0)),""))</x:f>
      </x:c>
      <x:c r="P66" s="1243" t="str">
        <x:f>IF($B66="","",IFERROR(INDEX('20 RCC-003 MIAR Registry'!$I$14:$I$60,MATCH($B66,'20 RCC-003 MIAR Registry'!$B$14:$B$60,0)),""))</x:f>
      </x:c>
      <x:c r="Q66" s="1243" t="str">
        <x:f>IF($B66="","",IFERROR(INDEX('20 RCC-003 MIAR Registry'!$J$14:$J$60,MATCH($B66,'20 RCC-003 MIAR Registry'!$B$14:$B$60,0)),""))</x:f>
      </x:c>
      <x:c r="R66" s="1247" t="n">
        <x:f>IF($B66="","",COUNTIF('18 RCC-002 Evidence Ledger'!$E$14:$E$213,$B66))</x:f>
        <x:v>0</x:v>
      </x:c>
      <x:c r="S66" s="1247" t="n">
        <x:f>IF($B66="","",COUNTIFS('18 RCC-002 Evidence Ledger'!$E$14:$E$213,$B66,'18 RCC-002 Evidence Ledger'!$T$14:$T$213,"&lt;&gt;Closed — No Action",'18 RCC-002 Evidence Ledger'!$T$14:$T$213,"&lt;&gt;Closed — Incorporated"))</x:f>
        <x:v>0</x:v>
      </x:c>
      <x:c r="T66" s="1248"/>
      <x:c r="U66" s="1249"/>
      <x:c r="V66" s="1242"/>
      <x:c r="W66" s="1248"/>
      <x:c r="X66" s="1244" t="str">
        <x:f>IF($B66="","",IF($D66="Certified Portfolio Holding","CERTIFIED HOLDING",IF(OR($A66="",$D66="",$E66="",$F66="",$G66="",$H66="",$I66=""),"NOT ASSESSED",IF(OR($K66="",$L66&lt;&gt;"Active",$M66="OVERDUE",$M66="MATERIAL EVENT REVIEW",$N66="",$O66="",$W66=""),"NOT ELIGIBLE",IF(OR(AND($F66="Zacks Election",OR($T66="",$T66&lt;50)),OR($U66=4,$U66=5),$V66="No Rating",$V66="Restricted / Unavailable"),"ELIGIBLE WITH EXCEPTION","ELIGIBLE")))))</x:f>
        <x:v>NOT ASSESSED</x:v>
      </x:c>
      <x:c r="Y66" s="1244" t="str">
        <x:f>IF($B66="","",IF($A66="","Canonical MASR ID required",IF(AND($D66&lt;&gt;"Certified Portfolio Holding",OR($K66="",$L66&lt;&gt;"Active",$M66&lt;&gt;"CURRENT",$N66="",$O66="",$W66="")),"Complete MIAR / scoring / empirical eligibility",IF(AND($F66="Zacks Election",OR($T66="",$T66&lt;50)),"Sub-$50B Zacks election exception",IF(OR($U66=4,$U66=5),"Zacks #4/#5 exception review",IF($V66="No Rating","Merrill No Rating exception",IF($V66="Restricted / Unavailable","Merrill restricted / unavailable exception","None")))))))</x:f>
        <x:v>Canonical MASR ID required</x:v>
      </x:c>
      <x:c r="Z66" s="1250" t="n">
        <x:f>IF($B66="","",COUNTIF('24 RCC-004 Candidate Pipeline'!$C$14:$C$213,$B66))</x:f>
        <x:v>1</x:v>
      </x:c>
      <x:c r="AA66" s="1244" t="str">
        <x:f>IF($B66="","",IFERROR(INDEX('24 RCC-004 Candidate Pipeline'!$Y$14:$Y$213,MATCH($B66,'24 RCC-004 Candidate Pipeline'!$C$14:$C$213,0)),""))</x:f>
        <x:v>Intake</x:v>
      </x:c>
      <x:c r="AB66" s="1242"/>
      <x:c r="AC66" s="1244" t="str">
        <x:f>IF($B66="","",IF(COUNTIFS('24 RCC-004 Candidate Pipeline'!$C$14:$C$213,$B66,'24 RCC-004 Candidate Pipeline'!$AF$14:$AF$213,"Yes — Refer to PEW-004")&gt;0,"REFERRED — PEW-004",IF($Z66&gt;0,"CANDIDATE RECORD ACTIVE","NO ACTIVE CANDIDATE")))</x:f>
        <x:v>CANDIDATE RECORD ACTIVE</x:v>
      </x:c>
      <x:c r="AD66" s="1244" t="str">
        <x:f>IF($B66="","",IF($A66="","SETUP REQUIRED",IF(COUNTIF($A$14:$A$163,$A66)&gt;1,"DUPLICATE MASR ID",IF(COUNTIF($B$14:$B$163,$B66)&gt;1,"DUPLICATE TICKER",IF(OR($D66="",$E66="",$F66="",$G66="",$H66="",$I66=""),"INCOMPLETE",IF(OR($K66="",$L66=""),"MIAR SETUP REQUIRED",IF($X66="NOT ELIGIBLE","NOT ELIGIBLE",IF($Y66&lt;&gt;"None","EXCEPTION REVIEW",IF(AND($D66&lt;&gt;"Certified Portfolio Holding",OR($E66="Active — Approved Non-Holding",$E66="Conditional",$E66="Candidate — Committee Review"),OR($AB66="",$AB66="Pending")),"COMMITTEE DISPOSITION REQUIRED",IF(AND(OR($E66="Active — Approved Non-Holding",$E66="Conditional"),OR($AG66="",$AH66="")),"CERTIFICATION REQUIRED",IF(OR($E66="Rejected",$E66="Removed",$E66="Archived"),"INACTIVE / CLOSED","CONTROL CLEAR")))))))))))</x:f>
        <x:v>SETUP REQUIRED</x:v>
      </x:c>
      <x:c r="AE66" s="1244" t="str">
        <x:f>IF($AD66="","",IFERROR(INDEX('97 RCC Lists'!$AK$5:$AK$15,MATCH($AD66,'97 RCC Lists'!$AJ$5:$AJ$15,0)),"Review exception"))</x:f>
        <x:v>Assign canonical MASR ID and complete registry setup</x:v>
      </x:c>
      <x:c r="AF66" s="1251"/>
      <x:c r="AG66" s="1242"/>
      <x:c r="AH66" s="1251"/>
      <x:c r="AI66" s="1242"/>
    </x:row>
    <x:row r="67" ht="32" customHeight="1">
      <x:c r="A67" s="1242"/>
      <x:c r="B67" s="1242" t="str">
        <x:v>LMT</x:v>
      </x:c>
      <x:c r="C67" s="1242" t="str">
        <x:v>Lockheed Martin Corporation</x:v>
      </x:c>
      <x:c r="D67" s="1242" t="str">
        <x:v>Research Candidate</x:v>
      </x:c>
      <x:c r="E67" s="1242" t="str">
        <x:v>Candidate — Under Research</x:v>
      </x:c>
      <x:c r="F67" s="1242" t="str">
        <x:v>Manifest Research</x:v>
      </x:c>
      <x:c r="G67" s="1242" t="str">
        <x:v>Industrials &amp; Infrastructure</x:v>
      </x:c>
      <x:c r="H67" s="1242" t="str">
        <x:v>Defense manufacturing scarcity and backlog candidate</x:v>
      </x:c>
      <x:c r="I67" s="1242" t="str">
        <x:v>Equity</x:v>
      </x:c>
      <x:c r="J67" s="1258" t="str">
        <x:f>IF($B67="","",IFERROR(INDEX('Certified Allocation'!$F$5:$F$51,MATCH($B67,'Certified Allocation'!$B$5:$B$51,0)),""))</x:f>
      </x:c>
      <x:c r="K67" s="1252" t="str">
        <x:f>IF($B67="","",IFERROR(INDEX('20 RCC-003 MIAR Registry'!$A$14:$A$60,MATCH($B67,'20 RCC-003 MIAR Registry'!$B$14:$B$60,0)),""))</x:f>
      </x:c>
      <x:c r="L67" s="1252" t="str">
        <x:f>IF($B67="","",IFERROR(INDEX('20 RCC-003 MIAR Registry'!$M$14:$M$60,MATCH($B67,'20 RCC-003 MIAR Registry'!$B$14:$B$60,0)),""))</x:f>
      </x:c>
      <x:c r="M67" s="1252" t="str">
        <x:f>IF($B67="","",IFERROR(INDEX('20 RCC-003 MIAR Registry'!$Z$14:$Z$60,MATCH($B67,'20 RCC-003 MIAR Registry'!$B$14:$B$60,0)),""))</x:f>
      </x:c>
      <x:c r="N67" s="1255" t="str">
        <x:f>IF($B67="","",IFERROR(INDEX('20 RCC-003 MIAR Registry'!$K$14:$K$60,MATCH($B67,'20 RCC-003 MIAR Registry'!$B$14:$B$60,0)),""))</x:f>
      </x:c>
      <x:c r="O67" s="1255" t="str">
        <x:f>IF($B67="","",IFERROR(INDEX('20 RCC-003 MIAR Registry'!$L$14:$L$60,MATCH($B67,'20 RCC-003 MIAR Registry'!$B$14:$B$60,0)),""))</x:f>
      </x:c>
      <x:c r="P67" s="1252" t="str">
        <x:f>IF($B67="","",IFERROR(INDEX('20 RCC-003 MIAR Registry'!$I$14:$I$60,MATCH($B67,'20 RCC-003 MIAR Registry'!$B$14:$B$60,0)),""))</x:f>
      </x:c>
      <x:c r="Q67" s="1252" t="str">
        <x:f>IF($B67="","",IFERROR(INDEX('20 RCC-003 MIAR Registry'!$J$14:$J$60,MATCH($B67,'20 RCC-003 MIAR Registry'!$B$14:$B$60,0)),""))</x:f>
      </x:c>
      <x:c r="R67" s="1256" t="n">
        <x:f>IF($B67="","",COUNTIF('18 RCC-002 Evidence Ledger'!$E$14:$E$213,$B67))</x:f>
        <x:v>0</x:v>
      </x:c>
      <x:c r="S67" s="1256" t="n">
        <x:f>IF($B67="","",COUNTIFS('18 RCC-002 Evidence Ledger'!$E$14:$E$213,$B67,'18 RCC-002 Evidence Ledger'!$T$14:$T$213,"&lt;&gt;Closed — No Action",'18 RCC-002 Evidence Ledger'!$T$14:$T$213,"&lt;&gt;Closed — Incorporated"))</x:f>
        <x:v>0</x:v>
      </x:c>
      <x:c r="T67" s="1248"/>
      <x:c r="U67" s="1249"/>
      <x:c r="V67" s="1242"/>
      <x:c r="W67" s="1248"/>
      <x:c r="X67" s="1253" t="str">
        <x:f>IF($B67="","",IF($D67="Certified Portfolio Holding","CERTIFIED HOLDING",IF(OR($A67="",$D67="",$E67="",$F67="",$G67="",$H67="",$I67=""),"NOT ASSESSED",IF(OR($K67="",$L67&lt;&gt;"Active",$M67="OVERDUE",$M67="MATERIAL EVENT REVIEW",$N67="",$O67="",$W67=""),"NOT ELIGIBLE",IF(OR(AND($F67="Zacks Election",OR($T67="",$T67&lt;50)),OR($U67=4,$U67=5),$V67="No Rating",$V67="Restricted / Unavailable"),"ELIGIBLE WITH EXCEPTION","ELIGIBLE")))))</x:f>
        <x:v>NOT ASSESSED</x:v>
      </x:c>
      <x:c r="Y67" s="1253" t="str">
        <x:f>IF($B67="","",IF($A67="","Canonical MASR ID required",IF(AND($D67&lt;&gt;"Certified Portfolio Holding",OR($K67="",$L67&lt;&gt;"Active",$M67&lt;&gt;"CURRENT",$N67="",$O67="",$W67="")),"Complete MIAR / scoring / empirical eligibility",IF(AND($F67="Zacks Election",OR($T67="",$T67&lt;50)),"Sub-$50B Zacks election exception",IF(OR($U67=4,$U67=5),"Zacks #4/#5 exception review",IF($V67="No Rating","Merrill No Rating exception",IF($V67="Restricted / Unavailable","Merrill restricted / unavailable exception","None")))))))</x:f>
        <x:v>Canonical MASR ID required</x:v>
      </x:c>
      <x:c r="Z67" s="1257" t="n">
        <x:f>IF($B67="","",COUNTIF('24 RCC-004 Candidate Pipeline'!$C$14:$C$213,$B67))</x:f>
        <x:v>1</x:v>
      </x:c>
      <x:c r="AA67" s="1253" t="str">
        <x:f>IF($B67="","",IFERROR(INDEX('24 RCC-004 Candidate Pipeline'!$Y$14:$Y$213,MATCH($B67,'24 RCC-004 Candidate Pipeline'!$C$14:$C$213,0)),""))</x:f>
        <x:v>Intake</x:v>
      </x:c>
      <x:c r="AB67" s="1242"/>
      <x:c r="AC67" s="1253" t="str">
        <x:f>IF($B67="","",IF(COUNTIFS('24 RCC-004 Candidate Pipeline'!$C$14:$C$213,$B67,'24 RCC-004 Candidate Pipeline'!$AF$14:$AF$213,"Yes — Refer to PEW-004")&gt;0,"REFERRED — PEW-004",IF($Z67&gt;0,"CANDIDATE RECORD ACTIVE","NO ACTIVE CANDIDATE")))</x:f>
        <x:v>CANDIDATE RECORD ACTIVE</x:v>
      </x:c>
      <x:c r="AD67" s="1253" t="str">
        <x:f>IF($B67="","",IF($A67="","SETUP REQUIRED",IF(COUNTIF($A$14:$A$163,$A67)&gt;1,"DUPLICATE MASR ID",IF(COUNTIF($B$14:$B$163,$B67)&gt;1,"DUPLICATE TICKER",IF(OR($D67="",$E67="",$F67="",$G67="",$H67="",$I67=""),"INCOMPLETE",IF(OR($K67="",$L67=""),"MIAR SETUP REQUIRED",IF($X67="NOT ELIGIBLE","NOT ELIGIBLE",IF($Y67&lt;&gt;"None","EXCEPTION REVIEW",IF(AND($D67&lt;&gt;"Certified Portfolio Holding",OR($E67="Active — Approved Non-Holding",$E67="Conditional",$E67="Candidate — Committee Review"),OR($AB67="",$AB67="Pending")),"COMMITTEE DISPOSITION REQUIRED",IF(AND(OR($E67="Active — Approved Non-Holding",$E67="Conditional"),OR($AG67="",$AH67="")),"CERTIFICATION REQUIRED",IF(OR($E67="Rejected",$E67="Removed",$E67="Archived"),"INACTIVE / CLOSED","CONTROL CLEAR")))))))))))</x:f>
        <x:v>SETUP REQUIRED</x:v>
      </x:c>
      <x:c r="AE67" s="1253" t="str">
        <x:f>IF($AD67="","",IFERROR(INDEX('97 RCC Lists'!$AK$5:$AK$15,MATCH($AD67,'97 RCC Lists'!$AJ$5:$AJ$15,0)),"Review exception"))</x:f>
        <x:v>Assign canonical MASR ID and complete registry setup</x:v>
      </x:c>
      <x:c r="AF67" s="1251"/>
      <x:c r="AG67" s="1242"/>
      <x:c r="AH67" s="1251"/>
      <x:c r="AI67" s="1242"/>
    </x:row>
    <x:row r="68" ht="32" customHeight="1">
      <x:c r="A68" s="1242"/>
      <x:c r="B68" s="1242" t="str">
        <x:v>SWK</x:v>
      </x:c>
      <x:c r="C68" s="1242" t="str">
        <x:v>Stanley Black &amp; Decker, Inc.</x:v>
      </x:c>
      <x:c r="D68" s="1242" t="str">
        <x:v>Research Candidate</x:v>
      </x:c>
      <x:c r="E68" s="1242" t="str">
        <x:v>Candidate — Under Research</x:v>
      </x:c>
      <x:c r="F68" s="1242" t="str">
        <x:v>Manifest Research</x:v>
      </x:c>
      <x:c r="G68" s="1242" t="str">
        <x:v>Industrials &amp; Infrastructure</x:v>
      </x:c>
      <x:c r="H68" s="1242" t="str">
        <x:v>Manufacturing recovery and tools-cycle candidate</x:v>
      </x:c>
      <x:c r="I68" s="1242" t="str">
        <x:v>Equity</x:v>
      </x:c>
      <x:c r="J68" s="1259" t="str">
        <x:f>IF($B68="","",IFERROR(INDEX('Certified Allocation'!$F$5:$F$51,MATCH($B68,'Certified Allocation'!$B$5:$B$51,0)),""))</x:f>
      </x:c>
      <x:c r="K68" s="1243" t="str">
        <x:f>IF($B68="","",IFERROR(INDEX('20 RCC-003 MIAR Registry'!$A$14:$A$60,MATCH($B68,'20 RCC-003 MIAR Registry'!$B$14:$B$60,0)),""))</x:f>
      </x:c>
      <x:c r="L68" s="1243" t="str">
        <x:f>IF($B68="","",IFERROR(INDEX('20 RCC-003 MIAR Registry'!$M$14:$M$60,MATCH($B68,'20 RCC-003 MIAR Registry'!$B$14:$B$60,0)),""))</x:f>
      </x:c>
      <x:c r="M68" s="1243" t="str">
        <x:f>IF($B68="","",IFERROR(INDEX('20 RCC-003 MIAR Registry'!$Z$14:$Z$60,MATCH($B68,'20 RCC-003 MIAR Registry'!$B$14:$B$60,0)),""))</x:f>
      </x:c>
      <x:c r="N68" s="1246" t="str">
        <x:f>IF($B68="","",IFERROR(INDEX('20 RCC-003 MIAR Registry'!$K$14:$K$60,MATCH($B68,'20 RCC-003 MIAR Registry'!$B$14:$B$60,0)),""))</x:f>
      </x:c>
      <x:c r="O68" s="1246" t="str">
        <x:f>IF($B68="","",IFERROR(INDEX('20 RCC-003 MIAR Registry'!$L$14:$L$60,MATCH($B68,'20 RCC-003 MIAR Registry'!$B$14:$B$60,0)),""))</x:f>
      </x:c>
      <x:c r="P68" s="1243" t="str">
        <x:f>IF($B68="","",IFERROR(INDEX('20 RCC-003 MIAR Registry'!$I$14:$I$60,MATCH($B68,'20 RCC-003 MIAR Registry'!$B$14:$B$60,0)),""))</x:f>
      </x:c>
      <x:c r="Q68" s="1243" t="str">
        <x:f>IF($B68="","",IFERROR(INDEX('20 RCC-003 MIAR Registry'!$J$14:$J$60,MATCH($B68,'20 RCC-003 MIAR Registry'!$B$14:$B$60,0)),""))</x:f>
      </x:c>
      <x:c r="R68" s="1247" t="n">
        <x:f>IF($B68="","",COUNTIF('18 RCC-002 Evidence Ledger'!$E$14:$E$213,$B68))</x:f>
        <x:v>0</x:v>
      </x:c>
      <x:c r="S68" s="1247" t="n">
        <x:f>IF($B68="","",COUNTIFS('18 RCC-002 Evidence Ledger'!$E$14:$E$213,$B68,'18 RCC-002 Evidence Ledger'!$T$14:$T$213,"&lt;&gt;Closed — No Action",'18 RCC-002 Evidence Ledger'!$T$14:$T$213,"&lt;&gt;Closed — Incorporated"))</x:f>
        <x:v>0</x:v>
      </x:c>
      <x:c r="T68" s="1248"/>
      <x:c r="U68" s="1249"/>
      <x:c r="V68" s="1242"/>
      <x:c r="W68" s="1248"/>
      <x:c r="X68" s="1244" t="str">
        <x:f>IF($B68="","",IF($D68="Certified Portfolio Holding","CERTIFIED HOLDING",IF(OR($A68="",$D68="",$E68="",$F68="",$G68="",$H68="",$I68=""),"NOT ASSESSED",IF(OR($K68="",$L68&lt;&gt;"Active",$M68="OVERDUE",$M68="MATERIAL EVENT REVIEW",$N68="",$O68="",$W68=""),"NOT ELIGIBLE",IF(OR(AND($F68="Zacks Election",OR($T68="",$T68&lt;50)),OR($U68=4,$U68=5),$V68="No Rating",$V68="Restricted / Unavailable"),"ELIGIBLE WITH EXCEPTION","ELIGIBLE")))))</x:f>
        <x:v>NOT ASSESSED</x:v>
      </x:c>
      <x:c r="Y68" s="1244" t="str">
        <x:f>IF($B68="","",IF($A68="","Canonical MASR ID required",IF(AND($D68&lt;&gt;"Certified Portfolio Holding",OR($K68="",$L68&lt;&gt;"Active",$M68&lt;&gt;"CURRENT",$N68="",$O68="",$W68="")),"Complete MIAR / scoring / empirical eligibility",IF(AND($F68="Zacks Election",OR($T68="",$T68&lt;50)),"Sub-$50B Zacks election exception",IF(OR($U68=4,$U68=5),"Zacks #4/#5 exception review",IF($V68="No Rating","Merrill No Rating exception",IF($V68="Restricted / Unavailable","Merrill restricted / unavailable exception","None")))))))</x:f>
        <x:v>Canonical MASR ID required</x:v>
      </x:c>
      <x:c r="Z68" s="1250" t="n">
        <x:f>IF($B68="","",COUNTIF('24 RCC-004 Candidate Pipeline'!$C$14:$C$213,$B68))</x:f>
        <x:v>1</x:v>
      </x:c>
      <x:c r="AA68" s="1244" t="str">
        <x:f>IF($B68="","",IFERROR(INDEX('24 RCC-004 Candidate Pipeline'!$Y$14:$Y$213,MATCH($B68,'24 RCC-004 Candidate Pipeline'!$C$14:$C$213,0)),""))</x:f>
        <x:v>Intake</x:v>
      </x:c>
      <x:c r="AB68" s="1242"/>
      <x:c r="AC68" s="1244" t="str">
        <x:f>IF($B68="","",IF(COUNTIFS('24 RCC-004 Candidate Pipeline'!$C$14:$C$213,$B68,'24 RCC-004 Candidate Pipeline'!$AF$14:$AF$213,"Yes — Refer to PEW-004")&gt;0,"REFERRED — PEW-004",IF($Z68&gt;0,"CANDIDATE RECORD ACTIVE","NO ACTIVE CANDIDATE")))</x:f>
        <x:v>CANDIDATE RECORD ACTIVE</x:v>
      </x:c>
      <x:c r="AD68" s="1244" t="str">
        <x:f>IF($B68="","",IF($A68="","SETUP REQUIRED",IF(COUNTIF($A$14:$A$163,$A68)&gt;1,"DUPLICATE MASR ID",IF(COUNTIF($B$14:$B$163,$B68)&gt;1,"DUPLICATE TICKER",IF(OR($D68="",$E68="",$F68="",$G68="",$H68="",$I68=""),"INCOMPLETE",IF(OR($K68="",$L68=""),"MIAR SETUP REQUIRED",IF($X68="NOT ELIGIBLE","NOT ELIGIBLE",IF($Y68&lt;&gt;"None","EXCEPTION REVIEW",IF(AND($D68&lt;&gt;"Certified Portfolio Holding",OR($E68="Active — Approved Non-Holding",$E68="Conditional",$E68="Candidate — Committee Review"),OR($AB68="",$AB68="Pending")),"COMMITTEE DISPOSITION REQUIRED",IF(AND(OR($E68="Active — Approved Non-Holding",$E68="Conditional"),OR($AG68="",$AH68="")),"CERTIFICATION REQUIRED",IF(OR($E68="Rejected",$E68="Removed",$E68="Archived"),"INACTIVE / CLOSED","CONTROL CLEAR")))))))))))</x:f>
        <x:v>SETUP REQUIRED</x:v>
      </x:c>
      <x:c r="AE68" s="1244" t="str">
        <x:f>IF($AD68="","",IFERROR(INDEX('97 RCC Lists'!$AK$5:$AK$15,MATCH($AD68,'97 RCC Lists'!$AJ$5:$AJ$15,0)),"Review exception"))</x:f>
        <x:v>Assign canonical MASR ID and complete registry setup</x:v>
      </x:c>
      <x:c r="AF68" s="1251"/>
      <x:c r="AG68" s="1242"/>
      <x:c r="AH68" s="1251"/>
      <x:c r="AI68" s="1242"/>
    </x:row>
    <x:row r="69" ht="32" customHeight="1">
      <x:c r="A69" s="1242"/>
      <x:c r="B69" s="1242" t="str">
        <x:v>XYL</x:v>
      </x:c>
      <x:c r="C69" s="1242" t="str">
        <x:v>Xylem Inc.</x:v>
      </x:c>
      <x:c r="D69" s="1242" t="str">
        <x:v>Research Candidate</x:v>
      </x:c>
      <x:c r="E69" s="1242" t="str">
        <x:v>Candidate — Under Research</x:v>
      </x:c>
      <x:c r="F69" s="1242" t="str">
        <x:v>Manifest Research</x:v>
      </x:c>
      <x:c r="G69" s="1242" t="str">
        <x:v>Industrials &amp; Infrastructure</x:v>
      </x:c>
      <x:c r="H69" s="1242" t="str">
        <x:v>Water infrastructure and scarcity-management candidate</x:v>
      </x:c>
      <x:c r="I69" s="1242" t="str">
        <x:v>Equity</x:v>
      </x:c>
      <x:c r="J69" s="1258" t="str">
        <x:f>IF($B69="","",IFERROR(INDEX('Certified Allocation'!$F$5:$F$51,MATCH($B69,'Certified Allocation'!$B$5:$B$51,0)),""))</x:f>
      </x:c>
      <x:c r="K69" s="1252" t="str">
        <x:f>IF($B69="","",IFERROR(INDEX('20 RCC-003 MIAR Registry'!$A$14:$A$60,MATCH($B69,'20 RCC-003 MIAR Registry'!$B$14:$B$60,0)),""))</x:f>
      </x:c>
      <x:c r="L69" s="1252" t="str">
        <x:f>IF($B69="","",IFERROR(INDEX('20 RCC-003 MIAR Registry'!$M$14:$M$60,MATCH($B69,'20 RCC-003 MIAR Registry'!$B$14:$B$60,0)),""))</x:f>
      </x:c>
      <x:c r="M69" s="1252" t="str">
        <x:f>IF($B69="","",IFERROR(INDEX('20 RCC-003 MIAR Registry'!$Z$14:$Z$60,MATCH($B69,'20 RCC-003 MIAR Registry'!$B$14:$B$60,0)),""))</x:f>
      </x:c>
      <x:c r="N69" s="1255" t="str">
        <x:f>IF($B69="","",IFERROR(INDEX('20 RCC-003 MIAR Registry'!$K$14:$K$60,MATCH($B69,'20 RCC-003 MIAR Registry'!$B$14:$B$60,0)),""))</x:f>
      </x:c>
      <x:c r="O69" s="1255" t="str">
        <x:f>IF($B69="","",IFERROR(INDEX('20 RCC-003 MIAR Registry'!$L$14:$L$60,MATCH($B69,'20 RCC-003 MIAR Registry'!$B$14:$B$60,0)),""))</x:f>
      </x:c>
      <x:c r="P69" s="1252" t="str">
        <x:f>IF($B69="","",IFERROR(INDEX('20 RCC-003 MIAR Registry'!$I$14:$I$60,MATCH($B69,'20 RCC-003 MIAR Registry'!$B$14:$B$60,0)),""))</x:f>
      </x:c>
      <x:c r="Q69" s="1252" t="str">
        <x:f>IF($B69="","",IFERROR(INDEX('20 RCC-003 MIAR Registry'!$J$14:$J$60,MATCH($B69,'20 RCC-003 MIAR Registry'!$B$14:$B$60,0)),""))</x:f>
      </x:c>
      <x:c r="R69" s="1256" t="n">
        <x:f>IF($B69="","",COUNTIF('18 RCC-002 Evidence Ledger'!$E$14:$E$213,$B69))</x:f>
        <x:v>0</x:v>
      </x:c>
      <x:c r="S69" s="1256" t="n">
        <x:f>IF($B69="","",COUNTIFS('18 RCC-002 Evidence Ledger'!$E$14:$E$213,$B69,'18 RCC-002 Evidence Ledger'!$T$14:$T$213,"&lt;&gt;Closed — No Action",'18 RCC-002 Evidence Ledger'!$T$14:$T$213,"&lt;&gt;Closed — Incorporated"))</x:f>
        <x:v>0</x:v>
      </x:c>
      <x:c r="T69" s="1248"/>
      <x:c r="U69" s="1249"/>
      <x:c r="V69" s="1242"/>
      <x:c r="W69" s="1248"/>
      <x:c r="X69" s="1253" t="str">
        <x:f>IF($B69="","",IF($D69="Certified Portfolio Holding","CERTIFIED HOLDING",IF(OR($A69="",$D69="",$E69="",$F69="",$G69="",$H69="",$I69=""),"NOT ASSESSED",IF(OR($K69="",$L69&lt;&gt;"Active",$M69="OVERDUE",$M69="MATERIAL EVENT REVIEW",$N69="",$O69="",$W69=""),"NOT ELIGIBLE",IF(OR(AND($F69="Zacks Election",OR($T69="",$T69&lt;50)),OR($U69=4,$U69=5),$V69="No Rating",$V69="Restricted / Unavailable"),"ELIGIBLE WITH EXCEPTION","ELIGIBLE")))))</x:f>
        <x:v>NOT ASSESSED</x:v>
      </x:c>
      <x:c r="Y69" s="1253" t="str">
        <x:f>IF($B69="","",IF($A69="","Canonical MASR ID required",IF(AND($D69&lt;&gt;"Certified Portfolio Holding",OR($K69="",$L69&lt;&gt;"Active",$M69&lt;&gt;"CURRENT",$N69="",$O69="",$W69="")),"Complete MIAR / scoring / empirical eligibility",IF(AND($F69="Zacks Election",OR($T69="",$T69&lt;50)),"Sub-$50B Zacks election exception",IF(OR($U69=4,$U69=5),"Zacks #4/#5 exception review",IF($V69="No Rating","Merrill No Rating exception",IF($V69="Restricted / Unavailable","Merrill restricted / unavailable exception","None")))))))</x:f>
        <x:v>Canonical MASR ID required</x:v>
      </x:c>
      <x:c r="Z69" s="1257" t="n">
        <x:f>IF($B69="","",COUNTIF('24 RCC-004 Candidate Pipeline'!$C$14:$C$213,$B69))</x:f>
        <x:v>1</x:v>
      </x:c>
      <x:c r="AA69" s="1253" t="str">
        <x:f>IF($B69="","",IFERROR(INDEX('24 RCC-004 Candidate Pipeline'!$Y$14:$Y$213,MATCH($B69,'24 RCC-004 Candidate Pipeline'!$C$14:$C$213,0)),""))</x:f>
        <x:v>Intake</x:v>
      </x:c>
      <x:c r="AB69" s="1242"/>
      <x:c r="AC69" s="1253" t="str">
        <x:f>IF($B69="","",IF(COUNTIFS('24 RCC-004 Candidate Pipeline'!$C$14:$C$213,$B69,'24 RCC-004 Candidate Pipeline'!$AF$14:$AF$213,"Yes — Refer to PEW-004")&gt;0,"REFERRED — PEW-004",IF($Z69&gt;0,"CANDIDATE RECORD ACTIVE","NO ACTIVE CANDIDATE")))</x:f>
        <x:v>CANDIDATE RECORD ACTIVE</x:v>
      </x:c>
      <x:c r="AD69" s="1253" t="str">
        <x:f>IF($B69="","",IF($A69="","SETUP REQUIRED",IF(COUNTIF($A$14:$A$163,$A69)&gt;1,"DUPLICATE MASR ID",IF(COUNTIF($B$14:$B$163,$B69)&gt;1,"DUPLICATE TICKER",IF(OR($D69="",$E69="",$F69="",$G69="",$H69="",$I69=""),"INCOMPLETE",IF(OR($K69="",$L69=""),"MIAR SETUP REQUIRED",IF($X69="NOT ELIGIBLE","NOT ELIGIBLE",IF($Y69&lt;&gt;"None","EXCEPTION REVIEW",IF(AND($D69&lt;&gt;"Certified Portfolio Holding",OR($E69="Active — Approved Non-Holding",$E69="Conditional",$E69="Candidate — Committee Review"),OR($AB69="",$AB69="Pending")),"COMMITTEE DISPOSITION REQUIRED",IF(AND(OR($E69="Active — Approved Non-Holding",$E69="Conditional"),OR($AG69="",$AH69="")),"CERTIFICATION REQUIRED",IF(OR($E69="Rejected",$E69="Removed",$E69="Archived"),"INACTIVE / CLOSED","CONTROL CLEAR")))))))))))</x:f>
        <x:v>SETUP REQUIRED</x:v>
      </x:c>
      <x:c r="AE69" s="1253" t="str">
        <x:f>IF($AD69="","",IFERROR(INDEX('97 RCC Lists'!$AK$5:$AK$15,MATCH($AD69,'97 RCC Lists'!$AJ$5:$AJ$15,0)),"Review exception"))</x:f>
        <x:v>Assign canonical MASR ID and complete registry setup</x:v>
      </x:c>
      <x:c r="AF69" s="1251"/>
      <x:c r="AG69" s="1242"/>
      <x:c r="AH69" s="1251"/>
      <x:c r="AI69" s="1242"/>
    </x:row>
    <x:row r="70" ht="32" customHeight="1">
      <x:c r="A70" s="1242"/>
      <x:c r="B70" s="1242"/>
      <x:c r="C70" s="1242"/>
      <x:c r="D70" s="1242"/>
      <x:c r="E70" s="1242"/>
      <x:c r="F70" s="1242"/>
      <x:c r="G70" s="1242"/>
      <x:c r="H70" s="1242"/>
      <x:c r="I70" s="1242"/>
      <x:c r="J70" s="1259" t="str">
        <x:f>IF($B70="","",IFERROR(INDEX('Certified Allocation'!$F$5:$F$51,MATCH($B70,'Certified Allocation'!$B$5:$B$51,0)),""))</x:f>
      </x:c>
      <x:c r="K70" s="1243" t="str">
        <x:f>IF($B70="","",IFERROR(INDEX('20 RCC-003 MIAR Registry'!$A$14:$A$60,MATCH($B70,'20 RCC-003 MIAR Registry'!$B$14:$B$60,0)),""))</x:f>
      </x:c>
      <x:c r="L70" s="1243" t="str">
        <x:f>IF($B70="","",IFERROR(INDEX('20 RCC-003 MIAR Registry'!$M$14:$M$60,MATCH($B70,'20 RCC-003 MIAR Registry'!$B$14:$B$60,0)),""))</x:f>
      </x:c>
      <x:c r="M70" s="1243" t="str">
        <x:f>IF($B70="","",IFERROR(INDEX('20 RCC-003 MIAR Registry'!$Z$14:$Z$60,MATCH($B70,'20 RCC-003 MIAR Registry'!$B$14:$B$60,0)),""))</x:f>
      </x:c>
      <x:c r="N70" s="1246" t="str">
        <x:f>IF($B70="","",IFERROR(INDEX('20 RCC-003 MIAR Registry'!$K$14:$K$60,MATCH($B70,'20 RCC-003 MIAR Registry'!$B$14:$B$60,0)),""))</x:f>
      </x:c>
      <x:c r="O70" s="1246" t="str">
        <x:f>IF($B70="","",IFERROR(INDEX('20 RCC-003 MIAR Registry'!$L$14:$L$60,MATCH($B70,'20 RCC-003 MIAR Registry'!$B$14:$B$60,0)),""))</x:f>
      </x:c>
      <x:c r="P70" s="1243" t="str">
        <x:f>IF($B70="","",IFERROR(INDEX('20 RCC-003 MIAR Registry'!$I$14:$I$60,MATCH($B70,'20 RCC-003 MIAR Registry'!$B$14:$B$60,0)),""))</x:f>
      </x:c>
      <x:c r="Q70" s="1243" t="str">
        <x:f>IF($B70="","",IFERROR(INDEX('20 RCC-003 MIAR Registry'!$J$14:$J$60,MATCH($B70,'20 RCC-003 MIAR Registry'!$B$14:$B$60,0)),""))</x:f>
      </x:c>
      <x:c r="R70" s="1247" t="str">
        <x:f>IF($B70="","",COUNTIF('18 RCC-002 Evidence Ledger'!$E$14:$E$213,$B70))</x:f>
      </x:c>
      <x:c r="S70" s="1247" t="str">
        <x:f>IF($B70="","",COUNTIFS('18 RCC-002 Evidence Ledger'!$E$14:$E$213,$B70,'18 RCC-002 Evidence Ledger'!$T$14:$T$213,"&lt;&gt;Closed — No Action",'18 RCC-002 Evidence Ledger'!$T$14:$T$213,"&lt;&gt;Closed — Incorporated"))</x:f>
      </x:c>
      <x:c r="T70" s="1248"/>
      <x:c r="U70" s="1249"/>
      <x:c r="V70" s="1242"/>
      <x:c r="W70" s="1248"/>
      <x:c r="X70" s="1244" t="str">
        <x:f>IF($B70="","",IF($D70="Certified Portfolio Holding","CERTIFIED HOLDING",IF(OR($A70="",$D70="",$E70="",$F70="",$G70="",$H70="",$I70=""),"NOT ASSESSED",IF(OR($K70="",$L70&lt;&gt;"Active",$M70="OVERDUE",$M70="MATERIAL EVENT REVIEW",$N70="",$O70="",$W70=""),"NOT ELIGIBLE",IF(OR(AND($F70="Zacks Election",OR($T70="",$T70&lt;50)),OR($U70=4,$U70=5),$V70="No Rating",$V70="Restricted / Unavailable"),"ELIGIBLE WITH EXCEPTION","ELIGIBLE")))))</x:f>
      </x:c>
      <x:c r="Y70" s="1244" t="str">
        <x:f>IF($B70="","",IF($A70="","Canonical MASR ID required",IF(AND($D70&lt;&gt;"Certified Portfolio Holding",OR($K70="",$L70&lt;&gt;"Active",$M70&lt;&gt;"CURRENT",$N70="",$O70="",$W70="")),"Complete MIAR / scoring / empirical eligibility",IF(AND($F70="Zacks Election",OR($T70="",$T70&lt;50)),"Sub-$50B Zacks election exception",IF(OR($U70=4,$U70=5),"Zacks #4/#5 exception review",IF($V70="No Rating","Merrill No Rating exception",IF($V70="Restricted / Unavailable","Merrill restricted / unavailable exception","None")))))))</x:f>
      </x:c>
      <x:c r="Z70" s="1250" t="str">
        <x:f>IF($B70="","",COUNTIF('24 RCC-004 Candidate Pipeline'!$C$14:$C$213,$B70))</x:f>
      </x:c>
      <x:c r="AA70" s="1244" t="str">
        <x:f>IF($B70="","",IFERROR(INDEX('24 RCC-004 Candidate Pipeline'!$Y$14:$Y$213,MATCH($B70,'24 RCC-004 Candidate Pipeline'!$C$14:$C$213,0)),""))</x:f>
      </x:c>
      <x:c r="AB70" s="1242"/>
      <x:c r="AC70" s="1244" t="str">
        <x:f>IF($B70="","",IF(COUNTIFS('24 RCC-004 Candidate Pipeline'!$C$14:$C$213,$B70,'24 RCC-004 Candidate Pipeline'!$AF$14:$AF$213,"Yes — Refer to PEW-004")&gt;0,"REFERRED — PEW-004",IF($Z70&gt;0,"CANDIDATE RECORD ACTIVE","NO ACTIVE CANDIDATE")))</x:f>
      </x:c>
      <x:c r="AD70" s="1244" t="str">
        <x:f>IF($B70="","",IF($A70="","SETUP REQUIRED",IF(COUNTIF($A$14:$A$163,$A70)&gt;1,"DUPLICATE MASR ID",IF(COUNTIF($B$14:$B$163,$B70)&gt;1,"DUPLICATE TICKER",IF(OR($D70="",$E70="",$F70="",$G70="",$H70="",$I70=""),"INCOMPLETE",IF(OR($K70="",$L70=""),"MIAR SETUP REQUIRED",IF($X70="NOT ELIGIBLE","NOT ELIGIBLE",IF($Y70&lt;&gt;"None","EXCEPTION REVIEW",IF(AND($D70&lt;&gt;"Certified Portfolio Holding",OR($E70="Active — Approved Non-Holding",$E70="Conditional",$E70="Candidate — Committee Review"),OR($AB70="",$AB70="Pending")),"COMMITTEE DISPOSITION REQUIRED",IF(AND(OR($E70="Active — Approved Non-Holding",$E70="Conditional"),OR($AG70="",$AH70="")),"CERTIFICATION REQUIRED",IF(OR($E70="Rejected",$E70="Removed",$E70="Archived"),"INACTIVE / CLOSED","CONTROL CLEAR")))))))))))</x:f>
      </x:c>
      <x:c r="AE70" s="1244" t="str">
        <x:f>IF($AD70="","",IFERROR(INDEX('97 RCC Lists'!$AK$5:$AK$15,MATCH($AD70,'97 RCC Lists'!$AJ$5:$AJ$15,0)),"Review exception"))</x:f>
      </x:c>
      <x:c r="AF70" s="1251"/>
      <x:c r="AG70" s="1242"/>
      <x:c r="AH70" s="1251"/>
      <x:c r="AI70" s="1242"/>
    </x:row>
    <x:row r="71" ht="32" customHeight="1">
      <x:c r="A71" s="1242"/>
      <x:c r="B71" s="1242"/>
      <x:c r="C71" s="1242"/>
      <x:c r="D71" s="1242"/>
      <x:c r="E71" s="1242"/>
      <x:c r="F71" s="1242"/>
      <x:c r="G71" s="1242"/>
      <x:c r="H71" s="1242"/>
      <x:c r="I71" s="1242"/>
      <x:c r="J71" s="1258" t="str">
        <x:f>IF($B71="","",IFERROR(INDEX('Certified Allocation'!$F$5:$F$51,MATCH($B71,'Certified Allocation'!$B$5:$B$51,0)),""))</x:f>
      </x:c>
      <x:c r="K71" s="1252" t="str">
        <x:f>IF($B71="","",IFERROR(INDEX('20 RCC-003 MIAR Registry'!$A$14:$A$60,MATCH($B71,'20 RCC-003 MIAR Registry'!$B$14:$B$60,0)),""))</x:f>
      </x:c>
      <x:c r="L71" s="1252" t="str">
        <x:f>IF($B71="","",IFERROR(INDEX('20 RCC-003 MIAR Registry'!$M$14:$M$60,MATCH($B71,'20 RCC-003 MIAR Registry'!$B$14:$B$60,0)),""))</x:f>
      </x:c>
      <x:c r="M71" s="1252" t="str">
        <x:f>IF($B71="","",IFERROR(INDEX('20 RCC-003 MIAR Registry'!$Z$14:$Z$60,MATCH($B71,'20 RCC-003 MIAR Registry'!$B$14:$B$60,0)),""))</x:f>
      </x:c>
      <x:c r="N71" s="1255" t="str">
        <x:f>IF($B71="","",IFERROR(INDEX('20 RCC-003 MIAR Registry'!$K$14:$K$60,MATCH($B71,'20 RCC-003 MIAR Registry'!$B$14:$B$60,0)),""))</x:f>
      </x:c>
      <x:c r="O71" s="1255" t="str">
        <x:f>IF($B71="","",IFERROR(INDEX('20 RCC-003 MIAR Registry'!$L$14:$L$60,MATCH($B71,'20 RCC-003 MIAR Registry'!$B$14:$B$60,0)),""))</x:f>
      </x:c>
      <x:c r="P71" s="1252" t="str">
        <x:f>IF($B71="","",IFERROR(INDEX('20 RCC-003 MIAR Registry'!$I$14:$I$60,MATCH($B71,'20 RCC-003 MIAR Registry'!$B$14:$B$60,0)),""))</x:f>
      </x:c>
      <x:c r="Q71" s="1252" t="str">
        <x:f>IF($B71="","",IFERROR(INDEX('20 RCC-003 MIAR Registry'!$J$14:$J$60,MATCH($B71,'20 RCC-003 MIAR Registry'!$B$14:$B$60,0)),""))</x:f>
      </x:c>
      <x:c r="R71" s="1256" t="str">
        <x:f>IF($B71="","",COUNTIF('18 RCC-002 Evidence Ledger'!$E$14:$E$213,$B71))</x:f>
      </x:c>
      <x:c r="S71" s="1256" t="str">
        <x:f>IF($B71="","",COUNTIFS('18 RCC-002 Evidence Ledger'!$E$14:$E$213,$B71,'18 RCC-002 Evidence Ledger'!$T$14:$T$213,"&lt;&gt;Closed — No Action",'18 RCC-002 Evidence Ledger'!$T$14:$T$213,"&lt;&gt;Closed — Incorporated"))</x:f>
      </x:c>
      <x:c r="T71" s="1248"/>
      <x:c r="U71" s="1249"/>
      <x:c r="V71" s="1242"/>
      <x:c r="W71" s="1248"/>
      <x:c r="X71" s="1253" t="str">
        <x:f>IF($B71="","",IF($D71="Certified Portfolio Holding","CERTIFIED HOLDING",IF(OR($A71="",$D71="",$E71="",$F71="",$G71="",$H71="",$I71=""),"NOT ASSESSED",IF(OR($K71="",$L71&lt;&gt;"Active",$M71="OVERDUE",$M71="MATERIAL EVENT REVIEW",$N71="",$O71="",$W71=""),"NOT ELIGIBLE",IF(OR(AND($F71="Zacks Election",OR($T71="",$T71&lt;50)),OR($U71=4,$U71=5),$V71="No Rating",$V71="Restricted / Unavailable"),"ELIGIBLE WITH EXCEPTION","ELIGIBLE")))))</x:f>
      </x:c>
      <x:c r="Y71" s="1253" t="str">
        <x:f>IF($B71="","",IF($A71="","Canonical MASR ID required",IF(AND($D71&lt;&gt;"Certified Portfolio Holding",OR($K71="",$L71&lt;&gt;"Active",$M71&lt;&gt;"CURRENT",$N71="",$O71="",$W71="")),"Complete MIAR / scoring / empirical eligibility",IF(AND($F71="Zacks Election",OR($T71="",$T71&lt;50)),"Sub-$50B Zacks election exception",IF(OR($U71=4,$U71=5),"Zacks #4/#5 exception review",IF($V71="No Rating","Merrill No Rating exception",IF($V71="Restricted / Unavailable","Merrill restricted / unavailable exception","None")))))))</x:f>
      </x:c>
      <x:c r="Z71" s="1257" t="str">
        <x:f>IF($B71="","",COUNTIF('24 RCC-004 Candidate Pipeline'!$C$14:$C$213,$B71))</x:f>
      </x:c>
      <x:c r="AA71" s="1253" t="str">
        <x:f>IF($B71="","",IFERROR(INDEX('24 RCC-004 Candidate Pipeline'!$Y$14:$Y$213,MATCH($B71,'24 RCC-004 Candidate Pipeline'!$C$14:$C$213,0)),""))</x:f>
      </x:c>
      <x:c r="AB71" s="1242"/>
      <x:c r="AC71" s="1253" t="str">
        <x:f>IF($B71="","",IF(COUNTIFS('24 RCC-004 Candidate Pipeline'!$C$14:$C$213,$B71,'24 RCC-004 Candidate Pipeline'!$AF$14:$AF$213,"Yes — Refer to PEW-004")&gt;0,"REFERRED — PEW-004",IF($Z71&gt;0,"CANDIDATE RECORD ACTIVE","NO ACTIVE CANDIDATE")))</x:f>
      </x:c>
      <x:c r="AD71" s="1253" t="str">
        <x:f>IF($B71="","",IF($A71="","SETUP REQUIRED",IF(COUNTIF($A$14:$A$163,$A71)&gt;1,"DUPLICATE MASR ID",IF(COUNTIF($B$14:$B$163,$B71)&gt;1,"DUPLICATE TICKER",IF(OR($D71="",$E71="",$F71="",$G71="",$H71="",$I71=""),"INCOMPLETE",IF(OR($K71="",$L71=""),"MIAR SETUP REQUIRED",IF($X71="NOT ELIGIBLE","NOT ELIGIBLE",IF($Y71&lt;&gt;"None","EXCEPTION REVIEW",IF(AND($D71&lt;&gt;"Certified Portfolio Holding",OR($E71="Active — Approved Non-Holding",$E71="Conditional",$E71="Candidate — Committee Review"),OR($AB71="",$AB71="Pending")),"COMMITTEE DISPOSITION REQUIRED",IF(AND(OR($E71="Active — Approved Non-Holding",$E71="Conditional"),OR($AG71="",$AH71="")),"CERTIFICATION REQUIRED",IF(OR($E71="Rejected",$E71="Removed",$E71="Archived"),"INACTIVE / CLOSED","CONTROL CLEAR")))))))))))</x:f>
      </x:c>
      <x:c r="AE71" s="1253" t="str">
        <x:f>IF($AD71="","",IFERROR(INDEX('97 RCC Lists'!$AK$5:$AK$15,MATCH($AD71,'97 RCC Lists'!$AJ$5:$AJ$15,0)),"Review exception"))</x:f>
      </x:c>
      <x:c r="AF71" s="1251"/>
      <x:c r="AG71" s="1242"/>
      <x:c r="AH71" s="1251"/>
      <x:c r="AI71" s="1242"/>
    </x:row>
    <x:row r="72" ht="32" customHeight="1">
      <x:c r="A72" s="1242"/>
      <x:c r="B72" s="1242"/>
      <x:c r="C72" s="1242"/>
      <x:c r="D72" s="1242"/>
      <x:c r="E72" s="1242"/>
      <x:c r="F72" s="1242"/>
      <x:c r="G72" s="1242"/>
      <x:c r="H72" s="1242"/>
      <x:c r="I72" s="1242"/>
      <x:c r="J72" s="1259" t="str">
        <x:f>IF($B72="","",IFERROR(INDEX('Certified Allocation'!$F$5:$F$51,MATCH($B72,'Certified Allocation'!$B$5:$B$51,0)),""))</x:f>
      </x:c>
      <x:c r="K72" s="1243" t="str">
        <x:f>IF($B72="","",IFERROR(INDEX('20 RCC-003 MIAR Registry'!$A$14:$A$60,MATCH($B72,'20 RCC-003 MIAR Registry'!$B$14:$B$60,0)),""))</x:f>
      </x:c>
      <x:c r="L72" s="1243" t="str">
        <x:f>IF($B72="","",IFERROR(INDEX('20 RCC-003 MIAR Registry'!$M$14:$M$60,MATCH($B72,'20 RCC-003 MIAR Registry'!$B$14:$B$60,0)),""))</x:f>
      </x:c>
      <x:c r="M72" s="1243" t="str">
        <x:f>IF($B72="","",IFERROR(INDEX('20 RCC-003 MIAR Registry'!$Z$14:$Z$60,MATCH($B72,'20 RCC-003 MIAR Registry'!$B$14:$B$60,0)),""))</x:f>
      </x:c>
      <x:c r="N72" s="1246" t="str">
        <x:f>IF($B72="","",IFERROR(INDEX('20 RCC-003 MIAR Registry'!$K$14:$K$60,MATCH($B72,'20 RCC-003 MIAR Registry'!$B$14:$B$60,0)),""))</x:f>
      </x:c>
      <x:c r="O72" s="1246" t="str">
        <x:f>IF($B72="","",IFERROR(INDEX('20 RCC-003 MIAR Registry'!$L$14:$L$60,MATCH($B72,'20 RCC-003 MIAR Registry'!$B$14:$B$60,0)),""))</x:f>
      </x:c>
      <x:c r="P72" s="1243" t="str">
        <x:f>IF($B72="","",IFERROR(INDEX('20 RCC-003 MIAR Registry'!$I$14:$I$60,MATCH($B72,'20 RCC-003 MIAR Registry'!$B$14:$B$60,0)),""))</x:f>
      </x:c>
      <x:c r="Q72" s="1243" t="str">
        <x:f>IF($B72="","",IFERROR(INDEX('20 RCC-003 MIAR Registry'!$J$14:$J$60,MATCH($B72,'20 RCC-003 MIAR Registry'!$B$14:$B$60,0)),""))</x:f>
      </x:c>
      <x:c r="R72" s="1247" t="str">
        <x:f>IF($B72="","",COUNTIF('18 RCC-002 Evidence Ledger'!$E$14:$E$213,$B72))</x:f>
      </x:c>
      <x:c r="S72" s="1247" t="str">
        <x:f>IF($B72="","",COUNTIFS('18 RCC-002 Evidence Ledger'!$E$14:$E$213,$B72,'18 RCC-002 Evidence Ledger'!$T$14:$T$213,"&lt;&gt;Closed — No Action",'18 RCC-002 Evidence Ledger'!$T$14:$T$213,"&lt;&gt;Closed — Incorporated"))</x:f>
      </x:c>
      <x:c r="T72" s="1248"/>
      <x:c r="U72" s="1249"/>
      <x:c r="V72" s="1242"/>
      <x:c r="W72" s="1248"/>
      <x:c r="X72" s="1244" t="str">
        <x:f>IF($B72="","",IF($D72="Certified Portfolio Holding","CERTIFIED HOLDING",IF(OR($A72="",$D72="",$E72="",$F72="",$G72="",$H72="",$I72=""),"NOT ASSESSED",IF(OR($K72="",$L72&lt;&gt;"Active",$M72="OVERDUE",$M72="MATERIAL EVENT REVIEW",$N72="",$O72="",$W72=""),"NOT ELIGIBLE",IF(OR(AND($F72="Zacks Election",OR($T72="",$T72&lt;50)),OR($U72=4,$U72=5),$V72="No Rating",$V72="Restricted / Unavailable"),"ELIGIBLE WITH EXCEPTION","ELIGIBLE")))))</x:f>
      </x:c>
      <x:c r="Y72" s="1244" t="str">
        <x:f>IF($B72="","",IF($A72="","Canonical MASR ID required",IF(AND($D72&lt;&gt;"Certified Portfolio Holding",OR($K72="",$L72&lt;&gt;"Active",$M72&lt;&gt;"CURRENT",$N72="",$O72="",$W72="")),"Complete MIAR / scoring / empirical eligibility",IF(AND($F72="Zacks Election",OR($T72="",$T72&lt;50)),"Sub-$50B Zacks election exception",IF(OR($U72=4,$U72=5),"Zacks #4/#5 exception review",IF($V72="No Rating","Merrill No Rating exception",IF($V72="Restricted / Unavailable","Merrill restricted / unavailable exception","None")))))))</x:f>
      </x:c>
      <x:c r="Z72" s="1250" t="str">
        <x:f>IF($B72="","",COUNTIF('24 RCC-004 Candidate Pipeline'!$C$14:$C$213,$B72))</x:f>
      </x:c>
      <x:c r="AA72" s="1244" t="str">
        <x:f>IF($B72="","",IFERROR(INDEX('24 RCC-004 Candidate Pipeline'!$Y$14:$Y$213,MATCH($B72,'24 RCC-004 Candidate Pipeline'!$C$14:$C$213,0)),""))</x:f>
      </x:c>
      <x:c r="AB72" s="1242"/>
      <x:c r="AC72" s="1244" t="str">
        <x:f>IF($B72="","",IF(COUNTIFS('24 RCC-004 Candidate Pipeline'!$C$14:$C$213,$B72,'24 RCC-004 Candidate Pipeline'!$AF$14:$AF$213,"Yes — Refer to PEW-004")&gt;0,"REFERRED — PEW-004",IF($Z72&gt;0,"CANDIDATE RECORD ACTIVE","NO ACTIVE CANDIDATE")))</x:f>
      </x:c>
      <x:c r="AD72" s="1244" t="str">
        <x:f>IF($B72="","",IF($A72="","SETUP REQUIRED",IF(COUNTIF($A$14:$A$163,$A72)&gt;1,"DUPLICATE MASR ID",IF(COUNTIF($B$14:$B$163,$B72)&gt;1,"DUPLICATE TICKER",IF(OR($D72="",$E72="",$F72="",$G72="",$H72="",$I72=""),"INCOMPLETE",IF(OR($K72="",$L72=""),"MIAR SETUP REQUIRED",IF($X72="NOT ELIGIBLE","NOT ELIGIBLE",IF($Y72&lt;&gt;"None","EXCEPTION REVIEW",IF(AND($D72&lt;&gt;"Certified Portfolio Holding",OR($E72="Active — Approved Non-Holding",$E72="Conditional",$E72="Candidate — Committee Review"),OR($AB72="",$AB72="Pending")),"COMMITTEE DISPOSITION REQUIRED",IF(AND(OR($E72="Active — Approved Non-Holding",$E72="Conditional"),OR($AG72="",$AH72="")),"CERTIFICATION REQUIRED",IF(OR($E72="Rejected",$E72="Removed",$E72="Archived"),"INACTIVE / CLOSED","CONTROL CLEAR")))))))))))</x:f>
      </x:c>
      <x:c r="AE72" s="1244" t="str">
        <x:f>IF($AD72="","",IFERROR(INDEX('97 RCC Lists'!$AK$5:$AK$15,MATCH($AD72,'97 RCC Lists'!$AJ$5:$AJ$15,0)),"Review exception"))</x:f>
      </x:c>
      <x:c r="AF72" s="1251"/>
      <x:c r="AG72" s="1242"/>
      <x:c r="AH72" s="1251"/>
      <x:c r="AI72" s="1242"/>
    </x:row>
    <x:row r="73" ht="32" customHeight="1">
      <x:c r="A73" s="1242"/>
      <x:c r="B73" s="1242"/>
      <x:c r="C73" s="1242"/>
      <x:c r="D73" s="1242"/>
      <x:c r="E73" s="1242"/>
      <x:c r="F73" s="1242"/>
      <x:c r="G73" s="1242"/>
      <x:c r="H73" s="1242"/>
      <x:c r="I73" s="1242"/>
      <x:c r="J73" s="1258" t="str">
        <x:f>IF($B73="","",IFERROR(INDEX('Certified Allocation'!$F$5:$F$51,MATCH($B73,'Certified Allocation'!$B$5:$B$51,0)),""))</x:f>
      </x:c>
      <x:c r="K73" s="1252" t="str">
        <x:f>IF($B73="","",IFERROR(INDEX('20 RCC-003 MIAR Registry'!$A$14:$A$60,MATCH($B73,'20 RCC-003 MIAR Registry'!$B$14:$B$60,0)),""))</x:f>
      </x:c>
      <x:c r="L73" s="1252" t="str">
        <x:f>IF($B73="","",IFERROR(INDEX('20 RCC-003 MIAR Registry'!$M$14:$M$60,MATCH($B73,'20 RCC-003 MIAR Registry'!$B$14:$B$60,0)),""))</x:f>
      </x:c>
      <x:c r="M73" s="1252" t="str">
        <x:f>IF($B73="","",IFERROR(INDEX('20 RCC-003 MIAR Registry'!$Z$14:$Z$60,MATCH($B73,'20 RCC-003 MIAR Registry'!$B$14:$B$60,0)),""))</x:f>
      </x:c>
      <x:c r="N73" s="1255" t="str">
        <x:f>IF($B73="","",IFERROR(INDEX('20 RCC-003 MIAR Registry'!$K$14:$K$60,MATCH($B73,'20 RCC-003 MIAR Registry'!$B$14:$B$60,0)),""))</x:f>
      </x:c>
      <x:c r="O73" s="1255" t="str">
        <x:f>IF($B73="","",IFERROR(INDEX('20 RCC-003 MIAR Registry'!$L$14:$L$60,MATCH($B73,'20 RCC-003 MIAR Registry'!$B$14:$B$60,0)),""))</x:f>
      </x:c>
      <x:c r="P73" s="1252" t="str">
        <x:f>IF($B73="","",IFERROR(INDEX('20 RCC-003 MIAR Registry'!$I$14:$I$60,MATCH($B73,'20 RCC-003 MIAR Registry'!$B$14:$B$60,0)),""))</x:f>
      </x:c>
      <x:c r="Q73" s="1252" t="str">
        <x:f>IF($B73="","",IFERROR(INDEX('20 RCC-003 MIAR Registry'!$J$14:$J$60,MATCH($B73,'20 RCC-003 MIAR Registry'!$B$14:$B$60,0)),""))</x:f>
      </x:c>
      <x:c r="R73" s="1256" t="str">
        <x:f>IF($B73="","",COUNTIF('18 RCC-002 Evidence Ledger'!$E$14:$E$213,$B73))</x:f>
      </x:c>
      <x:c r="S73" s="1256" t="str">
        <x:f>IF($B73="","",COUNTIFS('18 RCC-002 Evidence Ledger'!$E$14:$E$213,$B73,'18 RCC-002 Evidence Ledger'!$T$14:$T$213,"&lt;&gt;Closed — No Action",'18 RCC-002 Evidence Ledger'!$T$14:$T$213,"&lt;&gt;Closed — Incorporated"))</x:f>
      </x:c>
      <x:c r="T73" s="1248"/>
      <x:c r="U73" s="1249"/>
      <x:c r="V73" s="1242"/>
      <x:c r="W73" s="1248"/>
      <x:c r="X73" s="1253" t="str">
        <x:f>IF($B73="","",IF($D73="Certified Portfolio Holding","CERTIFIED HOLDING",IF(OR($A73="",$D73="",$E73="",$F73="",$G73="",$H73="",$I73=""),"NOT ASSESSED",IF(OR($K73="",$L73&lt;&gt;"Active",$M73="OVERDUE",$M73="MATERIAL EVENT REVIEW",$N73="",$O73="",$W73=""),"NOT ELIGIBLE",IF(OR(AND($F73="Zacks Election",OR($T73="",$T73&lt;50)),OR($U73=4,$U73=5),$V73="No Rating",$V73="Restricted / Unavailable"),"ELIGIBLE WITH EXCEPTION","ELIGIBLE")))))</x:f>
      </x:c>
      <x:c r="Y73" s="1253" t="str">
        <x:f>IF($B73="","",IF($A73="","Canonical MASR ID required",IF(AND($D73&lt;&gt;"Certified Portfolio Holding",OR($K73="",$L73&lt;&gt;"Active",$M73&lt;&gt;"CURRENT",$N73="",$O73="",$W73="")),"Complete MIAR / scoring / empirical eligibility",IF(AND($F73="Zacks Election",OR($T73="",$T73&lt;50)),"Sub-$50B Zacks election exception",IF(OR($U73=4,$U73=5),"Zacks #4/#5 exception review",IF($V73="No Rating","Merrill No Rating exception",IF($V73="Restricted / Unavailable","Merrill restricted / unavailable exception","None")))))))</x:f>
      </x:c>
      <x:c r="Z73" s="1257" t="str">
        <x:f>IF($B73="","",COUNTIF('24 RCC-004 Candidate Pipeline'!$C$14:$C$213,$B73))</x:f>
      </x:c>
      <x:c r="AA73" s="1253" t="str">
        <x:f>IF($B73="","",IFERROR(INDEX('24 RCC-004 Candidate Pipeline'!$Y$14:$Y$213,MATCH($B73,'24 RCC-004 Candidate Pipeline'!$C$14:$C$213,0)),""))</x:f>
      </x:c>
      <x:c r="AB73" s="1242"/>
      <x:c r="AC73" s="1253" t="str">
        <x:f>IF($B73="","",IF(COUNTIFS('24 RCC-004 Candidate Pipeline'!$C$14:$C$213,$B73,'24 RCC-004 Candidate Pipeline'!$AF$14:$AF$213,"Yes — Refer to PEW-004")&gt;0,"REFERRED — PEW-004",IF($Z73&gt;0,"CANDIDATE RECORD ACTIVE","NO ACTIVE CANDIDATE")))</x:f>
      </x:c>
      <x:c r="AD73" s="1253" t="str">
        <x:f>IF($B73="","",IF($A73="","SETUP REQUIRED",IF(COUNTIF($A$14:$A$163,$A73)&gt;1,"DUPLICATE MASR ID",IF(COUNTIF($B$14:$B$163,$B73)&gt;1,"DUPLICATE TICKER",IF(OR($D73="",$E73="",$F73="",$G73="",$H73="",$I73=""),"INCOMPLETE",IF(OR($K73="",$L73=""),"MIAR SETUP REQUIRED",IF($X73="NOT ELIGIBLE","NOT ELIGIBLE",IF($Y73&lt;&gt;"None","EXCEPTION REVIEW",IF(AND($D73&lt;&gt;"Certified Portfolio Holding",OR($E73="Active — Approved Non-Holding",$E73="Conditional",$E73="Candidate — Committee Review"),OR($AB73="",$AB73="Pending")),"COMMITTEE DISPOSITION REQUIRED",IF(AND(OR($E73="Active — Approved Non-Holding",$E73="Conditional"),OR($AG73="",$AH73="")),"CERTIFICATION REQUIRED",IF(OR($E73="Rejected",$E73="Removed",$E73="Archived"),"INACTIVE / CLOSED","CONTROL CLEAR")))))))))))</x:f>
      </x:c>
      <x:c r="AE73" s="1253" t="str">
        <x:f>IF($AD73="","",IFERROR(INDEX('97 RCC Lists'!$AK$5:$AK$15,MATCH($AD73,'97 RCC Lists'!$AJ$5:$AJ$15,0)),"Review exception"))</x:f>
      </x:c>
      <x:c r="AF73" s="1251"/>
      <x:c r="AG73" s="1242"/>
      <x:c r="AH73" s="1251"/>
      <x:c r="AI73" s="1242"/>
    </x:row>
    <x:row r="74" ht="32" customHeight="1">
      <x:c r="A74" s="1242"/>
      <x:c r="B74" s="1242"/>
      <x:c r="C74" s="1242"/>
      <x:c r="D74" s="1242"/>
      <x:c r="E74" s="1242"/>
      <x:c r="F74" s="1242"/>
      <x:c r="G74" s="1242"/>
      <x:c r="H74" s="1242"/>
      <x:c r="I74" s="1242"/>
      <x:c r="J74" s="1259" t="str">
        <x:f>IF($B74="","",IFERROR(INDEX('Certified Allocation'!$F$5:$F$51,MATCH($B74,'Certified Allocation'!$B$5:$B$51,0)),""))</x:f>
      </x:c>
      <x:c r="K74" s="1243" t="str">
        <x:f>IF($B74="","",IFERROR(INDEX('20 RCC-003 MIAR Registry'!$A$14:$A$60,MATCH($B74,'20 RCC-003 MIAR Registry'!$B$14:$B$60,0)),""))</x:f>
      </x:c>
      <x:c r="L74" s="1243" t="str">
        <x:f>IF($B74="","",IFERROR(INDEX('20 RCC-003 MIAR Registry'!$M$14:$M$60,MATCH($B74,'20 RCC-003 MIAR Registry'!$B$14:$B$60,0)),""))</x:f>
      </x:c>
      <x:c r="M74" s="1243" t="str">
        <x:f>IF($B74="","",IFERROR(INDEX('20 RCC-003 MIAR Registry'!$Z$14:$Z$60,MATCH($B74,'20 RCC-003 MIAR Registry'!$B$14:$B$60,0)),""))</x:f>
      </x:c>
      <x:c r="N74" s="1246" t="str">
        <x:f>IF($B74="","",IFERROR(INDEX('20 RCC-003 MIAR Registry'!$K$14:$K$60,MATCH($B74,'20 RCC-003 MIAR Registry'!$B$14:$B$60,0)),""))</x:f>
      </x:c>
      <x:c r="O74" s="1246" t="str">
        <x:f>IF($B74="","",IFERROR(INDEX('20 RCC-003 MIAR Registry'!$L$14:$L$60,MATCH($B74,'20 RCC-003 MIAR Registry'!$B$14:$B$60,0)),""))</x:f>
      </x:c>
      <x:c r="P74" s="1243" t="str">
        <x:f>IF($B74="","",IFERROR(INDEX('20 RCC-003 MIAR Registry'!$I$14:$I$60,MATCH($B74,'20 RCC-003 MIAR Registry'!$B$14:$B$60,0)),""))</x:f>
      </x:c>
      <x:c r="Q74" s="1243" t="str">
        <x:f>IF($B74="","",IFERROR(INDEX('20 RCC-003 MIAR Registry'!$J$14:$J$60,MATCH($B74,'20 RCC-003 MIAR Registry'!$B$14:$B$60,0)),""))</x:f>
      </x:c>
      <x:c r="R74" s="1247" t="str">
        <x:f>IF($B74="","",COUNTIF('18 RCC-002 Evidence Ledger'!$E$14:$E$213,$B74))</x:f>
      </x:c>
      <x:c r="S74" s="1247" t="str">
        <x:f>IF($B74="","",COUNTIFS('18 RCC-002 Evidence Ledger'!$E$14:$E$213,$B74,'18 RCC-002 Evidence Ledger'!$T$14:$T$213,"&lt;&gt;Closed — No Action",'18 RCC-002 Evidence Ledger'!$T$14:$T$213,"&lt;&gt;Closed — Incorporated"))</x:f>
      </x:c>
      <x:c r="T74" s="1248"/>
      <x:c r="U74" s="1249"/>
      <x:c r="V74" s="1242"/>
      <x:c r="W74" s="1248"/>
      <x:c r="X74" s="1244" t="str">
        <x:f>IF($B74="","",IF($D74="Certified Portfolio Holding","CERTIFIED HOLDING",IF(OR($A74="",$D74="",$E74="",$F74="",$G74="",$H74="",$I74=""),"NOT ASSESSED",IF(OR($K74="",$L74&lt;&gt;"Active",$M74="OVERDUE",$M74="MATERIAL EVENT REVIEW",$N74="",$O74="",$W74=""),"NOT ELIGIBLE",IF(OR(AND($F74="Zacks Election",OR($T74="",$T74&lt;50)),OR($U74=4,$U74=5),$V74="No Rating",$V74="Restricted / Unavailable"),"ELIGIBLE WITH EXCEPTION","ELIGIBLE")))))</x:f>
      </x:c>
      <x:c r="Y74" s="1244" t="str">
        <x:f>IF($B74="","",IF($A74="","Canonical MASR ID required",IF(AND($D74&lt;&gt;"Certified Portfolio Holding",OR($K74="",$L74&lt;&gt;"Active",$M74&lt;&gt;"CURRENT",$N74="",$O74="",$W74="")),"Complete MIAR / scoring / empirical eligibility",IF(AND($F74="Zacks Election",OR($T74="",$T74&lt;50)),"Sub-$50B Zacks election exception",IF(OR($U74=4,$U74=5),"Zacks #4/#5 exception review",IF($V74="No Rating","Merrill No Rating exception",IF($V74="Restricted / Unavailable","Merrill restricted / unavailable exception","None")))))))</x:f>
      </x:c>
      <x:c r="Z74" s="1250" t="str">
        <x:f>IF($B74="","",COUNTIF('24 RCC-004 Candidate Pipeline'!$C$14:$C$213,$B74))</x:f>
      </x:c>
      <x:c r="AA74" s="1244" t="str">
        <x:f>IF($B74="","",IFERROR(INDEX('24 RCC-004 Candidate Pipeline'!$Y$14:$Y$213,MATCH($B74,'24 RCC-004 Candidate Pipeline'!$C$14:$C$213,0)),""))</x:f>
      </x:c>
      <x:c r="AB74" s="1242"/>
      <x:c r="AC74" s="1244" t="str">
        <x:f>IF($B74="","",IF(COUNTIFS('24 RCC-004 Candidate Pipeline'!$C$14:$C$213,$B74,'24 RCC-004 Candidate Pipeline'!$AF$14:$AF$213,"Yes — Refer to PEW-004")&gt;0,"REFERRED — PEW-004",IF($Z74&gt;0,"CANDIDATE RECORD ACTIVE","NO ACTIVE CANDIDATE")))</x:f>
      </x:c>
      <x:c r="AD74" s="1244" t="str">
        <x:f>IF($B74="","",IF($A74="","SETUP REQUIRED",IF(COUNTIF($A$14:$A$163,$A74)&gt;1,"DUPLICATE MASR ID",IF(COUNTIF($B$14:$B$163,$B74)&gt;1,"DUPLICATE TICKER",IF(OR($D74="",$E74="",$F74="",$G74="",$H74="",$I74=""),"INCOMPLETE",IF(OR($K74="",$L74=""),"MIAR SETUP REQUIRED",IF($X74="NOT ELIGIBLE","NOT ELIGIBLE",IF($Y74&lt;&gt;"None","EXCEPTION REVIEW",IF(AND($D74&lt;&gt;"Certified Portfolio Holding",OR($E74="Active — Approved Non-Holding",$E74="Conditional",$E74="Candidate — Committee Review"),OR($AB74="",$AB74="Pending")),"COMMITTEE DISPOSITION REQUIRED",IF(AND(OR($E74="Active — Approved Non-Holding",$E74="Conditional"),OR($AG74="",$AH74="")),"CERTIFICATION REQUIRED",IF(OR($E74="Rejected",$E74="Removed",$E74="Archived"),"INACTIVE / CLOSED","CONTROL CLEAR")))))))))))</x:f>
      </x:c>
      <x:c r="AE74" s="1244" t="str">
        <x:f>IF($AD74="","",IFERROR(INDEX('97 RCC Lists'!$AK$5:$AK$15,MATCH($AD74,'97 RCC Lists'!$AJ$5:$AJ$15,0)),"Review exception"))</x:f>
      </x:c>
      <x:c r="AF74" s="1251"/>
      <x:c r="AG74" s="1242"/>
      <x:c r="AH74" s="1251"/>
      <x:c r="AI74" s="1242"/>
    </x:row>
    <x:row r="75" ht="32" customHeight="1">
      <x:c r="A75" s="1242"/>
      <x:c r="B75" s="1242"/>
      <x:c r="C75" s="1242"/>
      <x:c r="D75" s="1242"/>
      <x:c r="E75" s="1242"/>
      <x:c r="F75" s="1242"/>
      <x:c r="G75" s="1242"/>
      <x:c r="H75" s="1242"/>
      <x:c r="I75" s="1242"/>
      <x:c r="J75" s="1258" t="str">
        <x:f>IF($B75="","",IFERROR(INDEX('Certified Allocation'!$F$5:$F$51,MATCH($B75,'Certified Allocation'!$B$5:$B$51,0)),""))</x:f>
      </x:c>
      <x:c r="K75" s="1252" t="str">
        <x:f>IF($B75="","",IFERROR(INDEX('20 RCC-003 MIAR Registry'!$A$14:$A$60,MATCH($B75,'20 RCC-003 MIAR Registry'!$B$14:$B$60,0)),""))</x:f>
      </x:c>
      <x:c r="L75" s="1252" t="str">
        <x:f>IF($B75="","",IFERROR(INDEX('20 RCC-003 MIAR Registry'!$M$14:$M$60,MATCH($B75,'20 RCC-003 MIAR Registry'!$B$14:$B$60,0)),""))</x:f>
      </x:c>
      <x:c r="M75" s="1252" t="str">
        <x:f>IF($B75="","",IFERROR(INDEX('20 RCC-003 MIAR Registry'!$Z$14:$Z$60,MATCH($B75,'20 RCC-003 MIAR Registry'!$B$14:$B$60,0)),""))</x:f>
      </x:c>
      <x:c r="N75" s="1255" t="str">
        <x:f>IF($B75="","",IFERROR(INDEX('20 RCC-003 MIAR Registry'!$K$14:$K$60,MATCH($B75,'20 RCC-003 MIAR Registry'!$B$14:$B$60,0)),""))</x:f>
      </x:c>
      <x:c r="O75" s="1255" t="str">
        <x:f>IF($B75="","",IFERROR(INDEX('20 RCC-003 MIAR Registry'!$L$14:$L$60,MATCH($B75,'20 RCC-003 MIAR Registry'!$B$14:$B$60,0)),""))</x:f>
      </x:c>
      <x:c r="P75" s="1252" t="str">
        <x:f>IF($B75="","",IFERROR(INDEX('20 RCC-003 MIAR Registry'!$I$14:$I$60,MATCH($B75,'20 RCC-003 MIAR Registry'!$B$14:$B$60,0)),""))</x:f>
      </x:c>
      <x:c r="Q75" s="1252" t="str">
        <x:f>IF($B75="","",IFERROR(INDEX('20 RCC-003 MIAR Registry'!$J$14:$J$60,MATCH($B75,'20 RCC-003 MIAR Registry'!$B$14:$B$60,0)),""))</x:f>
      </x:c>
      <x:c r="R75" s="1256" t="str">
        <x:f>IF($B75="","",COUNTIF('18 RCC-002 Evidence Ledger'!$E$14:$E$213,$B75))</x:f>
      </x:c>
      <x:c r="S75" s="1256" t="str">
        <x:f>IF($B75="","",COUNTIFS('18 RCC-002 Evidence Ledger'!$E$14:$E$213,$B75,'18 RCC-002 Evidence Ledger'!$T$14:$T$213,"&lt;&gt;Closed — No Action",'18 RCC-002 Evidence Ledger'!$T$14:$T$213,"&lt;&gt;Closed — Incorporated"))</x:f>
      </x:c>
      <x:c r="T75" s="1248"/>
      <x:c r="U75" s="1249"/>
      <x:c r="V75" s="1242"/>
      <x:c r="W75" s="1248"/>
      <x:c r="X75" s="1253" t="str">
        <x:f>IF($B75="","",IF($D75="Certified Portfolio Holding","CERTIFIED HOLDING",IF(OR($A75="",$D75="",$E75="",$F75="",$G75="",$H75="",$I75=""),"NOT ASSESSED",IF(OR($K75="",$L75&lt;&gt;"Active",$M75="OVERDUE",$M75="MATERIAL EVENT REVIEW",$N75="",$O75="",$W75=""),"NOT ELIGIBLE",IF(OR(AND($F75="Zacks Election",OR($T75="",$T75&lt;50)),OR($U75=4,$U75=5),$V75="No Rating",$V75="Restricted / Unavailable"),"ELIGIBLE WITH EXCEPTION","ELIGIBLE")))))</x:f>
      </x:c>
      <x:c r="Y75" s="1253" t="str">
        <x:f>IF($B75="","",IF($A75="","Canonical MASR ID required",IF(AND($D75&lt;&gt;"Certified Portfolio Holding",OR($K75="",$L75&lt;&gt;"Active",$M75&lt;&gt;"CURRENT",$N75="",$O75="",$W75="")),"Complete MIAR / scoring / empirical eligibility",IF(AND($F75="Zacks Election",OR($T75="",$T75&lt;50)),"Sub-$50B Zacks election exception",IF(OR($U75=4,$U75=5),"Zacks #4/#5 exception review",IF($V75="No Rating","Merrill No Rating exception",IF($V75="Restricted / Unavailable","Merrill restricted / unavailable exception","None")))))))</x:f>
      </x:c>
      <x:c r="Z75" s="1257" t="str">
        <x:f>IF($B75="","",COUNTIF('24 RCC-004 Candidate Pipeline'!$C$14:$C$213,$B75))</x:f>
      </x:c>
      <x:c r="AA75" s="1253" t="str">
        <x:f>IF($B75="","",IFERROR(INDEX('24 RCC-004 Candidate Pipeline'!$Y$14:$Y$213,MATCH($B75,'24 RCC-004 Candidate Pipeline'!$C$14:$C$213,0)),""))</x:f>
      </x:c>
      <x:c r="AB75" s="1242"/>
      <x:c r="AC75" s="1253" t="str">
        <x:f>IF($B75="","",IF(COUNTIFS('24 RCC-004 Candidate Pipeline'!$C$14:$C$213,$B75,'24 RCC-004 Candidate Pipeline'!$AF$14:$AF$213,"Yes — Refer to PEW-004")&gt;0,"REFERRED — PEW-004",IF($Z75&gt;0,"CANDIDATE RECORD ACTIVE","NO ACTIVE CANDIDATE")))</x:f>
      </x:c>
      <x:c r="AD75" s="1253" t="str">
        <x:f>IF($B75="","",IF($A75="","SETUP REQUIRED",IF(COUNTIF($A$14:$A$163,$A75)&gt;1,"DUPLICATE MASR ID",IF(COUNTIF($B$14:$B$163,$B75)&gt;1,"DUPLICATE TICKER",IF(OR($D75="",$E75="",$F75="",$G75="",$H75="",$I75=""),"INCOMPLETE",IF(OR($K75="",$L75=""),"MIAR SETUP REQUIRED",IF($X75="NOT ELIGIBLE","NOT ELIGIBLE",IF($Y75&lt;&gt;"None","EXCEPTION REVIEW",IF(AND($D75&lt;&gt;"Certified Portfolio Holding",OR($E75="Active — Approved Non-Holding",$E75="Conditional",$E75="Candidate — Committee Review"),OR($AB75="",$AB75="Pending")),"COMMITTEE DISPOSITION REQUIRED",IF(AND(OR($E75="Active — Approved Non-Holding",$E75="Conditional"),OR($AG75="",$AH75="")),"CERTIFICATION REQUIRED",IF(OR($E75="Rejected",$E75="Removed",$E75="Archived"),"INACTIVE / CLOSED","CONTROL CLEAR")))))))))))</x:f>
      </x:c>
      <x:c r="AE75" s="1253" t="str">
        <x:f>IF($AD75="","",IFERROR(INDEX('97 RCC Lists'!$AK$5:$AK$15,MATCH($AD75,'97 RCC Lists'!$AJ$5:$AJ$15,0)),"Review exception"))</x:f>
      </x:c>
      <x:c r="AF75" s="1251"/>
      <x:c r="AG75" s="1242"/>
      <x:c r="AH75" s="1251"/>
      <x:c r="AI75" s="1242"/>
    </x:row>
    <x:row r="76" ht="32" customHeight="1">
      <x:c r="A76" s="1242"/>
      <x:c r="B76" s="1242"/>
      <x:c r="C76" s="1242"/>
      <x:c r="D76" s="1242"/>
      <x:c r="E76" s="1242"/>
      <x:c r="F76" s="1242"/>
      <x:c r="G76" s="1242"/>
      <x:c r="H76" s="1242"/>
      <x:c r="I76" s="1242"/>
      <x:c r="J76" s="1259" t="str">
        <x:f>IF($B76="","",IFERROR(INDEX('Certified Allocation'!$F$5:$F$51,MATCH($B76,'Certified Allocation'!$B$5:$B$51,0)),""))</x:f>
      </x:c>
      <x:c r="K76" s="1243" t="str">
        <x:f>IF($B76="","",IFERROR(INDEX('20 RCC-003 MIAR Registry'!$A$14:$A$60,MATCH($B76,'20 RCC-003 MIAR Registry'!$B$14:$B$60,0)),""))</x:f>
      </x:c>
      <x:c r="L76" s="1243" t="str">
        <x:f>IF($B76="","",IFERROR(INDEX('20 RCC-003 MIAR Registry'!$M$14:$M$60,MATCH($B76,'20 RCC-003 MIAR Registry'!$B$14:$B$60,0)),""))</x:f>
      </x:c>
      <x:c r="M76" s="1243" t="str">
        <x:f>IF($B76="","",IFERROR(INDEX('20 RCC-003 MIAR Registry'!$Z$14:$Z$60,MATCH($B76,'20 RCC-003 MIAR Registry'!$B$14:$B$60,0)),""))</x:f>
      </x:c>
      <x:c r="N76" s="1246" t="str">
        <x:f>IF($B76="","",IFERROR(INDEX('20 RCC-003 MIAR Registry'!$K$14:$K$60,MATCH($B76,'20 RCC-003 MIAR Registry'!$B$14:$B$60,0)),""))</x:f>
      </x:c>
      <x:c r="O76" s="1246" t="str">
        <x:f>IF($B76="","",IFERROR(INDEX('20 RCC-003 MIAR Registry'!$L$14:$L$60,MATCH($B76,'20 RCC-003 MIAR Registry'!$B$14:$B$60,0)),""))</x:f>
      </x:c>
      <x:c r="P76" s="1243" t="str">
        <x:f>IF($B76="","",IFERROR(INDEX('20 RCC-003 MIAR Registry'!$I$14:$I$60,MATCH($B76,'20 RCC-003 MIAR Registry'!$B$14:$B$60,0)),""))</x:f>
      </x:c>
      <x:c r="Q76" s="1243" t="str">
        <x:f>IF($B76="","",IFERROR(INDEX('20 RCC-003 MIAR Registry'!$J$14:$J$60,MATCH($B76,'20 RCC-003 MIAR Registry'!$B$14:$B$60,0)),""))</x:f>
      </x:c>
      <x:c r="R76" s="1247" t="str">
        <x:f>IF($B76="","",COUNTIF('18 RCC-002 Evidence Ledger'!$E$14:$E$213,$B76))</x:f>
      </x:c>
      <x:c r="S76" s="1247" t="str">
        <x:f>IF($B76="","",COUNTIFS('18 RCC-002 Evidence Ledger'!$E$14:$E$213,$B76,'18 RCC-002 Evidence Ledger'!$T$14:$T$213,"&lt;&gt;Closed — No Action",'18 RCC-002 Evidence Ledger'!$T$14:$T$213,"&lt;&gt;Closed — Incorporated"))</x:f>
      </x:c>
      <x:c r="T76" s="1248"/>
      <x:c r="U76" s="1249"/>
      <x:c r="V76" s="1242"/>
      <x:c r="W76" s="1248"/>
      <x:c r="X76" s="1244" t="str">
        <x:f>IF($B76="","",IF($D76="Certified Portfolio Holding","CERTIFIED HOLDING",IF(OR($A76="",$D76="",$E76="",$F76="",$G76="",$H76="",$I76=""),"NOT ASSESSED",IF(OR($K76="",$L76&lt;&gt;"Active",$M76="OVERDUE",$M76="MATERIAL EVENT REVIEW",$N76="",$O76="",$W76=""),"NOT ELIGIBLE",IF(OR(AND($F76="Zacks Election",OR($T76="",$T76&lt;50)),OR($U76=4,$U76=5),$V76="No Rating",$V76="Restricted / Unavailable"),"ELIGIBLE WITH EXCEPTION","ELIGIBLE")))))</x:f>
      </x:c>
      <x:c r="Y76" s="1244" t="str">
        <x:f>IF($B76="","",IF($A76="","Canonical MASR ID required",IF(AND($D76&lt;&gt;"Certified Portfolio Holding",OR($K76="",$L76&lt;&gt;"Active",$M76&lt;&gt;"CURRENT",$N76="",$O76="",$W76="")),"Complete MIAR / scoring / empirical eligibility",IF(AND($F76="Zacks Election",OR($T76="",$T76&lt;50)),"Sub-$50B Zacks election exception",IF(OR($U76=4,$U76=5),"Zacks #4/#5 exception review",IF($V76="No Rating","Merrill No Rating exception",IF($V76="Restricted / Unavailable","Merrill restricted / unavailable exception","None")))))))</x:f>
      </x:c>
      <x:c r="Z76" s="1250" t="str">
        <x:f>IF($B76="","",COUNTIF('24 RCC-004 Candidate Pipeline'!$C$14:$C$213,$B76))</x:f>
      </x:c>
      <x:c r="AA76" s="1244" t="str">
        <x:f>IF($B76="","",IFERROR(INDEX('24 RCC-004 Candidate Pipeline'!$Y$14:$Y$213,MATCH($B76,'24 RCC-004 Candidate Pipeline'!$C$14:$C$213,0)),""))</x:f>
      </x:c>
      <x:c r="AB76" s="1242"/>
      <x:c r="AC76" s="1244" t="str">
        <x:f>IF($B76="","",IF(COUNTIFS('24 RCC-004 Candidate Pipeline'!$C$14:$C$213,$B76,'24 RCC-004 Candidate Pipeline'!$AF$14:$AF$213,"Yes — Refer to PEW-004")&gt;0,"REFERRED — PEW-004",IF($Z76&gt;0,"CANDIDATE RECORD ACTIVE","NO ACTIVE CANDIDATE")))</x:f>
      </x:c>
      <x:c r="AD76" s="1244" t="str">
        <x:f>IF($B76="","",IF($A76="","SETUP REQUIRED",IF(COUNTIF($A$14:$A$163,$A76)&gt;1,"DUPLICATE MASR ID",IF(COUNTIF($B$14:$B$163,$B76)&gt;1,"DUPLICATE TICKER",IF(OR($D76="",$E76="",$F76="",$G76="",$H76="",$I76=""),"INCOMPLETE",IF(OR($K76="",$L76=""),"MIAR SETUP REQUIRED",IF($X76="NOT ELIGIBLE","NOT ELIGIBLE",IF($Y76&lt;&gt;"None","EXCEPTION REVIEW",IF(AND($D76&lt;&gt;"Certified Portfolio Holding",OR($E76="Active — Approved Non-Holding",$E76="Conditional",$E76="Candidate — Committee Review"),OR($AB76="",$AB76="Pending")),"COMMITTEE DISPOSITION REQUIRED",IF(AND(OR($E76="Active — Approved Non-Holding",$E76="Conditional"),OR($AG76="",$AH76="")),"CERTIFICATION REQUIRED",IF(OR($E76="Rejected",$E76="Removed",$E76="Archived"),"INACTIVE / CLOSED","CONTROL CLEAR")))))))))))</x:f>
      </x:c>
      <x:c r="AE76" s="1244" t="str">
        <x:f>IF($AD76="","",IFERROR(INDEX('97 RCC Lists'!$AK$5:$AK$15,MATCH($AD76,'97 RCC Lists'!$AJ$5:$AJ$15,0)),"Review exception"))</x:f>
      </x:c>
      <x:c r="AF76" s="1251"/>
      <x:c r="AG76" s="1242"/>
      <x:c r="AH76" s="1251"/>
      <x:c r="AI76" s="1242"/>
    </x:row>
    <x:row r="77" ht="32" customHeight="1">
      <x:c r="A77" s="1242"/>
      <x:c r="B77" s="1242"/>
      <x:c r="C77" s="1242"/>
      <x:c r="D77" s="1242"/>
      <x:c r="E77" s="1242"/>
      <x:c r="F77" s="1242"/>
      <x:c r="G77" s="1242"/>
      <x:c r="H77" s="1242"/>
      <x:c r="I77" s="1242"/>
      <x:c r="J77" s="1258" t="str">
        <x:f>IF($B77="","",IFERROR(INDEX('Certified Allocation'!$F$5:$F$51,MATCH($B77,'Certified Allocation'!$B$5:$B$51,0)),""))</x:f>
      </x:c>
      <x:c r="K77" s="1252" t="str">
        <x:f>IF($B77="","",IFERROR(INDEX('20 RCC-003 MIAR Registry'!$A$14:$A$60,MATCH($B77,'20 RCC-003 MIAR Registry'!$B$14:$B$60,0)),""))</x:f>
      </x:c>
      <x:c r="L77" s="1252" t="str">
        <x:f>IF($B77="","",IFERROR(INDEX('20 RCC-003 MIAR Registry'!$M$14:$M$60,MATCH($B77,'20 RCC-003 MIAR Registry'!$B$14:$B$60,0)),""))</x:f>
      </x:c>
      <x:c r="M77" s="1252" t="str">
        <x:f>IF($B77="","",IFERROR(INDEX('20 RCC-003 MIAR Registry'!$Z$14:$Z$60,MATCH($B77,'20 RCC-003 MIAR Registry'!$B$14:$B$60,0)),""))</x:f>
      </x:c>
      <x:c r="N77" s="1255" t="str">
        <x:f>IF($B77="","",IFERROR(INDEX('20 RCC-003 MIAR Registry'!$K$14:$K$60,MATCH($B77,'20 RCC-003 MIAR Registry'!$B$14:$B$60,0)),""))</x:f>
      </x:c>
      <x:c r="O77" s="1255" t="str">
        <x:f>IF($B77="","",IFERROR(INDEX('20 RCC-003 MIAR Registry'!$L$14:$L$60,MATCH($B77,'20 RCC-003 MIAR Registry'!$B$14:$B$60,0)),""))</x:f>
      </x:c>
      <x:c r="P77" s="1252" t="str">
        <x:f>IF($B77="","",IFERROR(INDEX('20 RCC-003 MIAR Registry'!$I$14:$I$60,MATCH($B77,'20 RCC-003 MIAR Registry'!$B$14:$B$60,0)),""))</x:f>
      </x:c>
      <x:c r="Q77" s="1252" t="str">
        <x:f>IF($B77="","",IFERROR(INDEX('20 RCC-003 MIAR Registry'!$J$14:$J$60,MATCH($B77,'20 RCC-003 MIAR Registry'!$B$14:$B$60,0)),""))</x:f>
      </x:c>
      <x:c r="R77" s="1256" t="str">
        <x:f>IF($B77="","",COUNTIF('18 RCC-002 Evidence Ledger'!$E$14:$E$213,$B77))</x:f>
      </x:c>
      <x:c r="S77" s="1256" t="str">
        <x:f>IF($B77="","",COUNTIFS('18 RCC-002 Evidence Ledger'!$E$14:$E$213,$B77,'18 RCC-002 Evidence Ledger'!$T$14:$T$213,"&lt;&gt;Closed — No Action",'18 RCC-002 Evidence Ledger'!$T$14:$T$213,"&lt;&gt;Closed — Incorporated"))</x:f>
      </x:c>
      <x:c r="T77" s="1248"/>
      <x:c r="U77" s="1249"/>
      <x:c r="V77" s="1242"/>
      <x:c r="W77" s="1248"/>
      <x:c r="X77" s="1253" t="str">
        <x:f>IF($B77="","",IF($D77="Certified Portfolio Holding","CERTIFIED HOLDING",IF(OR($A77="",$D77="",$E77="",$F77="",$G77="",$H77="",$I77=""),"NOT ASSESSED",IF(OR($K77="",$L77&lt;&gt;"Active",$M77="OVERDUE",$M77="MATERIAL EVENT REVIEW",$N77="",$O77="",$W77=""),"NOT ELIGIBLE",IF(OR(AND($F77="Zacks Election",OR($T77="",$T77&lt;50)),OR($U77=4,$U77=5),$V77="No Rating",$V77="Restricted / Unavailable"),"ELIGIBLE WITH EXCEPTION","ELIGIBLE")))))</x:f>
      </x:c>
      <x:c r="Y77" s="1253" t="str">
        <x:f>IF($B77="","",IF($A77="","Canonical MASR ID required",IF(AND($D77&lt;&gt;"Certified Portfolio Holding",OR($K77="",$L77&lt;&gt;"Active",$M77&lt;&gt;"CURRENT",$N77="",$O77="",$W77="")),"Complete MIAR / scoring / empirical eligibility",IF(AND($F77="Zacks Election",OR($T77="",$T77&lt;50)),"Sub-$50B Zacks election exception",IF(OR($U77=4,$U77=5),"Zacks #4/#5 exception review",IF($V77="No Rating","Merrill No Rating exception",IF($V77="Restricted / Unavailable","Merrill restricted / unavailable exception","None")))))))</x:f>
      </x:c>
      <x:c r="Z77" s="1257" t="str">
        <x:f>IF($B77="","",COUNTIF('24 RCC-004 Candidate Pipeline'!$C$14:$C$213,$B77))</x:f>
      </x:c>
      <x:c r="AA77" s="1253" t="str">
        <x:f>IF($B77="","",IFERROR(INDEX('24 RCC-004 Candidate Pipeline'!$Y$14:$Y$213,MATCH($B77,'24 RCC-004 Candidate Pipeline'!$C$14:$C$213,0)),""))</x:f>
      </x:c>
      <x:c r="AB77" s="1242"/>
      <x:c r="AC77" s="1253" t="str">
        <x:f>IF($B77="","",IF(COUNTIFS('24 RCC-004 Candidate Pipeline'!$C$14:$C$213,$B77,'24 RCC-004 Candidate Pipeline'!$AF$14:$AF$213,"Yes — Refer to PEW-004")&gt;0,"REFERRED — PEW-004",IF($Z77&gt;0,"CANDIDATE RECORD ACTIVE","NO ACTIVE CANDIDATE")))</x:f>
      </x:c>
      <x:c r="AD77" s="1253" t="str">
        <x:f>IF($B77="","",IF($A77="","SETUP REQUIRED",IF(COUNTIF($A$14:$A$163,$A77)&gt;1,"DUPLICATE MASR ID",IF(COUNTIF($B$14:$B$163,$B77)&gt;1,"DUPLICATE TICKER",IF(OR($D77="",$E77="",$F77="",$G77="",$H77="",$I77=""),"INCOMPLETE",IF(OR($K77="",$L77=""),"MIAR SETUP REQUIRED",IF($X77="NOT ELIGIBLE","NOT ELIGIBLE",IF($Y77&lt;&gt;"None","EXCEPTION REVIEW",IF(AND($D77&lt;&gt;"Certified Portfolio Holding",OR($E77="Active — Approved Non-Holding",$E77="Conditional",$E77="Candidate — Committee Review"),OR($AB77="",$AB77="Pending")),"COMMITTEE DISPOSITION REQUIRED",IF(AND(OR($E77="Active — Approved Non-Holding",$E77="Conditional"),OR($AG77="",$AH77="")),"CERTIFICATION REQUIRED",IF(OR($E77="Rejected",$E77="Removed",$E77="Archived"),"INACTIVE / CLOSED","CONTROL CLEAR")))))))))))</x:f>
      </x:c>
      <x:c r="AE77" s="1253" t="str">
        <x:f>IF($AD77="","",IFERROR(INDEX('97 RCC Lists'!$AK$5:$AK$15,MATCH($AD77,'97 RCC Lists'!$AJ$5:$AJ$15,0)),"Review exception"))</x:f>
      </x:c>
      <x:c r="AF77" s="1251"/>
      <x:c r="AG77" s="1242"/>
      <x:c r="AH77" s="1251"/>
      <x:c r="AI77" s="1242"/>
    </x:row>
    <x:row r="78" ht="32" customHeight="1">
      <x:c r="A78" s="1242"/>
      <x:c r="B78" s="1242"/>
      <x:c r="C78" s="1242"/>
      <x:c r="D78" s="1242"/>
      <x:c r="E78" s="1242"/>
      <x:c r="F78" s="1242"/>
      <x:c r="G78" s="1242"/>
      <x:c r="H78" s="1242"/>
      <x:c r="I78" s="1242"/>
      <x:c r="J78" s="1259" t="str">
        <x:f>IF($B78="","",IFERROR(INDEX('Certified Allocation'!$F$5:$F$51,MATCH($B78,'Certified Allocation'!$B$5:$B$51,0)),""))</x:f>
      </x:c>
      <x:c r="K78" s="1243" t="str">
        <x:f>IF($B78="","",IFERROR(INDEX('20 RCC-003 MIAR Registry'!$A$14:$A$60,MATCH($B78,'20 RCC-003 MIAR Registry'!$B$14:$B$60,0)),""))</x:f>
      </x:c>
      <x:c r="L78" s="1243" t="str">
        <x:f>IF($B78="","",IFERROR(INDEX('20 RCC-003 MIAR Registry'!$M$14:$M$60,MATCH($B78,'20 RCC-003 MIAR Registry'!$B$14:$B$60,0)),""))</x:f>
      </x:c>
      <x:c r="M78" s="1243" t="str">
        <x:f>IF($B78="","",IFERROR(INDEX('20 RCC-003 MIAR Registry'!$Z$14:$Z$60,MATCH($B78,'20 RCC-003 MIAR Registry'!$B$14:$B$60,0)),""))</x:f>
      </x:c>
      <x:c r="N78" s="1246" t="str">
        <x:f>IF($B78="","",IFERROR(INDEX('20 RCC-003 MIAR Registry'!$K$14:$K$60,MATCH($B78,'20 RCC-003 MIAR Registry'!$B$14:$B$60,0)),""))</x:f>
      </x:c>
      <x:c r="O78" s="1246" t="str">
        <x:f>IF($B78="","",IFERROR(INDEX('20 RCC-003 MIAR Registry'!$L$14:$L$60,MATCH($B78,'20 RCC-003 MIAR Registry'!$B$14:$B$60,0)),""))</x:f>
      </x:c>
      <x:c r="P78" s="1243" t="str">
        <x:f>IF($B78="","",IFERROR(INDEX('20 RCC-003 MIAR Registry'!$I$14:$I$60,MATCH($B78,'20 RCC-003 MIAR Registry'!$B$14:$B$60,0)),""))</x:f>
      </x:c>
      <x:c r="Q78" s="1243" t="str">
        <x:f>IF($B78="","",IFERROR(INDEX('20 RCC-003 MIAR Registry'!$J$14:$J$60,MATCH($B78,'20 RCC-003 MIAR Registry'!$B$14:$B$60,0)),""))</x:f>
      </x:c>
      <x:c r="R78" s="1247" t="str">
        <x:f>IF($B78="","",COUNTIF('18 RCC-002 Evidence Ledger'!$E$14:$E$213,$B78))</x:f>
      </x:c>
      <x:c r="S78" s="1247" t="str">
        <x:f>IF($B78="","",COUNTIFS('18 RCC-002 Evidence Ledger'!$E$14:$E$213,$B78,'18 RCC-002 Evidence Ledger'!$T$14:$T$213,"&lt;&gt;Closed — No Action",'18 RCC-002 Evidence Ledger'!$T$14:$T$213,"&lt;&gt;Closed — Incorporated"))</x:f>
      </x:c>
      <x:c r="T78" s="1248"/>
      <x:c r="U78" s="1249"/>
      <x:c r="V78" s="1242"/>
      <x:c r="W78" s="1248"/>
      <x:c r="X78" s="1244" t="str">
        <x:f>IF($B78="","",IF($D78="Certified Portfolio Holding","CERTIFIED HOLDING",IF(OR($A78="",$D78="",$E78="",$F78="",$G78="",$H78="",$I78=""),"NOT ASSESSED",IF(OR($K78="",$L78&lt;&gt;"Active",$M78="OVERDUE",$M78="MATERIAL EVENT REVIEW",$N78="",$O78="",$W78=""),"NOT ELIGIBLE",IF(OR(AND($F78="Zacks Election",OR($T78="",$T78&lt;50)),OR($U78=4,$U78=5),$V78="No Rating",$V78="Restricted / Unavailable"),"ELIGIBLE WITH EXCEPTION","ELIGIBLE")))))</x:f>
      </x:c>
      <x:c r="Y78" s="1244" t="str">
        <x:f>IF($B78="","",IF($A78="","Canonical MASR ID required",IF(AND($D78&lt;&gt;"Certified Portfolio Holding",OR($K78="",$L78&lt;&gt;"Active",$M78&lt;&gt;"CURRENT",$N78="",$O78="",$W78="")),"Complete MIAR / scoring / empirical eligibility",IF(AND($F78="Zacks Election",OR($T78="",$T78&lt;50)),"Sub-$50B Zacks election exception",IF(OR($U78=4,$U78=5),"Zacks #4/#5 exception review",IF($V78="No Rating","Merrill No Rating exception",IF($V78="Restricted / Unavailable","Merrill restricted / unavailable exception","None")))))))</x:f>
      </x:c>
      <x:c r="Z78" s="1250" t="str">
        <x:f>IF($B78="","",COUNTIF('24 RCC-004 Candidate Pipeline'!$C$14:$C$213,$B78))</x:f>
      </x:c>
      <x:c r="AA78" s="1244" t="str">
        <x:f>IF($B78="","",IFERROR(INDEX('24 RCC-004 Candidate Pipeline'!$Y$14:$Y$213,MATCH($B78,'24 RCC-004 Candidate Pipeline'!$C$14:$C$213,0)),""))</x:f>
      </x:c>
      <x:c r="AB78" s="1242"/>
      <x:c r="AC78" s="1244" t="str">
        <x:f>IF($B78="","",IF(COUNTIFS('24 RCC-004 Candidate Pipeline'!$C$14:$C$213,$B78,'24 RCC-004 Candidate Pipeline'!$AF$14:$AF$213,"Yes — Refer to PEW-004")&gt;0,"REFERRED — PEW-004",IF($Z78&gt;0,"CANDIDATE RECORD ACTIVE","NO ACTIVE CANDIDATE")))</x:f>
      </x:c>
      <x:c r="AD78" s="1244" t="str">
        <x:f>IF($B78="","",IF($A78="","SETUP REQUIRED",IF(COUNTIF($A$14:$A$163,$A78)&gt;1,"DUPLICATE MASR ID",IF(COUNTIF($B$14:$B$163,$B78)&gt;1,"DUPLICATE TICKER",IF(OR($D78="",$E78="",$F78="",$G78="",$H78="",$I78=""),"INCOMPLETE",IF(OR($K78="",$L78=""),"MIAR SETUP REQUIRED",IF($X78="NOT ELIGIBLE","NOT ELIGIBLE",IF($Y78&lt;&gt;"None","EXCEPTION REVIEW",IF(AND($D78&lt;&gt;"Certified Portfolio Holding",OR($E78="Active — Approved Non-Holding",$E78="Conditional",$E78="Candidate — Committee Review"),OR($AB78="",$AB78="Pending")),"COMMITTEE DISPOSITION REQUIRED",IF(AND(OR($E78="Active — Approved Non-Holding",$E78="Conditional"),OR($AG78="",$AH78="")),"CERTIFICATION REQUIRED",IF(OR($E78="Rejected",$E78="Removed",$E78="Archived"),"INACTIVE / CLOSED","CONTROL CLEAR")))))))))))</x:f>
      </x:c>
      <x:c r="AE78" s="1244" t="str">
        <x:f>IF($AD78="","",IFERROR(INDEX('97 RCC Lists'!$AK$5:$AK$15,MATCH($AD78,'97 RCC Lists'!$AJ$5:$AJ$15,0)),"Review exception"))</x:f>
      </x:c>
      <x:c r="AF78" s="1251"/>
      <x:c r="AG78" s="1242"/>
      <x:c r="AH78" s="1251"/>
      <x:c r="AI78" s="1242"/>
    </x:row>
    <x:row r="79" ht="32" customHeight="1">
      <x:c r="A79" s="1242"/>
      <x:c r="B79" s="1242"/>
      <x:c r="C79" s="1242"/>
      <x:c r="D79" s="1242"/>
      <x:c r="E79" s="1242"/>
      <x:c r="F79" s="1242"/>
      <x:c r="G79" s="1242"/>
      <x:c r="H79" s="1242"/>
      <x:c r="I79" s="1242"/>
      <x:c r="J79" s="1258" t="str">
        <x:f>IF($B79="","",IFERROR(INDEX('Certified Allocation'!$F$5:$F$51,MATCH($B79,'Certified Allocation'!$B$5:$B$51,0)),""))</x:f>
      </x:c>
      <x:c r="K79" s="1252" t="str">
        <x:f>IF($B79="","",IFERROR(INDEX('20 RCC-003 MIAR Registry'!$A$14:$A$60,MATCH($B79,'20 RCC-003 MIAR Registry'!$B$14:$B$60,0)),""))</x:f>
      </x:c>
      <x:c r="L79" s="1252" t="str">
        <x:f>IF($B79="","",IFERROR(INDEX('20 RCC-003 MIAR Registry'!$M$14:$M$60,MATCH($B79,'20 RCC-003 MIAR Registry'!$B$14:$B$60,0)),""))</x:f>
      </x:c>
      <x:c r="M79" s="1252" t="str">
        <x:f>IF($B79="","",IFERROR(INDEX('20 RCC-003 MIAR Registry'!$Z$14:$Z$60,MATCH($B79,'20 RCC-003 MIAR Registry'!$B$14:$B$60,0)),""))</x:f>
      </x:c>
      <x:c r="N79" s="1255" t="str">
        <x:f>IF($B79="","",IFERROR(INDEX('20 RCC-003 MIAR Registry'!$K$14:$K$60,MATCH($B79,'20 RCC-003 MIAR Registry'!$B$14:$B$60,0)),""))</x:f>
      </x:c>
      <x:c r="O79" s="1255" t="str">
        <x:f>IF($B79="","",IFERROR(INDEX('20 RCC-003 MIAR Registry'!$L$14:$L$60,MATCH($B79,'20 RCC-003 MIAR Registry'!$B$14:$B$60,0)),""))</x:f>
      </x:c>
      <x:c r="P79" s="1252" t="str">
        <x:f>IF($B79="","",IFERROR(INDEX('20 RCC-003 MIAR Registry'!$I$14:$I$60,MATCH($B79,'20 RCC-003 MIAR Registry'!$B$14:$B$60,0)),""))</x:f>
      </x:c>
      <x:c r="Q79" s="1252" t="str">
        <x:f>IF($B79="","",IFERROR(INDEX('20 RCC-003 MIAR Registry'!$J$14:$J$60,MATCH($B79,'20 RCC-003 MIAR Registry'!$B$14:$B$60,0)),""))</x:f>
      </x:c>
      <x:c r="R79" s="1256" t="str">
        <x:f>IF($B79="","",COUNTIF('18 RCC-002 Evidence Ledger'!$E$14:$E$213,$B79))</x:f>
      </x:c>
      <x:c r="S79" s="1256" t="str">
        <x:f>IF($B79="","",COUNTIFS('18 RCC-002 Evidence Ledger'!$E$14:$E$213,$B79,'18 RCC-002 Evidence Ledger'!$T$14:$T$213,"&lt;&gt;Closed — No Action",'18 RCC-002 Evidence Ledger'!$T$14:$T$213,"&lt;&gt;Closed — Incorporated"))</x:f>
      </x:c>
      <x:c r="T79" s="1248"/>
      <x:c r="U79" s="1249"/>
      <x:c r="V79" s="1242"/>
      <x:c r="W79" s="1248"/>
      <x:c r="X79" s="1253" t="str">
        <x:f>IF($B79="","",IF($D79="Certified Portfolio Holding","CERTIFIED HOLDING",IF(OR($A79="",$D79="",$E79="",$F79="",$G79="",$H79="",$I79=""),"NOT ASSESSED",IF(OR($K79="",$L79&lt;&gt;"Active",$M79="OVERDUE",$M79="MATERIAL EVENT REVIEW",$N79="",$O79="",$W79=""),"NOT ELIGIBLE",IF(OR(AND($F79="Zacks Election",OR($T79="",$T79&lt;50)),OR($U79=4,$U79=5),$V79="No Rating",$V79="Restricted / Unavailable"),"ELIGIBLE WITH EXCEPTION","ELIGIBLE")))))</x:f>
      </x:c>
      <x:c r="Y79" s="1253" t="str">
        <x:f>IF($B79="","",IF($A79="","Canonical MASR ID required",IF(AND($D79&lt;&gt;"Certified Portfolio Holding",OR($K79="",$L79&lt;&gt;"Active",$M79&lt;&gt;"CURRENT",$N79="",$O79="",$W79="")),"Complete MIAR / scoring / empirical eligibility",IF(AND($F79="Zacks Election",OR($T79="",$T79&lt;50)),"Sub-$50B Zacks election exception",IF(OR($U79=4,$U79=5),"Zacks #4/#5 exception review",IF($V79="No Rating","Merrill No Rating exception",IF($V79="Restricted / Unavailable","Merrill restricted / unavailable exception","None")))))))</x:f>
      </x:c>
      <x:c r="Z79" s="1257" t="str">
        <x:f>IF($B79="","",COUNTIF('24 RCC-004 Candidate Pipeline'!$C$14:$C$213,$B79))</x:f>
      </x:c>
      <x:c r="AA79" s="1253" t="str">
        <x:f>IF($B79="","",IFERROR(INDEX('24 RCC-004 Candidate Pipeline'!$Y$14:$Y$213,MATCH($B79,'24 RCC-004 Candidate Pipeline'!$C$14:$C$213,0)),""))</x:f>
      </x:c>
      <x:c r="AB79" s="1242"/>
      <x:c r="AC79" s="1253" t="str">
        <x:f>IF($B79="","",IF(COUNTIFS('24 RCC-004 Candidate Pipeline'!$C$14:$C$213,$B79,'24 RCC-004 Candidate Pipeline'!$AF$14:$AF$213,"Yes — Refer to PEW-004")&gt;0,"REFERRED — PEW-004",IF($Z79&gt;0,"CANDIDATE RECORD ACTIVE","NO ACTIVE CANDIDATE")))</x:f>
      </x:c>
      <x:c r="AD79" s="1253" t="str">
        <x:f>IF($B79="","",IF($A79="","SETUP REQUIRED",IF(COUNTIF($A$14:$A$163,$A79)&gt;1,"DUPLICATE MASR ID",IF(COUNTIF($B$14:$B$163,$B79)&gt;1,"DUPLICATE TICKER",IF(OR($D79="",$E79="",$F79="",$G79="",$H79="",$I79=""),"INCOMPLETE",IF(OR($K79="",$L79=""),"MIAR SETUP REQUIRED",IF($X79="NOT ELIGIBLE","NOT ELIGIBLE",IF($Y79&lt;&gt;"None","EXCEPTION REVIEW",IF(AND($D79&lt;&gt;"Certified Portfolio Holding",OR($E79="Active — Approved Non-Holding",$E79="Conditional",$E79="Candidate — Committee Review"),OR($AB79="",$AB79="Pending")),"COMMITTEE DISPOSITION REQUIRED",IF(AND(OR($E79="Active — Approved Non-Holding",$E79="Conditional"),OR($AG79="",$AH79="")),"CERTIFICATION REQUIRED",IF(OR($E79="Rejected",$E79="Removed",$E79="Archived"),"INACTIVE / CLOSED","CONTROL CLEAR")))))))))))</x:f>
      </x:c>
      <x:c r="AE79" s="1253" t="str">
        <x:f>IF($AD79="","",IFERROR(INDEX('97 RCC Lists'!$AK$5:$AK$15,MATCH($AD79,'97 RCC Lists'!$AJ$5:$AJ$15,0)),"Review exception"))</x:f>
      </x:c>
      <x:c r="AF79" s="1251"/>
      <x:c r="AG79" s="1242"/>
      <x:c r="AH79" s="1251"/>
      <x:c r="AI79" s="1242"/>
    </x:row>
    <x:row r="80" ht="32" customHeight="1">
      <x:c r="A80" s="1242"/>
      <x:c r="B80" s="1242"/>
      <x:c r="C80" s="1242"/>
      <x:c r="D80" s="1242"/>
      <x:c r="E80" s="1242"/>
      <x:c r="F80" s="1242"/>
      <x:c r="G80" s="1242"/>
      <x:c r="H80" s="1242"/>
      <x:c r="I80" s="1242"/>
      <x:c r="J80" s="1259" t="str">
        <x:f>IF($B80="","",IFERROR(INDEX('Certified Allocation'!$F$5:$F$51,MATCH($B80,'Certified Allocation'!$B$5:$B$51,0)),""))</x:f>
      </x:c>
      <x:c r="K80" s="1243" t="str">
        <x:f>IF($B80="","",IFERROR(INDEX('20 RCC-003 MIAR Registry'!$A$14:$A$60,MATCH($B80,'20 RCC-003 MIAR Registry'!$B$14:$B$60,0)),""))</x:f>
      </x:c>
      <x:c r="L80" s="1243" t="str">
        <x:f>IF($B80="","",IFERROR(INDEX('20 RCC-003 MIAR Registry'!$M$14:$M$60,MATCH($B80,'20 RCC-003 MIAR Registry'!$B$14:$B$60,0)),""))</x:f>
      </x:c>
      <x:c r="M80" s="1243" t="str">
        <x:f>IF($B80="","",IFERROR(INDEX('20 RCC-003 MIAR Registry'!$Z$14:$Z$60,MATCH($B80,'20 RCC-003 MIAR Registry'!$B$14:$B$60,0)),""))</x:f>
      </x:c>
      <x:c r="N80" s="1246" t="str">
        <x:f>IF($B80="","",IFERROR(INDEX('20 RCC-003 MIAR Registry'!$K$14:$K$60,MATCH($B80,'20 RCC-003 MIAR Registry'!$B$14:$B$60,0)),""))</x:f>
      </x:c>
      <x:c r="O80" s="1246" t="str">
        <x:f>IF($B80="","",IFERROR(INDEX('20 RCC-003 MIAR Registry'!$L$14:$L$60,MATCH($B80,'20 RCC-003 MIAR Registry'!$B$14:$B$60,0)),""))</x:f>
      </x:c>
      <x:c r="P80" s="1243" t="str">
        <x:f>IF($B80="","",IFERROR(INDEX('20 RCC-003 MIAR Registry'!$I$14:$I$60,MATCH($B80,'20 RCC-003 MIAR Registry'!$B$14:$B$60,0)),""))</x:f>
      </x:c>
      <x:c r="Q80" s="1243" t="str">
        <x:f>IF($B80="","",IFERROR(INDEX('20 RCC-003 MIAR Registry'!$J$14:$J$60,MATCH($B80,'20 RCC-003 MIAR Registry'!$B$14:$B$60,0)),""))</x:f>
      </x:c>
      <x:c r="R80" s="1247" t="str">
        <x:f>IF($B80="","",COUNTIF('18 RCC-002 Evidence Ledger'!$E$14:$E$213,$B80))</x:f>
      </x:c>
      <x:c r="S80" s="1247" t="str">
        <x:f>IF($B80="","",COUNTIFS('18 RCC-002 Evidence Ledger'!$E$14:$E$213,$B80,'18 RCC-002 Evidence Ledger'!$T$14:$T$213,"&lt;&gt;Closed — No Action",'18 RCC-002 Evidence Ledger'!$T$14:$T$213,"&lt;&gt;Closed — Incorporated"))</x:f>
      </x:c>
      <x:c r="T80" s="1248"/>
      <x:c r="U80" s="1249"/>
      <x:c r="V80" s="1242"/>
      <x:c r="W80" s="1248"/>
      <x:c r="X80" s="1244" t="str">
        <x:f>IF($B80="","",IF($D80="Certified Portfolio Holding","CERTIFIED HOLDING",IF(OR($A80="",$D80="",$E80="",$F80="",$G80="",$H80="",$I80=""),"NOT ASSESSED",IF(OR($K80="",$L80&lt;&gt;"Active",$M80="OVERDUE",$M80="MATERIAL EVENT REVIEW",$N80="",$O80="",$W80=""),"NOT ELIGIBLE",IF(OR(AND($F80="Zacks Election",OR($T80="",$T80&lt;50)),OR($U80=4,$U80=5),$V80="No Rating",$V80="Restricted / Unavailable"),"ELIGIBLE WITH EXCEPTION","ELIGIBLE")))))</x:f>
      </x:c>
      <x:c r="Y80" s="1244" t="str">
        <x:f>IF($B80="","",IF($A80="","Canonical MASR ID required",IF(AND($D80&lt;&gt;"Certified Portfolio Holding",OR($K80="",$L80&lt;&gt;"Active",$M80&lt;&gt;"CURRENT",$N80="",$O80="",$W80="")),"Complete MIAR / scoring / empirical eligibility",IF(AND($F80="Zacks Election",OR($T80="",$T80&lt;50)),"Sub-$50B Zacks election exception",IF(OR($U80=4,$U80=5),"Zacks #4/#5 exception review",IF($V80="No Rating","Merrill No Rating exception",IF($V80="Restricted / Unavailable","Merrill restricted / unavailable exception","None")))))))</x:f>
      </x:c>
      <x:c r="Z80" s="1250" t="str">
        <x:f>IF($B80="","",COUNTIF('24 RCC-004 Candidate Pipeline'!$C$14:$C$213,$B80))</x:f>
      </x:c>
      <x:c r="AA80" s="1244" t="str">
        <x:f>IF($B80="","",IFERROR(INDEX('24 RCC-004 Candidate Pipeline'!$Y$14:$Y$213,MATCH($B80,'24 RCC-004 Candidate Pipeline'!$C$14:$C$213,0)),""))</x:f>
      </x:c>
      <x:c r="AB80" s="1242"/>
      <x:c r="AC80" s="1244" t="str">
        <x:f>IF($B80="","",IF(COUNTIFS('24 RCC-004 Candidate Pipeline'!$C$14:$C$213,$B80,'24 RCC-004 Candidate Pipeline'!$AF$14:$AF$213,"Yes — Refer to PEW-004")&gt;0,"REFERRED — PEW-004",IF($Z80&gt;0,"CANDIDATE RECORD ACTIVE","NO ACTIVE CANDIDATE")))</x:f>
      </x:c>
      <x:c r="AD80" s="1244" t="str">
        <x:f>IF($B80="","",IF($A80="","SETUP REQUIRED",IF(COUNTIF($A$14:$A$163,$A80)&gt;1,"DUPLICATE MASR ID",IF(COUNTIF($B$14:$B$163,$B80)&gt;1,"DUPLICATE TICKER",IF(OR($D80="",$E80="",$F80="",$G80="",$H80="",$I80=""),"INCOMPLETE",IF(OR($K80="",$L80=""),"MIAR SETUP REQUIRED",IF($X80="NOT ELIGIBLE","NOT ELIGIBLE",IF($Y80&lt;&gt;"None","EXCEPTION REVIEW",IF(AND($D80&lt;&gt;"Certified Portfolio Holding",OR($E80="Active — Approved Non-Holding",$E80="Conditional",$E80="Candidate — Committee Review"),OR($AB80="",$AB80="Pending")),"COMMITTEE DISPOSITION REQUIRED",IF(AND(OR($E80="Active — Approved Non-Holding",$E80="Conditional"),OR($AG80="",$AH80="")),"CERTIFICATION REQUIRED",IF(OR($E80="Rejected",$E80="Removed",$E80="Archived"),"INACTIVE / CLOSED","CONTROL CLEAR")))))))))))</x:f>
      </x:c>
      <x:c r="AE80" s="1244" t="str">
        <x:f>IF($AD80="","",IFERROR(INDEX('97 RCC Lists'!$AK$5:$AK$15,MATCH($AD80,'97 RCC Lists'!$AJ$5:$AJ$15,0)),"Review exception"))</x:f>
      </x:c>
      <x:c r="AF80" s="1251"/>
      <x:c r="AG80" s="1242"/>
      <x:c r="AH80" s="1251"/>
      <x:c r="AI80" s="1242"/>
    </x:row>
    <x:row r="81" ht="32" customHeight="1">
      <x:c r="A81" s="1242"/>
      <x:c r="B81" s="1242"/>
      <x:c r="C81" s="1242"/>
      <x:c r="D81" s="1242"/>
      <x:c r="E81" s="1242"/>
      <x:c r="F81" s="1242"/>
      <x:c r="G81" s="1242"/>
      <x:c r="H81" s="1242"/>
      <x:c r="I81" s="1242"/>
      <x:c r="J81" s="1258" t="str">
        <x:f>IF($B81="","",IFERROR(INDEX('Certified Allocation'!$F$5:$F$51,MATCH($B81,'Certified Allocation'!$B$5:$B$51,0)),""))</x:f>
      </x:c>
      <x:c r="K81" s="1252" t="str">
        <x:f>IF($B81="","",IFERROR(INDEX('20 RCC-003 MIAR Registry'!$A$14:$A$60,MATCH($B81,'20 RCC-003 MIAR Registry'!$B$14:$B$60,0)),""))</x:f>
      </x:c>
      <x:c r="L81" s="1252" t="str">
        <x:f>IF($B81="","",IFERROR(INDEX('20 RCC-003 MIAR Registry'!$M$14:$M$60,MATCH($B81,'20 RCC-003 MIAR Registry'!$B$14:$B$60,0)),""))</x:f>
      </x:c>
      <x:c r="M81" s="1252" t="str">
        <x:f>IF($B81="","",IFERROR(INDEX('20 RCC-003 MIAR Registry'!$Z$14:$Z$60,MATCH($B81,'20 RCC-003 MIAR Registry'!$B$14:$B$60,0)),""))</x:f>
      </x:c>
      <x:c r="N81" s="1255" t="str">
        <x:f>IF($B81="","",IFERROR(INDEX('20 RCC-003 MIAR Registry'!$K$14:$K$60,MATCH($B81,'20 RCC-003 MIAR Registry'!$B$14:$B$60,0)),""))</x:f>
      </x:c>
      <x:c r="O81" s="1255" t="str">
        <x:f>IF($B81="","",IFERROR(INDEX('20 RCC-003 MIAR Registry'!$L$14:$L$60,MATCH($B81,'20 RCC-003 MIAR Registry'!$B$14:$B$60,0)),""))</x:f>
      </x:c>
      <x:c r="P81" s="1252" t="str">
        <x:f>IF($B81="","",IFERROR(INDEX('20 RCC-003 MIAR Registry'!$I$14:$I$60,MATCH($B81,'20 RCC-003 MIAR Registry'!$B$14:$B$60,0)),""))</x:f>
      </x:c>
      <x:c r="Q81" s="1252" t="str">
        <x:f>IF($B81="","",IFERROR(INDEX('20 RCC-003 MIAR Registry'!$J$14:$J$60,MATCH($B81,'20 RCC-003 MIAR Registry'!$B$14:$B$60,0)),""))</x:f>
      </x:c>
      <x:c r="R81" s="1256" t="str">
        <x:f>IF($B81="","",COUNTIF('18 RCC-002 Evidence Ledger'!$E$14:$E$213,$B81))</x:f>
      </x:c>
      <x:c r="S81" s="1256" t="str">
        <x:f>IF($B81="","",COUNTIFS('18 RCC-002 Evidence Ledger'!$E$14:$E$213,$B81,'18 RCC-002 Evidence Ledger'!$T$14:$T$213,"&lt;&gt;Closed — No Action",'18 RCC-002 Evidence Ledger'!$T$14:$T$213,"&lt;&gt;Closed — Incorporated"))</x:f>
      </x:c>
      <x:c r="T81" s="1248"/>
      <x:c r="U81" s="1249"/>
      <x:c r="V81" s="1242"/>
      <x:c r="W81" s="1248"/>
      <x:c r="X81" s="1253" t="str">
        <x:f>IF($B81="","",IF($D81="Certified Portfolio Holding","CERTIFIED HOLDING",IF(OR($A81="",$D81="",$E81="",$F81="",$G81="",$H81="",$I81=""),"NOT ASSESSED",IF(OR($K81="",$L81&lt;&gt;"Active",$M81="OVERDUE",$M81="MATERIAL EVENT REVIEW",$N81="",$O81="",$W81=""),"NOT ELIGIBLE",IF(OR(AND($F81="Zacks Election",OR($T81="",$T81&lt;50)),OR($U81=4,$U81=5),$V81="No Rating",$V81="Restricted / Unavailable"),"ELIGIBLE WITH EXCEPTION","ELIGIBLE")))))</x:f>
      </x:c>
      <x:c r="Y81" s="1253" t="str">
        <x:f>IF($B81="","",IF($A81="","Canonical MASR ID required",IF(AND($D81&lt;&gt;"Certified Portfolio Holding",OR($K81="",$L81&lt;&gt;"Active",$M81&lt;&gt;"CURRENT",$N81="",$O81="",$W81="")),"Complete MIAR / scoring / empirical eligibility",IF(AND($F81="Zacks Election",OR($T81="",$T81&lt;50)),"Sub-$50B Zacks election exception",IF(OR($U81=4,$U81=5),"Zacks #4/#5 exception review",IF($V81="No Rating","Merrill No Rating exception",IF($V81="Restricted / Unavailable","Merrill restricted / unavailable exception","None")))))))</x:f>
      </x:c>
      <x:c r="Z81" s="1257" t="str">
        <x:f>IF($B81="","",COUNTIF('24 RCC-004 Candidate Pipeline'!$C$14:$C$213,$B81))</x:f>
      </x:c>
      <x:c r="AA81" s="1253" t="str">
        <x:f>IF($B81="","",IFERROR(INDEX('24 RCC-004 Candidate Pipeline'!$Y$14:$Y$213,MATCH($B81,'24 RCC-004 Candidate Pipeline'!$C$14:$C$213,0)),""))</x:f>
      </x:c>
      <x:c r="AB81" s="1242"/>
      <x:c r="AC81" s="1253" t="str">
        <x:f>IF($B81="","",IF(COUNTIFS('24 RCC-004 Candidate Pipeline'!$C$14:$C$213,$B81,'24 RCC-004 Candidate Pipeline'!$AF$14:$AF$213,"Yes — Refer to PEW-004")&gt;0,"REFERRED — PEW-004",IF($Z81&gt;0,"CANDIDATE RECORD ACTIVE","NO ACTIVE CANDIDATE")))</x:f>
      </x:c>
      <x:c r="AD81" s="1253" t="str">
        <x:f>IF($B81="","",IF($A81="","SETUP REQUIRED",IF(COUNTIF($A$14:$A$163,$A81)&gt;1,"DUPLICATE MASR ID",IF(COUNTIF($B$14:$B$163,$B81)&gt;1,"DUPLICATE TICKER",IF(OR($D81="",$E81="",$F81="",$G81="",$H81="",$I81=""),"INCOMPLETE",IF(OR($K81="",$L81=""),"MIAR SETUP REQUIRED",IF($X81="NOT ELIGIBLE","NOT ELIGIBLE",IF($Y81&lt;&gt;"None","EXCEPTION REVIEW",IF(AND($D81&lt;&gt;"Certified Portfolio Holding",OR($E81="Active — Approved Non-Holding",$E81="Conditional",$E81="Candidate — Committee Review"),OR($AB81="",$AB81="Pending")),"COMMITTEE DISPOSITION REQUIRED",IF(AND(OR($E81="Active — Approved Non-Holding",$E81="Conditional"),OR($AG81="",$AH81="")),"CERTIFICATION REQUIRED",IF(OR($E81="Rejected",$E81="Removed",$E81="Archived"),"INACTIVE / CLOSED","CONTROL CLEAR")))))))))))</x:f>
      </x:c>
      <x:c r="AE81" s="1253" t="str">
        <x:f>IF($AD81="","",IFERROR(INDEX('97 RCC Lists'!$AK$5:$AK$15,MATCH($AD81,'97 RCC Lists'!$AJ$5:$AJ$15,0)),"Review exception"))</x:f>
      </x:c>
      <x:c r="AF81" s="1251"/>
      <x:c r="AG81" s="1242"/>
      <x:c r="AH81" s="1251"/>
      <x:c r="AI81" s="1242"/>
    </x:row>
    <x:row r="82" ht="32" customHeight="1">
      <x:c r="A82" s="1242"/>
      <x:c r="B82" s="1242"/>
      <x:c r="C82" s="1242"/>
      <x:c r="D82" s="1242"/>
      <x:c r="E82" s="1242"/>
      <x:c r="F82" s="1242"/>
      <x:c r="G82" s="1242"/>
      <x:c r="H82" s="1242"/>
      <x:c r="I82" s="1242"/>
      <x:c r="J82" s="1259" t="str">
        <x:f>IF($B82="","",IFERROR(INDEX('Certified Allocation'!$F$5:$F$51,MATCH($B82,'Certified Allocation'!$B$5:$B$51,0)),""))</x:f>
      </x:c>
      <x:c r="K82" s="1243" t="str">
        <x:f>IF($B82="","",IFERROR(INDEX('20 RCC-003 MIAR Registry'!$A$14:$A$60,MATCH($B82,'20 RCC-003 MIAR Registry'!$B$14:$B$60,0)),""))</x:f>
      </x:c>
      <x:c r="L82" s="1243" t="str">
        <x:f>IF($B82="","",IFERROR(INDEX('20 RCC-003 MIAR Registry'!$M$14:$M$60,MATCH($B82,'20 RCC-003 MIAR Registry'!$B$14:$B$60,0)),""))</x:f>
      </x:c>
      <x:c r="M82" s="1243" t="str">
        <x:f>IF($B82="","",IFERROR(INDEX('20 RCC-003 MIAR Registry'!$Z$14:$Z$60,MATCH($B82,'20 RCC-003 MIAR Registry'!$B$14:$B$60,0)),""))</x:f>
      </x:c>
      <x:c r="N82" s="1246" t="str">
        <x:f>IF($B82="","",IFERROR(INDEX('20 RCC-003 MIAR Registry'!$K$14:$K$60,MATCH($B82,'20 RCC-003 MIAR Registry'!$B$14:$B$60,0)),""))</x:f>
      </x:c>
      <x:c r="O82" s="1246" t="str">
        <x:f>IF($B82="","",IFERROR(INDEX('20 RCC-003 MIAR Registry'!$L$14:$L$60,MATCH($B82,'20 RCC-003 MIAR Registry'!$B$14:$B$60,0)),""))</x:f>
      </x:c>
      <x:c r="P82" s="1243" t="str">
        <x:f>IF($B82="","",IFERROR(INDEX('20 RCC-003 MIAR Registry'!$I$14:$I$60,MATCH($B82,'20 RCC-003 MIAR Registry'!$B$14:$B$60,0)),""))</x:f>
      </x:c>
      <x:c r="Q82" s="1243" t="str">
        <x:f>IF($B82="","",IFERROR(INDEX('20 RCC-003 MIAR Registry'!$J$14:$J$60,MATCH($B82,'20 RCC-003 MIAR Registry'!$B$14:$B$60,0)),""))</x:f>
      </x:c>
      <x:c r="R82" s="1247" t="str">
        <x:f>IF($B82="","",COUNTIF('18 RCC-002 Evidence Ledger'!$E$14:$E$213,$B82))</x:f>
      </x:c>
      <x:c r="S82" s="1247" t="str">
        <x:f>IF($B82="","",COUNTIFS('18 RCC-002 Evidence Ledger'!$E$14:$E$213,$B82,'18 RCC-002 Evidence Ledger'!$T$14:$T$213,"&lt;&gt;Closed — No Action",'18 RCC-002 Evidence Ledger'!$T$14:$T$213,"&lt;&gt;Closed — Incorporated"))</x:f>
      </x:c>
      <x:c r="T82" s="1248"/>
      <x:c r="U82" s="1249"/>
      <x:c r="V82" s="1242"/>
      <x:c r="W82" s="1248"/>
      <x:c r="X82" s="1244" t="str">
        <x:f>IF($B82="","",IF($D82="Certified Portfolio Holding","CERTIFIED HOLDING",IF(OR($A82="",$D82="",$E82="",$F82="",$G82="",$H82="",$I82=""),"NOT ASSESSED",IF(OR($K82="",$L82&lt;&gt;"Active",$M82="OVERDUE",$M82="MATERIAL EVENT REVIEW",$N82="",$O82="",$W82=""),"NOT ELIGIBLE",IF(OR(AND($F82="Zacks Election",OR($T82="",$T82&lt;50)),OR($U82=4,$U82=5),$V82="No Rating",$V82="Restricted / Unavailable"),"ELIGIBLE WITH EXCEPTION","ELIGIBLE")))))</x:f>
      </x:c>
      <x:c r="Y82" s="1244" t="str">
        <x:f>IF($B82="","",IF($A82="","Canonical MASR ID required",IF(AND($D82&lt;&gt;"Certified Portfolio Holding",OR($K82="",$L82&lt;&gt;"Active",$M82&lt;&gt;"CURRENT",$N82="",$O82="",$W82="")),"Complete MIAR / scoring / empirical eligibility",IF(AND($F82="Zacks Election",OR($T82="",$T82&lt;50)),"Sub-$50B Zacks election exception",IF(OR($U82=4,$U82=5),"Zacks #4/#5 exception review",IF($V82="No Rating","Merrill No Rating exception",IF($V82="Restricted / Unavailable","Merrill restricted / unavailable exception","None")))))))</x:f>
      </x:c>
      <x:c r="Z82" s="1250" t="str">
        <x:f>IF($B82="","",COUNTIF('24 RCC-004 Candidate Pipeline'!$C$14:$C$213,$B82))</x:f>
      </x:c>
      <x:c r="AA82" s="1244" t="str">
        <x:f>IF($B82="","",IFERROR(INDEX('24 RCC-004 Candidate Pipeline'!$Y$14:$Y$213,MATCH($B82,'24 RCC-004 Candidate Pipeline'!$C$14:$C$213,0)),""))</x:f>
      </x:c>
      <x:c r="AB82" s="1242"/>
      <x:c r="AC82" s="1244" t="str">
        <x:f>IF($B82="","",IF(COUNTIFS('24 RCC-004 Candidate Pipeline'!$C$14:$C$213,$B82,'24 RCC-004 Candidate Pipeline'!$AF$14:$AF$213,"Yes — Refer to PEW-004")&gt;0,"REFERRED — PEW-004",IF($Z82&gt;0,"CANDIDATE RECORD ACTIVE","NO ACTIVE CANDIDATE")))</x:f>
      </x:c>
      <x:c r="AD82" s="1244" t="str">
        <x:f>IF($B82="","",IF($A82="","SETUP REQUIRED",IF(COUNTIF($A$14:$A$163,$A82)&gt;1,"DUPLICATE MASR ID",IF(COUNTIF($B$14:$B$163,$B82)&gt;1,"DUPLICATE TICKER",IF(OR($D82="",$E82="",$F82="",$G82="",$H82="",$I82=""),"INCOMPLETE",IF(OR($K82="",$L82=""),"MIAR SETUP REQUIRED",IF($X82="NOT ELIGIBLE","NOT ELIGIBLE",IF($Y82&lt;&gt;"None","EXCEPTION REVIEW",IF(AND($D82&lt;&gt;"Certified Portfolio Holding",OR($E82="Active — Approved Non-Holding",$E82="Conditional",$E82="Candidate — Committee Review"),OR($AB82="",$AB82="Pending")),"COMMITTEE DISPOSITION REQUIRED",IF(AND(OR($E82="Active — Approved Non-Holding",$E82="Conditional"),OR($AG82="",$AH82="")),"CERTIFICATION REQUIRED",IF(OR($E82="Rejected",$E82="Removed",$E82="Archived"),"INACTIVE / CLOSED","CONTROL CLEAR")))))))))))</x:f>
      </x:c>
      <x:c r="AE82" s="1244" t="str">
        <x:f>IF($AD82="","",IFERROR(INDEX('97 RCC Lists'!$AK$5:$AK$15,MATCH($AD82,'97 RCC Lists'!$AJ$5:$AJ$15,0)),"Review exception"))</x:f>
      </x:c>
      <x:c r="AF82" s="1251"/>
      <x:c r="AG82" s="1242"/>
      <x:c r="AH82" s="1251"/>
      <x:c r="AI82" s="1242"/>
    </x:row>
    <x:row r="83" ht="32" customHeight="1">
      <x:c r="A83" s="1242"/>
      <x:c r="B83" s="1242"/>
      <x:c r="C83" s="1242"/>
      <x:c r="D83" s="1242"/>
      <x:c r="E83" s="1242"/>
      <x:c r="F83" s="1242"/>
      <x:c r="G83" s="1242"/>
      <x:c r="H83" s="1242"/>
      <x:c r="I83" s="1242"/>
      <x:c r="J83" s="1258" t="str">
        <x:f>IF($B83="","",IFERROR(INDEX('Certified Allocation'!$F$5:$F$51,MATCH($B83,'Certified Allocation'!$B$5:$B$51,0)),""))</x:f>
      </x:c>
      <x:c r="K83" s="1252" t="str">
        <x:f>IF($B83="","",IFERROR(INDEX('20 RCC-003 MIAR Registry'!$A$14:$A$60,MATCH($B83,'20 RCC-003 MIAR Registry'!$B$14:$B$60,0)),""))</x:f>
      </x:c>
      <x:c r="L83" s="1252" t="str">
        <x:f>IF($B83="","",IFERROR(INDEX('20 RCC-003 MIAR Registry'!$M$14:$M$60,MATCH($B83,'20 RCC-003 MIAR Registry'!$B$14:$B$60,0)),""))</x:f>
      </x:c>
      <x:c r="M83" s="1252" t="str">
        <x:f>IF($B83="","",IFERROR(INDEX('20 RCC-003 MIAR Registry'!$Z$14:$Z$60,MATCH($B83,'20 RCC-003 MIAR Registry'!$B$14:$B$60,0)),""))</x:f>
      </x:c>
      <x:c r="N83" s="1255" t="str">
        <x:f>IF($B83="","",IFERROR(INDEX('20 RCC-003 MIAR Registry'!$K$14:$K$60,MATCH($B83,'20 RCC-003 MIAR Registry'!$B$14:$B$60,0)),""))</x:f>
      </x:c>
      <x:c r="O83" s="1255" t="str">
        <x:f>IF($B83="","",IFERROR(INDEX('20 RCC-003 MIAR Registry'!$L$14:$L$60,MATCH($B83,'20 RCC-003 MIAR Registry'!$B$14:$B$60,0)),""))</x:f>
      </x:c>
      <x:c r="P83" s="1252" t="str">
        <x:f>IF($B83="","",IFERROR(INDEX('20 RCC-003 MIAR Registry'!$I$14:$I$60,MATCH($B83,'20 RCC-003 MIAR Registry'!$B$14:$B$60,0)),""))</x:f>
      </x:c>
      <x:c r="Q83" s="1252" t="str">
        <x:f>IF($B83="","",IFERROR(INDEX('20 RCC-003 MIAR Registry'!$J$14:$J$60,MATCH($B83,'20 RCC-003 MIAR Registry'!$B$14:$B$60,0)),""))</x:f>
      </x:c>
      <x:c r="R83" s="1256" t="str">
        <x:f>IF($B83="","",COUNTIF('18 RCC-002 Evidence Ledger'!$E$14:$E$213,$B83))</x:f>
      </x:c>
      <x:c r="S83" s="1256" t="str">
        <x:f>IF($B83="","",COUNTIFS('18 RCC-002 Evidence Ledger'!$E$14:$E$213,$B83,'18 RCC-002 Evidence Ledger'!$T$14:$T$213,"&lt;&gt;Closed — No Action",'18 RCC-002 Evidence Ledger'!$T$14:$T$213,"&lt;&gt;Closed — Incorporated"))</x:f>
      </x:c>
      <x:c r="T83" s="1248"/>
      <x:c r="U83" s="1249"/>
      <x:c r="V83" s="1242"/>
      <x:c r="W83" s="1248"/>
      <x:c r="X83" s="1253" t="str">
        <x:f>IF($B83="","",IF($D83="Certified Portfolio Holding","CERTIFIED HOLDING",IF(OR($A83="",$D83="",$E83="",$F83="",$G83="",$H83="",$I83=""),"NOT ASSESSED",IF(OR($K83="",$L83&lt;&gt;"Active",$M83="OVERDUE",$M83="MATERIAL EVENT REVIEW",$N83="",$O83="",$W83=""),"NOT ELIGIBLE",IF(OR(AND($F83="Zacks Election",OR($T83="",$T83&lt;50)),OR($U83=4,$U83=5),$V83="No Rating",$V83="Restricted / Unavailable"),"ELIGIBLE WITH EXCEPTION","ELIGIBLE")))))</x:f>
      </x:c>
      <x:c r="Y83" s="1253" t="str">
        <x:f>IF($B83="","",IF($A83="","Canonical MASR ID required",IF(AND($D83&lt;&gt;"Certified Portfolio Holding",OR($K83="",$L83&lt;&gt;"Active",$M83&lt;&gt;"CURRENT",$N83="",$O83="",$W83="")),"Complete MIAR / scoring / empirical eligibility",IF(AND($F83="Zacks Election",OR($T83="",$T83&lt;50)),"Sub-$50B Zacks election exception",IF(OR($U83=4,$U83=5),"Zacks #4/#5 exception review",IF($V83="No Rating","Merrill No Rating exception",IF($V83="Restricted / Unavailable","Merrill restricted / unavailable exception","None")))))))</x:f>
      </x:c>
      <x:c r="Z83" s="1257" t="str">
        <x:f>IF($B83="","",COUNTIF('24 RCC-004 Candidate Pipeline'!$C$14:$C$213,$B83))</x:f>
      </x:c>
      <x:c r="AA83" s="1253" t="str">
        <x:f>IF($B83="","",IFERROR(INDEX('24 RCC-004 Candidate Pipeline'!$Y$14:$Y$213,MATCH($B83,'24 RCC-004 Candidate Pipeline'!$C$14:$C$213,0)),""))</x:f>
      </x:c>
      <x:c r="AB83" s="1242"/>
      <x:c r="AC83" s="1253" t="str">
        <x:f>IF($B83="","",IF(COUNTIFS('24 RCC-004 Candidate Pipeline'!$C$14:$C$213,$B83,'24 RCC-004 Candidate Pipeline'!$AF$14:$AF$213,"Yes — Refer to PEW-004")&gt;0,"REFERRED — PEW-004",IF($Z83&gt;0,"CANDIDATE RECORD ACTIVE","NO ACTIVE CANDIDATE")))</x:f>
      </x:c>
      <x:c r="AD83" s="1253" t="str">
        <x:f>IF($B83="","",IF($A83="","SETUP REQUIRED",IF(COUNTIF($A$14:$A$163,$A83)&gt;1,"DUPLICATE MASR ID",IF(COUNTIF($B$14:$B$163,$B83)&gt;1,"DUPLICATE TICKER",IF(OR($D83="",$E83="",$F83="",$G83="",$H83="",$I83=""),"INCOMPLETE",IF(OR($K83="",$L83=""),"MIAR SETUP REQUIRED",IF($X83="NOT ELIGIBLE","NOT ELIGIBLE",IF($Y83&lt;&gt;"None","EXCEPTION REVIEW",IF(AND($D83&lt;&gt;"Certified Portfolio Holding",OR($E83="Active — Approved Non-Holding",$E83="Conditional",$E83="Candidate — Committee Review"),OR($AB83="",$AB83="Pending")),"COMMITTEE DISPOSITION REQUIRED",IF(AND(OR($E83="Active — Approved Non-Holding",$E83="Conditional"),OR($AG83="",$AH83="")),"CERTIFICATION REQUIRED",IF(OR($E83="Rejected",$E83="Removed",$E83="Archived"),"INACTIVE / CLOSED","CONTROL CLEAR")))))))))))</x:f>
      </x:c>
      <x:c r="AE83" s="1253" t="str">
        <x:f>IF($AD83="","",IFERROR(INDEX('97 RCC Lists'!$AK$5:$AK$15,MATCH($AD83,'97 RCC Lists'!$AJ$5:$AJ$15,0)),"Review exception"))</x:f>
      </x:c>
      <x:c r="AF83" s="1251"/>
      <x:c r="AG83" s="1242"/>
      <x:c r="AH83" s="1251"/>
      <x:c r="AI83" s="1242"/>
    </x:row>
    <x:row r="84" ht="32" customHeight="1">
      <x:c r="A84" s="1242"/>
      <x:c r="B84" s="1242"/>
      <x:c r="C84" s="1242"/>
      <x:c r="D84" s="1242"/>
      <x:c r="E84" s="1242"/>
      <x:c r="F84" s="1242"/>
      <x:c r="G84" s="1242"/>
      <x:c r="H84" s="1242"/>
      <x:c r="I84" s="1242"/>
      <x:c r="J84" s="1259" t="str">
        <x:f>IF($B84="","",IFERROR(INDEX('Certified Allocation'!$F$5:$F$51,MATCH($B84,'Certified Allocation'!$B$5:$B$51,0)),""))</x:f>
      </x:c>
      <x:c r="K84" s="1243" t="str">
        <x:f>IF($B84="","",IFERROR(INDEX('20 RCC-003 MIAR Registry'!$A$14:$A$60,MATCH($B84,'20 RCC-003 MIAR Registry'!$B$14:$B$60,0)),""))</x:f>
      </x:c>
      <x:c r="L84" s="1243" t="str">
        <x:f>IF($B84="","",IFERROR(INDEX('20 RCC-003 MIAR Registry'!$M$14:$M$60,MATCH($B84,'20 RCC-003 MIAR Registry'!$B$14:$B$60,0)),""))</x:f>
      </x:c>
      <x:c r="M84" s="1243" t="str">
        <x:f>IF($B84="","",IFERROR(INDEX('20 RCC-003 MIAR Registry'!$Z$14:$Z$60,MATCH($B84,'20 RCC-003 MIAR Registry'!$B$14:$B$60,0)),""))</x:f>
      </x:c>
      <x:c r="N84" s="1246" t="str">
        <x:f>IF($B84="","",IFERROR(INDEX('20 RCC-003 MIAR Registry'!$K$14:$K$60,MATCH($B84,'20 RCC-003 MIAR Registry'!$B$14:$B$60,0)),""))</x:f>
      </x:c>
      <x:c r="O84" s="1246" t="str">
        <x:f>IF($B84="","",IFERROR(INDEX('20 RCC-003 MIAR Registry'!$L$14:$L$60,MATCH($B84,'20 RCC-003 MIAR Registry'!$B$14:$B$60,0)),""))</x:f>
      </x:c>
      <x:c r="P84" s="1243" t="str">
        <x:f>IF($B84="","",IFERROR(INDEX('20 RCC-003 MIAR Registry'!$I$14:$I$60,MATCH($B84,'20 RCC-003 MIAR Registry'!$B$14:$B$60,0)),""))</x:f>
      </x:c>
      <x:c r="Q84" s="1243" t="str">
        <x:f>IF($B84="","",IFERROR(INDEX('20 RCC-003 MIAR Registry'!$J$14:$J$60,MATCH($B84,'20 RCC-003 MIAR Registry'!$B$14:$B$60,0)),""))</x:f>
      </x:c>
      <x:c r="R84" s="1247" t="str">
        <x:f>IF($B84="","",COUNTIF('18 RCC-002 Evidence Ledger'!$E$14:$E$213,$B84))</x:f>
      </x:c>
      <x:c r="S84" s="1247" t="str">
        <x:f>IF($B84="","",COUNTIFS('18 RCC-002 Evidence Ledger'!$E$14:$E$213,$B84,'18 RCC-002 Evidence Ledger'!$T$14:$T$213,"&lt;&gt;Closed — No Action",'18 RCC-002 Evidence Ledger'!$T$14:$T$213,"&lt;&gt;Closed — Incorporated"))</x:f>
      </x:c>
      <x:c r="T84" s="1248"/>
      <x:c r="U84" s="1249"/>
      <x:c r="V84" s="1242"/>
      <x:c r="W84" s="1248"/>
      <x:c r="X84" s="1244" t="str">
        <x:f>IF($B84="","",IF($D84="Certified Portfolio Holding","CERTIFIED HOLDING",IF(OR($A84="",$D84="",$E84="",$F84="",$G84="",$H84="",$I84=""),"NOT ASSESSED",IF(OR($K84="",$L84&lt;&gt;"Active",$M84="OVERDUE",$M84="MATERIAL EVENT REVIEW",$N84="",$O84="",$W84=""),"NOT ELIGIBLE",IF(OR(AND($F84="Zacks Election",OR($T84="",$T84&lt;50)),OR($U84=4,$U84=5),$V84="No Rating",$V84="Restricted / Unavailable"),"ELIGIBLE WITH EXCEPTION","ELIGIBLE")))))</x:f>
      </x:c>
      <x:c r="Y84" s="1244" t="str">
        <x:f>IF($B84="","",IF($A84="","Canonical MASR ID required",IF(AND($D84&lt;&gt;"Certified Portfolio Holding",OR($K84="",$L84&lt;&gt;"Active",$M84&lt;&gt;"CURRENT",$N84="",$O84="",$W84="")),"Complete MIAR / scoring / empirical eligibility",IF(AND($F84="Zacks Election",OR($T84="",$T84&lt;50)),"Sub-$50B Zacks election exception",IF(OR($U84=4,$U84=5),"Zacks #4/#5 exception review",IF($V84="No Rating","Merrill No Rating exception",IF($V84="Restricted / Unavailable","Merrill restricted / unavailable exception","None")))))))</x:f>
      </x:c>
      <x:c r="Z84" s="1250" t="str">
        <x:f>IF($B84="","",COUNTIF('24 RCC-004 Candidate Pipeline'!$C$14:$C$213,$B84))</x:f>
      </x:c>
      <x:c r="AA84" s="1244" t="str">
        <x:f>IF($B84="","",IFERROR(INDEX('24 RCC-004 Candidate Pipeline'!$Y$14:$Y$213,MATCH($B84,'24 RCC-004 Candidate Pipeline'!$C$14:$C$213,0)),""))</x:f>
      </x:c>
      <x:c r="AB84" s="1242"/>
      <x:c r="AC84" s="1244" t="str">
        <x:f>IF($B84="","",IF(COUNTIFS('24 RCC-004 Candidate Pipeline'!$C$14:$C$213,$B84,'24 RCC-004 Candidate Pipeline'!$AF$14:$AF$213,"Yes — Refer to PEW-004")&gt;0,"REFERRED — PEW-004",IF($Z84&gt;0,"CANDIDATE RECORD ACTIVE","NO ACTIVE CANDIDATE")))</x:f>
      </x:c>
      <x:c r="AD84" s="1244" t="str">
        <x:f>IF($B84="","",IF($A84="","SETUP REQUIRED",IF(COUNTIF($A$14:$A$163,$A84)&gt;1,"DUPLICATE MASR ID",IF(COUNTIF($B$14:$B$163,$B84)&gt;1,"DUPLICATE TICKER",IF(OR($D84="",$E84="",$F84="",$G84="",$H84="",$I84=""),"INCOMPLETE",IF(OR($K84="",$L84=""),"MIAR SETUP REQUIRED",IF($X84="NOT ELIGIBLE","NOT ELIGIBLE",IF($Y84&lt;&gt;"None","EXCEPTION REVIEW",IF(AND($D84&lt;&gt;"Certified Portfolio Holding",OR($E84="Active — Approved Non-Holding",$E84="Conditional",$E84="Candidate — Committee Review"),OR($AB84="",$AB84="Pending")),"COMMITTEE DISPOSITION REQUIRED",IF(AND(OR($E84="Active — Approved Non-Holding",$E84="Conditional"),OR($AG84="",$AH84="")),"CERTIFICATION REQUIRED",IF(OR($E84="Rejected",$E84="Removed",$E84="Archived"),"INACTIVE / CLOSED","CONTROL CLEAR")))))))))))</x:f>
      </x:c>
      <x:c r="AE84" s="1244" t="str">
        <x:f>IF($AD84="","",IFERROR(INDEX('97 RCC Lists'!$AK$5:$AK$15,MATCH($AD84,'97 RCC Lists'!$AJ$5:$AJ$15,0)),"Review exception"))</x:f>
      </x:c>
      <x:c r="AF84" s="1251"/>
      <x:c r="AG84" s="1242"/>
      <x:c r="AH84" s="1251"/>
      <x:c r="AI84" s="1242"/>
    </x:row>
    <x:row r="85" ht="32" customHeight="1">
      <x:c r="A85" s="1242"/>
      <x:c r="B85" s="1242"/>
      <x:c r="C85" s="1242"/>
      <x:c r="D85" s="1242"/>
      <x:c r="E85" s="1242"/>
      <x:c r="F85" s="1242"/>
      <x:c r="G85" s="1242"/>
      <x:c r="H85" s="1242"/>
      <x:c r="I85" s="1242"/>
      <x:c r="J85" s="1258" t="str">
        <x:f>IF($B85="","",IFERROR(INDEX('Certified Allocation'!$F$5:$F$51,MATCH($B85,'Certified Allocation'!$B$5:$B$51,0)),""))</x:f>
      </x:c>
      <x:c r="K85" s="1252" t="str">
        <x:f>IF($B85="","",IFERROR(INDEX('20 RCC-003 MIAR Registry'!$A$14:$A$60,MATCH($B85,'20 RCC-003 MIAR Registry'!$B$14:$B$60,0)),""))</x:f>
      </x:c>
      <x:c r="L85" s="1252" t="str">
        <x:f>IF($B85="","",IFERROR(INDEX('20 RCC-003 MIAR Registry'!$M$14:$M$60,MATCH($B85,'20 RCC-003 MIAR Registry'!$B$14:$B$60,0)),""))</x:f>
      </x:c>
      <x:c r="M85" s="1252" t="str">
        <x:f>IF($B85="","",IFERROR(INDEX('20 RCC-003 MIAR Registry'!$Z$14:$Z$60,MATCH($B85,'20 RCC-003 MIAR Registry'!$B$14:$B$60,0)),""))</x:f>
      </x:c>
      <x:c r="N85" s="1255" t="str">
        <x:f>IF($B85="","",IFERROR(INDEX('20 RCC-003 MIAR Registry'!$K$14:$K$60,MATCH($B85,'20 RCC-003 MIAR Registry'!$B$14:$B$60,0)),""))</x:f>
      </x:c>
      <x:c r="O85" s="1255" t="str">
        <x:f>IF($B85="","",IFERROR(INDEX('20 RCC-003 MIAR Registry'!$L$14:$L$60,MATCH($B85,'20 RCC-003 MIAR Registry'!$B$14:$B$60,0)),""))</x:f>
      </x:c>
      <x:c r="P85" s="1252" t="str">
        <x:f>IF($B85="","",IFERROR(INDEX('20 RCC-003 MIAR Registry'!$I$14:$I$60,MATCH($B85,'20 RCC-003 MIAR Registry'!$B$14:$B$60,0)),""))</x:f>
      </x:c>
      <x:c r="Q85" s="1252" t="str">
        <x:f>IF($B85="","",IFERROR(INDEX('20 RCC-003 MIAR Registry'!$J$14:$J$60,MATCH($B85,'20 RCC-003 MIAR Registry'!$B$14:$B$60,0)),""))</x:f>
      </x:c>
      <x:c r="R85" s="1256" t="str">
        <x:f>IF($B85="","",COUNTIF('18 RCC-002 Evidence Ledger'!$E$14:$E$213,$B85))</x:f>
      </x:c>
      <x:c r="S85" s="1256" t="str">
        <x:f>IF($B85="","",COUNTIFS('18 RCC-002 Evidence Ledger'!$E$14:$E$213,$B85,'18 RCC-002 Evidence Ledger'!$T$14:$T$213,"&lt;&gt;Closed — No Action",'18 RCC-002 Evidence Ledger'!$T$14:$T$213,"&lt;&gt;Closed — Incorporated"))</x:f>
      </x:c>
      <x:c r="T85" s="1248"/>
      <x:c r="U85" s="1249"/>
      <x:c r="V85" s="1242"/>
      <x:c r="W85" s="1248"/>
      <x:c r="X85" s="1253" t="str">
        <x:f>IF($B85="","",IF($D85="Certified Portfolio Holding","CERTIFIED HOLDING",IF(OR($A85="",$D85="",$E85="",$F85="",$G85="",$H85="",$I85=""),"NOT ASSESSED",IF(OR($K85="",$L85&lt;&gt;"Active",$M85="OVERDUE",$M85="MATERIAL EVENT REVIEW",$N85="",$O85="",$W85=""),"NOT ELIGIBLE",IF(OR(AND($F85="Zacks Election",OR($T85="",$T85&lt;50)),OR($U85=4,$U85=5),$V85="No Rating",$V85="Restricted / Unavailable"),"ELIGIBLE WITH EXCEPTION","ELIGIBLE")))))</x:f>
      </x:c>
      <x:c r="Y85" s="1253" t="str">
        <x:f>IF($B85="","",IF($A85="","Canonical MASR ID required",IF(AND($D85&lt;&gt;"Certified Portfolio Holding",OR($K85="",$L85&lt;&gt;"Active",$M85&lt;&gt;"CURRENT",$N85="",$O85="",$W85="")),"Complete MIAR / scoring / empirical eligibility",IF(AND($F85="Zacks Election",OR($T85="",$T85&lt;50)),"Sub-$50B Zacks election exception",IF(OR($U85=4,$U85=5),"Zacks #4/#5 exception review",IF($V85="No Rating","Merrill No Rating exception",IF($V85="Restricted / Unavailable","Merrill restricted / unavailable exception","None")))))))</x:f>
      </x:c>
      <x:c r="Z85" s="1257" t="str">
        <x:f>IF($B85="","",COUNTIF('24 RCC-004 Candidate Pipeline'!$C$14:$C$213,$B85))</x:f>
      </x:c>
      <x:c r="AA85" s="1253" t="str">
        <x:f>IF($B85="","",IFERROR(INDEX('24 RCC-004 Candidate Pipeline'!$Y$14:$Y$213,MATCH($B85,'24 RCC-004 Candidate Pipeline'!$C$14:$C$213,0)),""))</x:f>
      </x:c>
      <x:c r="AB85" s="1242"/>
      <x:c r="AC85" s="1253" t="str">
        <x:f>IF($B85="","",IF(COUNTIFS('24 RCC-004 Candidate Pipeline'!$C$14:$C$213,$B85,'24 RCC-004 Candidate Pipeline'!$AF$14:$AF$213,"Yes — Refer to PEW-004")&gt;0,"REFERRED — PEW-004",IF($Z85&gt;0,"CANDIDATE RECORD ACTIVE","NO ACTIVE CANDIDATE")))</x:f>
      </x:c>
      <x:c r="AD85" s="1253" t="str">
        <x:f>IF($B85="","",IF($A85="","SETUP REQUIRED",IF(COUNTIF($A$14:$A$163,$A85)&gt;1,"DUPLICATE MASR ID",IF(COUNTIF($B$14:$B$163,$B85)&gt;1,"DUPLICATE TICKER",IF(OR($D85="",$E85="",$F85="",$G85="",$H85="",$I85=""),"INCOMPLETE",IF(OR($K85="",$L85=""),"MIAR SETUP REQUIRED",IF($X85="NOT ELIGIBLE","NOT ELIGIBLE",IF($Y85&lt;&gt;"None","EXCEPTION REVIEW",IF(AND($D85&lt;&gt;"Certified Portfolio Holding",OR($E85="Active — Approved Non-Holding",$E85="Conditional",$E85="Candidate — Committee Review"),OR($AB85="",$AB85="Pending")),"COMMITTEE DISPOSITION REQUIRED",IF(AND(OR($E85="Active — Approved Non-Holding",$E85="Conditional"),OR($AG85="",$AH85="")),"CERTIFICATION REQUIRED",IF(OR($E85="Rejected",$E85="Removed",$E85="Archived"),"INACTIVE / CLOSED","CONTROL CLEAR")))))))))))</x:f>
      </x:c>
      <x:c r="AE85" s="1253" t="str">
        <x:f>IF($AD85="","",IFERROR(INDEX('97 RCC Lists'!$AK$5:$AK$15,MATCH($AD85,'97 RCC Lists'!$AJ$5:$AJ$15,0)),"Review exception"))</x:f>
      </x:c>
      <x:c r="AF85" s="1251"/>
      <x:c r="AG85" s="1242"/>
      <x:c r="AH85" s="1251"/>
      <x:c r="AI85" s="1242"/>
    </x:row>
    <x:row r="86" ht="32" customHeight="1">
      <x:c r="A86" s="1242"/>
      <x:c r="B86" s="1242"/>
      <x:c r="C86" s="1242"/>
      <x:c r="D86" s="1242"/>
      <x:c r="E86" s="1242"/>
      <x:c r="F86" s="1242"/>
      <x:c r="G86" s="1242"/>
      <x:c r="H86" s="1242"/>
      <x:c r="I86" s="1242"/>
      <x:c r="J86" s="1259" t="str">
        <x:f>IF($B86="","",IFERROR(INDEX('Certified Allocation'!$F$5:$F$51,MATCH($B86,'Certified Allocation'!$B$5:$B$51,0)),""))</x:f>
      </x:c>
      <x:c r="K86" s="1243" t="str">
        <x:f>IF($B86="","",IFERROR(INDEX('20 RCC-003 MIAR Registry'!$A$14:$A$60,MATCH($B86,'20 RCC-003 MIAR Registry'!$B$14:$B$60,0)),""))</x:f>
      </x:c>
      <x:c r="L86" s="1243" t="str">
        <x:f>IF($B86="","",IFERROR(INDEX('20 RCC-003 MIAR Registry'!$M$14:$M$60,MATCH($B86,'20 RCC-003 MIAR Registry'!$B$14:$B$60,0)),""))</x:f>
      </x:c>
      <x:c r="M86" s="1243" t="str">
        <x:f>IF($B86="","",IFERROR(INDEX('20 RCC-003 MIAR Registry'!$Z$14:$Z$60,MATCH($B86,'20 RCC-003 MIAR Registry'!$B$14:$B$60,0)),""))</x:f>
      </x:c>
      <x:c r="N86" s="1246" t="str">
        <x:f>IF($B86="","",IFERROR(INDEX('20 RCC-003 MIAR Registry'!$K$14:$K$60,MATCH($B86,'20 RCC-003 MIAR Registry'!$B$14:$B$60,0)),""))</x:f>
      </x:c>
      <x:c r="O86" s="1246" t="str">
        <x:f>IF($B86="","",IFERROR(INDEX('20 RCC-003 MIAR Registry'!$L$14:$L$60,MATCH($B86,'20 RCC-003 MIAR Registry'!$B$14:$B$60,0)),""))</x:f>
      </x:c>
      <x:c r="P86" s="1243" t="str">
        <x:f>IF($B86="","",IFERROR(INDEX('20 RCC-003 MIAR Registry'!$I$14:$I$60,MATCH($B86,'20 RCC-003 MIAR Registry'!$B$14:$B$60,0)),""))</x:f>
      </x:c>
      <x:c r="Q86" s="1243" t="str">
        <x:f>IF($B86="","",IFERROR(INDEX('20 RCC-003 MIAR Registry'!$J$14:$J$60,MATCH($B86,'20 RCC-003 MIAR Registry'!$B$14:$B$60,0)),""))</x:f>
      </x:c>
      <x:c r="R86" s="1247" t="str">
        <x:f>IF($B86="","",COUNTIF('18 RCC-002 Evidence Ledger'!$E$14:$E$213,$B86))</x:f>
      </x:c>
      <x:c r="S86" s="1247" t="str">
        <x:f>IF($B86="","",COUNTIFS('18 RCC-002 Evidence Ledger'!$E$14:$E$213,$B86,'18 RCC-002 Evidence Ledger'!$T$14:$T$213,"&lt;&gt;Closed — No Action",'18 RCC-002 Evidence Ledger'!$T$14:$T$213,"&lt;&gt;Closed — Incorporated"))</x:f>
      </x:c>
      <x:c r="T86" s="1248"/>
      <x:c r="U86" s="1249"/>
      <x:c r="V86" s="1242"/>
      <x:c r="W86" s="1248"/>
      <x:c r="X86" s="1244" t="str">
        <x:f>IF($B86="","",IF($D86="Certified Portfolio Holding","CERTIFIED HOLDING",IF(OR($A86="",$D86="",$E86="",$F86="",$G86="",$H86="",$I86=""),"NOT ASSESSED",IF(OR($K86="",$L86&lt;&gt;"Active",$M86="OVERDUE",$M86="MATERIAL EVENT REVIEW",$N86="",$O86="",$W86=""),"NOT ELIGIBLE",IF(OR(AND($F86="Zacks Election",OR($T86="",$T86&lt;50)),OR($U86=4,$U86=5),$V86="No Rating",$V86="Restricted / Unavailable"),"ELIGIBLE WITH EXCEPTION","ELIGIBLE")))))</x:f>
      </x:c>
      <x:c r="Y86" s="1244" t="str">
        <x:f>IF($B86="","",IF($A86="","Canonical MASR ID required",IF(AND($D86&lt;&gt;"Certified Portfolio Holding",OR($K86="",$L86&lt;&gt;"Active",$M86&lt;&gt;"CURRENT",$N86="",$O86="",$W86="")),"Complete MIAR / scoring / empirical eligibility",IF(AND($F86="Zacks Election",OR($T86="",$T86&lt;50)),"Sub-$50B Zacks election exception",IF(OR($U86=4,$U86=5),"Zacks #4/#5 exception review",IF($V86="No Rating","Merrill No Rating exception",IF($V86="Restricted / Unavailable","Merrill restricted / unavailable exception","None")))))))</x:f>
      </x:c>
      <x:c r="Z86" s="1250" t="str">
        <x:f>IF($B86="","",COUNTIF('24 RCC-004 Candidate Pipeline'!$C$14:$C$213,$B86))</x:f>
      </x:c>
      <x:c r="AA86" s="1244" t="str">
        <x:f>IF($B86="","",IFERROR(INDEX('24 RCC-004 Candidate Pipeline'!$Y$14:$Y$213,MATCH($B86,'24 RCC-004 Candidate Pipeline'!$C$14:$C$213,0)),""))</x:f>
      </x:c>
      <x:c r="AB86" s="1242"/>
      <x:c r="AC86" s="1244" t="str">
        <x:f>IF($B86="","",IF(COUNTIFS('24 RCC-004 Candidate Pipeline'!$C$14:$C$213,$B86,'24 RCC-004 Candidate Pipeline'!$AF$14:$AF$213,"Yes — Refer to PEW-004")&gt;0,"REFERRED — PEW-004",IF($Z86&gt;0,"CANDIDATE RECORD ACTIVE","NO ACTIVE CANDIDATE")))</x:f>
      </x:c>
      <x:c r="AD86" s="1244" t="str">
        <x:f>IF($B86="","",IF($A86="","SETUP REQUIRED",IF(COUNTIF($A$14:$A$163,$A86)&gt;1,"DUPLICATE MASR ID",IF(COUNTIF($B$14:$B$163,$B86)&gt;1,"DUPLICATE TICKER",IF(OR($D86="",$E86="",$F86="",$G86="",$H86="",$I86=""),"INCOMPLETE",IF(OR($K86="",$L86=""),"MIAR SETUP REQUIRED",IF($X86="NOT ELIGIBLE","NOT ELIGIBLE",IF($Y86&lt;&gt;"None","EXCEPTION REVIEW",IF(AND($D86&lt;&gt;"Certified Portfolio Holding",OR($E86="Active — Approved Non-Holding",$E86="Conditional",$E86="Candidate — Committee Review"),OR($AB86="",$AB86="Pending")),"COMMITTEE DISPOSITION REQUIRED",IF(AND(OR($E86="Active — Approved Non-Holding",$E86="Conditional"),OR($AG86="",$AH86="")),"CERTIFICATION REQUIRED",IF(OR($E86="Rejected",$E86="Removed",$E86="Archived"),"INACTIVE / CLOSED","CONTROL CLEAR")))))))))))</x:f>
      </x:c>
      <x:c r="AE86" s="1244" t="str">
        <x:f>IF($AD86="","",IFERROR(INDEX('97 RCC Lists'!$AK$5:$AK$15,MATCH($AD86,'97 RCC Lists'!$AJ$5:$AJ$15,0)),"Review exception"))</x:f>
      </x:c>
      <x:c r="AF86" s="1251"/>
      <x:c r="AG86" s="1242"/>
      <x:c r="AH86" s="1251"/>
      <x:c r="AI86" s="1242"/>
    </x:row>
    <x:row r="87" ht="32" customHeight="1">
      <x:c r="A87" s="1242"/>
      <x:c r="B87" s="1242"/>
      <x:c r="C87" s="1242"/>
      <x:c r="D87" s="1242"/>
      <x:c r="E87" s="1242"/>
      <x:c r="F87" s="1242"/>
      <x:c r="G87" s="1242"/>
      <x:c r="H87" s="1242"/>
      <x:c r="I87" s="1242"/>
      <x:c r="J87" s="1258" t="str">
        <x:f>IF($B87="","",IFERROR(INDEX('Certified Allocation'!$F$5:$F$51,MATCH($B87,'Certified Allocation'!$B$5:$B$51,0)),""))</x:f>
      </x:c>
      <x:c r="K87" s="1252" t="str">
        <x:f>IF($B87="","",IFERROR(INDEX('20 RCC-003 MIAR Registry'!$A$14:$A$60,MATCH($B87,'20 RCC-003 MIAR Registry'!$B$14:$B$60,0)),""))</x:f>
      </x:c>
      <x:c r="L87" s="1252" t="str">
        <x:f>IF($B87="","",IFERROR(INDEX('20 RCC-003 MIAR Registry'!$M$14:$M$60,MATCH($B87,'20 RCC-003 MIAR Registry'!$B$14:$B$60,0)),""))</x:f>
      </x:c>
      <x:c r="M87" s="1252" t="str">
        <x:f>IF($B87="","",IFERROR(INDEX('20 RCC-003 MIAR Registry'!$Z$14:$Z$60,MATCH($B87,'20 RCC-003 MIAR Registry'!$B$14:$B$60,0)),""))</x:f>
      </x:c>
      <x:c r="N87" s="1255" t="str">
        <x:f>IF($B87="","",IFERROR(INDEX('20 RCC-003 MIAR Registry'!$K$14:$K$60,MATCH($B87,'20 RCC-003 MIAR Registry'!$B$14:$B$60,0)),""))</x:f>
      </x:c>
      <x:c r="O87" s="1255" t="str">
        <x:f>IF($B87="","",IFERROR(INDEX('20 RCC-003 MIAR Registry'!$L$14:$L$60,MATCH($B87,'20 RCC-003 MIAR Registry'!$B$14:$B$60,0)),""))</x:f>
      </x:c>
      <x:c r="P87" s="1252" t="str">
        <x:f>IF($B87="","",IFERROR(INDEX('20 RCC-003 MIAR Registry'!$I$14:$I$60,MATCH($B87,'20 RCC-003 MIAR Registry'!$B$14:$B$60,0)),""))</x:f>
      </x:c>
      <x:c r="Q87" s="1252" t="str">
        <x:f>IF($B87="","",IFERROR(INDEX('20 RCC-003 MIAR Registry'!$J$14:$J$60,MATCH($B87,'20 RCC-003 MIAR Registry'!$B$14:$B$60,0)),""))</x:f>
      </x:c>
      <x:c r="R87" s="1256" t="str">
        <x:f>IF($B87="","",COUNTIF('18 RCC-002 Evidence Ledger'!$E$14:$E$213,$B87))</x:f>
      </x:c>
      <x:c r="S87" s="1256" t="str">
        <x:f>IF($B87="","",COUNTIFS('18 RCC-002 Evidence Ledger'!$E$14:$E$213,$B87,'18 RCC-002 Evidence Ledger'!$T$14:$T$213,"&lt;&gt;Closed — No Action",'18 RCC-002 Evidence Ledger'!$T$14:$T$213,"&lt;&gt;Closed — Incorporated"))</x:f>
      </x:c>
      <x:c r="T87" s="1248"/>
      <x:c r="U87" s="1249"/>
      <x:c r="V87" s="1242"/>
      <x:c r="W87" s="1248"/>
      <x:c r="X87" s="1253" t="str">
        <x:f>IF($B87="","",IF($D87="Certified Portfolio Holding","CERTIFIED HOLDING",IF(OR($A87="",$D87="",$E87="",$F87="",$G87="",$H87="",$I87=""),"NOT ASSESSED",IF(OR($K87="",$L87&lt;&gt;"Active",$M87="OVERDUE",$M87="MATERIAL EVENT REVIEW",$N87="",$O87="",$W87=""),"NOT ELIGIBLE",IF(OR(AND($F87="Zacks Election",OR($T87="",$T87&lt;50)),OR($U87=4,$U87=5),$V87="No Rating",$V87="Restricted / Unavailable"),"ELIGIBLE WITH EXCEPTION","ELIGIBLE")))))</x:f>
      </x:c>
      <x:c r="Y87" s="1253" t="str">
        <x:f>IF($B87="","",IF($A87="","Canonical MASR ID required",IF(AND($D87&lt;&gt;"Certified Portfolio Holding",OR($K87="",$L87&lt;&gt;"Active",$M87&lt;&gt;"CURRENT",$N87="",$O87="",$W87="")),"Complete MIAR / scoring / empirical eligibility",IF(AND($F87="Zacks Election",OR($T87="",$T87&lt;50)),"Sub-$50B Zacks election exception",IF(OR($U87=4,$U87=5),"Zacks #4/#5 exception review",IF($V87="No Rating","Merrill No Rating exception",IF($V87="Restricted / Unavailable","Merrill restricted / unavailable exception","None")))))))</x:f>
      </x:c>
      <x:c r="Z87" s="1257" t="str">
        <x:f>IF($B87="","",COUNTIF('24 RCC-004 Candidate Pipeline'!$C$14:$C$213,$B87))</x:f>
      </x:c>
      <x:c r="AA87" s="1253" t="str">
        <x:f>IF($B87="","",IFERROR(INDEX('24 RCC-004 Candidate Pipeline'!$Y$14:$Y$213,MATCH($B87,'24 RCC-004 Candidate Pipeline'!$C$14:$C$213,0)),""))</x:f>
      </x:c>
      <x:c r="AB87" s="1242"/>
      <x:c r="AC87" s="1253" t="str">
        <x:f>IF($B87="","",IF(COUNTIFS('24 RCC-004 Candidate Pipeline'!$C$14:$C$213,$B87,'24 RCC-004 Candidate Pipeline'!$AF$14:$AF$213,"Yes — Refer to PEW-004")&gt;0,"REFERRED — PEW-004",IF($Z87&gt;0,"CANDIDATE RECORD ACTIVE","NO ACTIVE CANDIDATE")))</x:f>
      </x:c>
      <x:c r="AD87" s="1253" t="str">
        <x:f>IF($B87="","",IF($A87="","SETUP REQUIRED",IF(COUNTIF($A$14:$A$163,$A87)&gt;1,"DUPLICATE MASR ID",IF(COUNTIF($B$14:$B$163,$B87)&gt;1,"DUPLICATE TICKER",IF(OR($D87="",$E87="",$F87="",$G87="",$H87="",$I87=""),"INCOMPLETE",IF(OR($K87="",$L87=""),"MIAR SETUP REQUIRED",IF($X87="NOT ELIGIBLE","NOT ELIGIBLE",IF($Y87&lt;&gt;"None","EXCEPTION REVIEW",IF(AND($D87&lt;&gt;"Certified Portfolio Holding",OR($E87="Active — Approved Non-Holding",$E87="Conditional",$E87="Candidate — Committee Review"),OR($AB87="",$AB87="Pending")),"COMMITTEE DISPOSITION REQUIRED",IF(AND(OR($E87="Active — Approved Non-Holding",$E87="Conditional"),OR($AG87="",$AH87="")),"CERTIFICATION REQUIRED",IF(OR($E87="Rejected",$E87="Removed",$E87="Archived"),"INACTIVE / CLOSED","CONTROL CLEAR")))))))))))</x:f>
      </x:c>
      <x:c r="AE87" s="1253" t="str">
        <x:f>IF($AD87="","",IFERROR(INDEX('97 RCC Lists'!$AK$5:$AK$15,MATCH($AD87,'97 RCC Lists'!$AJ$5:$AJ$15,0)),"Review exception"))</x:f>
      </x:c>
      <x:c r="AF87" s="1251"/>
      <x:c r="AG87" s="1242"/>
      <x:c r="AH87" s="1251"/>
      <x:c r="AI87" s="1242"/>
    </x:row>
    <x:row r="88" ht="32" customHeight="1">
      <x:c r="A88" s="1242"/>
      <x:c r="B88" s="1242"/>
      <x:c r="C88" s="1242"/>
      <x:c r="D88" s="1242"/>
      <x:c r="E88" s="1242"/>
      <x:c r="F88" s="1242"/>
      <x:c r="G88" s="1242"/>
      <x:c r="H88" s="1242"/>
      <x:c r="I88" s="1242"/>
      <x:c r="J88" s="1259" t="str">
        <x:f>IF($B88="","",IFERROR(INDEX('Certified Allocation'!$F$5:$F$51,MATCH($B88,'Certified Allocation'!$B$5:$B$51,0)),""))</x:f>
      </x:c>
      <x:c r="K88" s="1243" t="str">
        <x:f>IF($B88="","",IFERROR(INDEX('20 RCC-003 MIAR Registry'!$A$14:$A$60,MATCH($B88,'20 RCC-003 MIAR Registry'!$B$14:$B$60,0)),""))</x:f>
      </x:c>
      <x:c r="L88" s="1243" t="str">
        <x:f>IF($B88="","",IFERROR(INDEX('20 RCC-003 MIAR Registry'!$M$14:$M$60,MATCH($B88,'20 RCC-003 MIAR Registry'!$B$14:$B$60,0)),""))</x:f>
      </x:c>
      <x:c r="M88" s="1243" t="str">
        <x:f>IF($B88="","",IFERROR(INDEX('20 RCC-003 MIAR Registry'!$Z$14:$Z$60,MATCH($B88,'20 RCC-003 MIAR Registry'!$B$14:$B$60,0)),""))</x:f>
      </x:c>
      <x:c r="N88" s="1246" t="str">
        <x:f>IF($B88="","",IFERROR(INDEX('20 RCC-003 MIAR Registry'!$K$14:$K$60,MATCH($B88,'20 RCC-003 MIAR Registry'!$B$14:$B$60,0)),""))</x:f>
      </x:c>
      <x:c r="O88" s="1246" t="str">
        <x:f>IF($B88="","",IFERROR(INDEX('20 RCC-003 MIAR Registry'!$L$14:$L$60,MATCH($B88,'20 RCC-003 MIAR Registry'!$B$14:$B$60,0)),""))</x:f>
      </x:c>
      <x:c r="P88" s="1243" t="str">
        <x:f>IF($B88="","",IFERROR(INDEX('20 RCC-003 MIAR Registry'!$I$14:$I$60,MATCH($B88,'20 RCC-003 MIAR Registry'!$B$14:$B$60,0)),""))</x:f>
      </x:c>
      <x:c r="Q88" s="1243" t="str">
        <x:f>IF($B88="","",IFERROR(INDEX('20 RCC-003 MIAR Registry'!$J$14:$J$60,MATCH($B88,'20 RCC-003 MIAR Registry'!$B$14:$B$60,0)),""))</x:f>
      </x:c>
      <x:c r="R88" s="1247" t="str">
        <x:f>IF($B88="","",COUNTIF('18 RCC-002 Evidence Ledger'!$E$14:$E$213,$B88))</x:f>
      </x:c>
      <x:c r="S88" s="1247" t="str">
        <x:f>IF($B88="","",COUNTIFS('18 RCC-002 Evidence Ledger'!$E$14:$E$213,$B88,'18 RCC-002 Evidence Ledger'!$T$14:$T$213,"&lt;&gt;Closed — No Action",'18 RCC-002 Evidence Ledger'!$T$14:$T$213,"&lt;&gt;Closed — Incorporated"))</x:f>
      </x:c>
      <x:c r="T88" s="1248"/>
      <x:c r="U88" s="1249"/>
      <x:c r="V88" s="1242"/>
      <x:c r="W88" s="1248"/>
      <x:c r="X88" s="1244" t="str">
        <x:f>IF($B88="","",IF($D88="Certified Portfolio Holding","CERTIFIED HOLDING",IF(OR($A88="",$D88="",$E88="",$F88="",$G88="",$H88="",$I88=""),"NOT ASSESSED",IF(OR($K88="",$L88&lt;&gt;"Active",$M88="OVERDUE",$M88="MATERIAL EVENT REVIEW",$N88="",$O88="",$W88=""),"NOT ELIGIBLE",IF(OR(AND($F88="Zacks Election",OR($T88="",$T88&lt;50)),OR($U88=4,$U88=5),$V88="No Rating",$V88="Restricted / Unavailable"),"ELIGIBLE WITH EXCEPTION","ELIGIBLE")))))</x:f>
      </x:c>
      <x:c r="Y88" s="1244" t="str">
        <x:f>IF($B88="","",IF($A88="","Canonical MASR ID required",IF(AND($D88&lt;&gt;"Certified Portfolio Holding",OR($K88="",$L88&lt;&gt;"Active",$M88&lt;&gt;"CURRENT",$N88="",$O88="",$W88="")),"Complete MIAR / scoring / empirical eligibility",IF(AND($F88="Zacks Election",OR($T88="",$T88&lt;50)),"Sub-$50B Zacks election exception",IF(OR($U88=4,$U88=5),"Zacks #4/#5 exception review",IF($V88="No Rating","Merrill No Rating exception",IF($V88="Restricted / Unavailable","Merrill restricted / unavailable exception","None")))))))</x:f>
      </x:c>
      <x:c r="Z88" s="1250" t="str">
        <x:f>IF($B88="","",COUNTIF('24 RCC-004 Candidate Pipeline'!$C$14:$C$213,$B88))</x:f>
      </x:c>
      <x:c r="AA88" s="1244" t="str">
        <x:f>IF($B88="","",IFERROR(INDEX('24 RCC-004 Candidate Pipeline'!$Y$14:$Y$213,MATCH($B88,'24 RCC-004 Candidate Pipeline'!$C$14:$C$213,0)),""))</x:f>
      </x:c>
      <x:c r="AB88" s="1242"/>
      <x:c r="AC88" s="1244" t="str">
        <x:f>IF($B88="","",IF(COUNTIFS('24 RCC-004 Candidate Pipeline'!$C$14:$C$213,$B88,'24 RCC-004 Candidate Pipeline'!$AF$14:$AF$213,"Yes — Refer to PEW-004")&gt;0,"REFERRED — PEW-004",IF($Z88&gt;0,"CANDIDATE RECORD ACTIVE","NO ACTIVE CANDIDATE")))</x:f>
      </x:c>
      <x:c r="AD88" s="1244" t="str">
        <x:f>IF($B88="","",IF($A88="","SETUP REQUIRED",IF(COUNTIF($A$14:$A$163,$A88)&gt;1,"DUPLICATE MASR ID",IF(COUNTIF($B$14:$B$163,$B88)&gt;1,"DUPLICATE TICKER",IF(OR($D88="",$E88="",$F88="",$G88="",$H88="",$I88=""),"INCOMPLETE",IF(OR($K88="",$L88=""),"MIAR SETUP REQUIRED",IF($X88="NOT ELIGIBLE","NOT ELIGIBLE",IF($Y88&lt;&gt;"None","EXCEPTION REVIEW",IF(AND($D88&lt;&gt;"Certified Portfolio Holding",OR($E88="Active — Approved Non-Holding",$E88="Conditional",$E88="Candidate — Committee Review"),OR($AB88="",$AB88="Pending")),"COMMITTEE DISPOSITION REQUIRED",IF(AND(OR($E88="Active — Approved Non-Holding",$E88="Conditional"),OR($AG88="",$AH88="")),"CERTIFICATION REQUIRED",IF(OR($E88="Rejected",$E88="Removed",$E88="Archived"),"INACTIVE / CLOSED","CONTROL CLEAR")))))))))))</x:f>
      </x:c>
      <x:c r="AE88" s="1244" t="str">
        <x:f>IF($AD88="","",IFERROR(INDEX('97 RCC Lists'!$AK$5:$AK$15,MATCH($AD88,'97 RCC Lists'!$AJ$5:$AJ$15,0)),"Review exception"))</x:f>
      </x:c>
      <x:c r="AF88" s="1251"/>
      <x:c r="AG88" s="1242"/>
      <x:c r="AH88" s="1251"/>
      <x:c r="AI88" s="1242"/>
    </x:row>
    <x:row r="89" ht="32" customHeight="1">
      <x:c r="A89" s="1242"/>
      <x:c r="B89" s="1242"/>
      <x:c r="C89" s="1242"/>
      <x:c r="D89" s="1242"/>
      <x:c r="E89" s="1242"/>
      <x:c r="F89" s="1242"/>
      <x:c r="G89" s="1242"/>
      <x:c r="H89" s="1242"/>
      <x:c r="I89" s="1242"/>
      <x:c r="J89" s="1258" t="str">
        <x:f>IF($B89="","",IFERROR(INDEX('Certified Allocation'!$F$5:$F$51,MATCH($B89,'Certified Allocation'!$B$5:$B$51,0)),""))</x:f>
      </x:c>
      <x:c r="K89" s="1252" t="str">
        <x:f>IF($B89="","",IFERROR(INDEX('20 RCC-003 MIAR Registry'!$A$14:$A$60,MATCH($B89,'20 RCC-003 MIAR Registry'!$B$14:$B$60,0)),""))</x:f>
      </x:c>
      <x:c r="L89" s="1252" t="str">
        <x:f>IF($B89="","",IFERROR(INDEX('20 RCC-003 MIAR Registry'!$M$14:$M$60,MATCH($B89,'20 RCC-003 MIAR Registry'!$B$14:$B$60,0)),""))</x:f>
      </x:c>
      <x:c r="M89" s="1252" t="str">
        <x:f>IF($B89="","",IFERROR(INDEX('20 RCC-003 MIAR Registry'!$Z$14:$Z$60,MATCH($B89,'20 RCC-003 MIAR Registry'!$B$14:$B$60,0)),""))</x:f>
      </x:c>
      <x:c r="N89" s="1255" t="str">
        <x:f>IF($B89="","",IFERROR(INDEX('20 RCC-003 MIAR Registry'!$K$14:$K$60,MATCH($B89,'20 RCC-003 MIAR Registry'!$B$14:$B$60,0)),""))</x:f>
      </x:c>
      <x:c r="O89" s="1255" t="str">
        <x:f>IF($B89="","",IFERROR(INDEX('20 RCC-003 MIAR Registry'!$L$14:$L$60,MATCH($B89,'20 RCC-003 MIAR Registry'!$B$14:$B$60,0)),""))</x:f>
      </x:c>
      <x:c r="P89" s="1252" t="str">
        <x:f>IF($B89="","",IFERROR(INDEX('20 RCC-003 MIAR Registry'!$I$14:$I$60,MATCH($B89,'20 RCC-003 MIAR Registry'!$B$14:$B$60,0)),""))</x:f>
      </x:c>
      <x:c r="Q89" s="1252" t="str">
        <x:f>IF($B89="","",IFERROR(INDEX('20 RCC-003 MIAR Registry'!$J$14:$J$60,MATCH($B89,'20 RCC-003 MIAR Registry'!$B$14:$B$60,0)),""))</x:f>
      </x:c>
      <x:c r="R89" s="1256" t="str">
        <x:f>IF($B89="","",COUNTIF('18 RCC-002 Evidence Ledger'!$E$14:$E$213,$B89))</x:f>
      </x:c>
      <x:c r="S89" s="1256" t="str">
        <x:f>IF($B89="","",COUNTIFS('18 RCC-002 Evidence Ledger'!$E$14:$E$213,$B89,'18 RCC-002 Evidence Ledger'!$T$14:$T$213,"&lt;&gt;Closed — No Action",'18 RCC-002 Evidence Ledger'!$T$14:$T$213,"&lt;&gt;Closed — Incorporated"))</x:f>
      </x:c>
      <x:c r="T89" s="1248"/>
      <x:c r="U89" s="1249"/>
      <x:c r="V89" s="1242"/>
      <x:c r="W89" s="1248"/>
      <x:c r="X89" s="1253" t="str">
        <x:f>IF($B89="","",IF($D89="Certified Portfolio Holding","CERTIFIED HOLDING",IF(OR($A89="",$D89="",$E89="",$F89="",$G89="",$H89="",$I89=""),"NOT ASSESSED",IF(OR($K89="",$L89&lt;&gt;"Active",$M89="OVERDUE",$M89="MATERIAL EVENT REVIEW",$N89="",$O89="",$W89=""),"NOT ELIGIBLE",IF(OR(AND($F89="Zacks Election",OR($T89="",$T89&lt;50)),OR($U89=4,$U89=5),$V89="No Rating",$V89="Restricted / Unavailable"),"ELIGIBLE WITH EXCEPTION","ELIGIBLE")))))</x:f>
      </x:c>
      <x:c r="Y89" s="1253" t="str">
        <x:f>IF($B89="","",IF($A89="","Canonical MASR ID required",IF(AND($D89&lt;&gt;"Certified Portfolio Holding",OR($K89="",$L89&lt;&gt;"Active",$M89&lt;&gt;"CURRENT",$N89="",$O89="",$W89="")),"Complete MIAR / scoring / empirical eligibility",IF(AND($F89="Zacks Election",OR($T89="",$T89&lt;50)),"Sub-$50B Zacks election exception",IF(OR($U89=4,$U89=5),"Zacks #4/#5 exception review",IF($V89="No Rating","Merrill No Rating exception",IF($V89="Restricted / Unavailable","Merrill restricted / unavailable exception","None")))))))</x:f>
      </x:c>
      <x:c r="Z89" s="1257" t="str">
        <x:f>IF($B89="","",COUNTIF('24 RCC-004 Candidate Pipeline'!$C$14:$C$213,$B89))</x:f>
      </x:c>
      <x:c r="AA89" s="1253" t="str">
        <x:f>IF($B89="","",IFERROR(INDEX('24 RCC-004 Candidate Pipeline'!$Y$14:$Y$213,MATCH($B89,'24 RCC-004 Candidate Pipeline'!$C$14:$C$213,0)),""))</x:f>
      </x:c>
      <x:c r="AB89" s="1242"/>
      <x:c r="AC89" s="1253" t="str">
        <x:f>IF($B89="","",IF(COUNTIFS('24 RCC-004 Candidate Pipeline'!$C$14:$C$213,$B89,'24 RCC-004 Candidate Pipeline'!$AF$14:$AF$213,"Yes — Refer to PEW-004")&gt;0,"REFERRED — PEW-004",IF($Z89&gt;0,"CANDIDATE RECORD ACTIVE","NO ACTIVE CANDIDATE")))</x:f>
      </x:c>
      <x:c r="AD89" s="1253" t="str">
        <x:f>IF($B89="","",IF($A89="","SETUP REQUIRED",IF(COUNTIF($A$14:$A$163,$A89)&gt;1,"DUPLICATE MASR ID",IF(COUNTIF($B$14:$B$163,$B89)&gt;1,"DUPLICATE TICKER",IF(OR($D89="",$E89="",$F89="",$G89="",$H89="",$I89=""),"INCOMPLETE",IF(OR($K89="",$L89=""),"MIAR SETUP REQUIRED",IF($X89="NOT ELIGIBLE","NOT ELIGIBLE",IF($Y89&lt;&gt;"None","EXCEPTION REVIEW",IF(AND($D89&lt;&gt;"Certified Portfolio Holding",OR($E89="Active — Approved Non-Holding",$E89="Conditional",$E89="Candidate — Committee Review"),OR($AB89="",$AB89="Pending")),"COMMITTEE DISPOSITION REQUIRED",IF(AND(OR($E89="Active — Approved Non-Holding",$E89="Conditional"),OR($AG89="",$AH89="")),"CERTIFICATION REQUIRED",IF(OR($E89="Rejected",$E89="Removed",$E89="Archived"),"INACTIVE / CLOSED","CONTROL CLEAR")))))))))))</x:f>
      </x:c>
      <x:c r="AE89" s="1253" t="str">
        <x:f>IF($AD89="","",IFERROR(INDEX('97 RCC Lists'!$AK$5:$AK$15,MATCH($AD89,'97 RCC Lists'!$AJ$5:$AJ$15,0)),"Review exception"))</x:f>
      </x:c>
      <x:c r="AF89" s="1251"/>
      <x:c r="AG89" s="1242"/>
      <x:c r="AH89" s="1251"/>
      <x:c r="AI89" s="1242"/>
    </x:row>
    <x:row r="90" ht="32" customHeight="1">
      <x:c r="A90" s="1242"/>
      <x:c r="B90" s="1242"/>
      <x:c r="C90" s="1242"/>
      <x:c r="D90" s="1242"/>
      <x:c r="E90" s="1242"/>
      <x:c r="F90" s="1242"/>
      <x:c r="G90" s="1242"/>
      <x:c r="H90" s="1242"/>
      <x:c r="I90" s="1242"/>
      <x:c r="J90" s="1259" t="str">
        <x:f>IF($B90="","",IFERROR(INDEX('Certified Allocation'!$F$5:$F$51,MATCH($B90,'Certified Allocation'!$B$5:$B$51,0)),""))</x:f>
      </x:c>
      <x:c r="K90" s="1243" t="str">
        <x:f>IF($B90="","",IFERROR(INDEX('20 RCC-003 MIAR Registry'!$A$14:$A$60,MATCH($B90,'20 RCC-003 MIAR Registry'!$B$14:$B$60,0)),""))</x:f>
      </x:c>
      <x:c r="L90" s="1243" t="str">
        <x:f>IF($B90="","",IFERROR(INDEX('20 RCC-003 MIAR Registry'!$M$14:$M$60,MATCH($B90,'20 RCC-003 MIAR Registry'!$B$14:$B$60,0)),""))</x:f>
      </x:c>
      <x:c r="M90" s="1243" t="str">
        <x:f>IF($B90="","",IFERROR(INDEX('20 RCC-003 MIAR Registry'!$Z$14:$Z$60,MATCH($B90,'20 RCC-003 MIAR Registry'!$B$14:$B$60,0)),""))</x:f>
      </x:c>
      <x:c r="N90" s="1246" t="str">
        <x:f>IF($B90="","",IFERROR(INDEX('20 RCC-003 MIAR Registry'!$K$14:$K$60,MATCH($B90,'20 RCC-003 MIAR Registry'!$B$14:$B$60,0)),""))</x:f>
      </x:c>
      <x:c r="O90" s="1246" t="str">
        <x:f>IF($B90="","",IFERROR(INDEX('20 RCC-003 MIAR Registry'!$L$14:$L$60,MATCH($B90,'20 RCC-003 MIAR Registry'!$B$14:$B$60,0)),""))</x:f>
      </x:c>
      <x:c r="P90" s="1243" t="str">
        <x:f>IF($B90="","",IFERROR(INDEX('20 RCC-003 MIAR Registry'!$I$14:$I$60,MATCH($B90,'20 RCC-003 MIAR Registry'!$B$14:$B$60,0)),""))</x:f>
      </x:c>
      <x:c r="Q90" s="1243" t="str">
        <x:f>IF($B90="","",IFERROR(INDEX('20 RCC-003 MIAR Registry'!$J$14:$J$60,MATCH($B90,'20 RCC-003 MIAR Registry'!$B$14:$B$60,0)),""))</x:f>
      </x:c>
      <x:c r="R90" s="1247" t="str">
        <x:f>IF($B90="","",COUNTIF('18 RCC-002 Evidence Ledger'!$E$14:$E$213,$B90))</x:f>
      </x:c>
      <x:c r="S90" s="1247" t="str">
        <x:f>IF($B90="","",COUNTIFS('18 RCC-002 Evidence Ledger'!$E$14:$E$213,$B90,'18 RCC-002 Evidence Ledger'!$T$14:$T$213,"&lt;&gt;Closed — No Action",'18 RCC-002 Evidence Ledger'!$T$14:$T$213,"&lt;&gt;Closed — Incorporated"))</x:f>
      </x:c>
      <x:c r="T90" s="1248"/>
      <x:c r="U90" s="1249"/>
      <x:c r="V90" s="1242"/>
      <x:c r="W90" s="1248"/>
      <x:c r="X90" s="1244" t="str">
        <x:f>IF($B90="","",IF($D90="Certified Portfolio Holding","CERTIFIED HOLDING",IF(OR($A90="",$D90="",$E90="",$F90="",$G90="",$H90="",$I90=""),"NOT ASSESSED",IF(OR($K90="",$L90&lt;&gt;"Active",$M90="OVERDUE",$M90="MATERIAL EVENT REVIEW",$N90="",$O90="",$W90=""),"NOT ELIGIBLE",IF(OR(AND($F90="Zacks Election",OR($T90="",$T90&lt;50)),OR($U90=4,$U90=5),$V90="No Rating",$V90="Restricted / Unavailable"),"ELIGIBLE WITH EXCEPTION","ELIGIBLE")))))</x:f>
      </x:c>
      <x:c r="Y90" s="1244" t="str">
        <x:f>IF($B90="","",IF($A90="","Canonical MASR ID required",IF(AND($D90&lt;&gt;"Certified Portfolio Holding",OR($K90="",$L90&lt;&gt;"Active",$M90&lt;&gt;"CURRENT",$N90="",$O90="",$W90="")),"Complete MIAR / scoring / empirical eligibility",IF(AND($F90="Zacks Election",OR($T90="",$T90&lt;50)),"Sub-$50B Zacks election exception",IF(OR($U90=4,$U90=5),"Zacks #4/#5 exception review",IF($V90="No Rating","Merrill No Rating exception",IF($V90="Restricted / Unavailable","Merrill restricted / unavailable exception","None")))))))</x:f>
      </x:c>
      <x:c r="Z90" s="1250" t="str">
        <x:f>IF($B90="","",COUNTIF('24 RCC-004 Candidate Pipeline'!$C$14:$C$213,$B90))</x:f>
      </x:c>
      <x:c r="AA90" s="1244" t="str">
        <x:f>IF($B90="","",IFERROR(INDEX('24 RCC-004 Candidate Pipeline'!$Y$14:$Y$213,MATCH($B90,'24 RCC-004 Candidate Pipeline'!$C$14:$C$213,0)),""))</x:f>
      </x:c>
      <x:c r="AB90" s="1242"/>
      <x:c r="AC90" s="1244" t="str">
        <x:f>IF($B90="","",IF(COUNTIFS('24 RCC-004 Candidate Pipeline'!$C$14:$C$213,$B90,'24 RCC-004 Candidate Pipeline'!$AF$14:$AF$213,"Yes — Refer to PEW-004")&gt;0,"REFERRED — PEW-004",IF($Z90&gt;0,"CANDIDATE RECORD ACTIVE","NO ACTIVE CANDIDATE")))</x:f>
      </x:c>
      <x:c r="AD90" s="1244" t="str">
        <x:f>IF($B90="","",IF($A90="","SETUP REQUIRED",IF(COUNTIF($A$14:$A$163,$A90)&gt;1,"DUPLICATE MASR ID",IF(COUNTIF($B$14:$B$163,$B90)&gt;1,"DUPLICATE TICKER",IF(OR($D90="",$E90="",$F90="",$G90="",$H90="",$I90=""),"INCOMPLETE",IF(OR($K90="",$L90=""),"MIAR SETUP REQUIRED",IF($X90="NOT ELIGIBLE","NOT ELIGIBLE",IF($Y90&lt;&gt;"None","EXCEPTION REVIEW",IF(AND($D90&lt;&gt;"Certified Portfolio Holding",OR($E90="Active — Approved Non-Holding",$E90="Conditional",$E90="Candidate — Committee Review"),OR($AB90="",$AB90="Pending")),"COMMITTEE DISPOSITION REQUIRED",IF(AND(OR($E90="Active — Approved Non-Holding",$E90="Conditional"),OR($AG90="",$AH90="")),"CERTIFICATION REQUIRED",IF(OR($E90="Rejected",$E90="Removed",$E90="Archived"),"INACTIVE / CLOSED","CONTROL CLEAR")))))))))))</x:f>
      </x:c>
      <x:c r="AE90" s="1244" t="str">
        <x:f>IF($AD90="","",IFERROR(INDEX('97 RCC Lists'!$AK$5:$AK$15,MATCH($AD90,'97 RCC Lists'!$AJ$5:$AJ$15,0)),"Review exception"))</x:f>
      </x:c>
      <x:c r="AF90" s="1251"/>
      <x:c r="AG90" s="1242"/>
      <x:c r="AH90" s="1251"/>
      <x:c r="AI90" s="1242"/>
    </x:row>
    <x:row r="91" ht="32" customHeight="1">
      <x:c r="A91" s="1242"/>
      <x:c r="B91" s="1242"/>
      <x:c r="C91" s="1242"/>
      <x:c r="D91" s="1242"/>
      <x:c r="E91" s="1242"/>
      <x:c r="F91" s="1242"/>
      <x:c r="G91" s="1242"/>
      <x:c r="H91" s="1242"/>
      <x:c r="I91" s="1242"/>
      <x:c r="J91" s="1258" t="str">
        <x:f>IF($B91="","",IFERROR(INDEX('Certified Allocation'!$F$5:$F$51,MATCH($B91,'Certified Allocation'!$B$5:$B$51,0)),""))</x:f>
      </x:c>
      <x:c r="K91" s="1252" t="str">
        <x:f>IF($B91="","",IFERROR(INDEX('20 RCC-003 MIAR Registry'!$A$14:$A$60,MATCH($B91,'20 RCC-003 MIAR Registry'!$B$14:$B$60,0)),""))</x:f>
      </x:c>
      <x:c r="L91" s="1252" t="str">
        <x:f>IF($B91="","",IFERROR(INDEX('20 RCC-003 MIAR Registry'!$M$14:$M$60,MATCH($B91,'20 RCC-003 MIAR Registry'!$B$14:$B$60,0)),""))</x:f>
      </x:c>
      <x:c r="M91" s="1252" t="str">
        <x:f>IF($B91="","",IFERROR(INDEX('20 RCC-003 MIAR Registry'!$Z$14:$Z$60,MATCH($B91,'20 RCC-003 MIAR Registry'!$B$14:$B$60,0)),""))</x:f>
      </x:c>
      <x:c r="N91" s="1255" t="str">
        <x:f>IF($B91="","",IFERROR(INDEX('20 RCC-003 MIAR Registry'!$K$14:$K$60,MATCH($B91,'20 RCC-003 MIAR Registry'!$B$14:$B$60,0)),""))</x:f>
      </x:c>
      <x:c r="O91" s="1255" t="str">
        <x:f>IF($B91="","",IFERROR(INDEX('20 RCC-003 MIAR Registry'!$L$14:$L$60,MATCH($B91,'20 RCC-003 MIAR Registry'!$B$14:$B$60,0)),""))</x:f>
      </x:c>
      <x:c r="P91" s="1252" t="str">
        <x:f>IF($B91="","",IFERROR(INDEX('20 RCC-003 MIAR Registry'!$I$14:$I$60,MATCH($B91,'20 RCC-003 MIAR Registry'!$B$14:$B$60,0)),""))</x:f>
      </x:c>
      <x:c r="Q91" s="1252" t="str">
        <x:f>IF($B91="","",IFERROR(INDEX('20 RCC-003 MIAR Registry'!$J$14:$J$60,MATCH($B91,'20 RCC-003 MIAR Registry'!$B$14:$B$60,0)),""))</x:f>
      </x:c>
      <x:c r="R91" s="1256" t="str">
        <x:f>IF($B91="","",COUNTIF('18 RCC-002 Evidence Ledger'!$E$14:$E$213,$B91))</x:f>
      </x:c>
      <x:c r="S91" s="1256" t="str">
        <x:f>IF($B91="","",COUNTIFS('18 RCC-002 Evidence Ledger'!$E$14:$E$213,$B91,'18 RCC-002 Evidence Ledger'!$T$14:$T$213,"&lt;&gt;Closed — No Action",'18 RCC-002 Evidence Ledger'!$T$14:$T$213,"&lt;&gt;Closed — Incorporated"))</x:f>
      </x:c>
      <x:c r="T91" s="1248"/>
      <x:c r="U91" s="1249"/>
      <x:c r="V91" s="1242"/>
      <x:c r="W91" s="1248"/>
      <x:c r="X91" s="1253" t="str">
        <x:f>IF($B91="","",IF($D91="Certified Portfolio Holding","CERTIFIED HOLDING",IF(OR($A91="",$D91="",$E91="",$F91="",$G91="",$H91="",$I91=""),"NOT ASSESSED",IF(OR($K91="",$L91&lt;&gt;"Active",$M91="OVERDUE",$M91="MATERIAL EVENT REVIEW",$N91="",$O91="",$W91=""),"NOT ELIGIBLE",IF(OR(AND($F91="Zacks Election",OR($T91="",$T91&lt;50)),OR($U91=4,$U91=5),$V91="No Rating",$V91="Restricted / Unavailable"),"ELIGIBLE WITH EXCEPTION","ELIGIBLE")))))</x:f>
      </x:c>
      <x:c r="Y91" s="1253" t="str">
        <x:f>IF($B91="","",IF($A91="","Canonical MASR ID required",IF(AND($D91&lt;&gt;"Certified Portfolio Holding",OR($K91="",$L91&lt;&gt;"Active",$M91&lt;&gt;"CURRENT",$N91="",$O91="",$W91="")),"Complete MIAR / scoring / empirical eligibility",IF(AND($F91="Zacks Election",OR($T91="",$T91&lt;50)),"Sub-$50B Zacks election exception",IF(OR($U91=4,$U91=5),"Zacks #4/#5 exception review",IF($V91="No Rating","Merrill No Rating exception",IF($V91="Restricted / Unavailable","Merrill restricted / unavailable exception","None")))))))</x:f>
      </x:c>
      <x:c r="Z91" s="1257" t="str">
        <x:f>IF($B91="","",COUNTIF('24 RCC-004 Candidate Pipeline'!$C$14:$C$213,$B91))</x:f>
      </x:c>
      <x:c r="AA91" s="1253" t="str">
        <x:f>IF($B91="","",IFERROR(INDEX('24 RCC-004 Candidate Pipeline'!$Y$14:$Y$213,MATCH($B91,'24 RCC-004 Candidate Pipeline'!$C$14:$C$213,0)),""))</x:f>
      </x:c>
      <x:c r="AB91" s="1242"/>
      <x:c r="AC91" s="1253" t="str">
        <x:f>IF($B91="","",IF(COUNTIFS('24 RCC-004 Candidate Pipeline'!$C$14:$C$213,$B91,'24 RCC-004 Candidate Pipeline'!$AF$14:$AF$213,"Yes — Refer to PEW-004")&gt;0,"REFERRED — PEW-004",IF($Z91&gt;0,"CANDIDATE RECORD ACTIVE","NO ACTIVE CANDIDATE")))</x:f>
      </x:c>
      <x:c r="AD91" s="1253" t="str">
        <x:f>IF($B91="","",IF($A91="","SETUP REQUIRED",IF(COUNTIF($A$14:$A$163,$A91)&gt;1,"DUPLICATE MASR ID",IF(COUNTIF($B$14:$B$163,$B91)&gt;1,"DUPLICATE TICKER",IF(OR($D91="",$E91="",$F91="",$G91="",$H91="",$I91=""),"INCOMPLETE",IF(OR($K91="",$L91=""),"MIAR SETUP REQUIRED",IF($X91="NOT ELIGIBLE","NOT ELIGIBLE",IF($Y91&lt;&gt;"None","EXCEPTION REVIEW",IF(AND($D91&lt;&gt;"Certified Portfolio Holding",OR($E91="Active — Approved Non-Holding",$E91="Conditional",$E91="Candidate — Committee Review"),OR($AB91="",$AB91="Pending")),"COMMITTEE DISPOSITION REQUIRED",IF(AND(OR($E91="Active — Approved Non-Holding",$E91="Conditional"),OR($AG91="",$AH91="")),"CERTIFICATION REQUIRED",IF(OR($E91="Rejected",$E91="Removed",$E91="Archived"),"INACTIVE / CLOSED","CONTROL CLEAR")))))))))))</x:f>
      </x:c>
      <x:c r="AE91" s="1253" t="str">
        <x:f>IF($AD91="","",IFERROR(INDEX('97 RCC Lists'!$AK$5:$AK$15,MATCH($AD91,'97 RCC Lists'!$AJ$5:$AJ$15,0)),"Review exception"))</x:f>
      </x:c>
      <x:c r="AF91" s="1251"/>
      <x:c r="AG91" s="1242"/>
      <x:c r="AH91" s="1251"/>
      <x:c r="AI91" s="1242"/>
    </x:row>
    <x:row r="92" ht="32" customHeight="1">
      <x:c r="A92" s="1242"/>
      <x:c r="B92" s="1242"/>
      <x:c r="C92" s="1242"/>
      <x:c r="D92" s="1242"/>
      <x:c r="E92" s="1242"/>
      <x:c r="F92" s="1242"/>
      <x:c r="G92" s="1242"/>
      <x:c r="H92" s="1242"/>
      <x:c r="I92" s="1242"/>
      <x:c r="J92" s="1259" t="str">
        <x:f>IF($B92="","",IFERROR(INDEX('Certified Allocation'!$F$5:$F$51,MATCH($B92,'Certified Allocation'!$B$5:$B$51,0)),""))</x:f>
      </x:c>
      <x:c r="K92" s="1243" t="str">
        <x:f>IF($B92="","",IFERROR(INDEX('20 RCC-003 MIAR Registry'!$A$14:$A$60,MATCH($B92,'20 RCC-003 MIAR Registry'!$B$14:$B$60,0)),""))</x:f>
      </x:c>
      <x:c r="L92" s="1243" t="str">
        <x:f>IF($B92="","",IFERROR(INDEX('20 RCC-003 MIAR Registry'!$M$14:$M$60,MATCH($B92,'20 RCC-003 MIAR Registry'!$B$14:$B$60,0)),""))</x:f>
      </x:c>
      <x:c r="M92" s="1243" t="str">
        <x:f>IF($B92="","",IFERROR(INDEX('20 RCC-003 MIAR Registry'!$Z$14:$Z$60,MATCH($B92,'20 RCC-003 MIAR Registry'!$B$14:$B$60,0)),""))</x:f>
      </x:c>
      <x:c r="N92" s="1246" t="str">
        <x:f>IF($B92="","",IFERROR(INDEX('20 RCC-003 MIAR Registry'!$K$14:$K$60,MATCH($B92,'20 RCC-003 MIAR Registry'!$B$14:$B$60,0)),""))</x:f>
      </x:c>
      <x:c r="O92" s="1246" t="str">
        <x:f>IF($B92="","",IFERROR(INDEX('20 RCC-003 MIAR Registry'!$L$14:$L$60,MATCH($B92,'20 RCC-003 MIAR Registry'!$B$14:$B$60,0)),""))</x:f>
      </x:c>
      <x:c r="P92" s="1243" t="str">
        <x:f>IF($B92="","",IFERROR(INDEX('20 RCC-003 MIAR Registry'!$I$14:$I$60,MATCH($B92,'20 RCC-003 MIAR Registry'!$B$14:$B$60,0)),""))</x:f>
      </x:c>
      <x:c r="Q92" s="1243" t="str">
        <x:f>IF($B92="","",IFERROR(INDEX('20 RCC-003 MIAR Registry'!$J$14:$J$60,MATCH($B92,'20 RCC-003 MIAR Registry'!$B$14:$B$60,0)),""))</x:f>
      </x:c>
      <x:c r="R92" s="1247" t="str">
        <x:f>IF($B92="","",COUNTIF('18 RCC-002 Evidence Ledger'!$E$14:$E$213,$B92))</x:f>
      </x:c>
      <x:c r="S92" s="1247" t="str">
        <x:f>IF($B92="","",COUNTIFS('18 RCC-002 Evidence Ledger'!$E$14:$E$213,$B92,'18 RCC-002 Evidence Ledger'!$T$14:$T$213,"&lt;&gt;Closed — No Action",'18 RCC-002 Evidence Ledger'!$T$14:$T$213,"&lt;&gt;Closed — Incorporated"))</x:f>
      </x:c>
      <x:c r="T92" s="1248"/>
      <x:c r="U92" s="1249"/>
      <x:c r="V92" s="1242"/>
      <x:c r="W92" s="1248"/>
      <x:c r="X92" s="1244" t="str">
        <x:f>IF($B92="","",IF($D92="Certified Portfolio Holding","CERTIFIED HOLDING",IF(OR($A92="",$D92="",$E92="",$F92="",$G92="",$H92="",$I92=""),"NOT ASSESSED",IF(OR($K92="",$L92&lt;&gt;"Active",$M92="OVERDUE",$M92="MATERIAL EVENT REVIEW",$N92="",$O92="",$W92=""),"NOT ELIGIBLE",IF(OR(AND($F92="Zacks Election",OR($T92="",$T92&lt;50)),OR($U92=4,$U92=5),$V92="No Rating",$V92="Restricted / Unavailable"),"ELIGIBLE WITH EXCEPTION","ELIGIBLE")))))</x:f>
      </x:c>
      <x:c r="Y92" s="1244" t="str">
        <x:f>IF($B92="","",IF($A92="","Canonical MASR ID required",IF(AND($D92&lt;&gt;"Certified Portfolio Holding",OR($K92="",$L92&lt;&gt;"Active",$M92&lt;&gt;"CURRENT",$N92="",$O92="",$W92="")),"Complete MIAR / scoring / empirical eligibility",IF(AND($F92="Zacks Election",OR($T92="",$T92&lt;50)),"Sub-$50B Zacks election exception",IF(OR($U92=4,$U92=5),"Zacks #4/#5 exception review",IF($V92="No Rating","Merrill No Rating exception",IF($V92="Restricted / Unavailable","Merrill restricted / unavailable exception","None")))))))</x:f>
      </x:c>
      <x:c r="Z92" s="1250" t="str">
        <x:f>IF($B92="","",COUNTIF('24 RCC-004 Candidate Pipeline'!$C$14:$C$213,$B92))</x:f>
      </x:c>
      <x:c r="AA92" s="1244" t="str">
        <x:f>IF($B92="","",IFERROR(INDEX('24 RCC-004 Candidate Pipeline'!$Y$14:$Y$213,MATCH($B92,'24 RCC-004 Candidate Pipeline'!$C$14:$C$213,0)),""))</x:f>
      </x:c>
      <x:c r="AB92" s="1242"/>
      <x:c r="AC92" s="1244" t="str">
        <x:f>IF($B92="","",IF(COUNTIFS('24 RCC-004 Candidate Pipeline'!$C$14:$C$213,$B92,'24 RCC-004 Candidate Pipeline'!$AF$14:$AF$213,"Yes — Refer to PEW-004")&gt;0,"REFERRED — PEW-004",IF($Z92&gt;0,"CANDIDATE RECORD ACTIVE","NO ACTIVE CANDIDATE")))</x:f>
      </x:c>
      <x:c r="AD92" s="1244" t="str">
        <x:f>IF($B92="","",IF($A92="","SETUP REQUIRED",IF(COUNTIF($A$14:$A$163,$A92)&gt;1,"DUPLICATE MASR ID",IF(COUNTIF($B$14:$B$163,$B92)&gt;1,"DUPLICATE TICKER",IF(OR($D92="",$E92="",$F92="",$G92="",$H92="",$I92=""),"INCOMPLETE",IF(OR($K92="",$L92=""),"MIAR SETUP REQUIRED",IF($X92="NOT ELIGIBLE","NOT ELIGIBLE",IF($Y92&lt;&gt;"None","EXCEPTION REVIEW",IF(AND($D92&lt;&gt;"Certified Portfolio Holding",OR($E92="Active — Approved Non-Holding",$E92="Conditional",$E92="Candidate — Committee Review"),OR($AB92="",$AB92="Pending")),"COMMITTEE DISPOSITION REQUIRED",IF(AND(OR($E92="Active — Approved Non-Holding",$E92="Conditional"),OR($AG92="",$AH92="")),"CERTIFICATION REQUIRED",IF(OR($E92="Rejected",$E92="Removed",$E92="Archived"),"INACTIVE / CLOSED","CONTROL CLEAR")))))))))))</x:f>
      </x:c>
      <x:c r="AE92" s="1244" t="str">
        <x:f>IF($AD92="","",IFERROR(INDEX('97 RCC Lists'!$AK$5:$AK$15,MATCH($AD92,'97 RCC Lists'!$AJ$5:$AJ$15,0)),"Review exception"))</x:f>
      </x:c>
      <x:c r="AF92" s="1251"/>
      <x:c r="AG92" s="1242"/>
      <x:c r="AH92" s="1251"/>
      <x:c r="AI92" s="1242"/>
    </x:row>
    <x:row r="93" ht="32" customHeight="1">
      <x:c r="A93" s="1242"/>
      <x:c r="B93" s="1242"/>
      <x:c r="C93" s="1242"/>
      <x:c r="D93" s="1242"/>
      <x:c r="E93" s="1242"/>
      <x:c r="F93" s="1242"/>
      <x:c r="G93" s="1242"/>
      <x:c r="H93" s="1242"/>
      <x:c r="I93" s="1242"/>
      <x:c r="J93" s="1258" t="str">
        <x:f>IF($B93="","",IFERROR(INDEX('Certified Allocation'!$F$5:$F$51,MATCH($B93,'Certified Allocation'!$B$5:$B$51,0)),""))</x:f>
      </x:c>
      <x:c r="K93" s="1252" t="str">
        <x:f>IF($B93="","",IFERROR(INDEX('20 RCC-003 MIAR Registry'!$A$14:$A$60,MATCH($B93,'20 RCC-003 MIAR Registry'!$B$14:$B$60,0)),""))</x:f>
      </x:c>
      <x:c r="L93" s="1252" t="str">
        <x:f>IF($B93="","",IFERROR(INDEX('20 RCC-003 MIAR Registry'!$M$14:$M$60,MATCH($B93,'20 RCC-003 MIAR Registry'!$B$14:$B$60,0)),""))</x:f>
      </x:c>
      <x:c r="M93" s="1252" t="str">
        <x:f>IF($B93="","",IFERROR(INDEX('20 RCC-003 MIAR Registry'!$Z$14:$Z$60,MATCH($B93,'20 RCC-003 MIAR Registry'!$B$14:$B$60,0)),""))</x:f>
      </x:c>
      <x:c r="N93" s="1255" t="str">
        <x:f>IF($B93="","",IFERROR(INDEX('20 RCC-003 MIAR Registry'!$K$14:$K$60,MATCH($B93,'20 RCC-003 MIAR Registry'!$B$14:$B$60,0)),""))</x:f>
      </x:c>
      <x:c r="O93" s="1255" t="str">
        <x:f>IF($B93="","",IFERROR(INDEX('20 RCC-003 MIAR Registry'!$L$14:$L$60,MATCH($B93,'20 RCC-003 MIAR Registry'!$B$14:$B$60,0)),""))</x:f>
      </x:c>
      <x:c r="P93" s="1252" t="str">
        <x:f>IF($B93="","",IFERROR(INDEX('20 RCC-003 MIAR Registry'!$I$14:$I$60,MATCH($B93,'20 RCC-003 MIAR Registry'!$B$14:$B$60,0)),""))</x:f>
      </x:c>
      <x:c r="Q93" s="1252" t="str">
        <x:f>IF($B93="","",IFERROR(INDEX('20 RCC-003 MIAR Registry'!$J$14:$J$60,MATCH($B93,'20 RCC-003 MIAR Registry'!$B$14:$B$60,0)),""))</x:f>
      </x:c>
      <x:c r="R93" s="1256" t="str">
        <x:f>IF($B93="","",COUNTIF('18 RCC-002 Evidence Ledger'!$E$14:$E$213,$B93))</x:f>
      </x:c>
      <x:c r="S93" s="1256" t="str">
        <x:f>IF($B93="","",COUNTIFS('18 RCC-002 Evidence Ledger'!$E$14:$E$213,$B93,'18 RCC-002 Evidence Ledger'!$T$14:$T$213,"&lt;&gt;Closed — No Action",'18 RCC-002 Evidence Ledger'!$T$14:$T$213,"&lt;&gt;Closed — Incorporated"))</x:f>
      </x:c>
      <x:c r="T93" s="1248"/>
      <x:c r="U93" s="1249"/>
      <x:c r="V93" s="1242"/>
      <x:c r="W93" s="1248"/>
      <x:c r="X93" s="1253" t="str">
        <x:f>IF($B93="","",IF($D93="Certified Portfolio Holding","CERTIFIED HOLDING",IF(OR($A93="",$D93="",$E93="",$F93="",$G93="",$H93="",$I93=""),"NOT ASSESSED",IF(OR($K93="",$L93&lt;&gt;"Active",$M93="OVERDUE",$M93="MATERIAL EVENT REVIEW",$N93="",$O93="",$W93=""),"NOT ELIGIBLE",IF(OR(AND($F93="Zacks Election",OR($T93="",$T93&lt;50)),OR($U93=4,$U93=5),$V93="No Rating",$V93="Restricted / Unavailable"),"ELIGIBLE WITH EXCEPTION","ELIGIBLE")))))</x:f>
      </x:c>
      <x:c r="Y93" s="1253" t="str">
        <x:f>IF($B93="","",IF($A93="","Canonical MASR ID required",IF(AND($D93&lt;&gt;"Certified Portfolio Holding",OR($K93="",$L93&lt;&gt;"Active",$M93&lt;&gt;"CURRENT",$N93="",$O93="",$W93="")),"Complete MIAR / scoring / empirical eligibility",IF(AND($F93="Zacks Election",OR($T93="",$T93&lt;50)),"Sub-$50B Zacks election exception",IF(OR($U93=4,$U93=5),"Zacks #4/#5 exception review",IF($V93="No Rating","Merrill No Rating exception",IF($V93="Restricted / Unavailable","Merrill restricted / unavailable exception","None")))))))</x:f>
      </x:c>
      <x:c r="Z93" s="1257" t="str">
        <x:f>IF($B93="","",COUNTIF('24 RCC-004 Candidate Pipeline'!$C$14:$C$213,$B93))</x:f>
      </x:c>
      <x:c r="AA93" s="1253" t="str">
        <x:f>IF($B93="","",IFERROR(INDEX('24 RCC-004 Candidate Pipeline'!$Y$14:$Y$213,MATCH($B93,'24 RCC-004 Candidate Pipeline'!$C$14:$C$213,0)),""))</x:f>
      </x:c>
      <x:c r="AB93" s="1242"/>
      <x:c r="AC93" s="1253" t="str">
        <x:f>IF($B93="","",IF(COUNTIFS('24 RCC-004 Candidate Pipeline'!$C$14:$C$213,$B93,'24 RCC-004 Candidate Pipeline'!$AF$14:$AF$213,"Yes — Refer to PEW-004")&gt;0,"REFERRED — PEW-004",IF($Z93&gt;0,"CANDIDATE RECORD ACTIVE","NO ACTIVE CANDIDATE")))</x:f>
      </x:c>
      <x:c r="AD93" s="1253" t="str">
        <x:f>IF($B93="","",IF($A93="","SETUP REQUIRED",IF(COUNTIF($A$14:$A$163,$A93)&gt;1,"DUPLICATE MASR ID",IF(COUNTIF($B$14:$B$163,$B93)&gt;1,"DUPLICATE TICKER",IF(OR($D93="",$E93="",$F93="",$G93="",$H93="",$I93=""),"INCOMPLETE",IF(OR($K93="",$L93=""),"MIAR SETUP REQUIRED",IF($X93="NOT ELIGIBLE","NOT ELIGIBLE",IF($Y93&lt;&gt;"None","EXCEPTION REVIEW",IF(AND($D93&lt;&gt;"Certified Portfolio Holding",OR($E93="Active — Approved Non-Holding",$E93="Conditional",$E93="Candidate — Committee Review"),OR($AB93="",$AB93="Pending")),"COMMITTEE DISPOSITION REQUIRED",IF(AND(OR($E93="Active — Approved Non-Holding",$E93="Conditional"),OR($AG93="",$AH93="")),"CERTIFICATION REQUIRED",IF(OR($E93="Rejected",$E93="Removed",$E93="Archived"),"INACTIVE / CLOSED","CONTROL CLEAR")))))))))))</x:f>
      </x:c>
      <x:c r="AE93" s="1253" t="str">
        <x:f>IF($AD93="","",IFERROR(INDEX('97 RCC Lists'!$AK$5:$AK$15,MATCH($AD93,'97 RCC Lists'!$AJ$5:$AJ$15,0)),"Review exception"))</x:f>
      </x:c>
      <x:c r="AF93" s="1251"/>
      <x:c r="AG93" s="1242"/>
      <x:c r="AH93" s="1251"/>
      <x:c r="AI93" s="1242"/>
    </x:row>
    <x:row r="94" ht="32" customHeight="1">
      <x:c r="A94" s="1242"/>
      <x:c r="B94" s="1242"/>
      <x:c r="C94" s="1242"/>
      <x:c r="D94" s="1242"/>
      <x:c r="E94" s="1242"/>
      <x:c r="F94" s="1242"/>
      <x:c r="G94" s="1242"/>
      <x:c r="H94" s="1242"/>
      <x:c r="I94" s="1242"/>
      <x:c r="J94" s="1259" t="str">
        <x:f>IF($B94="","",IFERROR(INDEX('Certified Allocation'!$F$5:$F$51,MATCH($B94,'Certified Allocation'!$B$5:$B$51,0)),""))</x:f>
      </x:c>
      <x:c r="K94" s="1243" t="str">
        <x:f>IF($B94="","",IFERROR(INDEX('20 RCC-003 MIAR Registry'!$A$14:$A$60,MATCH($B94,'20 RCC-003 MIAR Registry'!$B$14:$B$60,0)),""))</x:f>
      </x:c>
      <x:c r="L94" s="1243" t="str">
        <x:f>IF($B94="","",IFERROR(INDEX('20 RCC-003 MIAR Registry'!$M$14:$M$60,MATCH($B94,'20 RCC-003 MIAR Registry'!$B$14:$B$60,0)),""))</x:f>
      </x:c>
      <x:c r="M94" s="1243" t="str">
        <x:f>IF($B94="","",IFERROR(INDEX('20 RCC-003 MIAR Registry'!$Z$14:$Z$60,MATCH($B94,'20 RCC-003 MIAR Registry'!$B$14:$B$60,0)),""))</x:f>
      </x:c>
      <x:c r="N94" s="1246" t="str">
        <x:f>IF($B94="","",IFERROR(INDEX('20 RCC-003 MIAR Registry'!$K$14:$K$60,MATCH($B94,'20 RCC-003 MIAR Registry'!$B$14:$B$60,0)),""))</x:f>
      </x:c>
      <x:c r="O94" s="1246" t="str">
        <x:f>IF($B94="","",IFERROR(INDEX('20 RCC-003 MIAR Registry'!$L$14:$L$60,MATCH($B94,'20 RCC-003 MIAR Registry'!$B$14:$B$60,0)),""))</x:f>
      </x:c>
      <x:c r="P94" s="1243" t="str">
        <x:f>IF($B94="","",IFERROR(INDEX('20 RCC-003 MIAR Registry'!$I$14:$I$60,MATCH($B94,'20 RCC-003 MIAR Registry'!$B$14:$B$60,0)),""))</x:f>
      </x:c>
      <x:c r="Q94" s="1243" t="str">
        <x:f>IF($B94="","",IFERROR(INDEX('20 RCC-003 MIAR Registry'!$J$14:$J$60,MATCH($B94,'20 RCC-003 MIAR Registry'!$B$14:$B$60,0)),""))</x:f>
      </x:c>
      <x:c r="R94" s="1247" t="str">
        <x:f>IF($B94="","",COUNTIF('18 RCC-002 Evidence Ledger'!$E$14:$E$213,$B94))</x:f>
      </x:c>
      <x:c r="S94" s="1247" t="str">
        <x:f>IF($B94="","",COUNTIFS('18 RCC-002 Evidence Ledger'!$E$14:$E$213,$B94,'18 RCC-002 Evidence Ledger'!$T$14:$T$213,"&lt;&gt;Closed — No Action",'18 RCC-002 Evidence Ledger'!$T$14:$T$213,"&lt;&gt;Closed — Incorporated"))</x:f>
      </x:c>
      <x:c r="T94" s="1248"/>
      <x:c r="U94" s="1249"/>
      <x:c r="V94" s="1242"/>
      <x:c r="W94" s="1248"/>
      <x:c r="X94" s="1244" t="str">
        <x:f>IF($B94="","",IF($D94="Certified Portfolio Holding","CERTIFIED HOLDING",IF(OR($A94="",$D94="",$E94="",$F94="",$G94="",$H94="",$I94=""),"NOT ASSESSED",IF(OR($K94="",$L94&lt;&gt;"Active",$M94="OVERDUE",$M94="MATERIAL EVENT REVIEW",$N94="",$O94="",$W94=""),"NOT ELIGIBLE",IF(OR(AND($F94="Zacks Election",OR($T94="",$T94&lt;50)),OR($U94=4,$U94=5),$V94="No Rating",$V94="Restricted / Unavailable"),"ELIGIBLE WITH EXCEPTION","ELIGIBLE")))))</x:f>
      </x:c>
      <x:c r="Y94" s="1244" t="str">
        <x:f>IF($B94="","",IF($A94="","Canonical MASR ID required",IF(AND($D94&lt;&gt;"Certified Portfolio Holding",OR($K94="",$L94&lt;&gt;"Active",$M94&lt;&gt;"CURRENT",$N94="",$O94="",$W94="")),"Complete MIAR / scoring / empirical eligibility",IF(AND($F94="Zacks Election",OR($T94="",$T94&lt;50)),"Sub-$50B Zacks election exception",IF(OR($U94=4,$U94=5),"Zacks #4/#5 exception review",IF($V94="No Rating","Merrill No Rating exception",IF($V94="Restricted / Unavailable","Merrill restricted / unavailable exception","None")))))))</x:f>
      </x:c>
      <x:c r="Z94" s="1250" t="str">
        <x:f>IF($B94="","",COUNTIF('24 RCC-004 Candidate Pipeline'!$C$14:$C$213,$B94))</x:f>
      </x:c>
      <x:c r="AA94" s="1244" t="str">
        <x:f>IF($B94="","",IFERROR(INDEX('24 RCC-004 Candidate Pipeline'!$Y$14:$Y$213,MATCH($B94,'24 RCC-004 Candidate Pipeline'!$C$14:$C$213,0)),""))</x:f>
      </x:c>
      <x:c r="AB94" s="1242"/>
      <x:c r="AC94" s="1244" t="str">
        <x:f>IF($B94="","",IF(COUNTIFS('24 RCC-004 Candidate Pipeline'!$C$14:$C$213,$B94,'24 RCC-004 Candidate Pipeline'!$AF$14:$AF$213,"Yes — Refer to PEW-004")&gt;0,"REFERRED — PEW-004",IF($Z94&gt;0,"CANDIDATE RECORD ACTIVE","NO ACTIVE CANDIDATE")))</x:f>
      </x:c>
      <x:c r="AD94" s="1244" t="str">
        <x:f>IF($B94="","",IF($A94="","SETUP REQUIRED",IF(COUNTIF($A$14:$A$163,$A94)&gt;1,"DUPLICATE MASR ID",IF(COUNTIF($B$14:$B$163,$B94)&gt;1,"DUPLICATE TICKER",IF(OR($D94="",$E94="",$F94="",$G94="",$H94="",$I94=""),"INCOMPLETE",IF(OR($K94="",$L94=""),"MIAR SETUP REQUIRED",IF($X94="NOT ELIGIBLE","NOT ELIGIBLE",IF($Y94&lt;&gt;"None","EXCEPTION REVIEW",IF(AND($D94&lt;&gt;"Certified Portfolio Holding",OR($E94="Active — Approved Non-Holding",$E94="Conditional",$E94="Candidate — Committee Review"),OR($AB94="",$AB94="Pending")),"COMMITTEE DISPOSITION REQUIRED",IF(AND(OR($E94="Active — Approved Non-Holding",$E94="Conditional"),OR($AG94="",$AH94="")),"CERTIFICATION REQUIRED",IF(OR($E94="Rejected",$E94="Removed",$E94="Archived"),"INACTIVE / CLOSED","CONTROL CLEAR")))))))))))</x:f>
      </x:c>
      <x:c r="AE94" s="1244" t="str">
        <x:f>IF($AD94="","",IFERROR(INDEX('97 RCC Lists'!$AK$5:$AK$15,MATCH($AD94,'97 RCC Lists'!$AJ$5:$AJ$15,0)),"Review exception"))</x:f>
      </x:c>
      <x:c r="AF94" s="1251"/>
      <x:c r="AG94" s="1242"/>
      <x:c r="AH94" s="1251"/>
      <x:c r="AI94" s="1242"/>
    </x:row>
    <x:row r="95" ht="32" customHeight="1">
      <x:c r="A95" s="1242"/>
      <x:c r="B95" s="1242"/>
      <x:c r="C95" s="1242"/>
      <x:c r="D95" s="1242"/>
      <x:c r="E95" s="1242"/>
      <x:c r="F95" s="1242"/>
      <x:c r="G95" s="1242"/>
      <x:c r="H95" s="1242"/>
      <x:c r="I95" s="1242"/>
      <x:c r="J95" s="1258" t="str">
        <x:f>IF($B95="","",IFERROR(INDEX('Certified Allocation'!$F$5:$F$51,MATCH($B95,'Certified Allocation'!$B$5:$B$51,0)),""))</x:f>
      </x:c>
      <x:c r="K95" s="1252" t="str">
        <x:f>IF($B95="","",IFERROR(INDEX('20 RCC-003 MIAR Registry'!$A$14:$A$60,MATCH($B95,'20 RCC-003 MIAR Registry'!$B$14:$B$60,0)),""))</x:f>
      </x:c>
      <x:c r="L95" s="1252" t="str">
        <x:f>IF($B95="","",IFERROR(INDEX('20 RCC-003 MIAR Registry'!$M$14:$M$60,MATCH($B95,'20 RCC-003 MIAR Registry'!$B$14:$B$60,0)),""))</x:f>
      </x:c>
      <x:c r="M95" s="1252" t="str">
        <x:f>IF($B95="","",IFERROR(INDEX('20 RCC-003 MIAR Registry'!$Z$14:$Z$60,MATCH($B95,'20 RCC-003 MIAR Registry'!$B$14:$B$60,0)),""))</x:f>
      </x:c>
      <x:c r="N95" s="1255" t="str">
        <x:f>IF($B95="","",IFERROR(INDEX('20 RCC-003 MIAR Registry'!$K$14:$K$60,MATCH($B95,'20 RCC-003 MIAR Registry'!$B$14:$B$60,0)),""))</x:f>
      </x:c>
      <x:c r="O95" s="1255" t="str">
        <x:f>IF($B95="","",IFERROR(INDEX('20 RCC-003 MIAR Registry'!$L$14:$L$60,MATCH($B95,'20 RCC-003 MIAR Registry'!$B$14:$B$60,0)),""))</x:f>
      </x:c>
      <x:c r="P95" s="1252" t="str">
        <x:f>IF($B95="","",IFERROR(INDEX('20 RCC-003 MIAR Registry'!$I$14:$I$60,MATCH($B95,'20 RCC-003 MIAR Registry'!$B$14:$B$60,0)),""))</x:f>
      </x:c>
      <x:c r="Q95" s="1252" t="str">
        <x:f>IF($B95="","",IFERROR(INDEX('20 RCC-003 MIAR Registry'!$J$14:$J$60,MATCH($B95,'20 RCC-003 MIAR Registry'!$B$14:$B$60,0)),""))</x:f>
      </x:c>
      <x:c r="R95" s="1256" t="str">
        <x:f>IF($B95="","",COUNTIF('18 RCC-002 Evidence Ledger'!$E$14:$E$213,$B95))</x:f>
      </x:c>
      <x:c r="S95" s="1256" t="str">
        <x:f>IF($B95="","",COUNTIFS('18 RCC-002 Evidence Ledger'!$E$14:$E$213,$B95,'18 RCC-002 Evidence Ledger'!$T$14:$T$213,"&lt;&gt;Closed — No Action",'18 RCC-002 Evidence Ledger'!$T$14:$T$213,"&lt;&gt;Closed — Incorporated"))</x:f>
      </x:c>
      <x:c r="T95" s="1248"/>
      <x:c r="U95" s="1249"/>
      <x:c r="V95" s="1242"/>
      <x:c r="W95" s="1248"/>
      <x:c r="X95" s="1253" t="str">
        <x:f>IF($B95="","",IF($D95="Certified Portfolio Holding","CERTIFIED HOLDING",IF(OR($A95="",$D95="",$E95="",$F95="",$G95="",$H95="",$I95=""),"NOT ASSESSED",IF(OR($K95="",$L95&lt;&gt;"Active",$M95="OVERDUE",$M95="MATERIAL EVENT REVIEW",$N95="",$O95="",$W95=""),"NOT ELIGIBLE",IF(OR(AND($F95="Zacks Election",OR($T95="",$T95&lt;50)),OR($U95=4,$U95=5),$V95="No Rating",$V95="Restricted / Unavailable"),"ELIGIBLE WITH EXCEPTION","ELIGIBLE")))))</x:f>
      </x:c>
      <x:c r="Y95" s="1253" t="str">
        <x:f>IF($B95="","",IF($A95="","Canonical MASR ID required",IF(AND($D95&lt;&gt;"Certified Portfolio Holding",OR($K95="",$L95&lt;&gt;"Active",$M95&lt;&gt;"CURRENT",$N95="",$O95="",$W95="")),"Complete MIAR / scoring / empirical eligibility",IF(AND($F95="Zacks Election",OR($T95="",$T95&lt;50)),"Sub-$50B Zacks election exception",IF(OR($U95=4,$U95=5),"Zacks #4/#5 exception review",IF($V95="No Rating","Merrill No Rating exception",IF($V95="Restricted / Unavailable","Merrill restricted / unavailable exception","None")))))))</x:f>
      </x:c>
      <x:c r="Z95" s="1257" t="str">
        <x:f>IF($B95="","",COUNTIF('24 RCC-004 Candidate Pipeline'!$C$14:$C$213,$B95))</x:f>
      </x:c>
      <x:c r="AA95" s="1253" t="str">
        <x:f>IF($B95="","",IFERROR(INDEX('24 RCC-004 Candidate Pipeline'!$Y$14:$Y$213,MATCH($B95,'24 RCC-004 Candidate Pipeline'!$C$14:$C$213,0)),""))</x:f>
      </x:c>
      <x:c r="AB95" s="1242"/>
      <x:c r="AC95" s="1253" t="str">
        <x:f>IF($B95="","",IF(COUNTIFS('24 RCC-004 Candidate Pipeline'!$C$14:$C$213,$B95,'24 RCC-004 Candidate Pipeline'!$AF$14:$AF$213,"Yes — Refer to PEW-004")&gt;0,"REFERRED — PEW-004",IF($Z95&gt;0,"CANDIDATE RECORD ACTIVE","NO ACTIVE CANDIDATE")))</x:f>
      </x:c>
      <x:c r="AD95" s="1253" t="str">
        <x:f>IF($B95="","",IF($A95="","SETUP REQUIRED",IF(COUNTIF($A$14:$A$163,$A95)&gt;1,"DUPLICATE MASR ID",IF(COUNTIF($B$14:$B$163,$B95)&gt;1,"DUPLICATE TICKER",IF(OR($D95="",$E95="",$F95="",$G95="",$H95="",$I95=""),"INCOMPLETE",IF(OR($K95="",$L95=""),"MIAR SETUP REQUIRED",IF($X95="NOT ELIGIBLE","NOT ELIGIBLE",IF($Y95&lt;&gt;"None","EXCEPTION REVIEW",IF(AND($D95&lt;&gt;"Certified Portfolio Holding",OR($E95="Active — Approved Non-Holding",$E95="Conditional",$E95="Candidate — Committee Review"),OR($AB95="",$AB95="Pending")),"COMMITTEE DISPOSITION REQUIRED",IF(AND(OR($E95="Active — Approved Non-Holding",$E95="Conditional"),OR($AG95="",$AH95="")),"CERTIFICATION REQUIRED",IF(OR($E95="Rejected",$E95="Removed",$E95="Archived"),"INACTIVE / CLOSED","CONTROL CLEAR")))))))))))</x:f>
      </x:c>
      <x:c r="AE95" s="1253" t="str">
        <x:f>IF($AD95="","",IFERROR(INDEX('97 RCC Lists'!$AK$5:$AK$15,MATCH($AD95,'97 RCC Lists'!$AJ$5:$AJ$15,0)),"Review exception"))</x:f>
      </x:c>
      <x:c r="AF95" s="1251"/>
      <x:c r="AG95" s="1242"/>
      <x:c r="AH95" s="1251"/>
      <x:c r="AI95" s="1242"/>
    </x:row>
    <x:row r="96" ht="32" customHeight="1">
      <x:c r="A96" s="1242"/>
      <x:c r="B96" s="1242"/>
      <x:c r="C96" s="1242"/>
      <x:c r="D96" s="1242"/>
      <x:c r="E96" s="1242"/>
      <x:c r="F96" s="1242"/>
      <x:c r="G96" s="1242"/>
      <x:c r="H96" s="1242"/>
      <x:c r="I96" s="1242"/>
      <x:c r="J96" s="1259" t="str">
        <x:f>IF($B96="","",IFERROR(INDEX('Certified Allocation'!$F$5:$F$51,MATCH($B96,'Certified Allocation'!$B$5:$B$51,0)),""))</x:f>
      </x:c>
      <x:c r="K96" s="1243" t="str">
        <x:f>IF($B96="","",IFERROR(INDEX('20 RCC-003 MIAR Registry'!$A$14:$A$60,MATCH($B96,'20 RCC-003 MIAR Registry'!$B$14:$B$60,0)),""))</x:f>
      </x:c>
      <x:c r="L96" s="1243" t="str">
        <x:f>IF($B96="","",IFERROR(INDEX('20 RCC-003 MIAR Registry'!$M$14:$M$60,MATCH($B96,'20 RCC-003 MIAR Registry'!$B$14:$B$60,0)),""))</x:f>
      </x:c>
      <x:c r="M96" s="1243" t="str">
        <x:f>IF($B96="","",IFERROR(INDEX('20 RCC-003 MIAR Registry'!$Z$14:$Z$60,MATCH($B96,'20 RCC-003 MIAR Registry'!$B$14:$B$60,0)),""))</x:f>
      </x:c>
      <x:c r="N96" s="1246" t="str">
        <x:f>IF($B96="","",IFERROR(INDEX('20 RCC-003 MIAR Registry'!$K$14:$K$60,MATCH($B96,'20 RCC-003 MIAR Registry'!$B$14:$B$60,0)),""))</x:f>
      </x:c>
      <x:c r="O96" s="1246" t="str">
        <x:f>IF($B96="","",IFERROR(INDEX('20 RCC-003 MIAR Registry'!$L$14:$L$60,MATCH($B96,'20 RCC-003 MIAR Registry'!$B$14:$B$60,0)),""))</x:f>
      </x:c>
      <x:c r="P96" s="1243" t="str">
        <x:f>IF($B96="","",IFERROR(INDEX('20 RCC-003 MIAR Registry'!$I$14:$I$60,MATCH($B96,'20 RCC-003 MIAR Registry'!$B$14:$B$60,0)),""))</x:f>
      </x:c>
      <x:c r="Q96" s="1243" t="str">
        <x:f>IF($B96="","",IFERROR(INDEX('20 RCC-003 MIAR Registry'!$J$14:$J$60,MATCH($B96,'20 RCC-003 MIAR Registry'!$B$14:$B$60,0)),""))</x:f>
      </x:c>
      <x:c r="R96" s="1247" t="str">
        <x:f>IF($B96="","",COUNTIF('18 RCC-002 Evidence Ledger'!$E$14:$E$213,$B96))</x:f>
      </x:c>
      <x:c r="S96" s="1247" t="str">
        <x:f>IF($B96="","",COUNTIFS('18 RCC-002 Evidence Ledger'!$E$14:$E$213,$B96,'18 RCC-002 Evidence Ledger'!$T$14:$T$213,"&lt;&gt;Closed — No Action",'18 RCC-002 Evidence Ledger'!$T$14:$T$213,"&lt;&gt;Closed — Incorporated"))</x:f>
      </x:c>
      <x:c r="T96" s="1248"/>
      <x:c r="U96" s="1249"/>
      <x:c r="V96" s="1242"/>
      <x:c r="W96" s="1248"/>
      <x:c r="X96" s="1244" t="str">
        <x:f>IF($B96="","",IF($D96="Certified Portfolio Holding","CERTIFIED HOLDING",IF(OR($A96="",$D96="",$E96="",$F96="",$G96="",$H96="",$I96=""),"NOT ASSESSED",IF(OR($K96="",$L96&lt;&gt;"Active",$M96="OVERDUE",$M96="MATERIAL EVENT REVIEW",$N96="",$O96="",$W96=""),"NOT ELIGIBLE",IF(OR(AND($F96="Zacks Election",OR($T96="",$T96&lt;50)),OR($U96=4,$U96=5),$V96="No Rating",$V96="Restricted / Unavailable"),"ELIGIBLE WITH EXCEPTION","ELIGIBLE")))))</x:f>
      </x:c>
      <x:c r="Y96" s="1244" t="str">
        <x:f>IF($B96="","",IF($A96="","Canonical MASR ID required",IF(AND($D96&lt;&gt;"Certified Portfolio Holding",OR($K96="",$L96&lt;&gt;"Active",$M96&lt;&gt;"CURRENT",$N96="",$O96="",$W96="")),"Complete MIAR / scoring / empirical eligibility",IF(AND($F96="Zacks Election",OR($T96="",$T96&lt;50)),"Sub-$50B Zacks election exception",IF(OR($U96=4,$U96=5),"Zacks #4/#5 exception review",IF($V96="No Rating","Merrill No Rating exception",IF($V96="Restricted / Unavailable","Merrill restricted / unavailable exception","None")))))))</x:f>
      </x:c>
      <x:c r="Z96" s="1250" t="str">
        <x:f>IF($B96="","",COUNTIF('24 RCC-004 Candidate Pipeline'!$C$14:$C$213,$B96))</x:f>
      </x:c>
      <x:c r="AA96" s="1244" t="str">
        <x:f>IF($B96="","",IFERROR(INDEX('24 RCC-004 Candidate Pipeline'!$Y$14:$Y$213,MATCH($B96,'24 RCC-004 Candidate Pipeline'!$C$14:$C$213,0)),""))</x:f>
      </x:c>
      <x:c r="AB96" s="1242"/>
      <x:c r="AC96" s="1244" t="str">
        <x:f>IF($B96="","",IF(COUNTIFS('24 RCC-004 Candidate Pipeline'!$C$14:$C$213,$B96,'24 RCC-004 Candidate Pipeline'!$AF$14:$AF$213,"Yes — Refer to PEW-004")&gt;0,"REFERRED — PEW-004",IF($Z96&gt;0,"CANDIDATE RECORD ACTIVE","NO ACTIVE CANDIDATE")))</x:f>
      </x:c>
      <x:c r="AD96" s="1244" t="str">
        <x:f>IF($B96="","",IF($A96="","SETUP REQUIRED",IF(COUNTIF($A$14:$A$163,$A96)&gt;1,"DUPLICATE MASR ID",IF(COUNTIF($B$14:$B$163,$B96)&gt;1,"DUPLICATE TICKER",IF(OR($D96="",$E96="",$F96="",$G96="",$H96="",$I96=""),"INCOMPLETE",IF(OR($K96="",$L96=""),"MIAR SETUP REQUIRED",IF($X96="NOT ELIGIBLE","NOT ELIGIBLE",IF($Y96&lt;&gt;"None","EXCEPTION REVIEW",IF(AND($D96&lt;&gt;"Certified Portfolio Holding",OR($E96="Active — Approved Non-Holding",$E96="Conditional",$E96="Candidate — Committee Review"),OR($AB96="",$AB96="Pending")),"COMMITTEE DISPOSITION REQUIRED",IF(AND(OR($E96="Active — Approved Non-Holding",$E96="Conditional"),OR($AG96="",$AH96="")),"CERTIFICATION REQUIRED",IF(OR($E96="Rejected",$E96="Removed",$E96="Archived"),"INACTIVE / CLOSED","CONTROL CLEAR")))))))))))</x:f>
      </x:c>
      <x:c r="AE96" s="1244" t="str">
        <x:f>IF($AD96="","",IFERROR(INDEX('97 RCC Lists'!$AK$5:$AK$15,MATCH($AD96,'97 RCC Lists'!$AJ$5:$AJ$15,0)),"Review exception"))</x:f>
      </x:c>
      <x:c r="AF96" s="1251"/>
      <x:c r="AG96" s="1242"/>
      <x:c r="AH96" s="1251"/>
      <x:c r="AI96" s="1242"/>
    </x:row>
    <x:row r="97" ht="32" customHeight="1">
      <x:c r="A97" s="1242"/>
      <x:c r="B97" s="1242"/>
      <x:c r="C97" s="1242"/>
      <x:c r="D97" s="1242"/>
      <x:c r="E97" s="1242"/>
      <x:c r="F97" s="1242"/>
      <x:c r="G97" s="1242"/>
      <x:c r="H97" s="1242"/>
      <x:c r="I97" s="1242"/>
      <x:c r="J97" s="1258" t="str">
        <x:f>IF($B97="","",IFERROR(INDEX('Certified Allocation'!$F$5:$F$51,MATCH($B97,'Certified Allocation'!$B$5:$B$51,0)),""))</x:f>
      </x:c>
      <x:c r="K97" s="1252" t="str">
        <x:f>IF($B97="","",IFERROR(INDEX('20 RCC-003 MIAR Registry'!$A$14:$A$60,MATCH($B97,'20 RCC-003 MIAR Registry'!$B$14:$B$60,0)),""))</x:f>
      </x:c>
      <x:c r="L97" s="1252" t="str">
        <x:f>IF($B97="","",IFERROR(INDEX('20 RCC-003 MIAR Registry'!$M$14:$M$60,MATCH($B97,'20 RCC-003 MIAR Registry'!$B$14:$B$60,0)),""))</x:f>
      </x:c>
      <x:c r="M97" s="1252" t="str">
        <x:f>IF($B97="","",IFERROR(INDEX('20 RCC-003 MIAR Registry'!$Z$14:$Z$60,MATCH($B97,'20 RCC-003 MIAR Registry'!$B$14:$B$60,0)),""))</x:f>
      </x:c>
      <x:c r="N97" s="1255" t="str">
        <x:f>IF($B97="","",IFERROR(INDEX('20 RCC-003 MIAR Registry'!$K$14:$K$60,MATCH($B97,'20 RCC-003 MIAR Registry'!$B$14:$B$60,0)),""))</x:f>
      </x:c>
      <x:c r="O97" s="1255" t="str">
        <x:f>IF($B97="","",IFERROR(INDEX('20 RCC-003 MIAR Registry'!$L$14:$L$60,MATCH($B97,'20 RCC-003 MIAR Registry'!$B$14:$B$60,0)),""))</x:f>
      </x:c>
      <x:c r="P97" s="1252" t="str">
        <x:f>IF($B97="","",IFERROR(INDEX('20 RCC-003 MIAR Registry'!$I$14:$I$60,MATCH($B97,'20 RCC-003 MIAR Registry'!$B$14:$B$60,0)),""))</x:f>
      </x:c>
      <x:c r="Q97" s="1252" t="str">
        <x:f>IF($B97="","",IFERROR(INDEX('20 RCC-003 MIAR Registry'!$J$14:$J$60,MATCH($B97,'20 RCC-003 MIAR Registry'!$B$14:$B$60,0)),""))</x:f>
      </x:c>
      <x:c r="R97" s="1256" t="str">
        <x:f>IF($B97="","",COUNTIF('18 RCC-002 Evidence Ledger'!$E$14:$E$213,$B97))</x:f>
      </x:c>
      <x:c r="S97" s="1256" t="str">
        <x:f>IF($B97="","",COUNTIFS('18 RCC-002 Evidence Ledger'!$E$14:$E$213,$B97,'18 RCC-002 Evidence Ledger'!$T$14:$T$213,"&lt;&gt;Closed — No Action",'18 RCC-002 Evidence Ledger'!$T$14:$T$213,"&lt;&gt;Closed — Incorporated"))</x:f>
      </x:c>
      <x:c r="T97" s="1248"/>
      <x:c r="U97" s="1249"/>
      <x:c r="V97" s="1242"/>
      <x:c r="W97" s="1248"/>
      <x:c r="X97" s="1253" t="str">
        <x:f>IF($B97="","",IF($D97="Certified Portfolio Holding","CERTIFIED HOLDING",IF(OR($A97="",$D97="",$E97="",$F97="",$G97="",$H97="",$I97=""),"NOT ASSESSED",IF(OR($K97="",$L97&lt;&gt;"Active",$M97="OVERDUE",$M97="MATERIAL EVENT REVIEW",$N97="",$O97="",$W97=""),"NOT ELIGIBLE",IF(OR(AND($F97="Zacks Election",OR($T97="",$T97&lt;50)),OR($U97=4,$U97=5),$V97="No Rating",$V97="Restricted / Unavailable"),"ELIGIBLE WITH EXCEPTION","ELIGIBLE")))))</x:f>
      </x:c>
      <x:c r="Y97" s="1253" t="str">
        <x:f>IF($B97="","",IF($A97="","Canonical MASR ID required",IF(AND($D97&lt;&gt;"Certified Portfolio Holding",OR($K97="",$L97&lt;&gt;"Active",$M97&lt;&gt;"CURRENT",$N97="",$O97="",$W97="")),"Complete MIAR / scoring / empirical eligibility",IF(AND($F97="Zacks Election",OR($T97="",$T97&lt;50)),"Sub-$50B Zacks election exception",IF(OR($U97=4,$U97=5),"Zacks #4/#5 exception review",IF($V97="No Rating","Merrill No Rating exception",IF($V97="Restricted / Unavailable","Merrill restricted / unavailable exception","None")))))))</x:f>
      </x:c>
      <x:c r="Z97" s="1257" t="str">
        <x:f>IF($B97="","",COUNTIF('24 RCC-004 Candidate Pipeline'!$C$14:$C$213,$B97))</x:f>
      </x:c>
      <x:c r="AA97" s="1253" t="str">
        <x:f>IF($B97="","",IFERROR(INDEX('24 RCC-004 Candidate Pipeline'!$Y$14:$Y$213,MATCH($B97,'24 RCC-004 Candidate Pipeline'!$C$14:$C$213,0)),""))</x:f>
      </x:c>
      <x:c r="AB97" s="1242"/>
      <x:c r="AC97" s="1253" t="str">
        <x:f>IF($B97="","",IF(COUNTIFS('24 RCC-004 Candidate Pipeline'!$C$14:$C$213,$B97,'24 RCC-004 Candidate Pipeline'!$AF$14:$AF$213,"Yes — Refer to PEW-004")&gt;0,"REFERRED — PEW-004",IF($Z97&gt;0,"CANDIDATE RECORD ACTIVE","NO ACTIVE CANDIDATE")))</x:f>
      </x:c>
      <x:c r="AD97" s="1253" t="str">
        <x:f>IF($B97="","",IF($A97="","SETUP REQUIRED",IF(COUNTIF($A$14:$A$163,$A97)&gt;1,"DUPLICATE MASR ID",IF(COUNTIF($B$14:$B$163,$B97)&gt;1,"DUPLICATE TICKER",IF(OR($D97="",$E97="",$F97="",$G97="",$H97="",$I97=""),"INCOMPLETE",IF(OR($K97="",$L97=""),"MIAR SETUP REQUIRED",IF($X97="NOT ELIGIBLE","NOT ELIGIBLE",IF($Y97&lt;&gt;"None","EXCEPTION REVIEW",IF(AND($D97&lt;&gt;"Certified Portfolio Holding",OR($E97="Active — Approved Non-Holding",$E97="Conditional",$E97="Candidate — Committee Review"),OR($AB97="",$AB97="Pending")),"COMMITTEE DISPOSITION REQUIRED",IF(AND(OR($E97="Active — Approved Non-Holding",$E97="Conditional"),OR($AG97="",$AH97="")),"CERTIFICATION REQUIRED",IF(OR($E97="Rejected",$E97="Removed",$E97="Archived"),"INACTIVE / CLOSED","CONTROL CLEAR")))))))))))</x:f>
      </x:c>
      <x:c r="AE97" s="1253" t="str">
        <x:f>IF($AD97="","",IFERROR(INDEX('97 RCC Lists'!$AK$5:$AK$15,MATCH($AD97,'97 RCC Lists'!$AJ$5:$AJ$15,0)),"Review exception"))</x:f>
      </x:c>
      <x:c r="AF97" s="1251"/>
      <x:c r="AG97" s="1242"/>
      <x:c r="AH97" s="1251"/>
      <x:c r="AI97" s="1242"/>
    </x:row>
    <x:row r="98" ht="32" customHeight="1">
      <x:c r="A98" s="1242"/>
      <x:c r="B98" s="1242"/>
      <x:c r="C98" s="1242"/>
      <x:c r="D98" s="1242"/>
      <x:c r="E98" s="1242"/>
      <x:c r="F98" s="1242"/>
      <x:c r="G98" s="1242"/>
      <x:c r="H98" s="1242"/>
      <x:c r="I98" s="1242"/>
      <x:c r="J98" s="1259" t="str">
        <x:f>IF($B98="","",IFERROR(INDEX('Certified Allocation'!$F$5:$F$51,MATCH($B98,'Certified Allocation'!$B$5:$B$51,0)),""))</x:f>
      </x:c>
      <x:c r="K98" s="1243" t="str">
        <x:f>IF($B98="","",IFERROR(INDEX('20 RCC-003 MIAR Registry'!$A$14:$A$60,MATCH($B98,'20 RCC-003 MIAR Registry'!$B$14:$B$60,0)),""))</x:f>
      </x:c>
      <x:c r="L98" s="1243" t="str">
        <x:f>IF($B98="","",IFERROR(INDEX('20 RCC-003 MIAR Registry'!$M$14:$M$60,MATCH($B98,'20 RCC-003 MIAR Registry'!$B$14:$B$60,0)),""))</x:f>
      </x:c>
      <x:c r="M98" s="1243" t="str">
        <x:f>IF($B98="","",IFERROR(INDEX('20 RCC-003 MIAR Registry'!$Z$14:$Z$60,MATCH($B98,'20 RCC-003 MIAR Registry'!$B$14:$B$60,0)),""))</x:f>
      </x:c>
      <x:c r="N98" s="1246" t="str">
        <x:f>IF($B98="","",IFERROR(INDEX('20 RCC-003 MIAR Registry'!$K$14:$K$60,MATCH($B98,'20 RCC-003 MIAR Registry'!$B$14:$B$60,0)),""))</x:f>
      </x:c>
      <x:c r="O98" s="1246" t="str">
        <x:f>IF($B98="","",IFERROR(INDEX('20 RCC-003 MIAR Registry'!$L$14:$L$60,MATCH($B98,'20 RCC-003 MIAR Registry'!$B$14:$B$60,0)),""))</x:f>
      </x:c>
      <x:c r="P98" s="1243" t="str">
        <x:f>IF($B98="","",IFERROR(INDEX('20 RCC-003 MIAR Registry'!$I$14:$I$60,MATCH($B98,'20 RCC-003 MIAR Registry'!$B$14:$B$60,0)),""))</x:f>
      </x:c>
      <x:c r="Q98" s="1243" t="str">
        <x:f>IF($B98="","",IFERROR(INDEX('20 RCC-003 MIAR Registry'!$J$14:$J$60,MATCH($B98,'20 RCC-003 MIAR Registry'!$B$14:$B$60,0)),""))</x:f>
      </x:c>
      <x:c r="R98" s="1247" t="str">
        <x:f>IF($B98="","",COUNTIF('18 RCC-002 Evidence Ledger'!$E$14:$E$213,$B98))</x:f>
      </x:c>
      <x:c r="S98" s="1247" t="str">
        <x:f>IF($B98="","",COUNTIFS('18 RCC-002 Evidence Ledger'!$E$14:$E$213,$B98,'18 RCC-002 Evidence Ledger'!$T$14:$T$213,"&lt;&gt;Closed — No Action",'18 RCC-002 Evidence Ledger'!$T$14:$T$213,"&lt;&gt;Closed — Incorporated"))</x:f>
      </x:c>
      <x:c r="T98" s="1248"/>
      <x:c r="U98" s="1249"/>
      <x:c r="V98" s="1242"/>
      <x:c r="W98" s="1248"/>
      <x:c r="X98" s="1244" t="str">
        <x:f>IF($B98="","",IF($D98="Certified Portfolio Holding","CERTIFIED HOLDING",IF(OR($A98="",$D98="",$E98="",$F98="",$G98="",$H98="",$I98=""),"NOT ASSESSED",IF(OR($K98="",$L98&lt;&gt;"Active",$M98="OVERDUE",$M98="MATERIAL EVENT REVIEW",$N98="",$O98="",$W98=""),"NOT ELIGIBLE",IF(OR(AND($F98="Zacks Election",OR($T98="",$T98&lt;50)),OR($U98=4,$U98=5),$V98="No Rating",$V98="Restricted / Unavailable"),"ELIGIBLE WITH EXCEPTION","ELIGIBLE")))))</x:f>
      </x:c>
      <x:c r="Y98" s="1244" t="str">
        <x:f>IF($B98="","",IF($A98="","Canonical MASR ID required",IF(AND($D98&lt;&gt;"Certified Portfolio Holding",OR($K98="",$L98&lt;&gt;"Active",$M98&lt;&gt;"CURRENT",$N98="",$O98="",$W98="")),"Complete MIAR / scoring / empirical eligibility",IF(AND($F98="Zacks Election",OR($T98="",$T98&lt;50)),"Sub-$50B Zacks election exception",IF(OR($U98=4,$U98=5),"Zacks #4/#5 exception review",IF($V98="No Rating","Merrill No Rating exception",IF($V98="Restricted / Unavailable","Merrill restricted / unavailable exception","None")))))))</x:f>
      </x:c>
      <x:c r="Z98" s="1250" t="str">
        <x:f>IF($B98="","",COUNTIF('24 RCC-004 Candidate Pipeline'!$C$14:$C$213,$B98))</x:f>
      </x:c>
      <x:c r="AA98" s="1244" t="str">
        <x:f>IF($B98="","",IFERROR(INDEX('24 RCC-004 Candidate Pipeline'!$Y$14:$Y$213,MATCH($B98,'24 RCC-004 Candidate Pipeline'!$C$14:$C$213,0)),""))</x:f>
      </x:c>
      <x:c r="AB98" s="1242"/>
      <x:c r="AC98" s="1244" t="str">
        <x:f>IF($B98="","",IF(COUNTIFS('24 RCC-004 Candidate Pipeline'!$C$14:$C$213,$B98,'24 RCC-004 Candidate Pipeline'!$AF$14:$AF$213,"Yes — Refer to PEW-004")&gt;0,"REFERRED — PEW-004",IF($Z98&gt;0,"CANDIDATE RECORD ACTIVE","NO ACTIVE CANDIDATE")))</x:f>
      </x:c>
      <x:c r="AD98" s="1244" t="str">
        <x:f>IF($B98="","",IF($A98="","SETUP REQUIRED",IF(COUNTIF($A$14:$A$163,$A98)&gt;1,"DUPLICATE MASR ID",IF(COUNTIF($B$14:$B$163,$B98)&gt;1,"DUPLICATE TICKER",IF(OR($D98="",$E98="",$F98="",$G98="",$H98="",$I98=""),"INCOMPLETE",IF(OR($K98="",$L98=""),"MIAR SETUP REQUIRED",IF($X98="NOT ELIGIBLE","NOT ELIGIBLE",IF($Y98&lt;&gt;"None","EXCEPTION REVIEW",IF(AND($D98&lt;&gt;"Certified Portfolio Holding",OR($E98="Active — Approved Non-Holding",$E98="Conditional",$E98="Candidate — Committee Review"),OR($AB98="",$AB98="Pending")),"COMMITTEE DISPOSITION REQUIRED",IF(AND(OR($E98="Active — Approved Non-Holding",$E98="Conditional"),OR($AG98="",$AH98="")),"CERTIFICATION REQUIRED",IF(OR($E98="Rejected",$E98="Removed",$E98="Archived"),"INACTIVE / CLOSED","CONTROL CLEAR")))))))))))</x:f>
      </x:c>
      <x:c r="AE98" s="1244" t="str">
        <x:f>IF($AD98="","",IFERROR(INDEX('97 RCC Lists'!$AK$5:$AK$15,MATCH($AD98,'97 RCC Lists'!$AJ$5:$AJ$15,0)),"Review exception"))</x:f>
      </x:c>
      <x:c r="AF98" s="1251"/>
      <x:c r="AG98" s="1242"/>
      <x:c r="AH98" s="1251"/>
      <x:c r="AI98" s="1242"/>
    </x:row>
    <x:row r="99" ht="32" customHeight="1">
      <x:c r="A99" s="1242"/>
      <x:c r="B99" s="1242"/>
      <x:c r="C99" s="1242"/>
      <x:c r="D99" s="1242"/>
      <x:c r="E99" s="1242"/>
      <x:c r="F99" s="1242"/>
      <x:c r="G99" s="1242"/>
      <x:c r="H99" s="1242"/>
      <x:c r="I99" s="1242"/>
      <x:c r="J99" s="1258" t="str">
        <x:f>IF($B99="","",IFERROR(INDEX('Certified Allocation'!$F$5:$F$51,MATCH($B99,'Certified Allocation'!$B$5:$B$51,0)),""))</x:f>
      </x:c>
      <x:c r="K99" s="1252" t="str">
        <x:f>IF($B99="","",IFERROR(INDEX('20 RCC-003 MIAR Registry'!$A$14:$A$60,MATCH($B99,'20 RCC-003 MIAR Registry'!$B$14:$B$60,0)),""))</x:f>
      </x:c>
      <x:c r="L99" s="1252" t="str">
        <x:f>IF($B99="","",IFERROR(INDEX('20 RCC-003 MIAR Registry'!$M$14:$M$60,MATCH($B99,'20 RCC-003 MIAR Registry'!$B$14:$B$60,0)),""))</x:f>
      </x:c>
      <x:c r="M99" s="1252" t="str">
        <x:f>IF($B99="","",IFERROR(INDEX('20 RCC-003 MIAR Registry'!$Z$14:$Z$60,MATCH($B99,'20 RCC-003 MIAR Registry'!$B$14:$B$60,0)),""))</x:f>
      </x:c>
      <x:c r="N99" s="1255" t="str">
        <x:f>IF($B99="","",IFERROR(INDEX('20 RCC-003 MIAR Registry'!$K$14:$K$60,MATCH($B99,'20 RCC-003 MIAR Registry'!$B$14:$B$60,0)),""))</x:f>
      </x:c>
      <x:c r="O99" s="1255" t="str">
        <x:f>IF($B99="","",IFERROR(INDEX('20 RCC-003 MIAR Registry'!$L$14:$L$60,MATCH($B99,'20 RCC-003 MIAR Registry'!$B$14:$B$60,0)),""))</x:f>
      </x:c>
      <x:c r="P99" s="1252" t="str">
        <x:f>IF($B99="","",IFERROR(INDEX('20 RCC-003 MIAR Registry'!$I$14:$I$60,MATCH($B99,'20 RCC-003 MIAR Registry'!$B$14:$B$60,0)),""))</x:f>
      </x:c>
      <x:c r="Q99" s="1252" t="str">
        <x:f>IF($B99="","",IFERROR(INDEX('20 RCC-003 MIAR Registry'!$J$14:$J$60,MATCH($B99,'20 RCC-003 MIAR Registry'!$B$14:$B$60,0)),""))</x:f>
      </x:c>
      <x:c r="R99" s="1256" t="str">
        <x:f>IF($B99="","",COUNTIF('18 RCC-002 Evidence Ledger'!$E$14:$E$213,$B99))</x:f>
      </x:c>
      <x:c r="S99" s="1256" t="str">
        <x:f>IF($B99="","",COUNTIFS('18 RCC-002 Evidence Ledger'!$E$14:$E$213,$B99,'18 RCC-002 Evidence Ledger'!$T$14:$T$213,"&lt;&gt;Closed — No Action",'18 RCC-002 Evidence Ledger'!$T$14:$T$213,"&lt;&gt;Closed — Incorporated"))</x:f>
      </x:c>
      <x:c r="T99" s="1248"/>
      <x:c r="U99" s="1249"/>
      <x:c r="V99" s="1242"/>
      <x:c r="W99" s="1248"/>
      <x:c r="X99" s="1253" t="str">
        <x:f>IF($B99="","",IF($D99="Certified Portfolio Holding","CERTIFIED HOLDING",IF(OR($A99="",$D99="",$E99="",$F99="",$G99="",$H99="",$I99=""),"NOT ASSESSED",IF(OR($K99="",$L99&lt;&gt;"Active",$M99="OVERDUE",$M99="MATERIAL EVENT REVIEW",$N99="",$O99="",$W99=""),"NOT ELIGIBLE",IF(OR(AND($F99="Zacks Election",OR($T99="",$T99&lt;50)),OR($U99=4,$U99=5),$V99="No Rating",$V99="Restricted / Unavailable"),"ELIGIBLE WITH EXCEPTION","ELIGIBLE")))))</x:f>
      </x:c>
      <x:c r="Y99" s="1253" t="str">
        <x:f>IF($B99="","",IF($A99="","Canonical MASR ID required",IF(AND($D99&lt;&gt;"Certified Portfolio Holding",OR($K99="",$L99&lt;&gt;"Active",$M99&lt;&gt;"CURRENT",$N99="",$O99="",$W99="")),"Complete MIAR / scoring / empirical eligibility",IF(AND($F99="Zacks Election",OR($T99="",$T99&lt;50)),"Sub-$50B Zacks election exception",IF(OR($U99=4,$U99=5),"Zacks #4/#5 exception review",IF($V99="No Rating","Merrill No Rating exception",IF($V99="Restricted / Unavailable","Merrill restricted / unavailable exception","None")))))))</x:f>
      </x:c>
      <x:c r="Z99" s="1257" t="str">
        <x:f>IF($B99="","",COUNTIF('24 RCC-004 Candidate Pipeline'!$C$14:$C$213,$B99))</x:f>
      </x:c>
      <x:c r="AA99" s="1253" t="str">
        <x:f>IF($B99="","",IFERROR(INDEX('24 RCC-004 Candidate Pipeline'!$Y$14:$Y$213,MATCH($B99,'24 RCC-004 Candidate Pipeline'!$C$14:$C$213,0)),""))</x:f>
      </x:c>
      <x:c r="AB99" s="1242"/>
      <x:c r="AC99" s="1253" t="str">
        <x:f>IF($B99="","",IF(COUNTIFS('24 RCC-004 Candidate Pipeline'!$C$14:$C$213,$B99,'24 RCC-004 Candidate Pipeline'!$AF$14:$AF$213,"Yes — Refer to PEW-004")&gt;0,"REFERRED — PEW-004",IF($Z99&gt;0,"CANDIDATE RECORD ACTIVE","NO ACTIVE CANDIDATE")))</x:f>
      </x:c>
      <x:c r="AD99" s="1253" t="str">
        <x:f>IF($B99="","",IF($A99="","SETUP REQUIRED",IF(COUNTIF($A$14:$A$163,$A99)&gt;1,"DUPLICATE MASR ID",IF(COUNTIF($B$14:$B$163,$B99)&gt;1,"DUPLICATE TICKER",IF(OR($D99="",$E99="",$F99="",$G99="",$H99="",$I99=""),"INCOMPLETE",IF(OR($K99="",$L99=""),"MIAR SETUP REQUIRED",IF($X99="NOT ELIGIBLE","NOT ELIGIBLE",IF($Y99&lt;&gt;"None","EXCEPTION REVIEW",IF(AND($D99&lt;&gt;"Certified Portfolio Holding",OR($E99="Active — Approved Non-Holding",$E99="Conditional",$E99="Candidate — Committee Review"),OR($AB99="",$AB99="Pending")),"COMMITTEE DISPOSITION REQUIRED",IF(AND(OR($E99="Active — Approved Non-Holding",$E99="Conditional"),OR($AG99="",$AH99="")),"CERTIFICATION REQUIRED",IF(OR($E99="Rejected",$E99="Removed",$E99="Archived"),"INACTIVE / CLOSED","CONTROL CLEAR")))))))))))</x:f>
      </x:c>
      <x:c r="AE99" s="1253" t="str">
        <x:f>IF($AD99="","",IFERROR(INDEX('97 RCC Lists'!$AK$5:$AK$15,MATCH($AD99,'97 RCC Lists'!$AJ$5:$AJ$15,0)),"Review exception"))</x:f>
      </x:c>
      <x:c r="AF99" s="1251"/>
      <x:c r="AG99" s="1242"/>
      <x:c r="AH99" s="1251"/>
      <x:c r="AI99" s="1242"/>
    </x:row>
    <x:row r="100" ht="32" customHeight="1">
      <x:c r="A100" s="1242"/>
      <x:c r="B100" s="1242"/>
      <x:c r="C100" s="1242"/>
      <x:c r="D100" s="1242"/>
      <x:c r="E100" s="1242"/>
      <x:c r="F100" s="1242"/>
      <x:c r="G100" s="1242"/>
      <x:c r="H100" s="1242"/>
      <x:c r="I100" s="1242"/>
      <x:c r="J100" s="1259" t="str">
        <x:f>IF($B100="","",IFERROR(INDEX('Certified Allocation'!$F$5:$F$51,MATCH($B100,'Certified Allocation'!$B$5:$B$51,0)),""))</x:f>
      </x:c>
      <x:c r="K100" s="1243" t="str">
        <x:f>IF($B100="","",IFERROR(INDEX('20 RCC-003 MIAR Registry'!$A$14:$A$60,MATCH($B100,'20 RCC-003 MIAR Registry'!$B$14:$B$60,0)),""))</x:f>
      </x:c>
      <x:c r="L100" s="1243" t="str">
        <x:f>IF($B100="","",IFERROR(INDEX('20 RCC-003 MIAR Registry'!$M$14:$M$60,MATCH($B100,'20 RCC-003 MIAR Registry'!$B$14:$B$60,0)),""))</x:f>
      </x:c>
      <x:c r="M100" s="1243" t="str">
        <x:f>IF($B100="","",IFERROR(INDEX('20 RCC-003 MIAR Registry'!$Z$14:$Z$60,MATCH($B100,'20 RCC-003 MIAR Registry'!$B$14:$B$60,0)),""))</x:f>
      </x:c>
      <x:c r="N100" s="1246" t="str">
        <x:f>IF($B100="","",IFERROR(INDEX('20 RCC-003 MIAR Registry'!$K$14:$K$60,MATCH($B100,'20 RCC-003 MIAR Registry'!$B$14:$B$60,0)),""))</x:f>
      </x:c>
      <x:c r="O100" s="1246" t="str">
        <x:f>IF($B100="","",IFERROR(INDEX('20 RCC-003 MIAR Registry'!$L$14:$L$60,MATCH($B100,'20 RCC-003 MIAR Registry'!$B$14:$B$60,0)),""))</x:f>
      </x:c>
      <x:c r="P100" s="1243" t="str">
        <x:f>IF($B100="","",IFERROR(INDEX('20 RCC-003 MIAR Registry'!$I$14:$I$60,MATCH($B100,'20 RCC-003 MIAR Registry'!$B$14:$B$60,0)),""))</x:f>
      </x:c>
      <x:c r="Q100" s="1243" t="str">
        <x:f>IF($B100="","",IFERROR(INDEX('20 RCC-003 MIAR Registry'!$J$14:$J$60,MATCH($B100,'20 RCC-003 MIAR Registry'!$B$14:$B$60,0)),""))</x:f>
      </x:c>
      <x:c r="R100" s="1247" t="str">
        <x:f>IF($B100="","",COUNTIF('18 RCC-002 Evidence Ledger'!$E$14:$E$213,$B100))</x:f>
      </x:c>
      <x:c r="S100" s="1247" t="str">
        <x:f>IF($B100="","",COUNTIFS('18 RCC-002 Evidence Ledger'!$E$14:$E$213,$B100,'18 RCC-002 Evidence Ledger'!$T$14:$T$213,"&lt;&gt;Closed — No Action",'18 RCC-002 Evidence Ledger'!$T$14:$T$213,"&lt;&gt;Closed — Incorporated"))</x:f>
      </x:c>
      <x:c r="T100" s="1248"/>
      <x:c r="U100" s="1249"/>
      <x:c r="V100" s="1242"/>
      <x:c r="W100" s="1248"/>
      <x:c r="X100" s="1244" t="str">
        <x:f>IF($B100="","",IF($D100="Certified Portfolio Holding","CERTIFIED HOLDING",IF(OR($A100="",$D100="",$E100="",$F100="",$G100="",$H100="",$I100=""),"NOT ASSESSED",IF(OR($K100="",$L100&lt;&gt;"Active",$M100="OVERDUE",$M100="MATERIAL EVENT REVIEW",$N100="",$O100="",$W100=""),"NOT ELIGIBLE",IF(OR(AND($F100="Zacks Election",OR($T100="",$T100&lt;50)),OR($U100=4,$U100=5),$V100="No Rating",$V100="Restricted / Unavailable"),"ELIGIBLE WITH EXCEPTION","ELIGIBLE")))))</x:f>
      </x:c>
      <x:c r="Y100" s="1244" t="str">
        <x:f>IF($B100="","",IF($A100="","Canonical MASR ID required",IF(AND($D100&lt;&gt;"Certified Portfolio Holding",OR($K100="",$L100&lt;&gt;"Active",$M100&lt;&gt;"CURRENT",$N100="",$O100="",$W100="")),"Complete MIAR / scoring / empirical eligibility",IF(AND($F100="Zacks Election",OR($T100="",$T100&lt;50)),"Sub-$50B Zacks election exception",IF(OR($U100=4,$U100=5),"Zacks #4/#5 exception review",IF($V100="No Rating","Merrill No Rating exception",IF($V100="Restricted / Unavailable","Merrill restricted / unavailable exception","None")))))))</x:f>
      </x:c>
      <x:c r="Z100" s="1250" t="str">
        <x:f>IF($B100="","",COUNTIF('24 RCC-004 Candidate Pipeline'!$C$14:$C$213,$B100))</x:f>
      </x:c>
      <x:c r="AA100" s="1244" t="str">
        <x:f>IF($B100="","",IFERROR(INDEX('24 RCC-004 Candidate Pipeline'!$Y$14:$Y$213,MATCH($B100,'24 RCC-004 Candidate Pipeline'!$C$14:$C$213,0)),""))</x:f>
      </x:c>
      <x:c r="AB100" s="1242"/>
      <x:c r="AC100" s="1244" t="str">
        <x:f>IF($B100="","",IF(COUNTIFS('24 RCC-004 Candidate Pipeline'!$C$14:$C$213,$B100,'24 RCC-004 Candidate Pipeline'!$AF$14:$AF$213,"Yes — Refer to PEW-004")&gt;0,"REFERRED — PEW-004",IF($Z100&gt;0,"CANDIDATE RECORD ACTIVE","NO ACTIVE CANDIDATE")))</x:f>
      </x:c>
      <x:c r="AD100" s="1244" t="str">
        <x:f>IF($B100="","",IF($A100="","SETUP REQUIRED",IF(COUNTIF($A$14:$A$163,$A100)&gt;1,"DUPLICATE MASR ID",IF(COUNTIF($B$14:$B$163,$B100)&gt;1,"DUPLICATE TICKER",IF(OR($D100="",$E100="",$F100="",$G100="",$H100="",$I100=""),"INCOMPLETE",IF(OR($K100="",$L100=""),"MIAR SETUP REQUIRED",IF($X100="NOT ELIGIBLE","NOT ELIGIBLE",IF($Y100&lt;&gt;"None","EXCEPTION REVIEW",IF(AND($D100&lt;&gt;"Certified Portfolio Holding",OR($E100="Active — Approved Non-Holding",$E100="Conditional",$E100="Candidate — Committee Review"),OR($AB100="",$AB100="Pending")),"COMMITTEE DISPOSITION REQUIRED",IF(AND(OR($E100="Active — Approved Non-Holding",$E100="Conditional"),OR($AG100="",$AH100="")),"CERTIFICATION REQUIRED",IF(OR($E100="Rejected",$E100="Removed",$E100="Archived"),"INACTIVE / CLOSED","CONTROL CLEAR")))))))))))</x:f>
      </x:c>
      <x:c r="AE100" s="1244" t="str">
        <x:f>IF($AD100="","",IFERROR(INDEX('97 RCC Lists'!$AK$5:$AK$15,MATCH($AD100,'97 RCC Lists'!$AJ$5:$AJ$15,0)),"Review exception"))</x:f>
      </x:c>
      <x:c r="AF100" s="1251"/>
      <x:c r="AG100" s="1242"/>
      <x:c r="AH100" s="1251"/>
      <x:c r="AI100" s="1242"/>
    </x:row>
    <x:row r="101" ht="32" customHeight="1">
      <x:c r="A101" s="1242"/>
      <x:c r="B101" s="1242"/>
      <x:c r="C101" s="1242"/>
      <x:c r="D101" s="1242"/>
      <x:c r="E101" s="1242"/>
      <x:c r="F101" s="1242"/>
      <x:c r="G101" s="1242"/>
      <x:c r="H101" s="1242"/>
      <x:c r="I101" s="1242"/>
      <x:c r="J101" s="1258" t="str">
        <x:f>IF($B101="","",IFERROR(INDEX('Certified Allocation'!$F$5:$F$51,MATCH($B101,'Certified Allocation'!$B$5:$B$51,0)),""))</x:f>
      </x:c>
      <x:c r="K101" s="1252" t="str">
        <x:f>IF($B101="","",IFERROR(INDEX('20 RCC-003 MIAR Registry'!$A$14:$A$60,MATCH($B101,'20 RCC-003 MIAR Registry'!$B$14:$B$60,0)),""))</x:f>
      </x:c>
      <x:c r="L101" s="1252" t="str">
        <x:f>IF($B101="","",IFERROR(INDEX('20 RCC-003 MIAR Registry'!$M$14:$M$60,MATCH($B101,'20 RCC-003 MIAR Registry'!$B$14:$B$60,0)),""))</x:f>
      </x:c>
      <x:c r="M101" s="1252" t="str">
        <x:f>IF($B101="","",IFERROR(INDEX('20 RCC-003 MIAR Registry'!$Z$14:$Z$60,MATCH($B101,'20 RCC-003 MIAR Registry'!$B$14:$B$60,0)),""))</x:f>
      </x:c>
      <x:c r="N101" s="1255" t="str">
        <x:f>IF($B101="","",IFERROR(INDEX('20 RCC-003 MIAR Registry'!$K$14:$K$60,MATCH($B101,'20 RCC-003 MIAR Registry'!$B$14:$B$60,0)),""))</x:f>
      </x:c>
      <x:c r="O101" s="1255" t="str">
        <x:f>IF($B101="","",IFERROR(INDEX('20 RCC-003 MIAR Registry'!$L$14:$L$60,MATCH($B101,'20 RCC-003 MIAR Registry'!$B$14:$B$60,0)),""))</x:f>
      </x:c>
      <x:c r="P101" s="1252" t="str">
        <x:f>IF($B101="","",IFERROR(INDEX('20 RCC-003 MIAR Registry'!$I$14:$I$60,MATCH($B101,'20 RCC-003 MIAR Registry'!$B$14:$B$60,0)),""))</x:f>
      </x:c>
      <x:c r="Q101" s="1252" t="str">
        <x:f>IF($B101="","",IFERROR(INDEX('20 RCC-003 MIAR Registry'!$J$14:$J$60,MATCH($B101,'20 RCC-003 MIAR Registry'!$B$14:$B$60,0)),""))</x:f>
      </x:c>
      <x:c r="R101" s="1256" t="str">
        <x:f>IF($B101="","",COUNTIF('18 RCC-002 Evidence Ledger'!$E$14:$E$213,$B101))</x:f>
      </x:c>
      <x:c r="S101" s="1256" t="str">
        <x:f>IF($B101="","",COUNTIFS('18 RCC-002 Evidence Ledger'!$E$14:$E$213,$B101,'18 RCC-002 Evidence Ledger'!$T$14:$T$213,"&lt;&gt;Closed — No Action",'18 RCC-002 Evidence Ledger'!$T$14:$T$213,"&lt;&gt;Closed — Incorporated"))</x:f>
      </x:c>
      <x:c r="T101" s="1248"/>
      <x:c r="U101" s="1249"/>
      <x:c r="V101" s="1242"/>
      <x:c r="W101" s="1248"/>
      <x:c r="X101" s="1253" t="str">
        <x:f>IF($B101="","",IF($D101="Certified Portfolio Holding","CERTIFIED HOLDING",IF(OR($A101="",$D101="",$E101="",$F101="",$G101="",$H101="",$I101=""),"NOT ASSESSED",IF(OR($K101="",$L101&lt;&gt;"Active",$M101="OVERDUE",$M101="MATERIAL EVENT REVIEW",$N101="",$O101="",$W101=""),"NOT ELIGIBLE",IF(OR(AND($F101="Zacks Election",OR($T101="",$T101&lt;50)),OR($U101=4,$U101=5),$V101="No Rating",$V101="Restricted / Unavailable"),"ELIGIBLE WITH EXCEPTION","ELIGIBLE")))))</x:f>
      </x:c>
      <x:c r="Y101" s="1253" t="str">
        <x:f>IF($B101="","",IF($A101="","Canonical MASR ID required",IF(AND($D101&lt;&gt;"Certified Portfolio Holding",OR($K101="",$L101&lt;&gt;"Active",$M101&lt;&gt;"CURRENT",$N101="",$O101="",$W101="")),"Complete MIAR / scoring / empirical eligibility",IF(AND($F101="Zacks Election",OR($T101="",$T101&lt;50)),"Sub-$50B Zacks election exception",IF(OR($U101=4,$U101=5),"Zacks #4/#5 exception review",IF($V101="No Rating","Merrill No Rating exception",IF($V101="Restricted / Unavailable","Merrill restricted / unavailable exception","None")))))))</x:f>
      </x:c>
      <x:c r="Z101" s="1257" t="str">
        <x:f>IF($B101="","",COUNTIF('24 RCC-004 Candidate Pipeline'!$C$14:$C$213,$B101))</x:f>
      </x:c>
      <x:c r="AA101" s="1253" t="str">
        <x:f>IF($B101="","",IFERROR(INDEX('24 RCC-004 Candidate Pipeline'!$Y$14:$Y$213,MATCH($B101,'24 RCC-004 Candidate Pipeline'!$C$14:$C$213,0)),""))</x:f>
      </x:c>
      <x:c r="AB101" s="1242"/>
      <x:c r="AC101" s="1253" t="str">
        <x:f>IF($B101="","",IF(COUNTIFS('24 RCC-004 Candidate Pipeline'!$C$14:$C$213,$B101,'24 RCC-004 Candidate Pipeline'!$AF$14:$AF$213,"Yes — Refer to PEW-004")&gt;0,"REFERRED — PEW-004",IF($Z101&gt;0,"CANDIDATE RECORD ACTIVE","NO ACTIVE CANDIDATE")))</x:f>
      </x:c>
      <x:c r="AD101" s="1253" t="str">
        <x:f>IF($B101="","",IF($A101="","SETUP REQUIRED",IF(COUNTIF($A$14:$A$163,$A101)&gt;1,"DUPLICATE MASR ID",IF(COUNTIF($B$14:$B$163,$B101)&gt;1,"DUPLICATE TICKER",IF(OR($D101="",$E101="",$F101="",$G101="",$H101="",$I101=""),"INCOMPLETE",IF(OR($K101="",$L101=""),"MIAR SETUP REQUIRED",IF($X101="NOT ELIGIBLE","NOT ELIGIBLE",IF($Y101&lt;&gt;"None","EXCEPTION REVIEW",IF(AND($D101&lt;&gt;"Certified Portfolio Holding",OR($E101="Active — Approved Non-Holding",$E101="Conditional",$E101="Candidate — Committee Review"),OR($AB101="",$AB101="Pending")),"COMMITTEE DISPOSITION REQUIRED",IF(AND(OR($E101="Active — Approved Non-Holding",$E101="Conditional"),OR($AG101="",$AH101="")),"CERTIFICATION REQUIRED",IF(OR($E101="Rejected",$E101="Removed",$E101="Archived"),"INACTIVE / CLOSED","CONTROL CLEAR")))))))))))</x:f>
      </x:c>
      <x:c r="AE101" s="1253" t="str">
        <x:f>IF($AD101="","",IFERROR(INDEX('97 RCC Lists'!$AK$5:$AK$15,MATCH($AD101,'97 RCC Lists'!$AJ$5:$AJ$15,0)),"Review exception"))</x:f>
      </x:c>
      <x:c r="AF101" s="1251"/>
      <x:c r="AG101" s="1242"/>
      <x:c r="AH101" s="1251"/>
      <x:c r="AI101" s="1242"/>
    </x:row>
    <x:row r="102" ht="32" customHeight="1">
      <x:c r="A102" s="1242"/>
      <x:c r="B102" s="1242"/>
      <x:c r="C102" s="1242"/>
      <x:c r="D102" s="1242"/>
      <x:c r="E102" s="1242"/>
      <x:c r="F102" s="1242"/>
      <x:c r="G102" s="1242"/>
      <x:c r="H102" s="1242"/>
      <x:c r="I102" s="1242"/>
      <x:c r="J102" s="1259" t="str">
        <x:f>IF($B102="","",IFERROR(INDEX('Certified Allocation'!$F$5:$F$51,MATCH($B102,'Certified Allocation'!$B$5:$B$51,0)),""))</x:f>
      </x:c>
      <x:c r="K102" s="1243" t="str">
        <x:f>IF($B102="","",IFERROR(INDEX('20 RCC-003 MIAR Registry'!$A$14:$A$60,MATCH($B102,'20 RCC-003 MIAR Registry'!$B$14:$B$60,0)),""))</x:f>
      </x:c>
      <x:c r="L102" s="1243" t="str">
        <x:f>IF($B102="","",IFERROR(INDEX('20 RCC-003 MIAR Registry'!$M$14:$M$60,MATCH($B102,'20 RCC-003 MIAR Registry'!$B$14:$B$60,0)),""))</x:f>
      </x:c>
      <x:c r="M102" s="1243" t="str">
        <x:f>IF($B102="","",IFERROR(INDEX('20 RCC-003 MIAR Registry'!$Z$14:$Z$60,MATCH($B102,'20 RCC-003 MIAR Registry'!$B$14:$B$60,0)),""))</x:f>
      </x:c>
      <x:c r="N102" s="1246" t="str">
        <x:f>IF($B102="","",IFERROR(INDEX('20 RCC-003 MIAR Registry'!$K$14:$K$60,MATCH($B102,'20 RCC-003 MIAR Registry'!$B$14:$B$60,0)),""))</x:f>
      </x:c>
      <x:c r="O102" s="1246" t="str">
        <x:f>IF($B102="","",IFERROR(INDEX('20 RCC-003 MIAR Registry'!$L$14:$L$60,MATCH($B102,'20 RCC-003 MIAR Registry'!$B$14:$B$60,0)),""))</x:f>
      </x:c>
      <x:c r="P102" s="1243" t="str">
        <x:f>IF($B102="","",IFERROR(INDEX('20 RCC-003 MIAR Registry'!$I$14:$I$60,MATCH($B102,'20 RCC-003 MIAR Registry'!$B$14:$B$60,0)),""))</x:f>
      </x:c>
      <x:c r="Q102" s="1243" t="str">
        <x:f>IF($B102="","",IFERROR(INDEX('20 RCC-003 MIAR Registry'!$J$14:$J$60,MATCH($B102,'20 RCC-003 MIAR Registry'!$B$14:$B$60,0)),""))</x:f>
      </x:c>
      <x:c r="R102" s="1247" t="str">
        <x:f>IF($B102="","",COUNTIF('18 RCC-002 Evidence Ledger'!$E$14:$E$213,$B102))</x:f>
      </x:c>
      <x:c r="S102" s="1247" t="str">
        <x:f>IF($B102="","",COUNTIFS('18 RCC-002 Evidence Ledger'!$E$14:$E$213,$B102,'18 RCC-002 Evidence Ledger'!$T$14:$T$213,"&lt;&gt;Closed — No Action",'18 RCC-002 Evidence Ledger'!$T$14:$T$213,"&lt;&gt;Closed — Incorporated"))</x:f>
      </x:c>
      <x:c r="T102" s="1248"/>
      <x:c r="U102" s="1249"/>
      <x:c r="V102" s="1242"/>
      <x:c r="W102" s="1248"/>
      <x:c r="X102" s="1244" t="str">
        <x:f>IF($B102="","",IF($D102="Certified Portfolio Holding","CERTIFIED HOLDING",IF(OR($A102="",$D102="",$E102="",$F102="",$G102="",$H102="",$I102=""),"NOT ASSESSED",IF(OR($K102="",$L102&lt;&gt;"Active",$M102="OVERDUE",$M102="MATERIAL EVENT REVIEW",$N102="",$O102="",$W102=""),"NOT ELIGIBLE",IF(OR(AND($F102="Zacks Election",OR($T102="",$T102&lt;50)),OR($U102=4,$U102=5),$V102="No Rating",$V102="Restricted / Unavailable"),"ELIGIBLE WITH EXCEPTION","ELIGIBLE")))))</x:f>
      </x:c>
      <x:c r="Y102" s="1244" t="str">
        <x:f>IF($B102="","",IF($A102="","Canonical MASR ID required",IF(AND($D102&lt;&gt;"Certified Portfolio Holding",OR($K102="",$L102&lt;&gt;"Active",$M102&lt;&gt;"CURRENT",$N102="",$O102="",$W102="")),"Complete MIAR / scoring / empirical eligibility",IF(AND($F102="Zacks Election",OR($T102="",$T102&lt;50)),"Sub-$50B Zacks election exception",IF(OR($U102=4,$U102=5),"Zacks #4/#5 exception review",IF($V102="No Rating","Merrill No Rating exception",IF($V102="Restricted / Unavailable","Merrill restricted / unavailable exception","None")))))))</x:f>
      </x:c>
      <x:c r="Z102" s="1250" t="str">
        <x:f>IF($B102="","",COUNTIF('24 RCC-004 Candidate Pipeline'!$C$14:$C$213,$B102))</x:f>
      </x:c>
      <x:c r="AA102" s="1244" t="str">
        <x:f>IF($B102="","",IFERROR(INDEX('24 RCC-004 Candidate Pipeline'!$Y$14:$Y$213,MATCH($B102,'24 RCC-004 Candidate Pipeline'!$C$14:$C$213,0)),""))</x:f>
      </x:c>
      <x:c r="AB102" s="1242"/>
      <x:c r="AC102" s="1244" t="str">
        <x:f>IF($B102="","",IF(COUNTIFS('24 RCC-004 Candidate Pipeline'!$C$14:$C$213,$B102,'24 RCC-004 Candidate Pipeline'!$AF$14:$AF$213,"Yes — Refer to PEW-004")&gt;0,"REFERRED — PEW-004",IF($Z102&gt;0,"CANDIDATE RECORD ACTIVE","NO ACTIVE CANDIDATE")))</x:f>
      </x:c>
      <x:c r="AD102" s="1244" t="str">
        <x:f>IF($B102="","",IF($A102="","SETUP REQUIRED",IF(COUNTIF($A$14:$A$163,$A102)&gt;1,"DUPLICATE MASR ID",IF(COUNTIF($B$14:$B$163,$B102)&gt;1,"DUPLICATE TICKER",IF(OR($D102="",$E102="",$F102="",$G102="",$H102="",$I102=""),"INCOMPLETE",IF(OR($K102="",$L102=""),"MIAR SETUP REQUIRED",IF($X102="NOT ELIGIBLE","NOT ELIGIBLE",IF($Y102&lt;&gt;"None","EXCEPTION REVIEW",IF(AND($D102&lt;&gt;"Certified Portfolio Holding",OR($E102="Active — Approved Non-Holding",$E102="Conditional",$E102="Candidate — Committee Review"),OR($AB102="",$AB102="Pending")),"COMMITTEE DISPOSITION REQUIRED",IF(AND(OR($E102="Active — Approved Non-Holding",$E102="Conditional"),OR($AG102="",$AH102="")),"CERTIFICATION REQUIRED",IF(OR($E102="Rejected",$E102="Removed",$E102="Archived"),"INACTIVE / CLOSED","CONTROL CLEAR")))))))))))</x:f>
      </x:c>
      <x:c r="AE102" s="1244" t="str">
        <x:f>IF($AD102="","",IFERROR(INDEX('97 RCC Lists'!$AK$5:$AK$15,MATCH($AD102,'97 RCC Lists'!$AJ$5:$AJ$15,0)),"Review exception"))</x:f>
      </x:c>
      <x:c r="AF102" s="1251"/>
      <x:c r="AG102" s="1242"/>
      <x:c r="AH102" s="1251"/>
      <x:c r="AI102" s="1242"/>
    </x:row>
    <x:row r="103" ht="32" customHeight="1">
      <x:c r="A103" s="1242"/>
      <x:c r="B103" s="1242"/>
      <x:c r="C103" s="1242"/>
      <x:c r="D103" s="1242"/>
      <x:c r="E103" s="1242"/>
      <x:c r="F103" s="1242"/>
      <x:c r="G103" s="1242"/>
      <x:c r="H103" s="1242"/>
      <x:c r="I103" s="1242"/>
      <x:c r="J103" s="1258" t="str">
        <x:f>IF($B103="","",IFERROR(INDEX('Certified Allocation'!$F$5:$F$51,MATCH($B103,'Certified Allocation'!$B$5:$B$51,0)),""))</x:f>
      </x:c>
      <x:c r="K103" s="1252" t="str">
        <x:f>IF($B103="","",IFERROR(INDEX('20 RCC-003 MIAR Registry'!$A$14:$A$60,MATCH($B103,'20 RCC-003 MIAR Registry'!$B$14:$B$60,0)),""))</x:f>
      </x:c>
      <x:c r="L103" s="1252" t="str">
        <x:f>IF($B103="","",IFERROR(INDEX('20 RCC-003 MIAR Registry'!$M$14:$M$60,MATCH($B103,'20 RCC-003 MIAR Registry'!$B$14:$B$60,0)),""))</x:f>
      </x:c>
      <x:c r="M103" s="1252" t="str">
        <x:f>IF($B103="","",IFERROR(INDEX('20 RCC-003 MIAR Registry'!$Z$14:$Z$60,MATCH($B103,'20 RCC-003 MIAR Registry'!$B$14:$B$60,0)),""))</x:f>
      </x:c>
      <x:c r="N103" s="1255" t="str">
        <x:f>IF($B103="","",IFERROR(INDEX('20 RCC-003 MIAR Registry'!$K$14:$K$60,MATCH($B103,'20 RCC-003 MIAR Registry'!$B$14:$B$60,0)),""))</x:f>
      </x:c>
      <x:c r="O103" s="1255" t="str">
        <x:f>IF($B103="","",IFERROR(INDEX('20 RCC-003 MIAR Registry'!$L$14:$L$60,MATCH($B103,'20 RCC-003 MIAR Registry'!$B$14:$B$60,0)),""))</x:f>
      </x:c>
      <x:c r="P103" s="1252" t="str">
        <x:f>IF($B103="","",IFERROR(INDEX('20 RCC-003 MIAR Registry'!$I$14:$I$60,MATCH($B103,'20 RCC-003 MIAR Registry'!$B$14:$B$60,0)),""))</x:f>
      </x:c>
      <x:c r="Q103" s="1252" t="str">
        <x:f>IF($B103="","",IFERROR(INDEX('20 RCC-003 MIAR Registry'!$J$14:$J$60,MATCH($B103,'20 RCC-003 MIAR Registry'!$B$14:$B$60,0)),""))</x:f>
      </x:c>
      <x:c r="R103" s="1256" t="str">
        <x:f>IF($B103="","",COUNTIF('18 RCC-002 Evidence Ledger'!$E$14:$E$213,$B103))</x:f>
      </x:c>
      <x:c r="S103" s="1256" t="str">
        <x:f>IF($B103="","",COUNTIFS('18 RCC-002 Evidence Ledger'!$E$14:$E$213,$B103,'18 RCC-002 Evidence Ledger'!$T$14:$T$213,"&lt;&gt;Closed — No Action",'18 RCC-002 Evidence Ledger'!$T$14:$T$213,"&lt;&gt;Closed — Incorporated"))</x:f>
      </x:c>
      <x:c r="T103" s="1248"/>
      <x:c r="U103" s="1249"/>
      <x:c r="V103" s="1242"/>
      <x:c r="W103" s="1248"/>
      <x:c r="X103" s="1253" t="str">
        <x:f>IF($B103="","",IF($D103="Certified Portfolio Holding","CERTIFIED HOLDING",IF(OR($A103="",$D103="",$E103="",$F103="",$G103="",$H103="",$I103=""),"NOT ASSESSED",IF(OR($K103="",$L103&lt;&gt;"Active",$M103="OVERDUE",$M103="MATERIAL EVENT REVIEW",$N103="",$O103="",$W103=""),"NOT ELIGIBLE",IF(OR(AND($F103="Zacks Election",OR($T103="",$T103&lt;50)),OR($U103=4,$U103=5),$V103="No Rating",$V103="Restricted / Unavailable"),"ELIGIBLE WITH EXCEPTION","ELIGIBLE")))))</x:f>
      </x:c>
      <x:c r="Y103" s="1253" t="str">
        <x:f>IF($B103="","",IF($A103="","Canonical MASR ID required",IF(AND($D103&lt;&gt;"Certified Portfolio Holding",OR($K103="",$L103&lt;&gt;"Active",$M103&lt;&gt;"CURRENT",$N103="",$O103="",$W103="")),"Complete MIAR / scoring / empirical eligibility",IF(AND($F103="Zacks Election",OR($T103="",$T103&lt;50)),"Sub-$50B Zacks election exception",IF(OR($U103=4,$U103=5),"Zacks #4/#5 exception review",IF($V103="No Rating","Merrill No Rating exception",IF($V103="Restricted / Unavailable","Merrill restricted / unavailable exception","None")))))))</x:f>
      </x:c>
      <x:c r="Z103" s="1257" t="str">
        <x:f>IF($B103="","",COUNTIF('24 RCC-004 Candidate Pipeline'!$C$14:$C$213,$B103))</x:f>
      </x:c>
      <x:c r="AA103" s="1253" t="str">
        <x:f>IF($B103="","",IFERROR(INDEX('24 RCC-004 Candidate Pipeline'!$Y$14:$Y$213,MATCH($B103,'24 RCC-004 Candidate Pipeline'!$C$14:$C$213,0)),""))</x:f>
      </x:c>
      <x:c r="AB103" s="1242"/>
      <x:c r="AC103" s="1253" t="str">
        <x:f>IF($B103="","",IF(COUNTIFS('24 RCC-004 Candidate Pipeline'!$C$14:$C$213,$B103,'24 RCC-004 Candidate Pipeline'!$AF$14:$AF$213,"Yes — Refer to PEW-004")&gt;0,"REFERRED — PEW-004",IF($Z103&gt;0,"CANDIDATE RECORD ACTIVE","NO ACTIVE CANDIDATE")))</x:f>
      </x:c>
      <x:c r="AD103" s="1253" t="str">
        <x:f>IF($B103="","",IF($A103="","SETUP REQUIRED",IF(COUNTIF($A$14:$A$163,$A103)&gt;1,"DUPLICATE MASR ID",IF(COUNTIF($B$14:$B$163,$B103)&gt;1,"DUPLICATE TICKER",IF(OR($D103="",$E103="",$F103="",$G103="",$H103="",$I103=""),"INCOMPLETE",IF(OR($K103="",$L103=""),"MIAR SETUP REQUIRED",IF($X103="NOT ELIGIBLE","NOT ELIGIBLE",IF($Y103&lt;&gt;"None","EXCEPTION REVIEW",IF(AND($D103&lt;&gt;"Certified Portfolio Holding",OR($E103="Active — Approved Non-Holding",$E103="Conditional",$E103="Candidate — Committee Review"),OR($AB103="",$AB103="Pending")),"COMMITTEE DISPOSITION REQUIRED",IF(AND(OR($E103="Active — Approved Non-Holding",$E103="Conditional"),OR($AG103="",$AH103="")),"CERTIFICATION REQUIRED",IF(OR($E103="Rejected",$E103="Removed",$E103="Archived"),"INACTIVE / CLOSED","CONTROL CLEAR")))))))))))</x:f>
      </x:c>
      <x:c r="AE103" s="1253" t="str">
        <x:f>IF($AD103="","",IFERROR(INDEX('97 RCC Lists'!$AK$5:$AK$15,MATCH($AD103,'97 RCC Lists'!$AJ$5:$AJ$15,0)),"Review exception"))</x:f>
      </x:c>
      <x:c r="AF103" s="1251"/>
      <x:c r="AG103" s="1242"/>
      <x:c r="AH103" s="1251"/>
      <x:c r="AI103" s="1242"/>
    </x:row>
    <x:row r="104" ht="32" customHeight="1">
      <x:c r="A104" s="1242"/>
      <x:c r="B104" s="1242"/>
      <x:c r="C104" s="1242"/>
      <x:c r="D104" s="1242"/>
      <x:c r="E104" s="1242"/>
      <x:c r="F104" s="1242"/>
      <x:c r="G104" s="1242"/>
      <x:c r="H104" s="1242"/>
      <x:c r="I104" s="1242"/>
      <x:c r="J104" s="1259" t="str">
        <x:f>IF($B104="","",IFERROR(INDEX('Certified Allocation'!$F$5:$F$51,MATCH($B104,'Certified Allocation'!$B$5:$B$51,0)),""))</x:f>
      </x:c>
      <x:c r="K104" s="1243" t="str">
        <x:f>IF($B104="","",IFERROR(INDEX('20 RCC-003 MIAR Registry'!$A$14:$A$60,MATCH($B104,'20 RCC-003 MIAR Registry'!$B$14:$B$60,0)),""))</x:f>
      </x:c>
      <x:c r="L104" s="1243" t="str">
        <x:f>IF($B104="","",IFERROR(INDEX('20 RCC-003 MIAR Registry'!$M$14:$M$60,MATCH($B104,'20 RCC-003 MIAR Registry'!$B$14:$B$60,0)),""))</x:f>
      </x:c>
      <x:c r="M104" s="1243" t="str">
        <x:f>IF($B104="","",IFERROR(INDEX('20 RCC-003 MIAR Registry'!$Z$14:$Z$60,MATCH($B104,'20 RCC-003 MIAR Registry'!$B$14:$B$60,0)),""))</x:f>
      </x:c>
      <x:c r="N104" s="1246" t="str">
        <x:f>IF($B104="","",IFERROR(INDEX('20 RCC-003 MIAR Registry'!$K$14:$K$60,MATCH($B104,'20 RCC-003 MIAR Registry'!$B$14:$B$60,0)),""))</x:f>
      </x:c>
      <x:c r="O104" s="1246" t="str">
        <x:f>IF($B104="","",IFERROR(INDEX('20 RCC-003 MIAR Registry'!$L$14:$L$60,MATCH($B104,'20 RCC-003 MIAR Registry'!$B$14:$B$60,0)),""))</x:f>
      </x:c>
      <x:c r="P104" s="1243" t="str">
        <x:f>IF($B104="","",IFERROR(INDEX('20 RCC-003 MIAR Registry'!$I$14:$I$60,MATCH($B104,'20 RCC-003 MIAR Registry'!$B$14:$B$60,0)),""))</x:f>
      </x:c>
      <x:c r="Q104" s="1243" t="str">
        <x:f>IF($B104="","",IFERROR(INDEX('20 RCC-003 MIAR Registry'!$J$14:$J$60,MATCH($B104,'20 RCC-003 MIAR Registry'!$B$14:$B$60,0)),""))</x:f>
      </x:c>
      <x:c r="R104" s="1247" t="str">
        <x:f>IF($B104="","",COUNTIF('18 RCC-002 Evidence Ledger'!$E$14:$E$213,$B104))</x:f>
      </x:c>
      <x:c r="S104" s="1247" t="str">
        <x:f>IF($B104="","",COUNTIFS('18 RCC-002 Evidence Ledger'!$E$14:$E$213,$B104,'18 RCC-002 Evidence Ledger'!$T$14:$T$213,"&lt;&gt;Closed — No Action",'18 RCC-002 Evidence Ledger'!$T$14:$T$213,"&lt;&gt;Closed — Incorporated"))</x:f>
      </x:c>
      <x:c r="T104" s="1248"/>
      <x:c r="U104" s="1249"/>
      <x:c r="V104" s="1242"/>
      <x:c r="W104" s="1248"/>
      <x:c r="X104" s="1244" t="str">
        <x:f>IF($B104="","",IF($D104="Certified Portfolio Holding","CERTIFIED HOLDING",IF(OR($A104="",$D104="",$E104="",$F104="",$G104="",$H104="",$I104=""),"NOT ASSESSED",IF(OR($K104="",$L104&lt;&gt;"Active",$M104="OVERDUE",$M104="MATERIAL EVENT REVIEW",$N104="",$O104="",$W104=""),"NOT ELIGIBLE",IF(OR(AND($F104="Zacks Election",OR($T104="",$T104&lt;50)),OR($U104=4,$U104=5),$V104="No Rating",$V104="Restricted / Unavailable"),"ELIGIBLE WITH EXCEPTION","ELIGIBLE")))))</x:f>
      </x:c>
      <x:c r="Y104" s="1244" t="str">
        <x:f>IF($B104="","",IF($A104="","Canonical MASR ID required",IF(AND($D104&lt;&gt;"Certified Portfolio Holding",OR($K104="",$L104&lt;&gt;"Active",$M104&lt;&gt;"CURRENT",$N104="",$O104="",$W104="")),"Complete MIAR / scoring / empirical eligibility",IF(AND($F104="Zacks Election",OR($T104="",$T104&lt;50)),"Sub-$50B Zacks election exception",IF(OR($U104=4,$U104=5),"Zacks #4/#5 exception review",IF($V104="No Rating","Merrill No Rating exception",IF($V104="Restricted / Unavailable","Merrill restricted / unavailable exception","None")))))))</x:f>
      </x:c>
      <x:c r="Z104" s="1250" t="str">
        <x:f>IF($B104="","",COUNTIF('24 RCC-004 Candidate Pipeline'!$C$14:$C$213,$B104))</x:f>
      </x:c>
      <x:c r="AA104" s="1244" t="str">
        <x:f>IF($B104="","",IFERROR(INDEX('24 RCC-004 Candidate Pipeline'!$Y$14:$Y$213,MATCH($B104,'24 RCC-004 Candidate Pipeline'!$C$14:$C$213,0)),""))</x:f>
      </x:c>
      <x:c r="AB104" s="1242"/>
      <x:c r="AC104" s="1244" t="str">
        <x:f>IF($B104="","",IF(COUNTIFS('24 RCC-004 Candidate Pipeline'!$C$14:$C$213,$B104,'24 RCC-004 Candidate Pipeline'!$AF$14:$AF$213,"Yes — Refer to PEW-004")&gt;0,"REFERRED — PEW-004",IF($Z104&gt;0,"CANDIDATE RECORD ACTIVE","NO ACTIVE CANDIDATE")))</x:f>
      </x:c>
      <x:c r="AD104" s="1244" t="str">
        <x:f>IF($B104="","",IF($A104="","SETUP REQUIRED",IF(COUNTIF($A$14:$A$163,$A104)&gt;1,"DUPLICATE MASR ID",IF(COUNTIF($B$14:$B$163,$B104)&gt;1,"DUPLICATE TICKER",IF(OR($D104="",$E104="",$F104="",$G104="",$H104="",$I104=""),"INCOMPLETE",IF(OR($K104="",$L104=""),"MIAR SETUP REQUIRED",IF($X104="NOT ELIGIBLE","NOT ELIGIBLE",IF($Y104&lt;&gt;"None","EXCEPTION REVIEW",IF(AND($D104&lt;&gt;"Certified Portfolio Holding",OR($E104="Active — Approved Non-Holding",$E104="Conditional",$E104="Candidate — Committee Review"),OR($AB104="",$AB104="Pending")),"COMMITTEE DISPOSITION REQUIRED",IF(AND(OR($E104="Active — Approved Non-Holding",$E104="Conditional"),OR($AG104="",$AH104="")),"CERTIFICATION REQUIRED",IF(OR($E104="Rejected",$E104="Removed",$E104="Archived"),"INACTIVE / CLOSED","CONTROL CLEAR")))))))))))</x:f>
      </x:c>
      <x:c r="AE104" s="1244" t="str">
        <x:f>IF($AD104="","",IFERROR(INDEX('97 RCC Lists'!$AK$5:$AK$15,MATCH($AD104,'97 RCC Lists'!$AJ$5:$AJ$15,0)),"Review exception"))</x:f>
      </x:c>
      <x:c r="AF104" s="1251"/>
      <x:c r="AG104" s="1242"/>
      <x:c r="AH104" s="1251"/>
      <x:c r="AI104" s="1242"/>
    </x:row>
    <x:row r="105" ht="32" customHeight="1">
      <x:c r="A105" s="1242"/>
      <x:c r="B105" s="1242"/>
      <x:c r="C105" s="1242"/>
      <x:c r="D105" s="1242"/>
      <x:c r="E105" s="1242"/>
      <x:c r="F105" s="1242"/>
      <x:c r="G105" s="1242"/>
      <x:c r="H105" s="1242"/>
      <x:c r="I105" s="1242"/>
      <x:c r="J105" s="1258" t="str">
        <x:f>IF($B105="","",IFERROR(INDEX('Certified Allocation'!$F$5:$F$51,MATCH($B105,'Certified Allocation'!$B$5:$B$51,0)),""))</x:f>
      </x:c>
      <x:c r="K105" s="1252" t="str">
        <x:f>IF($B105="","",IFERROR(INDEX('20 RCC-003 MIAR Registry'!$A$14:$A$60,MATCH($B105,'20 RCC-003 MIAR Registry'!$B$14:$B$60,0)),""))</x:f>
      </x:c>
      <x:c r="L105" s="1252" t="str">
        <x:f>IF($B105="","",IFERROR(INDEX('20 RCC-003 MIAR Registry'!$M$14:$M$60,MATCH($B105,'20 RCC-003 MIAR Registry'!$B$14:$B$60,0)),""))</x:f>
      </x:c>
      <x:c r="M105" s="1252" t="str">
        <x:f>IF($B105="","",IFERROR(INDEX('20 RCC-003 MIAR Registry'!$Z$14:$Z$60,MATCH($B105,'20 RCC-003 MIAR Registry'!$B$14:$B$60,0)),""))</x:f>
      </x:c>
      <x:c r="N105" s="1255" t="str">
        <x:f>IF($B105="","",IFERROR(INDEX('20 RCC-003 MIAR Registry'!$K$14:$K$60,MATCH($B105,'20 RCC-003 MIAR Registry'!$B$14:$B$60,0)),""))</x:f>
      </x:c>
      <x:c r="O105" s="1255" t="str">
        <x:f>IF($B105="","",IFERROR(INDEX('20 RCC-003 MIAR Registry'!$L$14:$L$60,MATCH($B105,'20 RCC-003 MIAR Registry'!$B$14:$B$60,0)),""))</x:f>
      </x:c>
      <x:c r="P105" s="1252" t="str">
        <x:f>IF($B105="","",IFERROR(INDEX('20 RCC-003 MIAR Registry'!$I$14:$I$60,MATCH($B105,'20 RCC-003 MIAR Registry'!$B$14:$B$60,0)),""))</x:f>
      </x:c>
      <x:c r="Q105" s="1252" t="str">
        <x:f>IF($B105="","",IFERROR(INDEX('20 RCC-003 MIAR Registry'!$J$14:$J$60,MATCH($B105,'20 RCC-003 MIAR Registry'!$B$14:$B$60,0)),""))</x:f>
      </x:c>
      <x:c r="R105" s="1256" t="str">
        <x:f>IF($B105="","",COUNTIF('18 RCC-002 Evidence Ledger'!$E$14:$E$213,$B105))</x:f>
      </x:c>
      <x:c r="S105" s="1256" t="str">
        <x:f>IF($B105="","",COUNTIFS('18 RCC-002 Evidence Ledger'!$E$14:$E$213,$B105,'18 RCC-002 Evidence Ledger'!$T$14:$T$213,"&lt;&gt;Closed — No Action",'18 RCC-002 Evidence Ledger'!$T$14:$T$213,"&lt;&gt;Closed — Incorporated"))</x:f>
      </x:c>
      <x:c r="T105" s="1248"/>
      <x:c r="U105" s="1249"/>
      <x:c r="V105" s="1242"/>
      <x:c r="W105" s="1248"/>
      <x:c r="X105" s="1253" t="str">
        <x:f>IF($B105="","",IF($D105="Certified Portfolio Holding","CERTIFIED HOLDING",IF(OR($A105="",$D105="",$E105="",$F105="",$G105="",$H105="",$I105=""),"NOT ASSESSED",IF(OR($K105="",$L105&lt;&gt;"Active",$M105="OVERDUE",$M105="MATERIAL EVENT REVIEW",$N105="",$O105="",$W105=""),"NOT ELIGIBLE",IF(OR(AND($F105="Zacks Election",OR($T105="",$T105&lt;50)),OR($U105=4,$U105=5),$V105="No Rating",$V105="Restricted / Unavailable"),"ELIGIBLE WITH EXCEPTION","ELIGIBLE")))))</x:f>
      </x:c>
      <x:c r="Y105" s="1253" t="str">
        <x:f>IF($B105="","",IF($A105="","Canonical MASR ID required",IF(AND($D105&lt;&gt;"Certified Portfolio Holding",OR($K105="",$L105&lt;&gt;"Active",$M105&lt;&gt;"CURRENT",$N105="",$O105="",$W105="")),"Complete MIAR / scoring / empirical eligibility",IF(AND($F105="Zacks Election",OR($T105="",$T105&lt;50)),"Sub-$50B Zacks election exception",IF(OR($U105=4,$U105=5),"Zacks #4/#5 exception review",IF($V105="No Rating","Merrill No Rating exception",IF($V105="Restricted / Unavailable","Merrill restricted / unavailable exception","None")))))))</x:f>
      </x:c>
      <x:c r="Z105" s="1257" t="str">
        <x:f>IF($B105="","",COUNTIF('24 RCC-004 Candidate Pipeline'!$C$14:$C$213,$B105))</x:f>
      </x:c>
      <x:c r="AA105" s="1253" t="str">
        <x:f>IF($B105="","",IFERROR(INDEX('24 RCC-004 Candidate Pipeline'!$Y$14:$Y$213,MATCH($B105,'24 RCC-004 Candidate Pipeline'!$C$14:$C$213,0)),""))</x:f>
      </x:c>
      <x:c r="AB105" s="1242"/>
      <x:c r="AC105" s="1253" t="str">
        <x:f>IF($B105="","",IF(COUNTIFS('24 RCC-004 Candidate Pipeline'!$C$14:$C$213,$B105,'24 RCC-004 Candidate Pipeline'!$AF$14:$AF$213,"Yes — Refer to PEW-004")&gt;0,"REFERRED — PEW-004",IF($Z105&gt;0,"CANDIDATE RECORD ACTIVE","NO ACTIVE CANDIDATE")))</x:f>
      </x:c>
      <x:c r="AD105" s="1253" t="str">
        <x:f>IF($B105="","",IF($A105="","SETUP REQUIRED",IF(COUNTIF($A$14:$A$163,$A105)&gt;1,"DUPLICATE MASR ID",IF(COUNTIF($B$14:$B$163,$B105)&gt;1,"DUPLICATE TICKER",IF(OR($D105="",$E105="",$F105="",$G105="",$H105="",$I105=""),"INCOMPLETE",IF(OR($K105="",$L105=""),"MIAR SETUP REQUIRED",IF($X105="NOT ELIGIBLE","NOT ELIGIBLE",IF($Y105&lt;&gt;"None","EXCEPTION REVIEW",IF(AND($D105&lt;&gt;"Certified Portfolio Holding",OR($E105="Active — Approved Non-Holding",$E105="Conditional",$E105="Candidate — Committee Review"),OR($AB105="",$AB105="Pending")),"COMMITTEE DISPOSITION REQUIRED",IF(AND(OR($E105="Active — Approved Non-Holding",$E105="Conditional"),OR($AG105="",$AH105="")),"CERTIFICATION REQUIRED",IF(OR($E105="Rejected",$E105="Removed",$E105="Archived"),"INACTIVE / CLOSED","CONTROL CLEAR")))))))))))</x:f>
      </x:c>
      <x:c r="AE105" s="1253" t="str">
        <x:f>IF($AD105="","",IFERROR(INDEX('97 RCC Lists'!$AK$5:$AK$15,MATCH($AD105,'97 RCC Lists'!$AJ$5:$AJ$15,0)),"Review exception"))</x:f>
      </x:c>
      <x:c r="AF105" s="1251"/>
      <x:c r="AG105" s="1242"/>
      <x:c r="AH105" s="1251"/>
      <x:c r="AI105" s="1242"/>
    </x:row>
    <x:row r="106" ht="32" customHeight="1">
      <x:c r="A106" s="1242"/>
      <x:c r="B106" s="1242"/>
      <x:c r="C106" s="1242"/>
      <x:c r="D106" s="1242"/>
      <x:c r="E106" s="1242"/>
      <x:c r="F106" s="1242"/>
      <x:c r="G106" s="1242"/>
      <x:c r="H106" s="1242"/>
      <x:c r="I106" s="1242"/>
      <x:c r="J106" s="1259" t="str">
        <x:f>IF($B106="","",IFERROR(INDEX('Certified Allocation'!$F$5:$F$51,MATCH($B106,'Certified Allocation'!$B$5:$B$51,0)),""))</x:f>
      </x:c>
      <x:c r="K106" s="1243" t="str">
        <x:f>IF($B106="","",IFERROR(INDEX('20 RCC-003 MIAR Registry'!$A$14:$A$60,MATCH($B106,'20 RCC-003 MIAR Registry'!$B$14:$B$60,0)),""))</x:f>
      </x:c>
      <x:c r="L106" s="1243" t="str">
        <x:f>IF($B106="","",IFERROR(INDEX('20 RCC-003 MIAR Registry'!$M$14:$M$60,MATCH($B106,'20 RCC-003 MIAR Registry'!$B$14:$B$60,0)),""))</x:f>
      </x:c>
      <x:c r="M106" s="1243" t="str">
        <x:f>IF($B106="","",IFERROR(INDEX('20 RCC-003 MIAR Registry'!$Z$14:$Z$60,MATCH($B106,'20 RCC-003 MIAR Registry'!$B$14:$B$60,0)),""))</x:f>
      </x:c>
      <x:c r="N106" s="1246" t="str">
        <x:f>IF($B106="","",IFERROR(INDEX('20 RCC-003 MIAR Registry'!$K$14:$K$60,MATCH($B106,'20 RCC-003 MIAR Registry'!$B$14:$B$60,0)),""))</x:f>
      </x:c>
      <x:c r="O106" s="1246" t="str">
        <x:f>IF($B106="","",IFERROR(INDEX('20 RCC-003 MIAR Registry'!$L$14:$L$60,MATCH($B106,'20 RCC-003 MIAR Registry'!$B$14:$B$60,0)),""))</x:f>
      </x:c>
      <x:c r="P106" s="1243" t="str">
        <x:f>IF($B106="","",IFERROR(INDEX('20 RCC-003 MIAR Registry'!$I$14:$I$60,MATCH($B106,'20 RCC-003 MIAR Registry'!$B$14:$B$60,0)),""))</x:f>
      </x:c>
      <x:c r="Q106" s="1243" t="str">
        <x:f>IF($B106="","",IFERROR(INDEX('20 RCC-003 MIAR Registry'!$J$14:$J$60,MATCH($B106,'20 RCC-003 MIAR Registry'!$B$14:$B$60,0)),""))</x:f>
      </x:c>
      <x:c r="R106" s="1247" t="str">
        <x:f>IF($B106="","",COUNTIF('18 RCC-002 Evidence Ledger'!$E$14:$E$213,$B106))</x:f>
      </x:c>
      <x:c r="S106" s="1247" t="str">
        <x:f>IF($B106="","",COUNTIFS('18 RCC-002 Evidence Ledger'!$E$14:$E$213,$B106,'18 RCC-002 Evidence Ledger'!$T$14:$T$213,"&lt;&gt;Closed — No Action",'18 RCC-002 Evidence Ledger'!$T$14:$T$213,"&lt;&gt;Closed — Incorporated"))</x:f>
      </x:c>
      <x:c r="T106" s="1248"/>
      <x:c r="U106" s="1249"/>
      <x:c r="V106" s="1242"/>
      <x:c r="W106" s="1248"/>
      <x:c r="X106" s="1244" t="str">
        <x:f>IF($B106="","",IF($D106="Certified Portfolio Holding","CERTIFIED HOLDING",IF(OR($A106="",$D106="",$E106="",$F106="",$G106="",$H106="",$I106=""),"NOT ASSESSED",IF(OR($K106="",$L106&lt;&gt;"Active",$M106="OVERDUE",$M106="MATERIAL EVENT REVIEW",$N106="",$O106="",$W106=""),"NOT ELIGIBLE",IF(OR(AND($F106="Zacks Election",OR($T106="",$T106&lt;50)),OR($U106=4,$U106=5),$V106="No Rating",$V106="Restricted / Unavailable"),"ELIGIBLE WITH EXCEPTION","ELIGIBLE")))))</x:f>
      </x:c>
      <x:c r="Y106" s="1244" t="str">
        <x:f>IF($B106="","",IF($A106="","Canonical MASR ID required",IF(AND($D106&lt;&gt;"Certified Portfolio Holding",OR($K106="",$L106&lt;&gt;"Active",$M106&lt;&gt;"CURRENT",$N106="",$O106="",$W106="")),"Complete MIAR / scoring / empirical eligibility",IF(AND($F106="Zacks Election",OR($T106="",$T106&lt;50)),"Sub-$50B Zacks election exception",IF(OR($U106=4,$U106=5),"Zacks #4/#5 exception review",IF($V106="No Rating","Merrill No Rating exception",IF($V106="Restricted / Unavailable","Merrill restricted / unavailable exception","None")))))))</x:f>
      </x:c>
      <x:c r="Z106" s="1250" t="str">
        <x:f>IF($B106="","",COUNTIF('24 RCC-004 Candidate Pipeline'!$C$14:$C$213,$B106))</x:f>
      </x:c>
      <x:c r="AA106" s="1244" t="str">
        <x:f>IF($B106="","",IFERROR(INDEX('24 RCC-004 Candidate Pipeline'!$Y$14:$Y$213,MATCH($B106,'24 RCC-004 Candidate Pipeline'!$C$14:$C$213,0)),""))</x:f>
      </x:c>
      <x:c r="AB106" s="1242"/>
      <x:c r="AC106" s="1244" t="str">
        <x:f>IF($B106="","",IF(COUNTIFS('24 RCC-004 Candidate Pipeline'!$C$14:$C$213,$B106,'24 RCC-004 Candidate Pipeline'!$AF$14:$AF$213,"Yes — Refer to PEW-004")&gt;0,"REFERRED — PEW-004",IF($Z106&gt;0,"CANDIDATE RECORD ACTIVE","NO ACTIVE CANDIDATE")))</x:f>
      </x:c>
      <x:c r="AD106" s="1244" t="str">
        <x:f>IF($B106="","",IF($A106="","SETUP REQUIRED",IF(COUNTIF($A$14:$A$163,$A106)&gt;1,"DUPLICATE MASR ID",IF(COUNTIF($B$14:$B$163,$B106)&gt;1,"DUPLICATE TICKER",IF(OR($D106="",$E106="",$F106="",$G106="",$H106="",$I106=""),"INCOMPLETE",IF(OR($K106="",$L106=""),"MIAR SETUP REQUIRED",IF($X106="NOT ELIGIBLE","NOT ELIGIBLE",IF($Y106&lt;&gt;"None","EXCEPTION REVIEW",IF(AND($D106&lt;&gt;"Certified Portfolio Holding",OR($E106="Active — Approved Non-Holding",$E106="Conditional",$E106="Candidate — Committee Review"),OR($AB106="",$AB106="Pending")),"COMMITTEE DISPOSITION REQUIRED",IF(AND(OR($E106="Active — Approved Non-Holding",$E106="Conditional"),OR($AG106="",$AH106="")),"CERTIFICATION REQUIRED",IF(OR($E106="Rejected",$E106="Removed",$E106="Archived"),"INACTIVE / CLOSED","CONTROL CLEAR")))))))))))</x:f>
      </x:c>
      <x:c r="AE106" s="1244" t="str">
        <x:f>IF($AD106="","",IFERROR(INDEX('97 RCC Lists'!$AK$5:$AK$15,MATCH($AD106,'97 RCC Lists'!$AJ$5:$AJ$15,0)),"Review exception"))</x:f>
      </x:c>
      <x:c r="AF106" s="1251"/>
      <x:c r="AG106" s="1242"/>
      <x:c r="AH106" s="1251"/>
      <x:c r="AI106" s="1242"/>
    </x:row>
    <x:row r="107" ht="32" customHeight="1">
      <x:c r="A107" s="1242"/>
      <x:c r="B107" s="1242"/>
      <x:c r="C107" s="1242"/>
      <x:c r="D107" s="1242"/>
      <x:c r="E107" s="1242"/>
      <x:c r="F107" s="1242"/>
      <x:c r="G107" s="1242"/>
      <x:c r="H107" s="1242"/>
      <x:c r="I107" s="1242"/>
      <x:c r="J107" s="1258" t="str">
        <x:f>IF($B107="","",IFERROR(INDEX('Certified Allocation'!$F$5:$F$51,MATCH($B107,'Certified Allocation'!$B$5:$B$51,0)),""))</x:f>
      </x:c>
      <x:c r="K107" s="1252" t="str">
        <x:f>IF($B107="","",IFERROR(INDEX('20 RCC-003 MIAR Registry'!$A$14:$A$60,MATCH($B107,'20 RCC-003 MIAR Registry'!$B$14:$B$60,0)),""))</x:f>
      </x:c>
      <x:c r="L107" s="1252" t="str">
        <x:f>IF($B107="","",IFERROR(INDEX('20 RCC-003 MIAR Registry'!$M$14:$M$60,MATCH($B107,'20 RCC-003 MIAR Registry'!$B$14:$B$60,0)),""))</x:f>
      </x:c>
      <x:c r="M107" s="1252" t="str">
        <x:f>IF($B107="","",IFERROR(INDEX('20 RCC-003 MIAR Registry'!$Z$14:$Z$60,MATCH($B107,'20 RCC-003 MIAR Registry'!$B$14:$B$60,0)),""))</x:f>
      </x:c>
      <x:c r="N107" s="1255" t="str">
        <x:f>IF($B107="","",IFERROR(INDEX('20 RCC-003 MIAR Registry'!$K$14:$K$60,MATCH($B107,'20 RCC-003 MIAR Registry'!$B$14:$B$60,0)),""))</x:f>
      </x:c>
      <x:c r="O107" s="1255" t="str">
        <x:f>IF($B107="","",IFERROR(INDEX('20 RCC-003 MIAR Registry'!$L$14:$L$60,MATCH($B107,'20 RCC-003 MIAR Registry'!$B$14:$B$60,0)),""))</x:f>
      </x:c>
      <x:c r="P107" s="1252" t="str">
        <x:f>IF($B107="","",IFERROR(INDEX('20 RCC-003 MIAR Registry'!$I$14:$I$60,MATCH($B107,'20 RCC-003 MIAR Registry'!$B$14:$B$60,0)),""))</x:f>
      </x:c>
      <x:c r="Q107" s="1252" t="str">
        <x:f>IF($B107="","",IFERROR(INDEX('20 RCC-003 MIAR Registry'!$J$14:$J$60,MATCH($B107,'20 RCC-003 MIAR Registry'!$B$14:$B$60,0)),""))</x:f>
      </x:c>
      <x:c r="R107" s="1256" t="str">
        <x:f>IF($B107="","",COUNTIF('18 RCC-002 Evidence Ledger'!$E$14:$E$213,$B107))</x:f>
      </x:c>
      <x:c r="S107" s="1256" t="str">
        <x:f>IF($B107="","",COUNTIFS('18 RCC-002 Evidence Ledger'!$E$14:$E$213,$B107,'18 RCC-002 Evidence Ledger'!$T$14:$T$213,"&lt;&gt;Closed — No Action",'18 RCC-002 Evidence Ledger'!$T$14:$T$213,"&lt;&gt;Closed — Incorporated"))</x:f>
      </x:c>
      <x:c r="T107" s="1248"/>
      <x:c r="U107" s="1249"/>
      <x:c r="V107" s="1242"/>
      <x:c r="W107" s="1248"/>
      <x:c r="X107" s="1253" t="str">
        <x:f>IF($B107="","",IF($D107="Certified Portfolio Holding","CERTIFIED HOLDING",IF(OR($A107="",$D107="",$E107="",$F107="",$G107="",$H107="",$I107=""),"NOT ASSESSED",IF(OR($K107="",$L107&lt;&gt;"Active",$M107="OVERDUE",$M107="MATERIAL EVENT REVIEW",$N107="",$O107="",$W107=""),"NOT ELIGIBLE",IF(OR(AND($F107="Zacks Election",OR($T107="",$T107&lt;50)),OR($U107=4,$U107=5),$V107="No Rating",$V107="Restricted / Unavailable"),"ELIGIBLE WITH EXCEPTION","ELIGIBLE")))))</x:f>
      </x:c>
      <x:c r="Y107" s="1253" t="str">
        <x:f>IF($B107="","",IF($A107="","Canonical MASR ID required",IF(AND($D107&lt;&gt;"Certified Portfolio Holding",OR($K107="",$L107&lt;&gt;"Active",$M107&lt;&gt;"CURRENT",$N107="",$O107="",$W107="")),"Complete MIAR / scoring / empirical eligibility",IF(AND($F107="Zacks Election",OR($T107="",$T107&lt;50)),"Sub-$50B Zacks election exception",IF(OR($U107=4,$U107=5),"Zacks #4/#5 exception review",IF($V107="No Rating","Merrill No Rating exception",IF($V107="Restricted / Unavailable","Merrill restricted / unavailable exception","None")))))))</x:f>
      </x:c>
      <x:c r="Z107" s="1257" t="str">
        <x:f>IF($B107="","",COUNTIF('24 RCC-004 Candidate Pipeline'!$C$14:$C$213,$B107))</x:f>
      </x:c>
      <x:c r="AA107" s="1253" t="str">
        <x:f>IF($B107="","",IFERROR(INDEX('24 RCC-004 Candidate Pipeline'!$Y$14:$Y$213,MATCH($B107,'24 RCC-004 Candidate Pipeline'!$C$14:$C$213,0)),""))</x:f>
      </x:c>
      <x:c r="AB107" s="1242"/>
      <x:c r="AC107" s="1253" t="str">
        <x:f>IF($B107="","",IF(COUNTIFS('24 RCC-004 Candidate Pipeline'!$C$14:$C$213,$B107,'24 RCC-004 Candidate Pipeline'!$AF$14:$AF$213,"Yes — Refer to PEW-004")&gt;0,"REFERRED — PEW-004",IF($Z107&gt;0,"CANDIDATE RECORD ACTIVE","NO ACTIVE CANDIDATE")))</x:f>
      </x:c>
      <x:c r="AD107" s="1253" t="str">
        <x:f>IF($B107="","",IF($A107="","SETUP REQUIRED",IF(COUNTIF($A$14:$A$163,$A107)&gt;1,"DUPLICATE MASR ID",IF(COUNTIF($B$14:$B$163,$B107)&gt;1,"DUPLICATE TICKER",IF(OR($D107="",$E107="",$F107="",$G107="",$H107="",$I107=""),"INCOMPLETE",IF(OR($K107="",$L107=""),"MIAR SETUP REQUIRED",IF($X107="NOT ELIGIBLE","NOT ELIGIBLE",IF($Y107&lt;&gt;"None","EXCEPTION REVIEW",IF(AND($D107&lt;&gt;"Certified Portfolio Holding",OR($E107="Active — Approved Non-Holding",$E107="Conditional",$E107="Candidate — Committee Review"),OR($AB107="",$AB107="Pending")),"COMMITTEE DISPOSITION REQUIRED",IF(AND(OR($E107="Active — Approved Non-Holding",$E107="Conditional"),OR($AG107="",$AH107="")),"CERTIFICATION REQUIRED",IF(OR($E107="Rejected",$E107="Removed",$E107="Archived"),"INACTIVE / CLOSED","CONTROL CLEAR")))))))))))</x:f>
      </x:c>
      <x:c r="AE107" s="1253" t="str">
        <x:f>IF($AD107="","",IFERROR(INDEX('97 RCC Lists'!$AK$5:$AK$15,MATCH($AD107,'97 RCC Lists'!$AJ$5:$AJ$15,0)),"Review exception"))</x:f>
      </x:c>
      <x:c r="AF107" s="1251"/>
      <x:c r="AG107" s="1242"/>
      <x:c r="AH107" s="1251"/>
      <x:c r="AI107" s="1242"/>
    </x:row>
    <x:row r="108" ht="32" customHeight="1">
      <x:c r="A108" s="1242"/>
      <x:c r="B108" s="1242"/>
      <x:c r="C108" s="1242"/>
      <x:c r="D108" s="1242"/>
      <x:c r="E108" s="1242"/>
      <x:c r="F108" s="1242"/>
      <x:c r="G108" s="1242"/>
      <x:c r="H108" s="1242"/>
      <x:c r="I108" s="1242"/>
      <x:c r="J108" s="1259" t="str">
        <x:f>IF($B108="","",IFERROR(INDEX('Certified Allocation'!$F$5:$F$51,MATCH($B108,'Certified Allocation'!$B$5:$B$51,0)),""))</x:f>
      </x:c>
      <x:c r="K108" s="1243" t="str">
        <x:f>IF($B108="","",IFERROR(INDEX('20 RCC-003 MIAR Registry'!$A$14:$A$60,MATCH($B108,'20 RCC-003 MIAR Registry'!$B$14:$B$60,0)),""))</x:f>
      </x:c>
      <x:c r="L108" s="1243" t="str">
        <x:f>IF($B108="","",IFERROR(INDEX('20 RCC-003 MIAR Registry'!$M$14:$M$60,MATCH($B108,'20 RCC-003 MIAR Registry'!$B$14:$B$60,0)),""))</x:f>
      </x:c>
      <x:c r="M108" s="1243" t="str">
        <x:f>IF($B108="","",IFERROR(INDEX('20 RCC-003 MIAR Registry'!$Z$14:$Z$60,MATCH($B108,'20 RCC-003 MIAR Registry'!$B$14:$B$60,0)),""))</x:f>
      </x:c>
      <x:c r="N108" s="1246" t="str">
        <x:f>IF($B108="","",IFERROR(INDEX('20 RCC-003 MIAR Registry'!$K$14:$K$60,MATCH($B108,'20 RCC-003 MIAR Registry'!$B$14:$B$60,0)),""))</x:f>
      </x:c>
      <x:c r="O108" s="1246" t="str">
        <x:f>IF($B108="","",IFERROR(INDEX('20 RCC-003 MIAR Registry'!$L$14:$L$60,MATCH($B108,'20 RCC-003 MIAR Registry'!$B$14:$B$60,0)),""))</x:f>
      </x:c>
      <x:c r="P108" s="1243" t="str">
        <x:f>IF($B108="","",IFERROR(INDEX('20 RCC-003 MIAR Registry'!$I$14:$I$60,MATCH($B108,'20 RCC-003 MIAR Registry'!$B$14:$B$60,0)),""))</x:f>
      </x:c>
      <x:c r="Q108" s="1243" t="str">
        <x:f>IF($B108="","",IFERROR(INDEX('20 RCC-003 MIAR Registry'!$J$14:$J$60,MATCH($B108,'20 RCC-003 MIAR Registry'!$B$14:$B$60,0)),""))</x:f>
      </x:c>
      <x:c r="R108" s="1247" t="str">
        <x:f>IF($B108="","",COUNTIF('18 RCC-002 Evidence Ledger'!$E$14:$E$213,$B108))</x:f>
      </x:c>
      <x:c r="S108" s="1247" t="str">
        <x:f>IF($B108="","",COUNTIFS('18 RCC-002 Evidence Ledger'!$E$14:$E$213,$B108,'18 RCC-002 Evidence Ledger'!$T$14:$T$213,"&lt;&gt;Closed — No Action",'18 RCC-002 Evidence Ledger'!$T$14:$T$213,"&lt;&gt;Closed — Incorporated"))</x:f>
      </x:c>
      <x:c r="T108" s="1248"/>
      <x:c r="U108" s="1249"/>
      <x:c r="V108" s="1242"/>
      <x:c r="W108" s="1248"/>
      <x:c r="X108" s="1244" t="str">
        <x:f>IF($B108="","",IF($D108="Certified Portfolio Holding","CERTIFIED HOLDING",IF(OR($A108="",$D108="",$E108="",$F108="",$G108="",$H108="",$I108=""),"NOT ASSESSED",IF(OR($K108="",$L108&lt;&gt;"Active",$M108="OVERDUE",$M108="MATERIAL EVENT REVIEW",$N108="",$O108="",$W108=""),"NOT ELIGIBLE",IF(OR(AND($F108="Zacks Election",OR($T108="",$T108&lt;50)),OR($U108=4,$U108=5),$V108="No Rating",$V108="Restricted / Unavailable"),"ELIGIBLE WITH EXCEPTION","ELIGIBLE")))))</x:f>
      </x:c>
      <x:c r="Y108" s="1244" t="str">
        <x:f>IF($B108="","",IF($A108="","Canonical MASR ID required",IF(AND($D108&lt;&gt;"Certified Portfolio Holding",OR($K108="",$L108&lt;&gt;"Active",$M108&lt;&gt;"CURRENT",$N108="",$O108="",$W108="")),"Complete MIAR / scoring / empirical eligibility",IF(AND($F108="Zacks Election",OR($T108="",$T108&lt;50)),"Sub-$50B Zacks election exception",IF(OR($U108=4,$U108=5),"Zacks #4/#5 exception review",IF($V108="No Rating","Merrill No Rating exception",IF($V108="Restricted / Unavailable","Merrill restricted / unavailable exception","None")))))))</x:f>
      </x:c>
      <x:c r="Z108" s="1250" t="str">
        <x:f>IF($B108="","",COUNTIF('24 RCC-004 Candidate Pipeline'!$C$14:$C$213,$B108))</x:f>
      </x:c>
      <x:c r="AA108" s="1244" t="str">
        <x:f>IF($B108="","",IFERROR(INDEX('24 RCC-004 Candidate Pipeline'!$Y$14:$Y$213,MATCH($B108,'24 RCC-004 Candidate Pipeline'!$C$14:$C$213,0)),""))</x:f>
      </x:c>
      <x:c r="AB108" s="1242"/>
      <x:c r="AC108" s="1244" t="str">
        <x:f>IF($B108="","",IF(COUNTIFS('24 RCC-004 Candidate Pipeline'!$C$14:$C$213,$B108,'24 RCC-004 Candidate Pipeline'!$AF$14:$AF$213,"Yes — Refer to PEW-004")&gt;0,"REFERRED — PEW-004",IF($Z108&gt;0,"CANDIDATE RECORD ACTIVE","NO ACTIVE CANDIDATE")))</x:f>
      </x:c>
      <x:c r="AD108" s="1244" t="str">
        <x:f>IF($B108="","",IF($A108="","SETUP REQUIRED",IF(COUNTIF($A$14:$A$163,$A108)&gt;1,"DUPLICATE MASR ID",IF(COUNTIF($B$14:$B$163,$B108)&gt;1,"DUPLICATE TICKER",IF(OR($D108="",$E108="",$F108="",$G108="",$H108="",$I108=""),"INCOMPLETE",IF(OR($K108="",$L108=""),"MIAR SETUP REQUIRED",IF($X108="NOT ELIGIBLE","NOT ELIGIBLE",IF($Y108&lt;&gt;"None","EXCEPTION REVIEW",IF(AND($D108&lt;&gt;"Certified Portfolio Holding",OR($E108="Active — Approved Non-Holding",$E108="Conditional",$E108="Candidate — Committee Review"),OR($AB108="",$AB108="Pending")),"COMMITTEE DISPOSITION REQUIRED",IF(AND(OR($E108="Active — Approved Non-Holding",$E108="Conditional"),OR($AG108="",$AH108="")),"CERTIFICATION REQUIRED",IF(OR($E108="Rejected",$E108="Removed",$E108="Archived"),"INACTIVE / CLOSED","CONTROL CLEAR")))))))))))</x:f>
      </x:c>
      <x:c r="AE108" s="1244" t="str">
        <x:f>IF($AD108="","",IFERROR(INDEX('97 RCC Lists'!$AK$5:$AK$15,MATCH($AD108,'97 RCC Lists'!$AJ$5:$AJ$15,0)),"Review exception"))</x:f>
      </x:c>
      <x:c r="AF108" s="1251"/>
      <x:c r="AG108" s="1242"/>
      <x:c r="AH108" s="1251"/>
      <x:c r="AI108" s="1242"/>
    </x:row>
    <x:row r="109" ht="32" customHeight="1">
      <x:c r="A109" s="1242"/>
      <x:c r="B109" s="1242"/>
      <x:c r="C109" s="1242"/>
      <x:c r="D109" s="1242"/>
      <x:c r="E109" s="1242"/>
      <x:c r="F109" s="1242"/>
      <x:c r="G109" s="1242"/>
      <x:c r="H109" s="1242"/>
      <x:c r="I109" s="1242"/>
      <x:c r="J109" s="1258" t="str">
        <x:f>IF($B109="","",IFERROR(INDEX('Certified Allocation'!$F$5:$F$51,MATCH($B109,'Certified Allocation'!$B$5:$B$51,0)),""))</x:f>
      </x:c>
      <x:c r="K109" s="1252" t="str">
        <x:f>IF($B109="","",IFERROR(INDEX('20 RCC-003 MIAR Registry'!$A$14:$A$60,MATCH($B109,'20 RCC-003 MIAR Registry'!$B$14:$B$60,0)),""))</x:f>
      </x:c>
      <x:c r="L109" s="1252" t="str">
        <x:f>IF($B109="","",IFERROR(INDEX('20 RCC-003 MIAR Registry'!$M$14:$M$60,MATCH($B109,'20 RCC-003 MIAR Registry'!$B$14:$B$60,0)),""))</x:f>
      </x:c>
      <x:c r="M109" s="1252" t="str">
        <x:f>IF($B109="","",IFERROR(INDEX('20 RCC-003 MIAR Registry'!$Z$14:$Z$60,MATCH($B109,'20 RCC-003 MIAR Registry'!$B$14:$B$60,0)),""))</x:f>
      </x:c>
      <x:c r="N109" s="1255" t="str">
        <x:f>IF($B109="","",IFERROR(INDEX('20 RCC-003 MIAR Registry'!$K$14:$K$60,MATCH($B109,'20 RCC-003 MIAR Registry'!$B$14:$B$60,0)),""))</x:f>
      </x:c>
      <x:c r="O109" s="1255" t="str">
        <x:f>IF($B109="","",IFERROR(INDEX('20 RCC-003 MIAR Registry'!$L$14:$L$60,MATCH($B109,'20 RCC-003 MIAR Registry'!$B$14:$B$60,0)),""))</x:f>
      </x:c>
      <x:c r="P109" s="1252" t="str">
        <x:f>IF($B109="","",IFERROR(INDEX('20 RCC-003 MIAR Registry'!$I$14:$I$60,MATCH($B109,'20 RCC-003 MIAR Registry'!$B$14:$B$60,0)),""))</x:f>
      </x:c>
      <x:c r="Q109" s="1252" t="str">
        <x:f>IF($B109="","",IFERROR(INDEX('20 RCC-003 MIAR Registry'!$J$14:$J$60,MATCH($B109,'20 RCC-003 MIAR Registry'!$B$14:$B$60,0)),""))</x:f>
      </x:c>
      <x:c r="R109" s="1256" t="str">
        <x:f>IF($B109="","",COUNTIF('18 RCC-002 Evidence Ledger'!$E$14:$E$213,$B109))</x:f>
      </x:c>
      <x:c r="S109" s="1256" t="str">
        <x:f>IF($B109="","",COUNTIFS('18 RCC-002 Evidence Ledger'!$E$14:$E$213,$B109,'18 RCC-002 Evidence Ledger'!$T$14:$T$213,"&lt;&gt;Closed — No Action",'18 RCC-002 Evidence Ledger'!$T$14:$T$213,"&lt;&gt;Closed — Incorporated"))</x:f>
      </x:c>
      <x:c r="T109" s="1248"/>
      <x:c r="U109" s="1249"/>
      <x:c r="V109" s="1242"/>
      <x:c r="W109" s="1248"/>
      <x:c r="X109" s="1253" t="str">
        <x:f>IF($B109="","",IF($D109="Certified Portfolio Holding","CERTIFIED HOLDING",IF(OR($A109="",$D109="",$E109="",$F109="",$G109="",$H109="",$I109=""),"NOT ASSESSED",IF(OR($K109="",$L109&lt;&gt;"Active",$M109="OVERDUE",$M109="MATERIAL EVENT REVIEW",$N109="",$O109="",$W109=""),"NOT ELIGIBLE",IF(OR(AND($F109="Zacks Election",OR($T109="",$T109&lt;50)),OR($U109=4,$U109=5),$V109="No Rating",$V109="Restricted / Unavailable"),"ELIGIBLE WITH EXCEPTION","ELIGIBLE")))))</x:f>
      </x:c>
      <x:c r="Y109" s="1253" t="str">
        <x:f>IF($B109="","",IF($A109="","Canonical MASR ID required",IF(AND($D109&lt;&gt;"Certified Portfolio Holding",OR($K109="",$L109&lt;&gt;"Active",$M109&lt;&gt;"CURRENT",$N109="",$O109="",$W109="")),"Complete MIAR / scoring / empirical eligibility",IF(AND($F109="Zacks Election",OR($T109="",$T109&lt;50)),"Sub-$50B Zacks election exception",IF(OR($U109=4,$U109=5),"Zacks #4/#5 exception review",IF($V109="No Rating","Merrill No Rating exception",IF($V109="Restricted / Unavailable","Merrill restricted / unavailable exception","None")))))))</x:f>
      </x:c>
      <x:c r="Z109" s="1257" t="str">
        <x:f>IF($B109="","",COUNTIF('24 RCC-004 Candidate Pipeline'!$C$14:$C$213,$B109))</x:f>
      </x:c>
      <x:c r="AA109" s="1253" t="str">
        <x:f>IF($B109="","",IFERROR(INDEX('24 RCC-004 Candidate Pipeline'!$Y$14:$Y$213,MATCH($B109,'24 RCC-004 Candidate Pipeline'!$C$14:$C$213,0)),""))</x:f>
      </x:c>
      <x:c r="AB109" s="1242"/>
      <x:c r="AC109" s="1253" t="str">
        <x:f>IF($B109="","",IF(COUNTIFS('24 RCC-004 Candidate Pipeline'!$C$14:$C$213,$B109,'24 RCC-004 Candidate Pipeline'!$AF$14:$AF$213,"Yes — Refer to PEW-004")&gt;0,"REFERRED — PEW-004",IF($Z109&gt;0,"CANDIDATE RECORD ACTIVE","NO ACTIVE CANDIDATE")))</x:f>
      </x:c>
      <x:c r="AD109" s="1253" t="str">
        <x:f>IF($B109="","",IF($A109="","SETUP REQUIRED",IF(COUNTIF($A$14:$A$163,$A109)&gt;1,"DUPLICATE MASR ID",IF(COUNTIF($B$14:$B$163,$B109)&gt;1,"DUPLICATE TICKER",IF(OR($D109="",$E109="",$F109="",$G109="",$H109="",$I109=""),"INCOMPLETE",IF(OR($K109="",$L109=""),"MIAR SETUP REQUIRED",IF($X109="NOT ELIGIBLE","NOT ELIGIBLE",IF($Y109&lt;&gt;"None","EXCEPTION REVIEW",IF(AND($D109&lt;&gt;"Certified Portfolio Holding",OR($E109="Active — Approved Non-Holding",$E109="Conditional",$E109="Candidate — Committee Review"),OR($AB109="",$AB109="Pending")),"COMMITTEE DISPOSITION REQUIRED",IF(AND(OR($E109="Active — Approved Non-Holding",$E109="Conditional"),OR($AG109="",$AH109="")),"CERTIFICATION REQUIRED",IF(OR($E109="Rejected",$E109="Removed",$E109="Archived"),"INACTIVE / CLOSED","CONTROL CLEAR")))))))))))</x:f>
      </x:c>
      <x:c r="AE109" s="1253" t="str">
        <x:f>IF($AD109="","",IFERROR(INDEX('97 RCC Lists'!$AK$5:$AK$15,MATCH($AD109,'97 RCC Lists'!$AJ$5:$AJ$15,0)),"Review exception"))</x:f>
      </x:c>
      <x:c r="AF109" s="1251"/>
      <x:c r="AG109" s="1242"/>
      <x:c r="AH109" s="1251"/>
      <x:c r="AI109" s="1242"/>
    </x:row>
    <x:row r="110" ht="32" customHeight="1">
      <x:c r="A110" s="1242"/>
      <x:c r="B110" s="1242"/>
      <x:c r="C110" s="1242"/>
      <x:c r="D110" s="1242"/>
      <x:c r="E110" s="1242"/>
      <x:c r="F110" s="1242"/>
      <x:c r="G110" s="1242"/>
      <x:c r="H110" s="1242"/>
      <x:c r="I110" s="1242"/>
      <x:c r="J110" s="1259" t="str">
        <x:f>IF($B110="","",IFERROR(INDEX('Certified Allocation'!$F$5:$F$51,MATCH($B110,'Certified Allocation'!$B$5:$B$51,0)),""))</x:f>
      </x:c>
      <x:c r="K110" s="1243" t="str">
        <x:f>IF($B110="","",IFERROR(INDEX('20 RCC-003 MIAR Registry'!$A$14:$A$60,MATCH($B110,'20 RCC-003 MIAR Registry'!$B$14:$B$60,0)),""))</x:f>
      </x:c>
      <x:c r="L110" s="1243" t="str">
        <x:f>IF($B110="","",IFERROR(INDEX('20 RCC-003 MIAR Registry'!$M$14:$M$60,MATCH($B110,'20 RCC-003 MIAR Registry'!$B$14:$B$60,0)),""))</x:f>
      </x:c>
      <x:c r="M110" s="1243" t="str">
        <x:f>IF($B110="","",IFERROR(INDEX('20 RCC-003 MIAR Registry'!$Z$14:$Z$60,MATCH($B110,'20 RCC-003 MIAR Registry'!$B$14:$B$60,0)),""))</x:f>
      </x:c>
      <x:c r="N110" s="1246" t="str">
        <x:f>IF($B110="","",IFERROR(INDEX('20 RCC-003 MIAR Registry'!$K$14:$K$60,MATCH($B110,'20 RCC-003 MIAR Registry'!$B$14:$B$60,0)),""))</x:f>
      </x:c>
      <x:c r="O110" s="1246" t="str">
        <x:f>IF($B110="","",IFERROR(INDEX('20 RCC-003 MIAR Registry'!$L$14:$L$60,MATCH($B110,'20 RCC-003 MIAR Registry'!$B$14:$B$60,0)),""))</x:f>
      </x:c>
      <x:c r="P110" s="1243" t="str">
        <x:f>IF($B110="","",IFERROR(INDEX('20 RCC-003 MIAR Registry'!$I$14:$I$60,MATCH($B110,'20 RCC-003 MIAR Registry'!$B$14:$B$60,0)),""))</x:f>
      </x:c>
      <x:c r="Q110" s="1243" t="str">
        <x:f>IF($B110="","",IFERROR(INDEX('20 RCC-003 MIAR Registry'!$J$14:$J$60,MATCH($B110,'20 RCC-003 MIAR Registry'!$B$14:$B$60,0)),""))</x:f>
      </x:c>
      <x:c r="R110" s="1247" t="str">
        <x:f>IF($B110="","",COUNTIF('18 RCC-002 Evidence Ledger'!$E$14:$E$213,$B110))</x:f>
      </x:c>
      <x:c r="S110" s="1247" t="str">
        <x:f>IF($B110="","",COUNTIFS('18 RCC-002 Evidence Ledger'!$E$14:$E$213,$B110,'18 RCC-002 Evidence Ledger'!$T$14:$T$213,"&lt;&gt;Closed — No Action",'18 RCC-002 Evidence Ledger'!$T$14:$T$213,"&lt;&gt;Closed — Incorporated"))</x:f>
      </x:c>
      <x:c r="T110" s="1248"/>
      <x:c r="U110" s="1249"/>
      <x:c r="V110" s="1242"/>
      <x:c r="W110" s="1248"/>
      <x:c r="X110" s="1244" t="str">
        <x:f>IF($B110="","",IF($D110="Certified Portfolio Holding","CERTIFIED HOLDING",IF(OR($A110="",$D110="",$E110="",$F110="",$G110="",$H110="",$I110=""),"NOT ASSESSED",IF(OR($K110="",$L110&lt;&gt;"Active",$M110="OVERDUE",$M110="MATERIAL EVENT REVIEW",$N110="",$O110="",$W110=""),"NOT ELIGIBLE",IF(OR(AND($F110="Zacks Election",OR($T110="",$T110&lt;50)),OR($U110=4,$U110=5),$V110="No Rating",$V110="Restricted / Unavailable"),"ELIGIBLE WITH EXCEPTION","ELIGIBLE")))))</x:f>
      </x:c>
      <x:c r="Y110" s="1244" t="str">
        <x:f>IF($B110="","",IF($A110="","Canonical MASR ID required",IF(AND($D110&lt;&gt;"Certified Portfolio Holding",OR($K110="",$L110&lt;&gt;"Active",$M110&lt;&gt;"CURRENT",$N110="",$O110="",$W110="")),"Complete MIAR / scoring / empirical eligibility",IF(AND($F110="Zacks Election",OR($T110="",$T110&lt;50)),"Sub-$50B Zacks election exception",IF(OR($U110=4,$U110=5),"Zacks #4/#5 exception review",IF($V110="No Rating","Merrill No Rating exception",IF($V110="Restricted / Unavailable","Merrill restricted / unavailable exception","None")))))))</x:f>
      </x:c>
      <x:c r="Z110" s="1250" t="str">
        <x:f>IF($B110="","",COUNTIF('24 RCC-004 Candidate Pipeline'!$C$14:$C$213,$B110))</x:f>
      </x:c>
      <x:c r="AA110" s="1244" t="str">
        <x:f>IF($B110="","",IFERROR(INDEX('24 RCC-004 Candidate Pipeline'!$Y$14:$Y$213,MATCH($B110,'24 RCC-004 Candidate Pipeline'!$C$14:$C$213,0)),""))</x:f>
      </x:c>
      <x:c r="AB110" s="1242"/>
      <x:c r="AC110" s="1244" t="str">
        <x:f>IF($B110="","",IF(COUNTIFS('24 RCC-004 Candidate Pipeline'!$C$14:$C$213,$B110,'24 RCC-004 Candidate Pipeline'!$AF$14:$AF$213,"Yes — Refer to PEW-004")&gt;0,"REFERRED — PEW-004",IF($Z110&gt;0,"CANDIDATE RECORD ACTIVE","NO ACTIVE CANDIDATE")))</x:f>
      </x:c>
      <x:c r="AD110" s="1244" t="str">
        <x:f>IF($B110="","",IF($A110="","SETUP REQUIRED",IF(COUNTIF($A$14:$A$163,$A110)&gt;1,"DUPLICATE MASR ID",IF(COUNTIF($B$14:$B$163,$B110)&gt;1,"DUPLICATE TICKER",IF(OR($D110="",$E110="",$F110="",$G110="",$H110="",$I110=""),"INCOMPLETE",IF(OR($K110="",$L110=""),"MIAR SETUP REQUIRED",IF($X110="NOT ELIGIBLE","NOT ELIGIBLE",IF($Y110&lt;&gt;"None","EXCEPTION REVIEW",IF(AND($D110&lt;&gt;"Certified Portfolio Holding",OR($E110="Active — Approved Non-Holding",$E110="Conditional",$E110="Candidate — Committee Review"),OR($AB110="",$AB110="Pending")),"COMMITTEE DISPOSITION REQUIRED",IF(AND(OR($E110="Active — Approved Non-Holding",$E110="Conditional"),OR($AG110="",$AH110="")),"CERTIFICATION REQUIRED",IF(OR($E110="Rejected",$E110="Removed",$E110="Archived"),"INACTIVE / CLOSED","CONTROL CLEAR")))))))))))</x:f>
      </x:c>
      <x:c r="AE110" s="1244" t="str">
        <x:f>IF($AD110="","",IFERROR(INDEX('97 RCC Lists'!$AK$5:$AK$15,MATCH($AD110,'97 RCC Lists'!$AJ$5:$AJ$15,0)),"Review exception"))</x:f>
      </x:c>
      <x:c r="AF110" s="1251"/>
      <x:c r="AG110" s="1242"/>
      <x:c r="AH110" s="1251"/>
      <x:c r="AI110" s="1242"/>
    </x:row>
    <x:row r="111" ht="32" customHeight="1">
      <x:c r="A111" s="1242"/>
      <x:c r="B111" s="1242"/>
      <x:c r="C111" s="1242"/>
      <x:c r="D111" s="1242"/>
      <x:c r="E111" s="1242"/>
      <x:c r="F111" s="1242"/>
      <x:c r="G111" s="1242"/>
      <x:c r="H111" s="1242"/>
      <x:c r="I111" s="1242"/>
      <x:c r="J111" s="1258" t="str">
        <x:f>IF($B111="","",IFERROR(INDEX('Certified Allocation'!$F$5:$F$51,MATCH($B111,'Certified Allocation'!$B$5:$B$51,0)),""))</x:f>
      </x:c>
      <x:c r="K111" s="1252" t="str">
        <x:f>IF($B111="","",IFERROR(INDEX('20 RCC-003 MIAR Registry'!$A$14:$A$60,MATCH($B111,'20 RCC-003 MIAR Registry'!$B$14:$B$60,0)),""))</x:f>
      </x:c>
      <x:c r="L111" s="1252" t="str">
        <x:f>IF($B111="","",IFERROR(INDEX('20 RCC-003 MIAR Registry'!$M$14:$M$60,MATCH($B111,'20 RCC-003 MIAR Registry'!$B$14:$B$60,0)),""))</x:f>
      </x:c>
      <x:c r="M111" s="1252" t="str">
        <x:f>IF($B111="","",IFERROR(INDEX('20 RCC-003 MIAR Registry'!$Z$14:$Z$60,MATCH($B111,'20 RCC-003 MIAR Registry'!$B$14:$B$60,0)),""))</x:f>
      </x:c>
      <x:c r="N111" s="1255" t="str">
        <x:f>IF($B111="","",IFERROR(INDEX('20 RCC-003 MIAR Registry'!$K$14:$K$60,MATCH($B111,'20 RCC-003 MIAR Registry'!$B$14:$B$60,0)),""))</x:f>
      </x:c>
      <x:c r="O111" s="1255" t="str">
        <x:f>IF($B111="","",IFERROR(INDEX('20 RCC-003 MIAR Registry'!$L$14:$L$60,MATCH($B111,'20 RCC-003 MIAR Registry'!$B$14:$B$60,0)),""))</x:f>
      </x:c>
      <x:c r="P111" s="1252" t="str">
        <x:f>IF($B111="","",IFERROR(INDEX('20 RCC-003 MIAR Registry'!$I$14:$I$60,MATCH($B111,'20 RCC-003 MIAR Registry'!$B$14:$B$60,0)),""))</x:f>
      </x:c>
      <x:c r="Q111" s="1252" t="str">
        <x:f>IF($B111="","",IFERROR(INDEX('20 RCC-003 MIAR Registry'!$J$14:$J$60,MATCH($B111,'20 RCC-003 MIAR Registry'!$B$14:$B$60,0)),""))</x:f>
      </x:c>
      <x:c r="R111" s="1256" t="str">
        <x:f>IF($B111="","",COUNTIF('18 RCC-002 Evidence Ledger'!$E$14:$E$213,$B111))</x:f>
      </x:c>
      <x:c r="S111" s="1256" t="str">
        <x:f>IF($B111="","",COUNTIFS('18 RCC-002 Evidence Ledger'!$E$14:$E$213,$B111,'18 RCC-002 Evidence Ledger'!$T$14:$T$213,"&lt;&gt;Closed — No Action",'18 RCC-002 Evidence Ledger'!$T$14:$T$213,"&lt;&gt;Closed — Incorporated"))</x:f>
      </x:c>
      <x:c r="T111" s="1248"/>
      <x:c r="U111" s="1249"/>
      <x:c r="V111" s="1242"/>
      <x:c r="W111" s="1248"/>
      <x:c r="X111" s="1253" t="str">
        <x:f>IF($B111="","",IF($D111="Certified Portfolio Holding","CERTIFIED HOLDING",IF(OR($A111="",$D111="",$E111="",$F111="",$G111="",$H111="",$I111=""),"NOT ASSESSED",IF(OR($K111="",$L111&lt;&gt;"Active",$M111="OVERDUE",$M111="MATERIAL EVENT REVIEW",$N111="",$O111="",$W111=""),"NOT ELIGIBLE",IF(OR(AND($F111="Zacks Election",OR($T111="",$T111&lt;50)),OR($U111=4,$U111=5),$V111="No Rating",$V111="Restricted / Unavailable"),"ELIGIBLE WITH EXCEPTION","ELIGIBLE")))))</x:f>
      </x:c>
      <x:c r="Y111" s="1253" t="str">
        <x:f>IF($B111="","",IF($A111="","Canonical MASR ID required",IF(AND($D111&lt;&gt;"Certified Portfolio Holding",OR($K111="",$L111&lt;&gt;"Active",$M111&lt;&gt;"CURRENT",$N111="",$O111="",$W111="")),"Complete MIAR / scoring / empirical eligibility",IF(AND($F111="Zacks Election",OR($T111="",$T111&lt;50)),"Sub-$50B Zacks election exception",IF(OR($U111=4,$U111=5),"Zacks #4/#5 exception review",IF($V111="No Rating","Merrill No Rating exception",IF($V111="Restricted / Unavailable","Merrill restricted / unavailable exception","None")))))))</x:f>
      </x:c>
      <x:c r="Z111" s="1257" t="str">
        <x:f>IF($B111="","",COUNTIF('24 RCC-004 Candidate Pipeline'!$C$14:$C$213,$B111))</x:f>
      </x:c>
      <x:c r="AA111" s="1253" t="str">
        <x:f>IF($B111="","",IFERROR(INDEX('24 RCC-004 Candidate Pipeline'!$Y$14:$Y$213,MATCH($B111,'24 RCC-004 Candidate Pipeline'!$C$14:$C$213,0)),""))</x:f>
      </x:c>
      <x:c r="AB111" s="1242"/>
      <x:c r="AC111" s="1253" t="str">
        <x:f>IF($B111="","",IF(COUNTIFS('24 RCC-004 Candidate Pipeline'!$C$14:$C$213,$B111,'24 RCC-004 Candidate Pipeline'!$AF$14:$AF$213,"Yes — Refer to PEW-004")&gt;0,"REFERRED — PEW-004",IF($Z111&gt;0,"CANDIDATE RECORD ACTIVE","NO ACTIVE CANDIDATE")))</x:f>
      </x:c>
      <x:c r="AD111" s="1253" t="str">
        <x:f>IF($B111="","",IF($A111="","SETUP REQUIRED",IF(COUNTIF($A$14:$A$163,$A111)&gt;1,"DUPLICATE MASR ID",IF(COUNTIF($B$14:$B$163,$B111)&gt;1,"DUPLICATE TICKER",IF(OR($D111="",$E111="",$F111="",$G111="",$H111="",$I111=""),"INCOMPLETE",IF(OR($K111="",$L111=""),"MIAR SETUP REQUIRED",IF($X111="NOT ELIGIBLE","NOT ELIGIBLE",IF($Y111&lt;&gt;"None","EXCEPTION REVIEW",IF(AND($D111&lt;&gt;"Certified Portfolio Holding",OR($E111="Active — Approved Non-Holding",$E111="Conditional",$E111="Candidate — Committee Review"),OR($AB111="",$AB111="Pending")),"COMMITTEE DISPOSITION REQUIRED",IF(AND(OR($E111="Active — Approved Non-Holding",$E111="Conditional"),OR($AG111="",$AH111="")),"CERTIFICATION REQUIRED",IF(OR($E111="Rejected",$E111="Removed",$E111="Archived"),"INACTIVE / CLOSED","CONTROL CLEAR")))))))))))</x:f>
      </x:c>
      <x:c r="AE111" s="1253" t="str">
        <x:f>IF($AD111="","",IFERROR(INDEX('97 RCC Lists'!$AK$5:$AK$15,MATCH($AD111,'97 RCC Lists'!$AJ$5:$AJ$15,0)),"Review exception"))</x:f>
      </x:c>
      <x:c r="AF111" s="1251"/>
      <x:c r="AG111" s="1242"/>
      <x:c r="AH111" s="1251"/>
      <x:c r="AI111" s="1242"/>
    </x:row>
    <x:row r="112" ht="32" customHeight="1">
      <x:c r="A112" s="1242"/>
      <x:c r="B112" s="1242"/>
      <x:c r="C112" s="1242"/>
      <x:c r="D112" s="1242"/>
      <x:c r="E112" s="1242"/>
      <x:c r="F112" s="1242"/>
      <x:c r="G112" s="1242"/>
      <x:c r="H112" s="1242"/>
      <x:c r="I112" s="1242"/>
      <x:c r="J112" s="1259" t="str">
        <x:f>IF($B112="","",IFERROR(INDEX('Certified Allocation'!$F$5:$F$51,MATCH($B112,'Certified Allocation'!$B$5:$B$51,0)),""))</x:f>
      </x:c>
      <x:c r="K112" s="1243" t="str">
        <x:f>IF($B112="","",IFERROR(INDEX('20 RCC-003 MIAR Registry'!$A$14:$A$60,MATCH($B112,'20 RCC-003 MIAR Registry'!$B$14:$B$60,0)),""))</x:f>
      </x:c>
      <x:c r="L112" s="1243" t="str">
        <x:f>IF($B112="","",IFERROR(INDEX('20 RCC-003 MIAR Registry'!$M$14:$M$60,MATCH($B112,'20 RCC-003 MIAR Registry'!$B$14:$B$60,0)),""))</x:f>
      </x:c>
      <x:c r="M112" s="1243" t="str">
        <x:f>IF($B112="","",IFERROR(INDEX('20 RCC-003 MIAR Registry'!$Z$14:$Z$60,MATCH($B112,'20 RCC-003 MIAR Registry'!$B$14:$B$60,0)),""))</x:f>
      </x:c>
      <x:c r="N112" s="1246" t="str">
        <x:f>IF($B112="","",IFERROR(INDEX('20 RCC-003 MIAR Registry'!$K$14:$K$60,MATCH($B112,'20 RCC-003 MIAR Registry'!$B$14:$B$60,0)),""))</x:f>
      </x:c>
      <x:c r="O112" s="1246" t="str">
        <x:f>IF($B112="","",IFERROR(INDEX('20 RCC-003 MIAR Registry'!$L$14:$L$60,MATCH($B112,'20 RCC-003 MIAR Registry'!$B$14:$B$60,0)),""))</x:f>
      </x:c>
      <x:c r="P112" s="1243" t="str">
        <x:f>IF($B112="","",IFERROR(INDEX('20 RCC-003 MIAR Registry'!$I$14:$I$60,MATCH($B112,'20 RCC-003 MIAR Registry'!$B$14:$B$60,0)),""))</x:f>
      </x:c>
      <x:c r="Q112" s="1243" t="str">
        <x:f>IF($B112="","",IFERROR(INDEX('20 RCC-003 MIAR Registry'!$J$14:$J$60,MATCH($B112,'20 RCC-003 MIAR Registry'!$B$14:$B$60,0)),""))</x:f>
      </x:c>
      <x:c r="R112" s="1247" t="str">
        <x:f>IF($B112="","",COUNTIF('18 RCC-002 Evidence Ledger'!$E$14:$E$213,$B112))</x:f>
      </x:c>
      <x:c r="S112" s="1247" t="str">
        <x:f>IF($B112="","",COUNTIFS('18 RCC-002 Evidence Ledger'!$E$14:$E$213,$B112,'18 RCC-002 Evidence Ledger'!$T$14:$T$213,"&lt;&gt;Closed — No Action",'18 RCC-002 Evidence Ledger'!$T$14:$T$213,"&lt;&gt;Closed — Incorporated"))</x:f>
      </x:c>
      <x:c r="T112" s="1248"/>
      <x:c r="U112" s="1249"/>
      <x:c r="V112" s="1242"/>
      <x:c r="W112" s="1248"/>
      <x:c r="X112" s="1244" t="str">
        <x:f>IF($B112="","",IF($D112="Certified Portfolio Holding","CERTIFIED HOLDING",IF(OR($A112="",$D112="",$E112="",$F112="",$G112="",$H112="",$I112=""),"NOT ASSESSED",IF(OR($K112="",$L112&lt;&gt;"Active",$M112="OVERDUE",$M112="MATERIAL EVENT REVIEW",$N112="",$O112="",$W112=""),"NOT ELIGIBLE",IF(OR(AND($F112="Zacks Election",OR($T112="",$T112&lt;50)),OR($U112=4,$U112=5),$V112="No Rating",$V112="Restricted / Unavailable"),"ELIGIBLE WITH EXCEPTION","ELIGIBLE")))))</x:f>
      </x:c>
      <x:c r="Y112" s="1244" t="str">
        <x:f>IF($B112="","",IF($A112="","Canonical MASR ID required",IF(AND($D112&lt;&gt;"Certified Portfolio Holding",OR($K112="",$L112&lt;&gt;"Active",$M112&lt;&gt;"CURRENT",$N112="",$O112="",$W112="")),"Complete MIAR / scoring / empirical eligibility",IF(AND($F112="Zacks Election",OR($T112="",$T112&lt;50)),"Sub-$50B Zacks election exception",IF(OR($U112=4,$U112=5),"Zacks #4/#5 exception review",IF($V112="No Rating","Merrill No Rating exception",IF($V112="Restricted / Unavailable","Merrill restricted / unavailable exception","None")))))))</x:f>
      </x:c>
      <x:c r="Z112" s="1250" t="str">
        <x:f>IF($B112="","",COUNTIF('24 RCC-004 Candidate Pipeline'!$C$14:$C$213,$B112))</x:f>
      </x:c>
      <x:c r="AA112" s="1244" t="str">
        <x:f>IF($B112="","",IFERROR(INDEX('24 RCC-004 Candidate Pipeline'!$Y$14:$Y$213,MATCH($B112,'24 RCC-004 Candidate Pipeline'!$C$14:$C$213,0)),""))</x:f>
      </x:c>
      <x:c r="AB112" s="1242"/>
      <x:c r="AC112" s="1244" t="str">
        <x:f>IF($B112="","",IF(COUNTIFS('24 RCC-004 Candidate Pipeline'!$C$14:$C$213,$B112,'24 RCC-004 Candidate Pipeline'!$AF$14:$AF$213,"Yes — Refer to PEW-004")&gt;0,"REFERRED — PEW-004",IF($Z112&gt;0,"CANDIDATE RECORD ACTIVE","NO ACTIVE CANDIDATE")))</x:f>
      </x:c>
      <x:c r="AD112" s="1244" t="str">
        <x:f>IF($B112="","",IF($A112="","SETUP REQUIRED",IF(COUNTIF($A$14:$A$163,$A112)&gt;1,"DUPLICATE MASR ID",IF(COUNTIF($B$14:$B$163,$B112)&gt;1,"DUPLICATE TICKER",IF(OR($D112="",$E112="",$F112="",$G112="",$H112="",$I112=""),"INCOMPLETE",IF(OR($K112="",$L112=""),"MIAR SETUP REQUIRED",IF($X112="NOT ELIGIBLE","NOT ELIGIBLE",IF($Y112&lt;&gt;"None","EXCEPTION REVIEW",IF(AND($D112&lt;&gt;"Certified Portfolio Holding",OR($E112="Active — Approved Non-Holding",$E112="Conditional",$E112="Candidate — Committee Review"),OR($AB112="",$AB112="Pending")),"COMMITTEE DISPOSITION REQUIRED",IF(AND(OR($E112="Active — Approved Non-Holding",$E112="Conditional"),OR($AG112="",$AH112="")),"CERTIFICATION REQUIRED",IF(OR($E112="Rejected",$E112="Removed",$E112="Archived"),"INACTIVE / CLOSED","CONTROL CLEAR")))))))))))</x:f>
      </x:c>
      <x:c r="AE112" s="1244" t="str">
        <x:f>IF($AD112="","",IFERROR(INDEX('97 RCC Lists'!$AK$5:$AK$15,MATCH($AD112,'97 RCC Lists'!$AJ$5:$AJ$15,0)),"Review exception"))</x:f>
      </x:c>
      <x:c r="AF112" s="1251"/>
      <x:c r="AG112" s="1242"/>
      <x:c r="AH112" s="1251"/>
      <x:c r="AI112" s="1242"/>
    </x:row>
    <x:row r="113" ht="32" customHeight="1">
      <x:c r="A113" s="1242"/>
      <x:c r="B113" s="1242"/>
      <x:c r="C113" s="1242"/>
      <x:c r="D113" s="1242"/>
      <x:c r="E113" s="1242"/>
      <x:c r="F113" s="1242"/>
      <x:c r="G113" s="1242"/>
      <x:c r="H113" s="1242"/>
      <x:c r="I113" s="1242"/>
      <x:c r="J113" s="1258" t="str">
        <x:f>IF($B113="","",IFERROR(INDEX('Certified Allocation'!$F$5:$F$51,MATCH($B113,'Certified Allocation'!$B$5:$B$51,0)),""))</x:f>
      </x:c>
      <x:c r="K113" s="1252" t="str">
        <x:f>IF($B113="","",IFERROR(INDEX('20 RCC-003 MIAR Registry'!$A$14:$A$60,MATCH($B113,'20 RCC-003 MIAR Registry'!$B$14:$B$60,0)),""))</x:f>
      </x:c>
      <x:c r="L113" s="1252" t="str">
        <x:f>IF($B113="","",IFERROR(INDEX('20 RCC-003 MIAR Registry'!$M$14:$M$60,MATCH($B113,'20 RCC-003 MIAR Registry'!$B$14:$B$60,0)),""))</x:f>
      </x:c>
      <x:c r="M113" s="1252" t="str">
        <x:f>IF($B113="","",IFERROR(INDEX('20 RCC-003 MIAR Registry'!$Z$14:$Z$60,MATCH($B113,'20 RCC-003 MIAR Registry'!$B$14:$B$60,0)),""))</x:f>
      </x:c>
      <x:c r="N113" s="1255" t="str">
        <x:f>IF($B113="","",IFERROR(INDEX('20 RCC-003 MIAR Registry'!$K$14:$K$60,MATCH($B113,'20 RCC-003 MIAR Registry'!$B$14:$B$60,0)),""))</x:f>
      </x:c>
      <x:c r="O113" s="1255" t="str">
        <x:f>IF($B113="","",IFERROR(INDEX('20 RCC-003 MIAR Registry'!$L$14:$L$60,MATCH($B113,'20 RCC-003 MIAR Registry'!$B$14:$B$60,0)),""))</x:f>
      </x:c>
      <x:c r="P113" s="1252" t="str">
        <x:f>IF($B113="","",IFERROR(INDEX('20 RCC-003 MIAR Registry'!$I$14:$I$60,MATCH($B113,'20 RCC-003 MIAR Registry'!$B$14:$B$60,0)),""))</x:f>
      </x:c>
      <x:c r="Q113" s="1252" t="str">
        <x:f>IF($B113="","",IFERROR(INDEX('20 RCC-003 MIAR Registry'!$J$14:$J$60,MATCH($B113,'20 RCC-003 MIAR Registry'!$B$14:$B$60,0)),""))</x:f>
      </x:c>
      <x:c r="R113" s="1256" t="str">
        <x:f>IF($B113="","",COUNTIF('18 RCC-002 Evidence Ledger'!$E$14:$E$213,$B113))</x:f>
      </x:c>
      <x:c r="S113" s="1256" t="str">
        <x:f>IF($B113="","",COUNTIFS('18 RCC-002 Evidence Ledger'!$E$14:$E$213,$B113,'18 RCC-002 Evidence Ledger'!$T$14:$T$213,"&lt;&gt;Closed — No Action",'18 RCC-002 Evidence Ledger'!$T$14:$T$213,"&lt;&gt;Closed — Incorporated"))</x:f>
      </x:c>
      <x:c r="T113" s="1248"/>
      <x:c r="U113" s="1249"/>
      <x:c r="V113" s="1242"/>
      <x:c r="W113" s="1248"/>
      <x:c r="X113" s="1253" t="str">
        <x:f>IF($B113="","",IF($D113="Certified Portfolio Holding","CERTIFIED HOLDING",IF(OR($A113="",$D113="",$E113="",$F113="",$G113="",$H113="",$I113=""),"NOT ASSESSED",IF(OR($K113="",$L113&lt;&gt;"Active",$M113="OVERDUE",$M113="MATERIAL EVENT REVIEW",$N113="",$O113="",$W113=""),"NOT ELIGIBLE",IF(OR(AND($F113="Zacks Election",OR($T113="",$T113&lt;50)),OR($U113=4,$U113=5),$V113="No Rating",$V113="Restricted / Unavailable"),"ELIGIBLE WITH EXCEPTION","ELIGIBLE")))))</x:f>
      </x:c>
      <x:c r="Y113" s="1253" t="str">
        <x:f>IF($B113="","",IF($A113="","Canonical MASR ID required",IF(AND($D113&lt;&gt;"Certified Portfolio Holding",OR($K113="",$L113&lt;&gt;"Active",$M113&lt;&gt;"CURRENT",$N113="",$O113="",$W113="")),"Complete MIAR / scoring / empirical eligibility",IF(AND($F113="Zacks Election",OR($T113="",$T113&lt;50)),"Sub-$50B Zacks election exception",IF(OR($U113=4,$U113=5),"Zacks #4/#5 exception review",IF($V113="No Rating","Merrill No Rating exception",IF($V113="Restricted / Unavailable","Merrill restricted / unavailable exception","None")))))))</x:f>
      </x:c>
      <x:c r="Z113" s="1257" t="str">
        <x:f>IF($B113="","",COUNTIF('24 RCC-004 Candidate Pipeline'!$C$14:$C$213,$B113))</x:f>
      </x:c>
      <x:c r="AA113" s="1253" t="str">
        <x:f>IF($B113="","",IFERROR(INDEX('24 RCC-004 Candidate Pipeline'!$Y$14:$Y$213,MATCH($B113,'24 RCC-004 Candidate Pipeline'!$C$14:$C$213,0)),""))</x:f>
      </x:c>
      <x:c r="AB113" s="1242"/>
      <x:c r="AC113" s="1253" t="str">
        <x:f>IF($B113="","",IF(COUNTIFS('24 RCC-004 Candidate Pipeline'!$C$14:$C$213,$B113,'24 RCC-004 Candidate Pipeline'!$AF$14:$AF$213,"Yes — Refer to PEW-004")&gt;0,"REFERRED — PEW-004",IF($Z113&gt;0,"CANDIDATE RECORD ACTIVE","NO ACTIVE CANDIDATE")))</x:f>
      </x:c>
      <x:c r="AD113" s="1253" t="str">
        <x:f>IF($B113="","",IF($A113="","SETUP REQUIRED",IF(COUNTIF($A$14:$A$163,$A113)&gt;1,"DUPLICATE MASR ID",IF(COUNTIF($B$14:$B$163,$B113)&gt;1,"DUPLICATE TICKER",IF(OR($D113="",$E113="",$F113="",$G113="",$H113="",$I113=""),"INCOMPLETE",IF(OR($K113="",$L113=""),"MIAR SETUP REQUIRED",IF($X113="NOT ELIGIBLE","NOT ELIGIBLE",IF($Y113&lt;&gt;"None","EXCEPTION REVIEW",IF(AND($D113&lt;&gt;"Certified Portfolio Holding",OR($E113="Active — Approved Non-Holding",$E113="Conditional",$E113="Candidate — Committee Review"),OR($AB113="",$AB113="Pending")),"COMMITTEE DISPOSITION REQUIRED",IF(AND(OR($E113="Active — Approved Non-Holding",$E113="Conditional"),OR($AG113="",$AH113="")),"CERTIFICATION REQUIRED",IF(OR($E113="Rejected",$E113="Removed",$E113="Archived"),"INACTIVE / CLOSED","CONTROL CLEAR")))))))))))</x:f>
      </x:c>
      <x:c r="AE113" s="1253" t="str">
        <x:f>IF($AD113="","",IFERROR(INDEX('97 RCC Lists'!$AK$5:$AK$15,MATCH($AD113,'97 RCC Lists'!$AJ$5:$AJ$15,0)),"Review exception"))</x:f>
      </x:c>
      <x:c r="AF113" s="1251"/>
      <x:c r="AG113" s="1242"/>
      <x:c r="AH113" s="1251"/>
      <x:c r="AI113" s="1242"/>
    </x:row>
    <x:row r="114" ht="32" customHeight="1">
      <x:c r="A114" s="1242"/>
      <x:c r="B114" s="1242"/>
      <x:c r="C114" s="1242"/>
      <x:c r="D114" s="1242"/>
      <x:c r="E114" s="1242"/>
      <x:c r="F114" s="1242"/>
      <x:c r="G114" s="1242"/>
      <x:c r="H114" s="1242"/>
      <x:c r="I114" s="1242"/>
      <x:c r="J114" s="1259" t="str">
        <x:f>IF($B114="","",IFERROR(INDEX('Certified Allocation'!$F$5:$F$51,MATCH($B114,'Certified Allocation'!$B$5:$B$51,0)),""))</x:f>
      </x:c>
      <x:c r="K114" s="1243" t="str">
        <x:f>IF($B114="","",IFERROR(INDEX('20 RCC-003 MIAR Registry'!$A$14:$A$60,MATCH($B114,'20 RCC-003 MIAR Registry'!$B$14:$B$60,0)),""))</x:f>
      </x:c>
      <x:c r="L114" s="1243" t="str">
        <x:f>IF($B114="","",IFERROR(INDEX('20 RCC-003 MIAR Registry'!$M$14:$M$60,MATCH($B114,'20 RCC-003 MIAR Registry'!$B$14:$B$60,0)),""))</x:f>
      </x:c>
      <x:c r="M114" s="1243" t="str">
        <x:f>IF($B114="","",IFERROR(INDEX('20 RCC-003 MIAR Registry'!$Z$14:$Z$60,MATCH($B114,'20 RCC-003 MIAR Registry'!$B$14:$B$60,0)),""))</x:f>
      </x:c>
      <x:c r="N114" s="1246" t="str">
        <x:f>IF($B114="","",IFERROR(INDEX('20 RCC-003 MIAR Registry'!$K$14:$K$60,MATCH($B114,'20 RCC-003 MIAR Registry'!$B$14:$B$60,0)),""))</x:f>
      </x:c>
      <x:c r="O114" s="1246" t="str">
        <x:f>IF($B114="","",IFERROR(INDEX('20 RCC-003 MIAR Registry'!$L$14:$L$60,MATCH($B114,'20 RCC-003 MIAR Registry'!$B$14:$B$60,0)),""))</x:f>
      </x:c>
      <x:c r="P114" s="1243" t="str">
        <x:f>IF($B114="","",IFERROR(INDEX('20 RCC-003 MIAR Registry'!$I$14:$I$60,MATCH($B114,'20 RCC-003 MIAR Registry'!$B$14:$B$60,0)),""))</x:f>
      </x:c>
      <x:c r="Q114" s="1243" t="str">
        <x:f>IF($B114="","",IFERROR(INDEX('20 RCC-003 MIAR Registry'!$J$14:$J$60,MATCH($B114,'20 RCC-003 MIAR Registry'!$B$14:$B$60,0)),""))</x:f>
      </x:c>
      <x:c r="R114" s="1247" t="str">
        <x:f>IF($B114="","",COUNTIF('18 RCC-002 Evidence Ledger'!$E$14:$E$213,$B114))</x:f>
      </x:c>
      <x:c r="S114" s="1247" t="str">
        <x:f>IF($B114="","",COUNTIFS('18 RCC-002 Evidence Ledger'!$E$14:$E$213,$B114,'18 RCC-002 Evidence Ledger'!$T$14:$T$213,"&lt;&gt;Closed — No Action",'18 RCC-002 Evidence Ledger'!$T$14:$T$213,"&lt;&gt;Closed — Incorporated"))</x:f>
      </x:c>
      <x:c r="T114" s="1248"/>
      <x:c r="U114" s="1249"/>
      <x:c r="V114" s="1242"/>
      <x:c r="W114" s="1248"/>
      <x:c r="X114" s="1244" t="str">
        <x:f>IF($B114="","",IF($D114="Certified Portfolio Holding","CERTIFIED HOLDING",IF(OR($A114="",$D114="",$E114="",$F114="",$G114="",$H114="",$I114=""),"NOT ASSESSED",IF(OR($K114="",$L114&lt;&gt;"Active",$M114="OVERDUE",$M114="MATERIAL EVENT REVIEW",$N114="",$O114="",$W114=""),"NOT ELIGIBLE",IF(OR(AND($F114="Zacks Election",OR($T114="",$T114&lt;50)),OR($U114=4,$U114=5),$V114="No Rating",$V114="Restricted / Unavailable"),"ELIGIBLE WITH EXCEPTION","ELIGIBLE")))))</x:f>
      </x:c>
      <x:c r="Y114" s="1244" t="str">
        <x:f>IF($B114="","",IF($A114="","Canonical MASR ID required",IF(AND($D114&lt;&gt;"Certified Portfolio Holding",OR($K114="",$L114&lt;&gt;"Active",$M114&lt;&gt;"CURRENT",$N114="",$O114="",$W114="")),"Complete MIAR / scoring / empirical eligibility",IF(AND($F114="Zacks Election",OR($T114="",$T114&lt;50)),"Sub-$50B Zacks election exception",IF(OR($U114=4,$U114=5),"Zacks #4/#5 exception review",IF($V114="No Rating","Merrill No Rating exception",IF($V114="Restricted / Unavailable","Merrill restricted / unavailable exception","None")))))))</x:f>
      </x:c>
      <x:c r="Z114" s="1250" t="str">
        <x:f>IF($B114="","",COUNTIF('24 RCC-004 Candidate Pipeline'!$C$14:$C$213,$B114))</x:f>
      </x:c>
      <x:c r="AA114" s="1244" t="str">
        <x:f>IF($B114="","",IFERROR(INDEX('24 RCC-004 Candidate Pipeline'!$Y$14:$Y$213,MATCH($B114,'24 RCC-004 Candidate Pipeline'!$C$14:$C$213,0)),""))</x:f>
      </x:c>
      <x:c r="AB114" s="1242"/>
      <x:c r="AC114" s="1244" t="str">
        <x:f>IF($B114="","",IF(COUNTIFS('24 RCC-004 Candidate Pipeline'!$C$14:$C$213,$B114,'24 RCC-004 Candidate Pipeline'!$AF$14:$AF$213,"Yes — Refer to PEW-004")&gt;0,"REFERRED — PEW-004",IF($Z114&gt;0,"CANDIDATE RECORD ACTIVE","NO ACTIVE CANDIDATE")))</x:f>
      </x:c>
      <x:c r="AD114" s="1244" t="str">
        <x:f>IF($B114="","",IF($A114="","SETUP REQUIRED",IF(COUNTIF($A$14:$A$163,$A114)&gt;1,"DUPLICATE MASR ID",IF(COUNTIF($B$14:$B$163,$B114)&gt;1,"DUPLICATE TICKER",IF(OR($D114="",$E114="",$F114="",$G114="",$H114="",$I114=""),"INCOMPLETE",IF(OR($K114="",$L114=""),"MIAR SETUP REQUIRED",IF($X114="NOT ELIGIBLE","NOT ELIGIBLE",IF($Y114&lt;&gt;"None","EXCEPTION REVIEW",IF(AND($D114&lt;&gt;"Certified Portfolio Holding",OR($E114="Active — Approved Non-Holding",$E114="Conditional",$E114="Candidate — Committee Review"),OR($AB114="",$AB114="Pending")),"COMMITTEE DISPOSITION REQUIRED",IF(AND(OR($E114="Active — Approved Non-Holding",$E114="Conditional"),OR($AG114="",$AH114="")),"CERTIFICATION REQUIRED",IF(OR($E114="Rejected",$E114="Removed",$E114="Archived"),"INACTIVE / CLOSED","CONTROL CLEAR")))))))))))</x:f>
      </x:c>
      <x:c r="AE114" s="1244" t="str">
        <x:f>IF($AD114="","",IFERROR(INDEX('97 RCC Lists'!$AK$5:$AK$15,MATCH($AD114,'97 RCC Lists'!$AJ$5:$AJ$15,0)),"Review exception"))</x:f>
      </x:c>
      <x:c r="AF114" s="1251"/>
      <x:c r="AG114" s="1242"/>
      <x:c r="AH114" s="1251"/>
      <x:c r="AI114" s="1242"/>
    </x:row>
    <x:row r="115" ht="32" customHeight="1">
      <x:c r="A115" s="1242"/>
      <x:c r="B115" s="1242"/>
      <x:c r="C115" s="1242"/>
      <x:c r="D115" s="1242"/>
      <x:c r="E115" s="1242"/>
      <x:c r="F115" s="1242"/>
      <x:c r="G115" s="1242"/>
      <x:c r="H115" s="1242"/>
      <x:c r="I115" s="1242"/>
      <x:c r="J115" s="1258" t="str">
        <x:f>IF($B115="","",IFERROR(INDEX('Certified Allocation'!$F$5:$F$51,MATCH($B115,'Certified Allocation'!$B$5:$B$51,0)),""))</x:f>
      </x:c>
      <x:c r="K115" s="1252" t="str">
        <x:f>IF($B115="","",IFERROR(INDEX('20 RCC-003 MIAR Registry'!$A$14:$A$60,MATCH($B115,'20 RCC-003 MIAR Registry'!$B$14:$B$60,0)),""))</x:f>
      </x:c>
      <x:c r="L115" s="1252" t="str">
        <x:f>IF($B115="","",IFERROR(INDEX('20 RCC-003 MIAR Registry'!$M$14:$M$60,MATCH($B115,'20 RCC-003 MIAR Registry'!$B$14:$B$60,0)),""))</x:f>
      </x:c>
      <x:c r="M115" s="1252" t="str">
        <x:f>IF($B115="","",IFERROR(INDEX('20 RCC-003 MIAR Registry'!$Z$14:$Z$60,MATCH($B115,'20 RCC-003 MIAR Registry'!$B$14:$B$60,0)),""))</x:f>
      </x:c>
      <x:c r="N115" s="1255" t="str">
        <x:f>IF($B115="","",IFERROR(INDEX('20 RCC-003 MIAR Registry'!$K$14:$K$60,MATCH($B115,'20 RCC-003 MIAR Registry'!$B$14:$B$60,0)),""))</x:f>
      </x:c>
      <x:c r="O115" s="1255" t="str">
        <x:f>IF($B115="","",IFERROR(INDEX('20 RCC-003 MIAR Registry'!$L$14:$L$60,MATCH($B115,'20 RCC-003 MIAR Registry'!$B$14:$B$60,0)),""))</x:f>
      </x:c>
      <x:c r="P115" s="1252" t="str">
        <x:f>IF($B115="","",IFERROR(INDEX('20 RCC-003 MIAR Registry'!$I$14:$I$60,MATCH($B115,'20 RCC-003 MIAR Registry'!$B$14:$B$60,0)),""))</x:f>
      </x:c>
      <x:c r="Q115" s="1252" t="str">
        <x:f>IF($B115="","",IFERROR(INDEX('20 RCC-003 MIAR Registry'!$J$14:$J$60,MATCH($B115,'20 RCC-003 MIAR Registry'!$B$14:$B$60,0)),""))</x:f>
      </x:c>
      <x:c r="R115" s="1256" t="str">
        <x:f>IF($B115="","",COUNTIF('18 RCC-002 Evidence Ledger'!$E$14:$E$213,$B115))</x:f>
      </x:c>
      <x:c r="S115" s="1256" t="str">
        <x:f>IF($B115="","",COUNTIFS('18 RCC-002 Evidence Ledger'!$E$14:$E$213,$B115,'18 RCC-002 Evidence Ledger'!$T$14:$T$213,"&lt;&gt;Closed — No Action",'18 RCC-002 Evidence Ledger'!$T$14:$T$213,"&lt;&gt;Closed — Incorporated"))</x:f>
      </x:c>
      <x:c r="T115" s="1248"/>
      <x:c r="U115" s="1249"/>
      <x:c r="V115" s="1242"/>
      <x:c r="W115" s="1248"/>
      <x:c r="X115" s="1253" t="str">
        <x:f>IF($B115="","",IF($D115="Certified Portfolio Holding","CERTIFIED HOLDING",IF(OR($A115="",$D115="",$E115="",$F115="",$G115="",$H115="",$I115=""),"NOT ASSESSED",IF(OR($K115="",$L115&lt;&gt;"Active",$M115="OVERDUE",$M115="MATERIAL EVENT REVIEW",$N115="",$O115="",$W115=""),"NOT ELIGIBLE",IF(OR(AND($F115="Zacks Election",OR($T115="",$T115&lt;50)),OR($U115=4,$U115=5),$V115="No Rating",$V115="Restricted / Unavailable"),"ELIGIBLE WITH EXCEPTION","ELIGIBLE")))))</x:f>
      </x:c>
      <x:c r="Y115" s="1253" t="str">
        <x:f>IF($B115="","",IF($A115="","Canonical MASR ID required",IF(AND($D115&lt;&gt;"Certified Portfolio Holding",OR($K115="",$L115&lt;&gt;"Active",$M115&lt;&gt;"CURRENT",$N115="",$O115="",$W115="")),"Complete MIAR / scoring / empirical eligibility",IF(AND($F115="Zacks Election",OR($T115="",$T115&lt;50)),"Sub-$50B Zacks election exception",IF(OR($U115=4,$U115=5),"Zacks #4/#5 exception review",IF($V115="No Rating","Merrill No Rating exception",IF($V115="Restricted / Unavailable","Merrill restricted / unavailable exception","None")))))))</x:f>
      </x:c>
      <x:c r="Z115" s="1257" t="str">
        <x:f>IF($B115="","",COUNTIF('24 RCC-004 Candidate Pipeline'!$C$14:$C$213,$B115))</x:f>
      </x:c>
      <x:c r="AA115" s="1253" t="str">
        <x:f>IF($B115="","",IFERROR(INDEX('24 RCC-004 Candidate Pipeline'!$Y$14:$Y$213,MATCH($B115,'24 RCC-004 Candidate Pipeline'!$C$14:$C$213,0)),""))</x:f>
      </x:c>
      <x:c r="AB115" s="1242"/>
      <x:c r="AC115" s="1253" t="str">
        <x:f>IF($B115="","",IF(COUNTIFS('24 RCC-004 Candidate Pipeline'!$C$14:$C$213,$B115,'24 RCC-004 Candidate Pipeline'!$AF$14:$AF$213,"Yes — Refer to PEW-004")&gt;0,"REFERRED — PEW-004",IF($Z115&gt;0,"CANDIDATE RECORD ACTIVE","NO ACTIVE CANDIDATE")))</x:f>
      </x:c>
      <x:c r="AD115" s="1253" t="str">
        <x:f>IF($B115="","",IF($A115="","SETUP REQUIRED",IF(COUNTIF($A$14:$A$163,$A115)&gt;1,"DUPLICATE MASR ID",IF(COUNTIF($B$14:$B$163,$B115)&gt;1,"DUPLICATE TICKER",IF(OR($D115="",$E115="",$F115="",$G115="",$H115="",$I115=""),"INCOMPLETE",IF(OR($K115="",$L115=""),"MIAR SETUP REQUIRED",IF($X115="NOT ELIGIBLE","NOT ELIGIBLE",IF($Y115&lt;&gt;"None","EXCEPTION REVIEW",IF(AND($D115&lt;&gt;"Certified Portfolio Holding",OR($E115="Active — Approved Non-Holding",$E115="Conditional",$E115="Candidate — Committee Review"),OR($AB115="",$AB115="Pending")),"COMMITTEE DISPOSITION REQUIRED",IF(AND(OR($E115="Active — Approved Non-Holding",$E115="Conditional"),OR($AG115="",$AH115="")),"CERTIFICATION REQUIRED",IF(OR($E115="Rejected",$E115="Removed",$E115="Archived"),"INACTIVE / CLOSED","CONTROL CLEAR")))))))))))</x:f>
      </x:c>
      <x:c r="AE115" s="1253" t="str">
        <x:f>IF($AD115="","",IFERROR(INDEX('97 RCC Lists'!$AK$5:$AK$15,MATCH($AD115,'97 RCC Lists'!$AJ$5:$AJ$15,0)),"Review exception"))</x:f>
      </x:c>
      <x:c r="AF115" s="1251"/>
      <x:c r="AG115" s="1242"/>
      <x:c r="AH115" s="1251"/>
      <x:c r="AI115" s="1242"/>
    </x:row>
    <x:row r="116" ht="32" customHeight="1">
      <x:c r="A116" s="1242"/>
      <x:c r="B116" s="1242"/>
      <x:c r="C116" s="1242"/>
      <x:c r="D116" s="1242"/>
      <x:c r="E116" s="1242"/>
      <x:c r="F116" s="1242"/>
      <x:c r="G116" s="1242"/>
      <x:c r="H116" s="1242"/>
      <x:c r="I116" s="1242"/>
      <x:c r="J116" s="1259" t="str">
        <x:f>IF($B116="","",IFERROR(INDEX('Certified Allocation'!$F$5:$F$51,MATCH($B116,'Certified Allocation'!$B$5:$B$51,0)),""))</x:f>
      </x:c>
      <x:c r="K116" s="1243" t="str">
        <x:f>IF($B116="","",IFERROR(INDEX('20 RCC-003 MIAR Registry'!$A$14:$A$60,MATCH($B116,'20 RCC-003 MIAR Registry'!$B$14:$B$60,0)),""))</x:f>
      </x:c>
      <x:c r="L116" s="1243" t="str">
        <x:f>IF($B116="","",IFERROR(INDEX('20 RCC-003 MIAR Registry'!$M$14:$M$60,MATCH($B116,'20 RCC-003 MIAR Registry'!$B$14:$B$60,0)),""))</x:f>
      </x:c>
      <x:c r="M116" s="1243" t="str">
        <x:f>IF($B116="","",IFERROR(INDEX('20 RCC-003 MIAR Registry'!$Z$14:$Z$60,MATCH($B116,'20 RCC-003 MIAR Registry'!$B$14:$B$60,0)),""))</x:f>
      </x:c>
      <x:c r="N116" s="1246" t="str">
        <x:f>IF($B116="","",IFERROR(INDEX('20 RCC-003 MIAR Registry'!$K$14:$K$60,MATCH($B116,'20 RCC-003 MIAR Registry'!$B$14:$B$60,0)),""))</x:f>
      </x:c>
      <x:c r="O116" s="1246" t="str">
        <x:f>IF($B116="","",IFERROR(INDEX('20 RCC-003 MIAR Registry'!$L$14:$L$60,MATCH($B116,'20 RCC-003 MIAR Registry'!$B$14:$B$60,0)),""))</x:f>
      </x:c>
      <x:c r="P116" s="1243" t="str">
        <x:f>IF($B116="","",IFERROR(INDEX('20 RCC-003 MIAR Registry'!$I$14:$I$60,MATCH($B116,'20 RCC-003 MIAR Registry'!$B$14:$B$60,0)),""))</x:f>
      </x:c>
      <x:c r="Q116" s="1243" t="str">
        <x:f>IF($B116="","",IFERROR(INDEX('20 RCC-003 MIAR Registry'!$J$14:$J$60,MATCH($B116,'20 RCC-003 MIAR Registry'!$B$14:$B$60,0)),""))</x:f>
      </x:c>
      <x:c r="R116" s="1247" t="str">
        <x:f>IF($B116="","",COUNTIF('18 RCC-002 Evidence Ledger'!$E$14:$E$213,$B116))</x:f>
      </x:c>
      <x:c r="S116" s="1247" t="str">
        <x:f>IF($B116="","",COUNTIFS('18 RCC-002 Evidence Ledger'!$E$14:$E$213,$B116,'18 RCC-002 Evidence Ledger'!$T$14:$T$213,"&lt;&gt;Closed — No Action",'18 RCC-002 Evidence Ledger'!$T$14:$T$213,"&lt;&gt;Closed — Incorporated"))</x:f>
      </x:c>
      <x:c r="T116" s="1248"/>
      <x:c r="U116" s="1249"/>
      <x:c r="V116" s="1242"/>
      <x:c r="W116" s="1248"/>
      <x:c r="X116" s="1244" t="str">
        <x:f>IF($B116="","",IF($D116="Certified Portfolio Holding","CERTIFIED HOLDING",IF(OR($A116="",$D116="",$E116="",$F116="",$G116="",$H116="",$I116=""),"NOT ASSESSED",IF(OR($K116="",$L116&lt;&gt;"Active",$M116="OVERDUE",$M116="MATERIAL EVENT REVIEW",$N116="",$O116="",$W116=""),"NOT ELIGIBLE",IF(OR(AND($F116="Zacks Election",OR($T116="",$T116&lt;50)),OR($U116=4,$U116=5),$V116="No Rating",$V116="Restricted / Unavailable"),"ELIGIBLE WITH EXCEPTION","ELIGIBLE")))))</x:f>
      </x:c>
      <x:c r="Y116" s="1244" t="str">
        <x:f>IF($B116="","",IF($A116="","Canonical MASR ID required",IF(AND($D116&lt;&gt;"Certified Portfolio Holding",OR($K116="",$L116&lt;&gt;"Active",$M116&lt;&gt;"CURRENT",$N116="",$O116="",$W116="")),"Complete MIAR / scoring / empirical eligibility",IF(AND($F116="Zacks Election",OR($T116="",$T116&lt;50)),"Sub-$50B Zacks election exception",IF(OR($U116=4,$U116=5),"Zacks #4/#5 exception review",IF($V116="No Rating","Merrill No Rating exception",IF($V116="Restricted / Unavailable","Merrill restricted / unavailable exception","None")))))))</x:f>
      </x:c>
      <x:c r="Z116" s="1250" t="str">
        <x:f>IF($B116="","",COUNTIF('24 RCC-004 Candidate Pipeline'!$C$14:$C$213,$B116))</x:f>
      </x:c>
      <x:c r="AA116" s="1244" t="str">
        <x:f>IF($B116="","",IFERROR(INDEX('24 RCC-004 Candidate Pipeline'!$Y$14:$Y$213,MATCH($B116,'24 RCC-004 Candidate Pipeline'!$C$14:$C$213,0)),""))</x:f>
      </x:c>
      <x:c r="AB116" s="1242"/>
      <x:c r="AC116" s="1244" t="str">
        <x:f>IF($B116="","",IF(COUNTIFS('24 RCC-004 Candidate Pipeline'!$C$14:$C$213,$B116,'24 RCC-004 Candidate Pipeline'!$AF$14:$AF$213,"Yes — Refer to PEW-004")&gt;0,"REFERRED — PEW-004",IF($Z116&gt;0,"CANDIDATE RECORD ACTIVE","NO ACTIVE CANDIDATE")))</x:f>
      </x:c>
      <x:c r="AD116" s="1244" t="str">
        <x:f>IF($B116="","",IF($A116="","SETUP REQUIRED",IF(COUNTIF($A$14:$A$163,$A116)&gt;1,"DUPLICATE MASR ID",IF(COUNTIF($B$14:$B$163,$B116)&gt;1,"DUPLICATE TICKER",IF(OR($D116="",$E116="",$F116="",$G116="",$H116="",$I116=""),"INCOMPLETE",IF(OR($K116="",$L116=""),"MIAR SETUP REQUIRED",IF($X116="NOT ELIGIBLE","NOT ELIGIBLE",IF($Y116&lt;&gt;"None","EXCEPTION REVIEW",IF(AND($D116&lt;&gt;"Certified Portfolio Holding",OR($E116="Active — Approved Non-Holding",$E116="Conditional",$E116="Candidate — Committee Review"),OR($AB116="",$AB116="Pending")),"COMMITTEE DISPOSITION REQUIRED",IF(AND(OR($E116="Active — Approved Non-Holding",$E116="Conditional"),OR($AG116="",$AH116="")),"CERTIFICATION REQUIRED",IF(OR($E116="Rejected",$E116="Removed",$E116="Archived"),"INACTIVE / CLOSED","CONTROL CLEAR")))))))))))</x:f>
      </x:c>
      <x:c r="AE116" s="1244" t="str">
        <x:f>IF($AD116="","",IFERROR(INDEX('97 RCC Lists'!$AK$5:$AK$15,MATCH($AD116,'97 RCC Lists'!$AJ$5:$AJ$15,0)),"Review exception"))</x:f>
      </x:c>
      <x:c r="AF116" s="1251"/>
      <x:c r="AG116" s="1242"/>
      <x:c r="AH116" s="1251"/>
      <x:c r="AI116" s="1242"/>
    </x:row>
    <x:row r="117" ht="32" customHeight="1">
      <x:c r="A117" s="1242"/>
      <x:c r="B117" s="1242"/>
      <x:c r="C117" s="1242"/>
      <x:c r="D117" s="1242"/>
      <x:c r="E117" s="1242"/>
      <x:c r="F117" s="1242"/>
      <x:c r="G117" s="1242"/>
      <x:c r="H117" s="1242"/>
      <x:c r="I117" s="1242"/>
      <x:c r="J117" s="1258" t="str">
        <x:f>IF($B117="","",IFERROR(INDEX('Certified Allocation'!$F$5:$F$51,MATCH($B117,'Certified Allocation'!$B$5:$B$51,0)),""))</x:f>
      </x:c>
      <x:c r="K117" s="1252" t="str">
        <x:f>IF($B117="","",IFERROR(INDEX('20 RCC-003 MIAR Registry'!$A$14:$A$60,MATCH($B117,'20 RCC-003 MIAR Registry'!$B$14:$B$60,0)),""))</x:f>
      </x:c>
      <x:c r="L117" s="1252" t="str">
        <x:f>IF($B117="","",IFERROR(INDEX('20 RCC-003 MIAR Registry'!$M$14:$M$60,MATCH($B117,'20 RCC-003 MIAR Registry'!$B$14:$B$60,0)),""))</x:f>
      </x:c>
      <x:c r="M117" s="1252" t="str">
        <x:f>IF($B117="","",IFERROR(INDEX('20 RCC-003 MIAR Registry'!$Z$14:$Z$60,MATCH($B117,'20 RCC-003 MIAR Registry'!$B$14:$B$60,0)),""))</x:f>
      </x:c>
      <x:c r="N117" s="1255" t="str">
        <x:f>IF($B117="","",IFERROR(INDEX('20 RCC-003 MIAR Registry'!$K$14:$K$60,MATCH($B117,'20 RCC-003 MIAR Registry'!$B$14:$B$60,0)),""))</x:f>
      </x:c>
      <x:c r="O117" s="1255" t="str">
        <x:f>IF($B117="","",IFERROR(INDEX('20 RCC-003 MIAR Registry'!$L$14:$L$60,MATCH($B117,'20 RCC-003 MIAR Registry'!$B$14:$B$60,0)),""))</x:f>
      </x:c>
      <x:c r="P117" s="1252" t="str">
        <x:f>IF($B117="","",IFERROR(INDEX('20 RCC-003 MIAR Registry'!$I$14:$I$60,MATCH($B117,'20 RCC-003 MIAR Registry'!$B$14:$B$60,0)),""))</x:f>
      </x:c>
      <x:c r="Q117" s="1252" t="str">
        <x:f>IF($B117="","",IFERROR(INDEX('20 RCC-003 MIAR Registry'!$J$14:$J$60,MATCH($B117,'20 RCC-003 MIAR Registry'!$B$14:$B$60,0)),""))</x:f>
      </x:c>
      <x:c r="R117" s="1256" t="str">
        <x:f>IF($B117="","",COUNTIF('18 RCC-002 Evidence Ledger'!$E$14:$E$213,$B117))</x:f>
      </x:c>
      <x:c r="S117" s="1256" t="str">
        <x:f>IF($B117="","",COUNTIFS('18 RCC-002 Evidence Ledger'!$E$14:$E$213,$B117,'18 RCC-002 Evidence Ledger'!$T$14:$T$213,"&lt;&gt;Closed — No Action",'18 RCC-002 Evidence Ledger'!$T$14:$T$213,"&lt;&gt;Closed — Incorporated"))</x:f>
      </x:c>
      <x:c r="T117" s="1248"/>
      <x:c r="U117" s="1249"/>
      <x:c r="V117" s="1242"/>
      <x:c r="W117" s="1248"/>
      <x:c r="X117" s="1253" t="str">
        <x:f>IF($B117="","",IF($D117="Certified Portfolio Holding","CERTIFIED HOLDING",IF(OR($A117="",$D117="",$E117="",$F117="",$G117="",$H117="",$I117=""),"NOT ASSESSED",IF(OR($K117="",$L117&lt;&gt;"Active",$M117="OVERDUE",$M117="MATERIAL EVENT REVIEW",$N117="",$O117="",$W117=""),"NOT ELIGIBLE",IF(OR(AND($F117="Zacks Election",OR($T117="",$T117&lt;50)),OR($U117=4,$U117=5),$V117="No Rating",$V117="Restricted / Unavailable"),"ELIGIBLE WITH EXCEPTION","ELIGIBLE")))))</x:f>
      </x:c>
      <x:c r="Y117" s="1253" t="str">
        <x:f>IF($B117="","",IF($A117="","Canonical MASR ID required",IF(AND($D117&lt;&gt;"Certified Portfolio Holding",OR($K117="",$L117&lt;&gt;"Active",$M117&lt;&gt;"CURRENT",$N117="",$O117="",$W117="")),"Complete MIAR / scoring / empirical eligibility",IF(AND($F117="Zacks Election",OR($T117="",$T117&lt;50)),"Sub-$50B Zacks election exception",IF(OR($U117=4,$U117=5),"Zacks #4/#5 exception review",IF($V117="No Rating","Merrill No Rating exception",IF($V117="Restricted / Unavailable","Merrill restricted / unavailable exception","None")))))))</x:f>
      </x:c>
      <x:c r="Z117" s="1257" t="str">
        <x:f>IF($B117="","",COUNTIF('24 RCC-004 Candidate Pipeline'!$C$14:$C$213,$B117))</x:f>
      </x:c>
      <x:c r="AA117" s="1253" t="str">
        <x:f>IF($B117="","",IFERROR(INDEX('24 RCC-004 Candidate Pipeline'!$Y$14:$Y$213,MATCH($B117,'24 RCC-004 Candidate Pipeline'!$C$14:$C$213,0)),""))</x:f>
      </x:c>
      <x:c r="AB117" s="1242"/>
      <x:c r="AC117" s="1253" t="str">
        <x:f>IF($B117="","",IF(COUNTIFS('24 RCC-004 Candidate Pipeline'!$C$14:$C$213,$B117,'24 RCC-004 Candidate Pipeline'!$AF$14:$AF$213,"Yes — Refer to PEW-004")&gt;0,"REFERRED — PEW-004",IF($Z117&gt;0,"CANDIDATE RECORD ACTIVE","NO ACTIVE CANDIDATE")))</x:f>
      </x:c>
      <x:c r="AD117" s="1253" t="str">
        <x:f>IF($B117="","",IF($A117="","SETUP REQUIRED",IF(COUNTIF($A$14:$A$163,$A117)&gt;1,"DUPLICATE MASR ID",IF(COUNTIF($B$14:$B$163,$B117)&gt;1,"DUPLICATE TICKER",IF(OR($D117="",$E117="",$F117="",$G117="",$H117="",$I117=""),"INCOMPLETE",IF(OR($K117="",$L117=""),"MIAR SETUP REQUIRED",IF($X117="NOT ELIGIBLE","NOT ELIGIBLE",IF($Y117&lt;&gt;"None","EXCEPTION REVIEW",IF(AND($D117&lt;&gt;"Certified Portfolio Holding",OR($E117="Active — Approved Non-Holding",$E117="Conditional",$E117="Candidate — Committee Review"),OR($AB117="",$AB117="Pending")),"COMMITTEE DISPOSITION REQUIRED",IF(AND(OR($E117="Active — Approved Non-Holding",$E117="Conditional"),OR($AG117="",$AH117="")),"CERTIFICATION REQUIRED",IF(OR($E117="Rejected",$E117="Removed",$E117="Archived"),"INACTIVE / CLOSED","CONTROL CLEAR")))))))))))</x:f>
      </x:c>
      <x:c r="AE117" s="1253" t="str">
        <x:f>IF($AD117="","",IFERROR(INDEX('97 RCC Lists'!$AK$5:$AK$15,MATCH($AD117,'97 RCC Lists'!$AJ$5:$AJ$15,0)),"Review exception"))</x:f>
      </x:c>
      <x:c r="AF117" s="1251"/>
      <x:c r="AG117" s="1242"/>
      <x:c r="AH117" s="1251"/>
      <x:c r="AI117" s="1242"/>
    </x:row>
    <x:row r="118" ht="32" customHeight="1">
      <x:c r="A118" s="1242"/>
      <x:c r="B118" s="1242"/>
      <x:c r="C118" s="1242"/>
      <x:c r="D118" s="1242"/>
      <x:c r="E118" s="1242"/>
      <x:c r="F118" s="1242"/>
      <x:c r="G118" s="1242"/>
      <x:c r="H118" s="1242"/>
      <x:c r="I118" s="1242"/>
      <x:c r="J118" s="1259" t="str">
        <x:f>IF($B118="","",IFERROR(INDEX('Certified Allocation'!$F$5:$F$51,MATCH($B118,'Certified Allocation'!$B$5:$B$51,0)),""))</x:f>
      </x:c>
      <x:c r="K118" s="1243" t="str">
        <x:f>IF($B118="","",IFERROR(INDEX('20 RCC-003 MIAR Registry'!$A$14:$A$60,MATCH($B118,'20 RCC-003 MIAR Registry'!$B$14:$B$60,0)),""))</x:f>
      </x:c>
      <x:c r="L118" s="1243" t="str">
        <x:f>IF($B118="","",IFERROR(INDEX('20 RCC-003 MIAR Registry'!$M$14:$M$60,MATCH($B118,'20 RCC-003 MIAR Registry'!$B$14:$B$60,0)),""))</x:f>
      </x:c>
      <x:c r="M118" s="1243" t="str">
        <x:f>IF($B118="","",IFERROR(INDEX('20 RCC-003 MIAR Registry'!$Z$14:$Z$60,MATCH($B118,'20 RCC-003 MIAR Registry'!$B$14:$B$60,0)),""))</x:f>
      </x:c>
      <x:c r="N118" s="1246" t="str">
        <x:f>IF($B118="","",IFERROR(INDEX('20 RCC-003 MIAR Registry'!$K$14:$K$60,MATCH($B118,'20 RCC-003 MIAR Registry'!$B$14:$B$60,0)),""))</x:f>
      </x:c>
      <x:c r="O118" s="1246" t="str">
        <x:f>IF($B118="","",IFERROR(INDEX('20 RCC-003 MIAR Registry'!$L$14:$L$60,MATCH($B118,'20 RCC-003 MIAR Registry'!$B$14:$B$60,0)),""))</x:f>
      </x:c>
      <x:c r="P118" s="1243" t="str">
        <x:f>IF($B118="","",IFERROR(INDEX('20 RCC-003 MIAR Registry'!$I$14:$I$60,MATCH($B118,'20 RCC-003 MIAR Registry'!$B$14:$B$60,0)),""))</x:f>
      </x:c>
      <x:c r="Q118" s="1243" t="str">
        <x:f>IF($B118="","",IFERROR(INDEX('20 RCC-003 MIAR Registry'!$J$14:$J$60,MATCH($B118,'20 RCC-003 MIAR Registry'!$B$14:$B$60,0)),""))</x:f>
      </x:c>
      <x:c r="R118" s="1247" t="str">
        <x:f>IF($B118="","",COUNTIF('18 RCC-002 Evidence Ledger'!$E$14:$E$213,$B118))</x:f>
      </x:c>
      <x:c r="S118" s="1247" t="str">
        <x:f>IF($B118="","",COUNTIFS('18 RCC-002 Evidence Ledger'!$E$14:$E$213,$B118,'18 RCC-002 Evidence Ledger'!$T$14:$T$213,"&lt;&gt;Closed — No Action",'18 RCC-002 Evidence Ledger'!$T$14:$T$213,"&lt;&gt;Closed — Incorporated"))</x:f>
      </x:c>
      <x:c r="T118" s="1248"/>
      <x:c r="U118" s="1249"/>
      <x:c r="V118" s="1242"/>
      <x:c r="W118" s="1248"/>
      <x:c r="X118" s="1244" t="str">
        <x:f>IF($B118="","",IF($D118="Certified Portfolio Holding","CERTIFIED HOLDING",IF(OR($A118="",$D118="",$E118="",$F118="",$G118="",$H118="",$I118=""),"NOT ASSESSED",IF(OR($K118="",$L118&lt;&gt;"Active",$M118="OVERDUE",$M118="MATERIAL EVENT REVIEW",$N118="",$O118="",$W118=""),"NOT ELIGIBLE",IF(OR(AND($F118="Zacks Election",OR($T118="",$T118&lt;50)),OR($U118=4,$U118=5),$V118="No Rating",$V118="Restricted / Unavailable"),"ELIGIBLE WITH EXCEPTION","ELIGIBLE")))))</x:f>
      </x:c>
      <x:c r="Y118" s="1244" t="str">
        <x:f>IF($B118="","",IF($A118="","Canonical MASR ID required",IF(AND($D118&lt;&gt;"Certified Portfolio Holding",OR($K118="",$L118&lt;&gt;"Active",$M118&lt;&gt;"CURRENT",$N118="",$O118="",$W118="")),"Complete MIAR / scoring / empirical eligibility",IF(AND($F118="Zacks Election",OR($T118="",$T118&lt;50)),"Sub-$50B Zacks election exception",IF(OR($U118=4,$U118=5),"Zacks #4/#5 exception review",IF($V118="No Rating","Merrill No Rating exception",IF($V118="Restricted / Unavailable","Merrill restricted / unavailable exception","None")))))))</x:f>
      </x:c>
      <x:c r="Z118" s="1250" t="str">
        <x:f>IF($B118="","",COUNTIF('24 RCC-004 Candidate Pipeline'!$C$14:$C$213,$B118))</x:f>
      </x:c>
      <x:c r="AA118" s="1244" t="str">
        <x:f>IF($B118="","",IFERROR(INDEX('24 RCC-004 Candidate Pipeline'!$Y$14:$Y$213,MATCH($B118,'24 RCC-004 Candidate Pipeline'!$C$14:$C$213,0)),""))</x:f>
      </x:c>
      <x:c r="AB118" s="1242"/>
      <x:c r="AC118" s="1244" t="str">
        <x:f>IF($B118="","",IF(COUNTIFS('24 RCC-004 Candidate Pipeline'!$C$14:$C$213,$B118,'24 RCC-004 Candidate Pipeline'!$AF$14:$AF$213,"Yes — Refer to PEW-004")&gt;0,"REFERRED — PEW-004",IF($Z118&gt;0,"CANDIDATE RECORD ACTIVE","NO ACTIVE CANDIDATE")))</x:f>
      </x:c>
      <x:c r="AD118" s="1244" t="str">
        <x:f>IF($B118="","",IF($A118="","SETUP REQUIRED",IF(COUNTIF($A$14:$A$163,$A118)&gt;1,"DUPLICATE MASR ID",IF(COUNTIF($B$14:$B$163,$B118)&gt;1,"DUPLICATE TICKER",IF(OR($D118="",$E118="",$F118="",$G118="",$H118="",$I118=""),"INCOMPLETE",IF(OR($K118="",$L118=""),"MIAR SETUP REQUIRED",IF($X118="NOT ELIGIBLE","NOT ELIGIBLE",IF($Y118&lt;&gt;"None","EXCEPTION REVIEW",IF(AND($D118&lt;&gt;"Certified Portfolio Holding",OR($E118="Active — Approved Non-Holding",$E118="Conditional",$E118="Candidate — Committee Review"),OR($AB118="",$AB118="Pending")),"COMMITTEE DISPOSITION REQUIRED",IF(AND(OR($E118="Active — Approved Non-Holding",$E118="Conditional"),OR($AG118="",$AH118="")),"CERTIFICATION REQUIRED",IF(OR($E118="Rejected",$E118="Removed",$E118="Archived"),"INACTIVE / CLOSED","CONTROL CLEAR")))))))))))</x:f>
      </x:c>
      <x:c r="AE118" s="1244" t="str">
        <x:f>IF($AD118="","",IFERROR(INDEX('97 RCC Lists'!$AK$5:$AK$15,MATCH($AD118,'97 RCC Lists'!$AJ$5:$AJ$15,0)),"Review exception"))</x:f>
      </x:c>
      <x:c r="AF118" s="1251"/>
      <x:c r="AG118" s="1242"/>
      <x:c r="AH118" s="1251"/>
      <x:c r="AI118" s="1242"/>
    </x:row>
    <x:row r="119" ht="32" customHeight="1">
      <x:c r="A119" s="1242"/>
      <x:c r="B119" s="1242"/>
      <x:c r="C119" s="1242"/>
      <x:c r="D119" s="1242"/>
      <x:c r="E119" s="1242"/>
      <x:c r="F119" s="1242"/>
      <x:c r="G119" s="1242"/>
      <x:c r="H119" s="1242"/>
      <x:c r="I119" s="1242"/>
      <x:c r="J119" s="1258" t="str">
        <x:f>IF($B119="","",IFERROR(INDEX('Certified Allocation'!$F$5:$F$51,MATCH($B119,'Certified Allocation'!$B$5:$B$51,0)),""))</x:f>
      </x:c>
      <x:c r="K119" s="1252" t="str">
        <x:f>IF($B119="","",IFERROR(INDEX('20 RCC-003 MIAR Registry'!$A$14:$A$60,MATCH($B119,'20 RCC-003 MIAR Registry'!$B$14:$B$60,0)),""))</x:f>
      </x:c>
      <x:c r="L119" s="1252" t="str">
        <x:f>IF($B119="","",IFERROR(INDEX('20 RCC-003 MIAR Registry'!$M$14:$M$60,MATCH($B119,'20 RCC-003 MIAR Registry'!$B$14:$B$60,0)),""))</x:f>
      </x:c>
      <x:c r="M119" s="1252" t="str">
        <x:f>IF($B119="","",IFERROR(INDEX('20 RCC-003 MIAR Registry'!$Z$14:$Z$60,MATCH($B119,'20 RCC-003 MIAR Registry'!$B$14:$B$60,0)),""))</x:f>
      </x:c>
      <x:c r="N119" s="1255" t="str">
        <x:f>IF($B119="","",IFERROR(INDEX('20 RCC-003 MIAR Registry'!$K$14:$K$60,MATCH($B119,'20 RCC-003 MIAR Registry'!$B$14:$B$60,0)),""))</x:f>
      </x:c>
      <x:c r="O119" s="1255" t="str">
        <x:f>IF($B119="","",IFERROR(INDEX('20 RCC-003 MIAR Registry'!$L$14:$L$60,MATCH($B119,'20 RCC-003 MIAR Registry'!$B$14:$B$60,0)),""))</x:f>
      </x:c>
      <x:c r="P119" s="1252" t="str">
        <x:f>IF($B119="","",IFERROR(INDEX('20 RCC-003 MIAR Registry'!$I$14:$I$60,MATCH($B119,'20 RCC-003 MIAR Registry'!$B$14:$B$60,0)),""))</x:f>
      </x:c>
      <x:c r="Q119" s="1252" t="str">
        <x:f>IF($B119="","",IFERROR(INDEX('20 RCC-003 MIAR Registry'!$J$14:$J$60,MATCH($B119,'20 RCC-003 MIAR Registry'!$B$14:$B$60,0)),""))</x:f>
      </x:c>
      <x:c r="R119" s="1256" t="str">
        <x:f>IF($B119="","",COUNTIF('18 RCC-002 Evidence Ledger'!$E$14:$E$213,$B119))</x:f>
      </x:c>
      <x:c r="S119" s="1256" t="str">
        <x:f>IF($B119="","",COUNTIFS('18 RCC-002 Evidence Ledger'!$E$14:$E$213,$B119,'18 RCC-002 Evidence Ledger'!$T$14:$T$213,"&lt;&gt;Closed — No Action",'18 RCC-002 Evidence Ledger'!$T$14:$T$213,"&lt;&gt;Closed — Incorporated"))</x:f>
      </x:c>
      <x:c r="T119" s="1248"/>
      <x:c r="U119" s="1249"/>
      <x:c r="V119" s="1242"/>
      <x:c r="W119" s="1248"/>
      <x:c r="X119" s="1253" t="str">
        <x:f>IF($B119="","",IF($D119="Certified Portfolio Holding","CERTIFIED HOLDING",IF(OR($A119="",$D119="",$E119="",$F119="",$G119="",$H119="",$I119=""),"NOT ASSESSED",IF(OR($K119="",$L119&lt;&gt;"Active",$M119="OVERDUE",$M119="MATERIAL EVENT REVIEW",$N119="",$O119="",$W119=""),"NOT ELIGIBLE",IF(OR(AND($F119="Zacks Election",OR($T119="",$T119&lt;50)),OR($U119=4,$U119=5),$V119="No Rating",$V119="Restricted / Unavailable"),"ELIGIBLE WITH EXCEPTION","ELIGIBLE")))))</x:f>
      </x:c>
      <x:c r="Y119" s="1253" t="str">
        <x:f>IF($B119="","",IF($A119="","Canonical MASR ID required",IF(AND($D119&lt;&gt;"Certified Portfolio Holding",OR($K119="",$L119&lt;&gt;"Active",$M119&lt;&gt;"CURRENT",$N119="",$O119="",$W119="")),"Complete MIAR / scoring / empirical eligibility",IF(AND($F119="Zacks Election",OR($T119="",$T119&lt;50)),"Sub-$50B Zacks election exception",IF(OR($U119=4,$U119=5),"Zacks #4/#5 exception review",IF($V119="No Rating","Merrill No Rating exception",IF($V119="Restricted / Unavailable","Merrill restricted / unavailable exception","None")))))))</x:f>
      </x:c>
      <x:c r="Z119" s="1257" t="str">
        <x:f>IF($B119="","",COUNTIF('24 RCC-004 Candidate Pipeline'!$C$14:$C$213,$B119))</x:f>
      </x:c>
      <x:c r="AA119" s="1253" t="str">
        <x:f>IF($B119="","",IFERROR(INDEX('24 RCC-004 Candidate Pipeline'!$Y$14:$Y$213,MATCH($B119,'24 RCC-004 Candidate Pipeline'!$C$14:$C$213,0)),""))</x:f>
      </x:c>
      <x:c r="AB119" s="1242"/>
      <x:c r="AC119" s="1253" t="str">
        <x:f>IF($B119="","",IF(COUNTIFS('24 RCC-004 Candidate Pipeline'!$C$14:$C$213,$B119,'24 RCC-004 Candidate Pipeline'!$AF$14:$AF$213,"Yes — Refer to PEW-004")&gt;0,"REFERRED — PEW-004",IF($Z119&gt;0,"CANDIDATE RECORD ACTIVE","NO ACTIVE CANDIDATE")))</x:f>
      </x:c>
      <x:c r="AD119" s="1253" t="str">
        <x:f>IF($B119="","",IF($A119="","SETUP REQUIRED",IF(COUNTIF($A$14:$A$163,$A119)&gt;1,"DUPLICATE MASR ID",IF(COUNTIF($B$14:$B$163,$B119)&gt;1,"DUPLICATE TICKER",IF(OR($D119="",$E119="",$F119="",$G119="",$H119="",$I119=""),"INCOMPLETE",IF(OR($K119="",$L119=""),"MIAR SETUP REQUIRED",IF($X119="NOT ELIGIBLE","NOT ELIGIBLE",IF($Y119&lt;&gt;"None","EXCEPTION REVIEW",IF(AND($D119&lt;&gt;"Certified Portfolio Holding",OR($E119="Active — Approved Non-Holding",$E119="Conditional",$E119="Candidate — Committee Review"),OR($AB119="",$AB119="Pending")),"COMMITTEE DISPOSITION REQUIRED",IF(AND(OR($E119="Active — Approved Non-Holding",$E119="Conditional"),OR($AG119="",$AH119="")),"CERTIFICATION REQUIRED",IF(OR($E119="Rejected",$E119="Removed",$E119="Archived"),"INACTIVE / CLOSED","CONTROL CLEAR")))))))))))</x:f>
      </x:c>
      <x:c r="AE119" s="1253" t="str">
        <x:f>IF($AD119="","",IFERROR(INDEX('97 RCC Lists'!$AK$5:$AK$15,MATCH($AD119,'97 RCC Lists'!$AJ$5:$AJ$15,0)),"Review exception"))</x:f>
      </x:c>
      <x:c r="AF119" s="1251"/>
      <x:c r="AG119" s="1242"/>
      <x:c r="AH119" s="1251"/>
      <x:c r="AI119" s="1242"/>
    </x:row>
    <x:row r="120" ht="32" customHeight="1">
      <x:c r="A120" s="1242"/>
      <x:c r="B120" s="1242"/>
      <x:c r="C120" s="1242"/>
      <x:c r="D120" s="1242"/>
      <x:c r="E120" s="1242"/>
      <x:c r="F120" s="1242"/>
      <x:c r="G120" s="1242"/>
      <x:c r="H120" s="1242"/>
      <x:c r="I120" s="1242"/>
      <x:c r="J120" s="1259" t="str">
        <x:f>IF($B120="","",IFERROR(INDEX('Certified Allocation'!$F$5:$F$51,MATCH($B120,'Certified Allocation'!$B$5:$B$51,0)),""))</x:f>
      </x:c>
      <x:c r="K120" s="1243" t="str">
        <x:f>IF($B120="","",IFERROR(INDEX('20 RCC-003 MIAR Registry'!$A$14:$A$60,MATCH($B120,'20 RCC-003 MIAR Registry'!$B$14:$B$60,0)),""))</x:f>
      </x:c>
      <x:c r="L120" s="1243" t="str">
        <x:f>IF($B120="","",IFERROR(INDEX('20 RCC-003 MIAR Registry'!$M$14:$M$60,MATCH($B120,'20 RCC-003 MIAR Registry'!$B$14:$B$60,0)),""))</x:f>
      </x:c>
      <x:c r="M120" s="1243" t="str">
        <x:f>IF($B120="","",IFERROR(INDEX('20 RCC-003 MIAR Registry'!$Z$14:$Z$60,MATCH($B120,'20 RCC-003 MIAR Registry'!$B$14:$B$60,0)),""))</x:f>
      </x:c>
      <x:c r="N120" s="1246" t="str">
        <x:f>IF($B120="","",IFERROR(INDEX('20 RCC-003 MIAR Registry'!$K$14:$K$60,MATCH($B120,'20 RCC-003 MIAR Registry'!$B$14:$B$60,0)),""))</x:f>
      </x:c>
      <x:c r="O120" s="1246" t="str">
        <x:f>IF($B120="","",IFERROR(INDEX('20 RCC-003 MIAR Registry'!$L$14:$L$60,MATCH($B120,'20 RCC-003 MIAR Registry'!$B$14:$B$60,0)),""))</x:f>
      </x:c>
      <x:c r="P120" s="1243" t="str">
        <x:f>IF($B120="","",IFERROR(INDEX('20 RCC-003 MIAR Registry'!$I$14:$I$60,MATCH($B120,'20 RCC-003 MIAR Registry'!$B$14:$B$60,0)),""))</x:f>
      </x:c>
      <x:c r="Q120" s="1243" t="str">
        <x:f>IF($B120="","",IFERROR(INDEX('20 RCC-003 MIAR Registry'!$J$14:$J$60,MATCH($B120,'20 RCC-003 MIAR Registry'!$B$14:$B$60,0)),""))</x:f>
      </x:c>
      <x:c r="R120" s="1247" t="str">
        <x:f>IF($B120="","",COUNTIF('18 RCC-002 Evidence Ledger'!$E$14:$E$213,$B120))</x:f>
      </x:c>
      <x:c r="S120" s="1247" t="str">
        <x:f>IF($B120="","",COUNTIFS('18 RCC-002 Evidence Ledger'!$E$14:$E$213,$B120,'18 RCC-002 Evidence Ledger'!$T$14:$T$213,"&lt;&gt;Closed — No Action",'18 RCC-002 Evidence Ledger'!$T$14:$T$213,"&lt;&gt;Closed — Incorporated"))</x:f>
      </x:c>
      <x:c r="T120" s="1248"/>
      <x:c r="U120" s="1249"/>
      <x:c r="V120" s="1242"/>
      <x:c r="W120" s="1248"/>
      <x:c r="X120" s="1244" t="str">
        <x:f>IF($B120="","",IF($D120="Certified Portfolio Holding","CERTIFIED HOLDING",IF(OR($A120="",$D120="",$E120="",$F120="",$G120="",$H120="",$I120=""),"NOT ASSESSED",IF(OR($K120="",$L120&lt;&gt;"Active",$M120="OVERDUE",$M120="MATERIAL EVENT REVIEW",$N120="",$O120="",$W120=""),"NOT ELIGIBLE",IF(OR(AND($F120="Zacks Election",OR($T120="",$T120&lt;50)),OR($U120=4,$U120=5),$V120="No Rating",$V120="Restricted / Unavailable"),"ELIGIBLE WITH EXCEPTION","ELIGIBLE")))))</x:f>
      </x:c>
      <x:c r="Y120" s="1244" t="str">
        <x:f>IF($B120="","",IF($A120="","Canonical MASR ID required",IF(AND($D120&lt;&gt;"Certified Portfolio Holding",OR($K120="",$L120&lt;&gt;"Active",$M120&lt;&gt;"CURRENT",$N120="",$O120="",$W120="")),"Complete MIAR / scoring / empirical eligibility",IF(AND($F120="Zacks Election",OR($T120="",$T120&lt;50)),"Sub-$50B Zacks election exception",IF(OR($U120=4,$U120=5),"Zacks #4/#5 exception review",IF($V120="No Rating","Merrill No Rating exception",IF($V120="Restricted / Unavailable","Merrill restricted / unavailable exception","None")))))))</x:f>
      </x:c>
      <x:c r="Z120" s="1250" t="str">
        <x:f>IF($B120="","",COUNTIF('24 RCC-004 Candidate Pipeline'!$C$14:$C$213,$B120))</x:f>
      </x:c>
      <x:c r="AA120" s="1244" t="str">
        <x:f>IF($B120="","",IFERROR(INDEX('24 RCC-004 Candidate Pipeline'!$Y$14:$Y$213,MATCH($B120,'24 RCC-004 Candidate Pipeline'!$C$14:$C$213,0)),""))</x:f>
      </x:c>
      <x:c r="AB120" s="1242"/>
      <x:c r="AC120" s="1244" t="str">
        <x:f>IF($B120="","",IF(COUNTIFS('24 RCC-004 Candidate Pipeline'!$C$14:$C$213,$B120,'24 RCC-004 Candidate Pipeline'!$AF$14:$AF$213,"Yes — Refer to PEW-004")&gt;0,"REFERRED — PEW-004",IF($Z120&gt;0,"CANDIDATE RECORD ACTIVE","NO ACTIVE CANDIDATE")))</x:f>
      </x:c>
      <x:c r="AD120" s="1244" t="str">
        <x:f>IF($B120="","",IF($A120="","SETUP REQUIRED",IF(COUNTIF($A$14:$A$163,$A120)&gt;1,"DUPLICATE MASR ID",IF(COUNTIF($B$14:$B$163,$B120)&gt;1,"DUPLICATE TICKER",IF(OR($D120="",$E120="",$F120="",$G120="",$H120="",$I120=""),"INCOMPLETE",IF(OR($K120="",$L120=""),"MIAR SETUP REQUIRED",IF($X120="NOT ELIGIBLE","NOT ELIGIBLE",IF($Y120&lt;&gt;"None","EXCEPTION REVIEW",IF(AND($D120&lt;&gt;"Certified Portfolio Holding",OR($E120="Active — Approved Non-Holding",$E120="Conditional",$E120="Candidate — Committee Review"),OR($AB120="",$AB120="Pending")),"COMMITTEE DISPOSITION REQUIRED",IF(AND(OR($E120="Active — Approved Non-Holding",$E120="Conditional"),OR($AG120="",$AH120="")),"CERTIFICATION REQUIRED",IF(OR($E120="Rejected",$E120="Removed",$E120="Archived"),"INACTIVE / CLOSED","CONTROL CLEAR")))))))))))</x:f>
      </x:c>
      <x:c r="AE120" s="1244" t="str">
        <x:f>IF($AD120="","",IFERROR(INDEX('97 RCC Lists'!$AK$5:$AK$15,MATCH($AD120,'97 RCC Lists'!$AJ$5:$AJ$15,0)),"Review exception"))</x:f>
      </x:c>
      <x:c r="AF120" s="1251"/>
      <x:c r="AG120" s="1242"/>
      <x:c r="AH120" s="1251"/>
      <x:c r="AI120" s="1242"/>
    </x:row>
    <x:row r="121" ht="32" customHeight="1">
      <x:c r="A121" s="1242"/>
      <x:c r="B121" s="1242"/>
      <x:c r="C121" s="1242"/>
      <x:c r="D121" s="1242"/>
      <x:c r="E121" s="1242"/>
      <x:c r="F121" s="1242"/>
      <x:c r="G121" s="1242"/>
      <x:c r="H121" s="1242"/>
      <x:c r="I121" s="1242"/>
      <x:c r="J121" s="1258" t="str">
        <x:f>IF($B121="","",IFERROR(INDEX('Certified Allocation'!$F$5:$F$51,MATCH($B121,'Certified Allocation'!$B$5:$B$51,0)),""))</x:f>
      </x:c>
      <x:c r="K121" s="1252" t="str">
        <x:f>IF($B121="","",IFERROR(INDEX('20 RCC-003 MIAR Registry'!$A$14:$A$60,MATCH($B121,'20 RCC-003 MIAR Registry'!$B$14:$B$60,0)),""))</x:f>
      </x:c>
      <x:c r="L121" s="1252" t="str">
        <x:f>IF($B121="","",IFERROR(INDEX('20 RCC-003 MIAR Registry'!$M$14:$M$60,MATCH($B121,'20 RCC-003 MIAR Registry'!$B$14:$B$60,0)),""))</x:f>
      </x:c>
      <x:c r="M121" s="1252" t="str">
        <x:f>IF($B121="","",IFERROR(INDEX('20 RCC-003 MIAR Registry'!$Z$14:$Z$60,MATCH($B121,'20 RCC-003 MIAR Registry'!$B$14:$B$60,0)),""))</x:f>
      </x:c>
      <x:c r="N121" s="1255" t="str">
        <x:f>IF($B121="","",IFERROR(INDEX('20 RCC-003 MIAR Registry'!$K$14:$K$60,MATCH($B121,'20 RCC-003 MIAR Registry'!$B$14:$B$60,0)),""))</x:f>
      </x:c>
      <x:c r="O121" s="1255" t="str">
        <x:f>IF($B121="","",IFERROR(INDEX('20 RCC-003 MIAR Registry'!$L$14:$L$60,MATCH($B121,'20 RCC-003 MIAR Registry'!$B$14:$B$60,0)),""))</x:f>
      </x:c>
      <x:c r="P121" s="1252" t="str">
        <x:f>IF($B121="","",IFERROR(INDEX('20 RCC-003 MIAR Registry'!$I$14:$I$60,MATCH($B121,'20 RCC-003 MIAR Registry'!$B$14:$B$60,0)),""))</x:f>
      </x:c>
      <x:c r="Q121" s="1252" t="str">
        <x:f>IF($B121="","",IFERROR(INDEX('20 RCC-003 MIAR Registry'!$J$14:$J$60,MATCH($B121,'20 RCC-003 MIAR Registry'!$B$14:$B$60,0)),""))</x:f>
      </x:c>
      <x:c r="R121" s="1256" t="str">
        <x:f>IF($B121="","",COUNTIF('18 RCC-002 Evidence Ledger'!$E$14:$E$213,$B121))</x:f>
      </x:c>
      <x:c r="S121" s="1256" t="str">
        <x:f>IF($B121="","",COUNTIFS('18 RCC-002 Evidence Ledger'!$E$14:$E$213,$B121,'18 RCC-002 Evidence Ledger'!$T$14:$T$213,"&lt;&gt;Closed — No Action",'18 RCC-002 Evidence Ledger'!$T$14:$T$213,"&lt;&gt;Closed — Incorporated"))</x:f>
      </x:c>
      <x:c r="T121" s="1248"/>
      <x:c r="U121" s="1249"/>
      <x:c r="V121" s="1242"/>
      <x:c r="W121" s="1248"/>
      <x:c r="X121" s="1253" t="str">
        <x:f>IF($B121="","",IF($D121="Certified Portfolio Holding","CERTIFIED HOLDING",IF(OR($A121="",$D121="",$E121="",$F121="",$G121="",$H121="",$I121=""),"NOT ASSESSED",IF(OR($K121="",$L121&lt;&gt;"Active",$M121="OVERDUE",$M121="MATERIAL EVENT REVIEW",$N121="",$O121="",$W121=""),"NOT ELIGIBLE",IF(OR(AND($F121="Zacks Election",OR($T121="",$T121&lt;50)),OR($U121=4,$U121=5),$V121="No Rating",$V121="Restricted / Unavailable"),"ELIGIBLE WITH EXCEPTION","ELIGIBLE")))))</x:f>
      </x:c>
      <x:c r="Y121" s="1253" t="str">
        <x:f>IF($B121="","",IF($A121="","Canonical MASR ID required",IF(AND($D121&lt;&gt;"Certified Portfolio Holding",OR($K121="",$L121&lt;&gt;"Active",$M121&lt;&gt;"CURRENT",$N121="",$O121="",$W121="")),"Complete MIAR / scoring / empirical eligibility",IF(AND($F121="Zacks Election",OR($T121="",$T121&lt;50)),"Sub-$50B Zacks election exception",IF(OR($U121=4,$U121=5),"Zacks #4/#5 exception review",IF($V121="No Rating","Merrill No Rating exception",IF($V121="Restricted / Unavailable","Merrill restricted / unavailable exception","None")))))))</x:f>
      </x:c>
      <x:c r="Z121" s="1257" t="str">
        <x:f>IF($B121="","",COUNTIF('24 RCC-004 Candidate Pipeline'!$C$14:$C$213,$B121))</x:f>
      </x:c>
      <x:c r="AA121" s="1253" t="str">
        <x:f>IF($B121="","",IFERROR(INDEX('24 RCC-004 Candidate Pipeline'!$Y$14:$Y$213,MATCH($B121,'24 RCC-004 Candidate Pipeline'!$C$14:$C$213,0)),""))</x:f>
      </x:c>
      <x:c r="AB121" s="1242"/>
      <x:c r="AC121" s="1253" t="str">
        <x:f>IF($B121="","",IF(COUNTIFS('24 RCC-004 Candidate Pipeline'!$C$14:$C$213,$B121,'24 RCC-004 Candidate Pipeline'!$AF$14:$AF$213,"Yes — Refer to PEW-004")&gt;0,"REFERRED — PEW-004",IF($Z121&gt;0,"CANDIDATE RECORD ACTIVE","NO ACTIVE CANDIDATE")))</x:f>
      </x:c>
      <x:c r="AD121" s="1253" t="str">
        <x:f>IF($B121="","",IF($A121="","SETUP REQUIRED",IF(COUNTIF($A$14:$A$163,$A121)&gt;1,"DUPLICATE MASR ID",IF(COUNTIF($B$14:$B$163,$B121)&gt;1,"DUPLICATE TICKER",IF(OR($D121="",$E121="",$F121="",$G121="",$H121="",$I121=""),"INCOMPLETE",IF(OR($K121="",$L121=""),"MIAR SETUP REQUIRED",IF($X121="NOT ELIGIBLE","NOT ELIGIBLE",IF($Y121&lt;&gt;"None","EXCEPTION REVIEW",IF(AND($D121&lt;&gt;"Certified Portfolio Holding",OR($E121="Active — Approved Non-Holding",$E121="Conditional",$E121="Candidate — Committee Review"),OR($AB121="",$AB121="Pending")),"COMMITTEE DISPOSITION REQUIRED",IF(AND(OR($E121="Active — Approved Non-Holding",$E121="Conditional"),OR($AG121="",$AH121="")),"CERTIFICATION REQUIRED",IF(OR($E121="Rejected",$E121="Removed",$E121="Archived"),"INACTIVE / CLOSED","CONTROL CLEAR")))))))))))</x:f>
      </x:c>
      <x:c r="AE121" s="1253" t="str">
        <x:f>IF($AD121="","",IFERROR(INDEX('97 RCC Lists'!$AK$5:$AK$15,MATCH($AD121,'97 RCC Lists'!$AJ$5:$AJ$15,0)),"Review exception"))</x:f>
      </x:c>
      <x:c r="AF121" s="1251"/>
      <x:c r="AG121" s="1242"/>
      <x:c r="AH121" s="1251"/>
      <x:c r="AI121" s="1242"/>
    </x:row>
    <x:row r="122" ht="32" customHeight="1">
      <x:c r="A122" s="1242"/>
      <x:c r="B122" s="1242"/>
      <x:c r="C122" s="1242"/>
      <x:c r="D122" s="1242"/>
      <x:c r="E122" s="1242"/>
      <x:c r="F122" s="1242"/>
      <x:c r="G122" s="1242"/>
      <x:c r="H122" s="1242"/>
      <x:c r="I122" s="1242"/>
      <x:c r="J122" s="1259" t="str">
        <x:f>IF($B122="","",IFERROR(INDEX('Certified Allocation'!$F$5:$F$51,MATCH($B122,'Certified Allocation'!$B$5:$B$51,0)),""))</x:f>
      </x:c>
      <x:c r="K122" s="1243" t="str">
        <x:f>IF($B122="","",IFERROR(INDEX('20 RCC-003 MIAR Registry'!$A$14:$A$60,MATCH($B122,'20 RCC-003 MIAR Registry'!$B$14:$B$60,0)),""))</x:f>
      </x:c>
      <x:c r="L122" s="1243" t="str">
        <x:f>IF($B122="","",IFERROR(INDEX('20 RCC-003 MIAR Registry'!$M$14:$M$60,MATCH($B122,'20 RCC-003 MIAR Registry'!$B$14:$B$60,0)),""))</x:f>
      </x:c>
      <x:c r="M122" s="1243" t="str">
        <x:f>IF($B122="","",IFERROR(INDEX('20 RCC-003 MIAR Registry'!$Z$14:$Z$60,MATCH($B122,'20 RCC-003 MIAR Registry'!$B$14:$B$60,0)),""))</x:f>
      </x:c>
      <x:c r="N122" s="1246" t="str">
        <x:f>IF($B122="","",IFERROR(INDEX('20 RCC-003 MIAR Registry'!$K$14:$K$60,MATCH($B122,'20 RCC-003 MIAR Registry'!$B$14:$B$60,0)),""))</x:f>
      </x:c>
      <x:c r="O122" s="1246" t="str">
        <x:f>IF($B122="","",IFERROR(INDEX('20 RCC-003 MIAR Registry'!$L$14:$L$60,MATCH($B122,'20 RCC-003 MIAR Registry'!$B$14:$B$60,0)),""))</x:f>
      </x:c>
      <x:c r="P122" s="1243" t="str">
        <x:f>IF($B122="","",IFERROR(INDEX('20 RCC-003 MIAR Registry'!$I$14:$I$60,MATCH($B122,'20 RCC-003 MIAR Registry'!$B$14:$B$60,0)),""))</x:f>
      </x:c>
      <x:c r="Q122" s="1243" t="str">
        <x:f>IF($B122="","",IFERROR(INDEX('20 RCC-003 MIAR Registry'!$J$14:$J$60,MATCH($B122,'20 RCC-003 MIAR Registry'!$B$14:$B$60,0)),""))</x:f>
      </x:c>
      <x:c r="R122" s="1247" t="str">
        <x:f>IF($B122="","",COUNTIF('18 RCC-002 Evidence Ledger'!$E$14:$E$213,$B122))</x:f>
      </x:c>
      <x:c r="S122" s="1247" t="str">
        <x:f>IF($B122="","",COUNTIFS('18 RCC-002 Evidence Ledger'!$E$14:$E$213,$B122,'18 RCC-002 Evidence Ledger'!$T$14:$T$213,"&lt;&gt;Closed — No Action",'18 RCC-002 Evidence Ledger'!$T$14:$T$213,"&lt;&gt;Closed — Incorporated"))</x:f>
      </x:c>
      <x:c r="T122" s="1248"/>
      <x:c r="U122" s="1249"/>
      <x:c r="V122" s="1242"/>
      <x:c r="W122" s="1248"/>
      <x:c r="X122" s="1244" t="str">
        <x:f>IF($B122="","",IF($D122="Certified Portfolio Holding","CERTIFIED HOLDING",IF(OR($A122="",$D122="",$E122="",$F122="",$G122="",$H122="",$I122=""),"NOT ASSESSED",IF(OR($K122="",$L122&lt;&gt;"Active",$M122="OVERDUE",$M122="MATERIAL EVENT REVIEW",$N122="",$O122="",$W122=""),"NOT ELIGIBLE",IF(OR(AND($F122="Zacks Election",OR($T122="",$T122&lt;50)),OR($U122=4,$U122=5),$V122="No Rating",$V122="Restricted / Unavailable"),"ELIGIBLE WITH EXCEPTION","ELIGIBLE")))))</x:f>
      </x:c>
      <x:c r="Y122" s="1244" t="str">
        <x:f>IF($B122="","",IF($A122="","Canonical MASR ID required",IF(AND($D122&lt;&gt;"Certified Portfolio Holding",OR($K122="",$L122&lt;&gt;"Active",$M122&lt;&gt;"CURRENT",$N122="",$O122="",$W122="")),"Complete MIAR / scoring / empirical eligibility",IF(AND($F122="Zacks Election",OR($T122="",$T122&lt;50)),"Sub-$50B Zacks election exception",IF(OR($U122=4,$U122=5),"Zacks #4/#5 exception review",IF($V122="No Rating","Merrill No Rating exception",IF($V122="Restricted / Unavailable","Merrill restricted / unavailable exception","None")))))))</x:f>
      </x:c>
      <x:c r="Z122" s="1250" t="str">
        <x:f>IF($B122="","",COUNTIF('24 RCC-004 Candidate Pipeline'!$C$14:$C$213,$B122))</x:f>
      </x:c>
      <x:c r="AA122" s="1244" t="str">
        <x:f>IF($B122="","",IFERROR(INDEX('24 RCC-004 Candidate Pipeline'!$Y$14:$Y$213,MATCH($B122,'24 RCC-004 Candidate Pipeline'!$C$14:$C$213,0)),""))</x:f>
      </x:c>
      <x:c r="AB122" s="1242"/>
      <x:c r="AC122" s="1244" t="str">
        <x:f>IF($B122="","",IF(COUNTIFS('24 RCC-004 Candidate Pipeline'!$C$14:$C$213,$B122,'24 RCC-004 Candidate Pipeline'!$AF$14:$AF$213,"Yes — Refer to PEW-004")&gt;0,"REFERRED — PEW-004",IF($Z122&gt;0,"CANDIDATE RECORD ACTIVE","NO ACTIVE CANDIDATE")))</x:f>
      </x:c>
      <x:c r="AD122" s="1244" t="str">
        <x:f>IF($B122="","",IF($A122="","SETUP REQUIRED",IF(COUNTIF($A$14:$A$163,$A122)&gt;1,"DUPLICATE MASR ID",IF(COUNTIF($B$14:$B$163,$B122)&gt;1,"DUPLICATE TICKER",IF(OR($D122="",$E122="",$F122="",$G122="",$H122="",$I122=""),"INCOMPLETE",IF(OR($K122="",$L122=""),"MIAR SETUP REQUIRED",IF($X122="NOT ELIGIBLE","NOT ELIGIBLE",IF($Y122&lt;&gt;"None","EXCEPTION REVIEW",IF(AND($D122&lt;&gt;"Certified Portfolio Holding",OR($E122="Active — Approved Non-Holding",$E122="Conditional",$E122="Candidate — Committee Review"),OR($AB122="",$AB122="Pending")),"COMMITTEE DISPOSITION REQUIRED",IF(AND(OR($E122="Active — Approved Non-Holding",$E122="Conditional"),OR($AG122="",$AH122="")),"CERTIFICATION REQUIRED",IF(OR($E122="Rejected",$E122="Removed",$E122="Archived"),"INACTIVE / CLOSED","CONTROL CLEAR")))))))))))</x:f>
      </x:c>
      <x:c r="AE122" s="1244" t="str">
        <x:f>IF($AD122="","",IFERROR(INDEX('97 RCC Lists'!$AK$5:$AK$15,MATCH($AD122,'97 RCC Lists'!$AJ$5:$AJ$15,0)),"Review exception"))</x:f>
      </x:c>
      <x:c r="AF122" s="1251"/>
      <x:c r="AG122" s="1242"/>
      <x:c r="AH122" s="1251"/>
      <x:c r="AI122" s="1242"/>
    </x:row>
    <x:row r="123" ht="32" customHeight="1">
      <x:c r="A123" s="1242"/>
      <x:c r="B123" s="1242"/>
      <x:c r="C123" s="1242"/>
      <x:c r="D123" s="1242"/>
      <x:c r="E123" s="1242"/>
      <x:c r="F123" s="1242"/>
      <x:c r="G123" s="1242"/>
      <x:c r="H123" s="1242"/>
      <x:c r="I123" s="1242"/>
      <x:c r="J123" s="1258" t="str">
        <x:f>IF($B123="","",IFERROR(INDEX('Certified Allocation'!$F$5:$F$51,MATCH($B123,'Certified Allocation'!$B$5:$B$51,0)),""))</x:f>
      </x:c>
      <x:c r="K123" s="1252" t="str">
        <x:f>IF($B123="","",IFERROR(INDEX('20 RCC-003 MIAR Registry'!$A$14:$A$60,MATCH($B123,'20 RCC-003 MIAR Registry'!$B$14:$B$60,0)),""))</x:f>
      </x:c>
      <x:c r="L123" s="1252" t="str">
        <x:f>IF($B123="","",IFERROR(INDEX('20 RCC-003 MIAR Registry'!$M$14:$M$60,MATCH($B123,'20 RCC-003 MIAR Registry'!$B$14:$B$60,0)),""))</x:f>
      </x:c>
      <x:c r="M123" s="1252" t="str">
        <x:f>IF($B123="","",IFERROR(INDEX('20 RCC-003 MIAR Registry'!$Z$14:$Z$60,MATCH($B123,'20 RCC-003 MIAR Registry'!$B$14:$B$60,0)),""))</x:f>
      </x:c>
      <x:c r="N123" s="1255" t="str">
        <x:f>IF($B123="","",IFERROR(INDEX('20 RCC-003 MIAR Registry'!$K$14:$K$60,MATCH($B123,'20 RCC-003 MIAR Registry'!$B$14:$B$60,0)),""))</x:f>
      </x:c>
      <x:c r="O123" s="1255" t="str">
        <x:f>IF($B123="","",IFERROR(INDEX('20 RCC-003 MIAR Registry'!$L$14:$L$60,MATCH($B123,'20 RCC-003 MIAR Registry'!$B$14:$B$60,0)),""))</x:f>
      </x:c>
      <x:c r="P123" s="1252" t="str">
        <x:f>IF($B123="","",IFERROR(INDEX('20 RCC-003 MIAR Registry'!$I$14:$I$60,MATCH($B123,'20 RCC-003 MIAR Registry'!$B$14:$B$60,0)),""))</x:f>
      </x:c>
      <x:c r="Q123" s="1252" t="str">
        <x:f>IF($B123="","",IFERROR(INDEX('20 RCC-003 MIAR Registry'!$J$14:$J$60,MATCH($B123,'20 RCC-003 MIAR Registry'!$B$14:$B$60,0)),""))</x:f>
      </x:c>
      <x:c r="R123" s="1256" t="str">
        <x:f>IF($B123="","",COUNTIF('18 RCC-002 Evidence Ledger'!$E$14:$E$213,$B123))</x:f>
      </x:c>
      <x:c r="S123" s="1256" t="str">
        <x:f>IF($B123="","",COUNTIFS('18 RCC-002 Evidence Ledger'!$E$14:$E$213,$B123,'18 RCC-002 Evidence Ledger'!$T$14:$T$213,"&lt;&gt;Closed — No Action",'18 RCC-002 Evidence Ledger'!$T$14:$T$213,"&lt;&gt;Closed — Incorporated"))</x:f>
      </x:c>
      <x:c r="T123" s="1248"/>
      <x:c r="U123" s="1249"/>
      <x:c r="V123" s="1242"/>
      <x:c r="W123" s="1248"/>
      <x:c r="X123" s="1253" t="str">
        <x:f>IF($B123="","",IF($D123="Certified Portfolio Holding","CERTIFIED HOLDING",IF(OR($A123="",$D123="",$E123="",$F123="",$G123="",$H123="",$I123=""),"NOT ASSESSED",IF(OR($K123="",$L123&lt;&gt;"Active",$M123="OVERDUE",$M123="MATERIAL EVENT REVIEW",$N123="",$O123="",$W123=""),"NOT ELIGIBLE",IF(OR(AND($F123="Zacks Election",OR($T123="",$T123&lt;50)),OR($U123=4,$U123=5),$V123="No Rating",$V123="Restricted / Unavailable"),"ELIGIBLE WITH EXCEPTION","ELIGIBLE")))))</x:f>
      </x:c>
      <x:c r="Y123" s="1253" t="str">
        <x:f>IF($B123="","",IF($A123="","Canonical MASR ID required",IF(AND($D123&lt;&gt;"Certified Portfolio Holding",OR($K123="",$L123&lt;&gt;"Active",$M123&lt;&gt;"CURRENT",$N123="",$O123="",$W123="")),"Complete MIAR / scoring / empirical eligibility",IF(AND($F123="Zacks Election",OR($T123="",$T123&lt;50)),"Sub-$50B Zacks election exception",IF(OR($U123=4,$U123=5),"Zacks #4/#5 exception review",IF($V123="No Rating","Merrill No Rating exception",IF($V123="Restricted / Unavailable","Merrill restricted / unavailable exception","None")))))))</x:f>
      </x:c>
      <x:c r="Z123" s="1257" t="str">
        <x:f>IF($B123="","",COUNTIF('24 RCC-004 Candidate Pipeline'!$C$14:$C$213,$B123))</x:f>
      </x:c>
      <x:c r="AA123" s="1253" t="str">
        <x:f>IF($B123="","",IFERROR(INDEX('24 RCC-004 Candidate Pipeline'!$Y$14:$Y$213,MATCH($B123,'24 RCC-004 Candidate Pipeline'!$C$14:$C$213,0)),""))</x:f>
      </x:c>
      <x:c r="AB123" s="1242"/>
      <x:c r="AC123" s="1253" t="str">
        <x:f>IF($B123="","",IF(COUNTIFS('24 RCC-004 Candidate Pipeline'!$C$14:$C$213,$B123,'24 RCC-004 Candidate Pipeline'!$AF$14:$AF$213,"Yes — Refer to PEW-004")&gt;0,"REFERRED — PEW-004",IF($Z123&gt;0,"CANDIDATE RECORD ACTIVE","NO ACTIVE CANDIDATE")))</x:f>
      </x:c>
      <x:c r="AD123" s="1253" t="str">
        <x:f>IF($B123="","",IF($A123="","SETUP REQUIRED",IF(COUNTIF($A$14:$A$163,$A123)&gt;1,"DUPLICATE MASR ID",IF(COUNTIF($B$14:$B$163,$B123)&gt;1,"DUPLICATE TICKER",IF(OR($D123="",$E123="",$F123="",$G123="",$H123="",$I123=""),"INCOMPLETE",IF(OR($K123="",$L123=""),"MIAR SETUP REQUIRED",IF($X123="NOT ELIGIBLE","NOT ELIGIBLE",IF($Y123&lt;&gt;"None","EXCEPTION REVIEW",IF(AND($D123&lt;&gt;"Certified Portfolio Holding",OR($E123="Active — Approved Non-Holding",$E123="Conditional",$E123="Candidate — Committee Review"),OR($AB123="",$AB123="Pending")),"COMMITTEE DISPOSITION REQUIRED",IF(AND(OR($E123="Active — Approved Non-Holding",$E123="Conditional"),OR($AG123="",$AH123="")),"CERTIFICATION REQUIRED",IF(OR($E123="Rejected",$E123="Removed",$E123="Archived"),"INACTIVE / CLOSED","CONTROL CLEAR")))))))))))</x:f>
      </x:c>
      <x:c r="AE123" s="1253" t="str">
        <x:f>IF($AD123="","",IFERROR(INDEX('97 RCC Lists'!$AK$5:$AK$15,MATCH($AD123,'97 RCC Lists'!$AJ$5:$AJ$15,0)),"Review exception"))</x:f>
      </x:c>
      <x:c r="AF123" s="1251"/>
      <x:c r="AG123" s="1242"/>
      <x:c r="AH123" s="1251"/>
      <x:c r="AI123" s="1242"/>
    </x:row>
    <x:row r="124" ht="32" customHeight="1">
      <x:c r="A124" s="1242"/>
      <x:c r="B124" s="1242"/>
      <x:c r="C124" s="1242"/>
      <x:c r="D124" s="1242"/>
      <x:c r="E124" s="1242"/>
      <x:c r="F124" s="1242"/>
      <x:c r="G124" s="1242"/>
      <x:c r="H124" s="1242"/>
      <x:c r="I124" s="1242"/>
      <x:c r="J124" s="1259" t="str">
        <x:f>IF($B124="","",IFERROR(INDEX('Certified Allocation'!$F$5:$F$51,MATCH($B124,'Certified Allocation'!$B$5:$B$51,0)),""))</x:f>
      </x:c>
      <x:c r="K124" s="1243" t="str">
        <x:f>IF($B124="","",IFERROR(INDEX('20 RCC-003 MIAR Registry'!$A$14:$A$60,MATCH($B124,'20 RCC-003 MIAR Registry'!$B$14:$B$60,0)),""))</x:f>
      </x:c>
      <x:c r="L124" s="1243" t="str">
        <x:f>IF($B124="","",IFERROR(INDEX('20 RCC-003 MIAR Registry'!$M$14:$M$60,MATCH($B124,'20 RCC-003 MIAR Registry'!$B$14:$B$60,0)),""))</x:f>
      </x:c>
      <x:c r="M124" s="1243" t="str">
        <x:f>IF($B124="","",IFERROR(INDEX('20 RCC-003 MIAR Registry'!$Z$14:$Z$60,MATCH($B124,'20 RCC-003 MIAR Registry'!$B$14:$B$60,0)),""))</x:f>
      </x:c>
      <x:c r="N124" s="1246" t="str">
        <x:f>IF($B124="","",IFERROR(INDEX('20 RCC-003 MIAR Registry'!$K$14:$K$60,MATCH($B124,'20 RCC-003 MIAR Registry'!$B$14:$B$60,0)),""))</x:f>
      </x:c>
      <x:c r="O124" s="1246" t="str">
        <x:f>IF($B124="","",IFERROR(INDEX('20 RCC-003 MIAR Registry'!$L$14:$L$60,MATCH($B124,'20 RCC-003 MIAR Registry'!$B$14:$B$60,0)),""))</x:f>
      </x:c>
      <x:c r="P124" s="1243" t="str">
        <x:f>IF($B124="","",IFERROR(INDEX('20 RCC-003 MIAR Registry'!$I$14:$I$60,MATCH($B124,'20 RCC-003 MIAR Registry'!$B$14:$B$60,0)),""))</x:f>
      </x:c>
      <x:c r="Q124" s="1243" t="str">
        <x:f>IF($B124="","",IFERROR(INDEX('20 RCC-003 MIAR Registry'!$J$14:$J$60,MATCH($B124,'20 RCC-003 MIAR Registry'!$B$14:$B$60,0)),""))</x:f>
      </x:c>
      <x:c r="R124" s="1247" t="str">
        <x:f>IF($B124="","",COUNTIF('18 RCC-002 Evidence Ledger'!$E$14:$E$213,$B124))</x:f>
      </x:c>
      <x:c r="S124" s="1247" t="str">
        <x:f>IF($B124="","",COUNTIFS('18 RCC-002 Evidence Ledger'!$E$14:$E$213,$B124,'18 RCC-002 Evidence Ledger'!$T$14:$T$213,"&lt;&gt;Closed — No Action",'18 RCC-002 Evidence Ledger'!$T$14:$T$213,"&lt;&gt;Closed — Incorporated"))</x:f>
      </x:c>
      <x:c r="T124" s="1248"/>
      <x:c r="U124" s="1249"/>
      <x:c r="V124" s="1242"/>
      <x:c r="W124" s="1248"/>
      <x:c r="X124" s="1244" t="str">
        <x:f>IF($B124="","",IF($D124="Certified Portfolio Holding","CERTIFIED HOLDING",IF(OR($A124="",$D124="",$E124="",$F124="",$G124="",$H124="",$I124=""),"NOT ASSESSED",IF(OR($K124="",$L124&lt;&gt;"Active",$M124="OVERDUE",$M124="MATERIAL EVENT REVIEW",$N124="",$O124="",$W124=""),"NOT ELIGIBLE",IF(OR(AND($F124="Zacks Election",OR($T124="",$T124&lt;50)),OR($U124=4,$U124=5),$V124="No Rating",$V124="Restricted / Unavailable"),"ELIGIBLE WITH EXCEPTION","ELIGIBLE")))))</x:f>
      </x:c>
      <x:c r="Y124" s="1244" t="str">
        <x:f>IF($B124="","",IF($A124="","Canonical MASR ID required",IF(AND($D124&lt;&gt;"Certified Portfolio Holding",OR($K124="",$L124&lt;&gt;"Active",$M124&lt;&gt;"CURRENT",$N124="",$O124="",$W124="")),"Complete MIAR / scoring / empirical eligibility",IF(AND($F124="Zacks Election",OR($T124="",$T124&lt;50)),"Sub-$50B Zacks election exception",IF(OR($U124=4,$U124=5),"Zacks #4/#5 exception review",IF($V124="No Rating","Merrill No Rating exception",IF($V124="Restricted / Unavailable","Merrill restricted / unavailable exception","None")))))))</x:f>
      </x:c>
      <x:c r="Z124" s="1250" t="str">
        <x:f>IF($B124="","",COUNTIF('24 RCC-004 Candidate Pipeline'!$C$14:$C$213,$B124))</x:f>
      </x:c>
      <x:c r="AA124" s="1244" t="str">
        <x:f>IF($B124="","",IFERROR(INDEX('24 RCC-004 Candidate Pipeline'!$Y$14:$Y$213,MATCH($B124,'24 RCC-004 Candidate Pipeline'!$C$14:$C$213,0)),""))</x:f>
      </x:c>
      <x:c r="AB124" s="1242"/>
      <x:c r="AC124" s="1244" t="str">
        <x:f>IF($B124="","",IF(COUNTIFS('24 RCC-004 Candidate Pipeline'!$C$14:$C$213,$B124,'24 RCC-004 Candidate Pipeline'!$AF$14:$AF$213,"Yes — Refer to PEW-004")&gt;0,"REFERRED — PEW-004",IF($Z124&gt;0,"CANDIDATE RECORD ACTIVE","NO ACTIVE CANDIDATE")))</x:f>
      </x:c>
      <x:c r="AD124" s="1244" t="str">
        <x:f>IF($B124="","",IF($A124="","SETUP REQUIRED",IF(COUNTIF($A$14:$A$163,$A124)&gt;1,"DUPLICATE MASR ID",IF(COUNTIF($B$14:$B$163,$B124)&gt;1,"DUPLICATE TICKER",IF(OR($D124="",$E124="",$F124="",$G124="",$H124="",$I124=""),"INCOMPLETE",IF(OR($K124="",$L124=""),"MIAR SETUP REQUIRED",IF($X124="NOT ELIGIBLE","NOT ELIGIBLE",IF($Y124&lt;&gt;"None","EXCEPTION REVIEW",IF(AND($D124&lt;&gt;"Certified Portfolio Holding",OR($E124="Active — Approved Non-Holding",$E124="Conditional",$E124="Candidate — Committee Review"),OR($AB124="",$AB124="Pending")),"COMMITTEE DISPOSITION REQUIRED",IF(AND(OR($E124="Active — Approved Non-Holding",$E124="Conditional"),OR($AG124="",$AH124="")),"CERTIFICATION REQUIRED",IF(OR($E124="Rejected",$E124="Removed",$E124="Archived"),"INACTIVE / CLOSED","CONTROL CLEAR")))))))))))</x:f>
      </x:c>
      <x:c r="AE124" s="1244" t="str">
        <x:f>IF($AD124="","",IFERROR(INDEX('97 RCC Lists'!$AK$5:$AK$15,MATCH($AD124,'97 RCC Lists'!$AJ$5:$AJ$15,0)),"Review exception"))</x:f>
      </x:c>
      <x:c r="AF124" s="1251"/>
      <x:c r="AG124" s="1242"/>
      <x:c r="AH124" s="1251"/>
      <x:c r="AI124" s="1242"/>
    </x:row>
    <x:row r="125" ht="32" customHeight="1">
      <x:c r="A125" s="1242"/>
      <x:c r="B125" s="1242"/>
      <x:c r="C125" s="1242"/>
      <x:c r="D125" s="1242"/>
      <x:c r="E125" s="1242"/>
      <x:c r="F125" s="1242"/>
      <x:c r="G125" s="1242"/>
      <x:c r="H125" s="1242"/>
      <x:c r="I125" s="1242"/>
      <x:c r="J125" s="1258" t="str">
        <x:f>IF($B125="","",IFERROR(INDEX('Certified Allocation'!$F$5:$F$51,MATCH($B125,'Certified Allocation'!$B$5:$B$51,0)),""))</x:f>
      </x:c>
      <x:c r="K125" s="1252" t="str">
        <x:f>IF($B125="","",IFERROR(INDEX('20 RCC-003 MIAR Registry'!$A$14:$A$60,MATCH($B125,'20 RCC-003 MIAR Registry'!$B$14:$B$60,0)),""))</x:f>
      </x:c>
      <x:c r="L125" s="1252" t="str">
        <x:f>IF($B125="","",IFERROR(INDEX('20 RCC-003 MIAR Registry'!$M$14:$M$60,MATCH($B125,'20 RCC-003 MIAR Registry'!$B$14:$B$60,0)),""))</x:f>
      </x:c>
      <x:c r="M125" s="1252" t="str">
        <x:f>IF($B125="","",IFERROR(INDEX('20 RCC-003 MIAR Registry'!$Z$14:$Z$60,MATCH($B125,'20 RCC-003 MIAR Registry'!$B$14:$B$60,0)),""))</x:f>
      </x:c>
      <x:c r="N125" s="1255" t="str">
        <x:f>IF($B125="","",IFERROR(INDEX('20 RCC-003 MIAR Registry'!$K$14:$K$60,MATCH($B125,'20 RCC-003 MIAR Registry'!$B$14:$B$60,0)),""))</x:f>
      </x:c>
      <x:c r="O125" s="1255" t="str">
        <x:f>IF($B125="","",IFERROR(INDEX('20 RCC-003 MIAR Registry'!$L$14:$L$60,MATCH($B125,'20 RCC-003 MIAR Registry'!$B$14:$B$60,0)),""))</x:f>
      </x:c>
      <x:c r="P125" s="1252" t="str">
        <x:f>IF($B125="","",IFERROR(INDEX('20 RCC-003 MIAR Registry'!$I$14:$I$60,MATCH($B125,'20 RCC-003 MIAR Registry'!$B$14:$B$60,0)),""))</x:f>
      </x:c>
      <x:c r="Q125" s="1252" t="str">
        <x:f>IF($B125="","",IFERROR(INDEX('20 RCC-003 MIAR Registry'!$J$14:$J$60,MATCH($B125,'20 RCC-003 MIAR Registry'!$B$14:$B$60,0)),""))</x:f>
      </x:c>
      <x:c r="R125" s="1256" t="str">
        <x:f>IF($B125="","",COUNTIF('18 RCC-002 Evidence Ledger'!$E$14:$E$213,$B125))</x:f>
      </x:c>
      <x:c r="S125" s="1256" t="str">
        <x:f>IF($B125="","",COUNTIFS('18 RCC-002 Evidence Ledger'!$E$14:$E$213,$B125,'18 RCC-002 Evidence Ledger'!$T$14:$T$213,"&lt;&gt;Closed — No Action",'18 RCC-002 Evidence Ledger'!$T$14:$T$213,"&lt;&gt;Closed — Incorporated"))</x:f>
      </x:c>
      <x:c r="T125" s="1248"/>
      <x:c r="U125" s="1249"/>
      <x:c r="V125" s="1242"/>
      <x:c r="W125" s="1248"/>
      <x:c r="X125" s="1253" t="str">
        <x:f>IF($B125="","",IF($D125="Certified Portfolio Holding","CERTIFIED HOLDING",IF(OR($A125="",$D125="",$E125="",$F125="",$G125="",$H125="",$I125=""),"NOT ASSESSED",IF(OR($K125="",$L125&lt;&gt;"Active",$M125="OVERDUE",$M125="MATERIAL EVENT REVIEW",$N125="",$O125="",$W125=""),"NOT ELIGIBLE",IF(OR(AND($F125="Zacks Election",OR($T125="",$T125&lt;50)),OR($U125=4,$U125=5),$V125="No Rating",$V125="Restricted / Unavailable"),"ELIGIBLE WITH EXCEPTION","ELIGIBLE")))))</x:f>
      </x:c>
      <x:c r="Y125" s="1253" t="str">
        <x:f>IF($B125="","",IF($A125="","Canonical MASR ID required",IF(AND($D125&lt;&gt;"Certified Portfolio Holding",OR($K125="",$L125&lt;&gt;"Active",$M125&lt;&gt;"CURRENT",$N125="",$O125="",$W125="")),"Complete MIAR / scoring / empirical eligibility",IF(AND($F125="Zacks Election",OR($T125="",$T125&lt;50)),"Sub-$50B Zacks election exception",IF(OR($U125=4,$U125=5),"Zacks #4/#5 exception review",IF($V125="No Rating","Merrill No Rating exception",IF($V125="Restricted / Unavailable","Merrill restricted / unavailable exception","None")))))))</x:f>
      </x:c>
      <x:c r="Z125" s="1257" t="str">
        <x:f>IF($B125="","",COUNTIF('24 RCC-004 Candidate Pipeline'!$C$14:$C$213,$B125))</x:f>
      </x:c>
      <x:c r="AA125" s="1253" t="str">
        <x:f>IF($B125="","",IFERROR(INDEX('24 RCC-004 Candidate Pipeline'!$Y$14:$Y$213,MATCH($B125,'24 RCC-004 Candidate Pipeline'!$C$14:$C$213,0)),""))</x:f>
      </x:c>
      <x:c r="AB125" s="1242"/>
      <x:c r="AC125" s="1253" t="str">
        <x:f>IF($B125="","",IF(COUNTIFS('24 RCC-004 Candidate Pipeline'!$C$14:$C$213,$B125,'24 RCC-004 Candidate Pipeline'!$AF$14:$AF$213,"Yes — Refer to PEW-004")&gt;0,"REFERRED — PEW-004",IF($Z125&gt;0,"CANDIDATE RECORD ACTIVE","NO ACTIVE CANDIDATE")))</x:f>
      </x:c>
      <x:c r="AD125" s="1253" t="str">
        <x:f>IF($B125="","",IF($A125="","SETUP REQUIRED",IF(COUNTIF($A$14:$A$163,$A125)&gt;1,"DUPLICATE MASR ID",IF(COUNTIF($B$14:$B$163,$B125)&gt;1,"DUPLICATE TICKER",IF(OR($D125="",$E125="",$F125="",$G125="",$H125="",$I125=""),"INCOMPLETE",IF(OR($K125="",$L125=""),"MIAR SETUP REQUIRED",IF($X125="NOT ELIGIBLE","NOT ELIGIBLE",IF($Y125&lt;&gt;"None","EXCEPTION REVIEW",IF(AND($D125&lt;&gt;"Certified Portfolio Holding",OR($E125="Active — Approved Non-Holding",$E125="Conditional",$E125="Candidate — Committee Review"),OR($AB125="",$AB125="Pending")),"COMMITTEE DISPOSITION REQUIRED",IF(AND(OR($E125="Active — Approved Non-Holding",$E125="Conditional"),OR($AG125="",$AH125="")),"CERTIFICATION REQUIRED",IF(OR($E125="Rejected",$E125="Removed",$E125="Archived"),"INACTIVE / CLOSED","CONTROL CLEAR")))))))))))</x:f>
      </x:c>
      <x:c r="AE125" s="1253" t="str">
        <x:f>IF($AD125="","",IFERROR(INDEX('97 RCC Lists'!$AK$5:$AK$15,MATCH($AD125,'97 RCC Lists'!$AJ$5:$AJ$15,0)),"Review exception"))</x:f>
      </x:c>
      <x:c r="AF125" s="1251"/>
      <x:c r="AG125" s="1242"/>
      <x:c r="AH125" s="1251"/>
      <x:c r="AI125" s="1242"/>
    </x:row>
    <x:row r="126" ht="32" customHeight="1">
      <x:c r="A126" s="1242"/>
      <x:c r="B126" s="1242"/>
      <x:c r="C126" s="1242"/>
      <x:c r="D126" s="1242"/>
      <x:c r="E126" s="1242"/>
      <x:c r="F126" s="1242"/>
      <x:c r="G126" s="1242"/>
      <x:c r="H126" s="1242"/>
      <x:c r="I126" s="1242"/>
      <x:c r="J126" s="1259" t="str">
        <x:f>IF($B126="","",IFERROR(INDEX('Certified Allocation'!$F$5:$F$51,MATCH($B126,'Certified Allocation'!$B$5:$B$51,0)),""))</x:f>
      </x:c>
      <x:c r="K126" s="1243" t="str">
        <x:f>IF($B126="","",IFERROR(INDEX('20 RCC-003 MIAR Registry'!$A$14:$A$60,MATCH($B126,'20 RCC-003 MIAR Registry'!$B$14:$B$60,0)),""))</x:f>
      </x:c>
      <x:c r="L126" s="1243" t="str">
        <x:f>IF($B126="","",IFERROR(INDEX('20 RCC-003 MIAR Registry'!$M$14:$M$60,MATCH($B126,'20 RCC-003 MIAR Registry'!$B$14:$B$60,0)),""))</x:f>
      </x:c>
      <x:c r="M126" s="1243" t="str">
        <x:f>IF($B126="","",IFERROR(INDEX('20 RCC-003 MIAR Registry'!$Z$14:$Z$60,MATCH($B126,'20 RCC-003 MIAR Registry'!$B$14:$B$60,0)),""))</x:f>
      </x:c>
      <x:c r="N126" s="1246" t="str">
        <x:f>IF($B126="","",IFERROR(INDEX('20 RCC-003 MIAR Registry'!$K$14:$K$60,MATCH($B126,'20 RCC-003 MIAR Registry'!$B$14:$B$60,0)),""))</x:f>
      </x:c>
      <x:c r="O126" s="1246" t="str">
        <x:f>IF($B126="","",IFERROR(INDEX('20 RCC-003 MIAR Registry'!$L$14:$L$60,MATCH($B126,'20 RCC-003 MIAR Registry'!$B$14:$B$60,0)),""))</x:f>
      </x:c>
      <x:c r="P126" s="1243" t="str">
        <x:f>IF($B126="","",IFERROR(INDEX('20 RCC-003 MIAR Registry'!$I$14:$I$60,MATCH($B126,'20 RCC-003 MIAR Registry'!$B$14:$B$60,0)),""))</x:f>
      </x:c>
      <x:c r="Q126" s="1243" t="str">
        <x:f>IF($B126="","",IFERROR(INDEX('20 RCC-003 MIAR Registry'!$J$14:$J$60,MATCH($B126,'20 RCC-003 MIAR Registry'!$B$14:$B$60,0)),""))</x:f>
      </x:c>
      <x:c r="R126" s="1247" t="str">
        <x:f>IF($B126="","",COUNTIF('18 RCC-002 Evidence Ledger'!$E$14:$E$213,$B126))</x:f>
      </x:c>
      <x:c r="S126" s="1247" t="str">
        <x:f>IF($B126="","",COUNTIFS('18 RCC-002 Evidence Ledger'!$E$14:$E$213,$B126,'18 RCC-002 Evidence Ledger'!$T$14:$T$213,"&lt;&gt;Closed — No Action",'18 RCC-002 Evidence Ledger'!$T$14:$T$213,"&lt;&gt;Closed — Incorporated"))</x:f>
      </x:c>
      <x:c r="T126" s="1248"/>
      <x:c r="U126" s="1249"/>
      <x:c r="V126" s="1242"/>
      <x:c r="W126" s="1248"/>
      <x:c r="X126" s="1244" t="str">
        <x:f>IF($B126="","",IF($D126="Certified Portfolio Holding","CERTIFIED HOLDING",IF(OR($A126="",$D126="",$E126="",$F126="",$G126="",$H126="",$I126=""),"NOT ASSESSED",IF(OR($K126="",$L126&lt;&gt;"Active",$M126="OVERDUE",$M126="MATERIAL EVENT REVIEW",$N126="",$O126="",$W126=""),"NOT ELIGIBLE",IF(OR(AND($F126="Zacks Election",OR($T126="",$T126&lt;50)),OR($U126=4,$U126=5),$V126="No Rating",$V126="Restricted / Unavailable"),"ELIGIBLE WITH EXCEPTION","ELIGIBLE")))))</x:f>
      </x:c>
      <x:c r="Y126" s="1244" t="str">
        <x:f>IF($B126="","",IF($A126="","Canonical MASR ID required",IF(AND($D126&lt;&gt;"Certified Portfolio Holding",OR($K126="",$L126&lt;&gt;"Active",$M126&lt;&gt;"CURRENT",$N126="",$O126="",$W126="")),"Complete MIAR / scoring / empirical eligibility",IF(AND($F126="Zacks Election",OR($T126="",$T126&lt;50)),"Sub-$50B Zacks election exception",IF(OR($U126=4,$U126=5),"Zacks #4/#5 exception review",IF($V126="No Rating","Merrill No Rating exception",IF($V126="Restricted / Unavailable","Merrill restricted / unavailable exception","None")))))))</x:f>
      </x:c>
      <x:c r="Z126" s="1250" t="str">
        <x:f>IF($B126="","",COUNTIF('24 RCC-004 Candidate Pipeline'!$C$14:$C$213,$B126))</x:f>
      </x:c>
      <x:c r="AA126" s="1244" t="str">
        <x:f>IF($B126="","",IFERROR(INDEX('24 RCC-004 Candidate Pipeline'!$Y$14:$Y$213,MATCH($B126,'24 RCC-004 Candidate Pipeline'!$C$14:$C$213,0)),""))</x:f>
      </x:c>
      <x:c r="AB126" s="1242"/>
      <x:c r="AC126" s="1244" t="str">
        <x:f>IF($B126="","",IF(COUNTIFS('24 RCC-004 Candidate Pipeline'!$C$14:$C$213,$B126,'24 RCC-004 Candidate Pipeline'!$AF$14:$AF$213,"Yes — Refer to PEW-004")&gt;0,"REFERRED — PEW-004",IF($Z126&gt;0,"CANDIDATE RECORD ACTIVE","NO ACTIVE CANDIDATE")))</x:f>
      </x:c>
      <x:c r="AD126" s="1244" t="str">
        <x:f>IF($B126="","",IF($A126="","SETUP REQUIRED",IF(COUNTIF($A$14:$A$163,$A126)&gt;1,"DUPLICATE MASR ID",IF(COUNTIF($B$14:$B$163,$B126)&gt;1,"DUPLICATE TICKER",IF(OR($D126="",$E126="",$F126="",$G126="",$H126="",$I126=""),"INCOMPLETE",IF(OR($K126="",$L126=""),"MIAR SETUP REQUIRED",IF($X126="NOT ELIGIBLE","NOT ELIGIBLE",IF($Y126&lt;&gt;"None","EXCEPTION REVIEW",IF(AND($D126&lt;&gt;"Certified Portfolio Holding",OR($E126="Active — Approved Non-Holding",$E126="Conditional",$E126="Candidate — Committee Review"),OR($AB126="",$AB126="Pending")),"COMMITTEE DISPOSITION REQUIRED",IF(AND(OR($E126="Active — Approved Non-Holding",$E126="Conditional"),OR($AG126="",$AH126="")),"CERTIFICATION REQUIRED",IF(OR($E126="Rejected",$E126="Removed",$E126="Archived"),"INACTIVE / CLOSED","CONTROL CLEAR")))))))))))</x:f>
      </x:c>
      <x:c r="AE126" s="1244" t="str">
        <x:f>IF($AD126="","",IFERROR(INDEX('97 RCC Lists'!$AK$5:$AK$15,MATCH($AD126,'97 RCC Lists'!$AJ$5:$AJ$15,0)),"Review exception"))</x:f>
      </x:c>
      <x:c r="AF126" s="1251"/>
      <x:c r="AG126" s="1242"/>
      <x:c r="AH126" s="1251"/>
      <x:c r="AI126" s="1242"/>
    </x:row>
    <x:row r="127" ht="32" customHeight="1">
      <x:c r="A127" s="1242"/>
      <x:c r="B127" s="1242"/>
      <x:c r="C127" s="1242"/>
      <x:c r="D127" s="1242"/>
      <x:c r="E127" s="1242"/>
      <x:c r="F127" s="1242"/>
      <x:c r="G127" s="1242"/>
      <x:c r="H127" s="1242"/>
      <x:c r="I127" s="1242"/>
      <x:c r="J127" s="1258" t="str">
        <x:f>IF($B127="","",IFERROR(INDEX('Certified Allocation'!$F$5:$F$51,MATCH($B127,'Certified Allocation'!$B$5:$B$51,0)),""))</x:f>
      </x:c>
      <x:c r="K127" s="1252" t="str">
        <x:f>IF($B127="","",IFERROR(INDEX('20 RCC-003 MIAR Registry'!$A$14:$A$60,MATCH($B127,'20 RCC-003 MIAR Registry'!$B$14:$B$60,0)),""))</x:f>
      </x:c>
      <x:c r="L127" s="1252" t="str">
        <x:f>IF($B127="","",IFERROR(INDEX('20 RCC-003 MIAR Registry'!$M$14:$M$60,MATCH($B127,'20 RCC-003 MIAR Registry'!$B$14:$B$60,0)),""))</x:f>
      </x:c>
      <x:c r="M127" s="1252" t="str">
        <x:f>IF($B127="","",IFERROR(INDEX('20 RCC-003 MIAR Registry'!$Z$14:$Z$60,MATCH($B127,'20 RCC-003 MIAR Registry'!$B$14:$B$60,0)),""))</x:f>
      </x:c>
      <x:c r="N127" s="1255" t="str">
        <x:f>IF($B127="","",IFERROR(INDEX('20 RCC-003 MIAR Registry'!$K$14:$K$60,MATCH($B127,'20 RCC-003 MIAR Registry'!$B$14:$B$60,0)),""))</x:f>
      </x:c>
      <x:c r="O127" s="1255" t="str">
        <x:f>IF($B127="","",IFERROR(INDEX('20 RCC-003 MIAR Registry'!$L$14:$L$60,MATCH($B127,'20 RCC-003 MIAR Registry'!$B$14:$B$60,0)),""))</x:f>
      </x:c>
      <x:c r="P127" s="1252" t="str">
        <x:f>IF($B127="","",IFERROR(INDEX('20 RCC-003 MIAR Registry'!$I$14:$I$60,MATCH($B127,'20 RCC-003 MIAR Registry'!$B$14:$B$60,0)),""))</x:f>
      </x:c>
      <x:c r="Q127" s="1252" t="str">
        <x:f>IF($B127="","",IFERROR(INDEX('20 RCC-003 MIAR Registry'!$J$14:$J$60,MATCH($B127,'20 RCC-003 MIAR Registry'!$B$14:$B$60,0)),""))</x:f>
      </x:c>
      <x:c r="R127" s="1256" t="str">
        <x:f>IF($B127="","",COUNTIF('18 RCC-002 Evidence Ledger'!$E$14:$E$213,$B127))</x:f>
      </x:c>
      <x:c r="S127" s="1256" t="str">
        <x:f>IF($B127="","",COUNTIFS('18 RCC-002 Evidence Ledger'!$E$14:$E$213,$B127,'18 RCC-002 Evidence Ledger'!$T$14:$T$213,"&lt;&gt;Closed — No Action",'18 RCC-002 Evidence Ledger'!$T$14:$T$213,"&lt;&gt;Closed — Incorporated"))</x:f>
      </x:c>
      <x:c r="T127" s="1248"/>
      <x:c r="U127" s="1249"/>
      <x:c r="V127" s="1242"/>
      <x:c r="W127" s="1248"/>
      <x:c r="X127" s="1253" t="str">
        <x:f>IF($B127="","",IF($D127="Certified Portfolio Holding","CERTIFIED HOLDING",IF(OR($A127="",$D127="",$E127="",$F127="",$G127="",$H127="",$I127=""),"NOT ASSESSED",IF(OR($K127="",$L127&lt;&gt;"Active",$M127="OVERDUE",$M127="MATERIAL EVENT REVIEW",$N127="",$O127="",$W127=""),"NOT ELIGIBLE",IF(OR(AND($F127="Zacks Election",OR($T127="",$T127&lt;50)),OR($U127=4,$U127=5),$V127="No Rating",$V127="Restricted / Unavailable"),"ELIGIBLE WITH EXCEPTION","ELIGIBLE")))))</x:f>
      </x:c>
      <x:c r="Y127" s="1253" t="str">
        <x:f>IF($B127="","",IF($A127="","Canonical MASR ID required",IF(AND($D127&lt;&gt;"Certified Portfolio Holding",OR($K127="",$L127&lt;&gt;"Active",$M127&lt;&gt;"CURRENT",$N127="",$O127="",$W127="")),"Complete MIAR / scoring / empirical eligibility",IF(AND($F127="Zacks Election",OR($T127="",$T127&lt;50)),"Sub-$50B Zacks election exception",IF(OR($U127=4,$U127=5),"Zacks #4/#5 exception review",IF($V127="No Rating","Merrill No Rating exception",IF($V127="Restricted / Unavailable","Merrill restricted / unavailable exception","None")))))))</x:f>
      </x:c>
      <x:c r="Z127" s="1257" t="str">
        <x:f>IF($B127="","",COUNTIF('24 RCC-004 Candidate Pipeline'!$C$14:$C$213,$B127))</x:f>
      </x:c>
      <x:c r="AA127" s="1253" t="str">
        <x:f>IF($B127="","",IFERROR(INDEX('24 RCC-004 Candidate Pipeline'!$Y$14:$Y$213,MATCH($B127,'24 RCC-004 Candidate Pipeline'!$C$14:$C$213,0)),""))</x:f>
      </x:c>
      <x:c r="AB127" s="1242"/>
      <x:c r="AC127" s="1253" t="str">
        <x:f>IF($B127="","",IF(COUNTIFS('24 RCC-004 Candidate Pipeline'!$C$14:$C$213,$B127,'24 RCC-004 Candidate Pipeline'!$AF$14:$AF$213,"Yes — Refer to PEW-004")&gt;0,"REFERRED — PEW-004",IF($Z127&gt;0,"CANDIDATE RECORD ACTIVE","NO ACTIVE CANDIDATE")))</x:f>
      </x:c>
      <x:c r="AD127" s="1253" t="str">
        <x:f>IF($B127="","",IF($A127="","SETUP REQUIRED",IF(COUNTIF($A$14:$A$163,$A127)&gt;1,"DUPLICATE MASR ID",IF(COUNTIF($B$14:$B$163,$B127)&gt;1,"DUPLICATE TICKER",IF(OR($D127="",$E127="",$F127="",$G127="",$H127="",$I127=""),"INCOMPLETE",IF(OR($K127="",$L127=""),"MIAR SETUP REQUIRED",IF($X127="NOT ELIGIBLE","NOT ELIGIBLE",IF($Y127&lt;&gt;"None","EXCEPTION REVIEW",IF(AND($D127&lt;&gt;"Certified Portfolio Holding",OR($E127="Active — Approved Non-Holding",$E127="Conditional",$E127="Candidate — Committee Review"),OR($AB127="",$AB127="Pending")),"COMMITTEE DISPOSITION REQUIRED",IF(AND(OR($E127="Active — Approved Non-Holding",$E127="Conditional"),OR($AG127="",$AH127="")),"CERTIFICATION REQUIRED",IF(OR($E127="Rejected",$E127="Removed",$E127="Archived"),"INACTIVE / CLOSED","CONTROL CLEAR")))))))))))</x:f>
      </x:c>
      <x:c r="AE127" s="1253" t="str">
        <x:f>IF($AD127="","",IFERROR(INDEX('97 RCC Lists'!$AK$5:$AK$15,MATCH($AD127,'97 RCC Lists'!$AJ$5:$AJ$15,0)),"Review exception"))</x:f>
      </x:c>
      <x:c r="AF127" s="1251"/>
      <x:c r="AG127" s="1242"/>
      <x:c r="AH127" s="1251"/>
      <x:c r="AI127" s="1242"/>
    </x:row>
    <x:row r="128" ht="32" customHeight="1">
      <x:c r="A128" s="1242"/>
      <x:c r="B128" s="1242"/>
      <x:c r="C128" s="1242"/>
      <x:c r="D128" s="1242"/>
      <x:c r="E128" s="1242"/>
      <x:c r="F128" s="1242"/>
      <x:c r="G128" s="1242"/>
      <x:c r="H128" s="1242"/>
      <x:c r="I128" s="1242"/>
      <x:c r="J128" s="1259" t="str">
        <x:f>IF($B128="","",IFERROR(INDEX('Certified Allocation'!$F$5:$F$51,MATCH($B128,'Certified Allocation'!$B$5:$B$51,0)),""))</x:f>
      </x:c>
      <x:c r="K128" s="1243" t="str">
        <x:f>IF($B128="","",IFERROR(INDEX('20 RCC-003 MIAR Registry'!$A$14:$A$60,MATCH($B128,'20 RCC-003 MIAR Registry'!$B$14:$B$60,0)),""))</x:f>
      </x:c>
      <x:c r="L128" s="1243" t="str">
        <x:f>IF($B128="","",IFERROR(INDEX('20 RCC-003 MIAR Registry'!$M$14:$M$60,MATCH($B128,'20 RCC-003 MIAR Registry'!$B$14:$B$60,0)),""))</x:f>
      </x:c>
      <x:c r="M128" s="1243" t="str">
        <x:f>IF($B128="","",IFERROR(INDEX('20 RCC-003 MIAR Registry'!$Z$14:$Z$60,MATCH($B128,'20 RCC-003 MIAR Registry'!$B$14:$B$60,0)),""))</x:f>
      </x:c>
      <x:c r="N128" s="1246" t="str">
        <x:f>IF($B128="","",IFERROR(INDEX('20 RCC-003 MIAR Registry'!$K$14:$K$60,MATCH($B128,'20 RCC-003 MIAR Registry'!$B$14:$B$60,0)),""))</x:f>
      </x:c>
      <x:c r="O128" s="1246" t="str">
        <x:f>IF($B128="","",IFERROR(INDEX('20 RCC-003 MIAR Registry'!$L$14:$L$60,MATCH($B128,'20 RCC-003 MIAR Registry'!$B$14:$B$60,0)),""))</x:f>
      </x:c>
      <x:c r="P128" s="1243" t="str">
        <x:f>IF($B128="","",IFERROR(INDEX('20 RCC-003 MIAR Registry'!$I$14:$I$60,MATCH($B128,'20 RCC-003 MIAR Registry'!$B$14:$B$60,0)),""))</x:f>
      </x:c>
      <x:c r="Q128" s="1243" t="str">
        <x:f>IF($B128="","",IFERROR(INDEX('20 RCC-003 MIAR Registry'!$J$14:$J$60,MATCH($B128,'20 RCC-003 MIAR Registry'!$B$14:$B$60,0)),""))</x:f>
      </x:c>
      <x:c r="R128" s="1247" t="str">
        <x:f>IF($B128="","",COUNTIF('18 RCC-002 Evidence Ledger'!$E$14:$E$213,$B128))</x:f>
      </x:c>
      <x:c r="S128" s="1247" t="str">
        <x:f>IF($B128="","",COUNTIFS('18 RCC-002 Evidence Ledger'!$E$14:$E$213,$B128,'18 RCC-002 Evidence Ledger'!$T$14:$T$213,"&lt;&gt;Closed — No Action",'18 RCC-002 Evidence Ledger'!$T$14:$T$213,"&lt;&gt;Closed — Incorporated"))</x:f>
      </x:c>
      <x:c r="T128" s="1248"/>
      <x:c r="U128" s="1249"/>
      <x:c r="V128" s="1242"/>
      <x:c r="W128" s="1248"/>
      <x:c r="X128" s="1244" t="str">
        <x:f>IF($B128="","",IF($D128="Certified Portfolio Holding","CERTIFIED HOLDING",IF(OR($A128="",$D128="",$E128="",$F128="",$G128="",$H128="",$I128=""),"NOT ASSESSED",IF(OR($K128="",$L128&lt;&gt;"Active",$M128="OVERDUE",$M128="MATERIAL EVENT REVIEW",$N128="",$O128="",$W128=""),"NOT ELIGIBLE",IF(OR(AND($F128="Zacks Election",OR($T128="",$T128&lt;50)),OR($U128=4,$U128=5),$V128="No Rating",$V128="Restricted / Unavailable"),"ELIGIBLE WITH EXCEPTION","ELIGIBLE")))))</x:f>
      </x:c>
      <x:c r="Y128" s="1244" t="str">
        <x:f>IF($B128="","",IF($A128="","Canonical MASR ID required",IF(AND($D128&lt;&gt;"Certified Portfolio Holding",OR($K128="",$L128&lt;&gt;"Active",$M128&lt;&gt;"CURRENT",$N128="",$O128="",$W128="")),"Complete MIAR / scoring / empirical eligibility",IF(AND($F128="Zacks Election",OR($T128="",$T128&lt;50)),"Sub-$50B Zacks election exception",IF(OR($U128=4,$U128=5),"Zacks #4/#5 exception review",IF($V128="No Rating","Merrill No Rating exception",IF($V128="Restricted / Unavailable","Merrill restricted / unavailable exception","None")))))))</x:f>
      </x:c>
      <x:c r="Z128" s="1250" t="str">
        <x:f>IF($B128="","",COUNTIF('24 RCC-004 Candidate Pipeline'!$C$14:$C$213,$B128))</x:f>
      </x:c>
      <x:c r="AA128" s="1244" t="str">
        <x:f>IF($B128="","",IFERROR(INDEX('24 RCC-004 Candidate Pipeline'!$Y$14:$Y$213,MATCH($B128,'24 RCC-004 Candidate Pipeline'!$C$14:$C$213,0)),""))</x:f>
      </x:c>
      <x:c r="AB128" s="1242"/>
      <x:c r="AC128" s="1244" t="str">
        <x:f>IF($B128="","",IF(COUNTIFS('24 RCC-004 Candidate Pipeline'!$C$14:$C$213,$B128,'24 RCC-004 Candidate Pipeline'!$AF$14:$AF$213,"Yes — Refer to PEW-004")&gt;0,"REFERRED — PEW-004",IF($Z128&gt;0,"CANDIDATE RECORD ACTIVE","NO ACTIVE CANDIDATE")))</x:f>
      </x:c>
      <x:c r="AD128" s="1244" t="str">
        <x:f>IF($B128="","",IF($A128="","SETUP REQUIRED",IF(COUNTIF($A$14:$A$163,$A128)&gt;1,"DUPLICATE MASR ID",IF(COUNTIF($B$14:$B$163,$B128)&gt;1,"DUPLICATE TICKER",IF(OR($D128="",$E128="",$F128="",$G128="",$H128="",$I128=""),"INCOMPLETE",IF(OR($K128="",$L128=""),"MIAR SETUP REQUIRED",IF($X128="NOT ELIGIBLE","NOT ELIGIBLE",IF($Y128&lt;&gt;"None","EXCEPTION REVIEW",IF(AND($D128&lt;&gt;"Certified Portfolio Holding",OR($E128="Active — Approved Non-Holding",$E128="Conditional",$E128="Candidate — Committee Review"),OR($AB128="",$AB128="Pending")),"COMMITTEE DISPOSITION REQUIRED",IF(AND(OR($E128="Active — Approved Non-Holding",$E128="Conditional"),OR($AG128="",$AH128="")),"CERTIFICATION REQUIRED",IF(OR($E128="Rejected",$E128="Removed",$E128="Archived"),"INACTIVE / CLOSED","CONTROL CLEAR")))))))))))</x:f>
      </x:c>
      <x:c r="AE128" s="1244" t="str">
        <x:f>IF($AD128="","",IFERROR(INDEX('97 RCC Lists'!$AK$5:$AK$15,MATCH($AD128,'97 RCC Lists'!$AJ$5:$AJ$15,0)),"Review exception"))</x:f>
      </x:c>
      <x:c r="AF128" s="1251"/>
      <x:c r="AG128" s="1242"/>
      <x:c r="AH128" s="1251"/>
      <x:c r="AI128" s="1242"/>
    </x:row>
    <x:row r="129" ht="32" customHeight="1">
      <x:c r="A129" s="1242"/>
      <x:c r="B129" s="1242"/>
      <x:c r="C129" s="1242"/>
      <x:c r="D129" s="1242"/>
      <x:c r="E129" s="1242"/>
      <x:c r="F129" s="1242"/>
      <x:c r="G129" s="1242"/>
      <x:c r="H129" s="1242"/>
      <x:c r="I129" s="1242"/>
      <x:c r="J129" s="1258" t="str">
        <x:f>IF($B129="","",IFERROR(INDEX('Certified Allocation'!$F$5:$F$51,MATCH($B129,'Certified Allocation'!$B$5:$B$51,0)),""))</x:f>
      </x:c>
      <x:c r="K129" s="1252" t="str">
        <x:f>IF($B129="","",IFERROR(INDEX('20 RCC-003 MIAR Registry'!$A$14:$A$60,MATCH($B129,'20 RCC-003 MIAR Registry'!$B$14:$B$60,0)),""))</x:f>
      </x:c>
      <x:c r="L129" s="1252" t="str">
        <x:f>IF($B129="","",IFERROR(INDEX('20 RCC-003 MIAR Registry'!$M$14:$M$60,MATCH($B129,'20 RCC-003 MIAR Registry'!$B$14:$B$60,0)),""))</x:f>
      </x:c>
      <x:c r="M129" s="1252" t="str">
        <x:f>IF($B129="","",IFERROR(INDEX('20 RCC-003 MIAR Registry'!$Z$14:$Z$60,MATCH($B129,'20 RCC-003 MIAR Registry'!$B$14:$B$60,0)),""))</x:f>
      </x:c>
      <x:c r="N129" s="1255" t="str">
        <x:f>IF($B129="","",IFERROR(INDEX('20 RCC-003 MIAR Registry'!$K$14:$K$60,MATCH($B129,'20 RCC-003 MIAR Registry'!$B$14:$B$60,0)),""))</x:f>
      </x:c>
      <x:c r="O129" s="1255" t="str">
        <x:f>IF($B129="","",IFERROR(INDEX('20 RCC-003 MIAR Registry'!$L$14:$L$60,MATCH($B129,'20 RCC-003 MIAR Registry'!$B$14:$B$60,0)),""))</x:f>
      </x:c>
      <x:c r="P129" s="1252" t="str">
        <x:f>IF($B129="","",IFERROR(INDEX('20 RCC-003 MIAR Registry'!$I$14:$I$60,MATCH($B129,'20 RCC-003 MIAR Registry'!$B$14:$B$60,0)),""))</x:f>
      </x:c>
      <x:c r="Q129" s="1252" t="str">
        <x:f>IF($B129="","",IFERROR(INDEX('20 RCC-003 MIAR Registry'!$J$14:$J$60,MATCH($B129,'20 RCC-003 MIAR Registry'!$B$14:$B$60,0)),""))</x:f>
      </x:c>
      <x:c r="R129" s="1256" t="str">
        <x:f>IF($B129="","",COUNTIF('18 RCC-002 Evidence Ledger'!$E$14:$E$213,$B129))</x:f>
      </x:c>
      <x:c r="S129" s="1256" t="str">
        <x:f>IF($B129="","",COUNTIFS('18 RCC-002 Evidence Ledger'!$E$14:$E$213,$B129,'18 RCC-002 Evidence Ledger'!$T$14:$T$213,"&lt;&gt;Closed — No Action",'18 RCC-002 Evidence Ledger'!$T$14:$T$213,"&lt;&gt;Closed — Incorporated"))</x:f>
      </x:c>
      <x:c r="T129" s="1248"/>
      <x:c r="U129" s="1249"/>
      <x:c r="V129" s="1242"/>
      <x:c r="W129" s="1248"/>
      <x:c r="X129" s="1253" t="str">
        <x:f>IF($B129="","",IF($D129="Certified Portfolio Holding","CERTIFIED HOLDING",IF(OR($A129="",$D129="",$E129="",$F129="",$G129="",$H129="",$I129=""),"NOT ASSESSED",IF(OR($K129="",$L129&lt;&gt;"Active",$M129="OVERDUE",$M129="MATERIAL EVENT REVIEW",$N129="",$O129="",$W129=""),"NOT ELIGIBLE",IF(OR(AND($F129="Zacks Election",OR($T129="",$T129&lt;50)),OR($U129=4,$U129=5),$V129="No Rating",$V129="Restricted / Unavailable"),"ELIGIBLE WITH EXCEPTION","ELIGIBLE")))))</x:f>
      </x:c>
      <x:c r="Y129" s="1253" t="str">
        <x:f>IF($B129="","",IF($A129="","Canonical MASR ID required",IF(AND($D129&lt;&gt;"Certified Portfolio Holding",OR($K129="",$L129&lt;&gt;"Active",$M129&lt;&gt;"CURRENT",$N129="",$O129="",$W129="")),"Complete MIAR / scoring / empirical eligibility",IF(AND($F129="Zacks Election",OR($T129="",$T129&lt;50)),"Sub-$50B Zacks election exception",IF(OR($U129=4,$U129=5),"Zacks #4/#5 exception review",IF($V129="No Rating","Merrill No Rating exception",IF($V129="Restricted / Unavailable","Merrill restricted / unavailable exception","None")))))))</x:f>
      </x:c>
      <x:c r="Z129" s="1257" t="str">
        <x:f>IF($B129="","",COUNTIF('24 RCC-004 Candidate Pipeline'!$C$14:$C$213,$B129))</x:f>
      </x:c>
      <x:c r="AA129" s="1253" t="str">
        <x:f>IF($B129="","",IFERROR(INDEX('24 RCC-004 Candidate Pipeline'!$Y$14:$Y$213,MATCH($B129,'24 RCC-004 Candidate Pipeline'!$C$14:$C$213,0)),""))</x:f>
      </x:c>
      <x:c r="AB129" s="1242"/>
      <x:c r="AC129" s="1253" t="str">
        <x:f>IF($B129="","",IF(COUNTIFS('24 RCC-004 Candidate Pipeline'!$C$14:$C$213,$B129,'24 RCC-004 Candidate Pipeline'!$AF$14:$AF$213,"Yes — Refer to PEW-004")&gt;0,"REFERRED — PEW-004",IF($Z129&gt;0,"CANDIDATE RECORD ACTIVE","NO ACTIVE CANDIDATE")))</x:f>
      </x:c>
      <x:c r="AD129" s="1253" t="str">
        <x:f>IF($B129="","",IF($A129="","SETUP REQUIRED",IF(COUNTIF($A$14:$A$163,$A129)&gt;1,"DUPLICATE MASR ID",IF(COUNTIF($B$14:$B$163,$B129)&gt;1,"DUPLICATE TICKER",IF(OR($D129="",$E129="",$F129="",$G129="",$H129="",$I129=""),"INCOMPLETE",IF(OR($K129="",$L129=""),"MIAR SETUP REQUIRED",IF($X129="NOT ELIGIBLE","NOT ELIGIBLE",IF($Y129&lt;&gt;"None","EXCEPTION REVIEW",IF(AND($D129&lt;&gt;"Certified Portfolio Holding",OR($E129="Active — Approved Non-Holding",$E129="Conditional",$E129="Candidate — Committee Review"),OR($AB129="",$AB129="Pending")),"COMMITTEE DISPOSITION REQUIRED",IF(AND(OR($E129="Active — Approved Non-Holding",$E129="Conditional"),OR($AG129="",$AH129="")),"CERTIFICATION REQUIRED",IF(OR($E129="Rejected",$E129="Removed",$E129="Archived"),"INACTIVE / CLOSED","CONTROL CLEAR")))))))))))</x:f>
      </x:c>
      <x:c r="AE129" s="1253" t="str">
        <x:f>IF($AD129="","",IFERROR(INDEX('97 RCC Lists'!$AK$5:$AK$15,MATCH($AD129,'97 RCC Lists'!$AJ$5:$AJ$15,0)),"Review exception"))</x:f>
      </x:c>
      <x:c r="AF129" s="1251"/>
      <x:c r="AG129" s="1242"/>
      <x:c r="AH129" s="1251"/>
      <x:c r="AI129" s="1242"/>
    </x:row>
    <x:row r="130" ht="32" customHeight="1">
      <x:c r="A130" s="1242"/>
      <x:c r="B130" s="1242"/>
      <x:c r="C130" s="1242"/>
      <x:c r="D130" s="1242"/>
      <x:c r="E130" s="1242"/>
      <x:c r="F130" s="1242"/>
      <x:c r="G130" s="1242"/>
      <x:c r="H130" s="1242"/>
      <x:c r="I130" s="1242"/>
      <x:c r="J130" s="1259" t="str">
        <x:f>IF($B130="","",IFERROR(INDEX('Certified Allocation'!$F$5:$F$51,MATCH($B130,'Certified Allocation'!$B$5:$B$51,0)),""))</x:f>
      </x:c>
      <x:c r="K130" s="1243" t="str">
        <x:f>IF($B130="","",IFERROR(INDEX('20 RCC-003 MIAR Registry'!$A$14:$A$60,MATCH($B130,'20 RCC-003 MIAR Registry'!$B$14:$B$60,0)),""))</x:f>
      </x:c>
      <x:c r="L130" s="1243" t="str">
        <x:f>IF($B130="","",IFERROR(INDEX('20 RCC-003 MIAR Registry'!$M$14:$M$60,MATCH($B130,'20 RCC-003 MIAR Registry'!$B$14:$B$60,0)),""))</x:f>
      </x:c>
      <x:c r="M130" s="1243" t="str">
        <x:f>IF($B130="","",IFERROR(INDEX('20 RCC-003 MIAR Registry'!$Z$14:$Z$60,MATCH($B130,'20 RCC-003 MIAR Registry'!$B$14:$B$60,0)),""))</x:f>
      </x:c>
      <x:c r="N130" s="1246" t="str">
        <x:f>IF($B130="","",IFERROR(INDEX('20 RCC-003 MIAR Registry'!$K$14:$K$60,MATCH($B130,'20 RCC-003 MIAR Registry'!$B$14:$B$60,0)),""))</x:f>
      </x:c>
      <x:c r="O130" s="1246" t="str">
        <x:f>IF($B130="","",IFERROR(INDEX('20 RCC-003 MIAR Registry'!$L$14:$L$60,MATCH($B130,'20 RCC-003 MIAR Registry'!$B$14:$B$60,0)),""))</x:f>
      </x:c>
      <x:c r="P130" s="1243" t="str">
        <x:f>IF($B130="","",IFERROR(INDEX('20 RCC-003 MIAR Registry'!$I$14:$I$60,MATCH($B130,'20 RCC-003 MIAR Registry'!$B$14:$B$60,0)),""))</x:f>
      </x:c>
      <x:c r="Q130" s="1243" t="str">
        <x:f>IF($B130="","",IFERROR(INDEX('20 RCC-003 MIAR Registry'!$J$14:$J$60,MATCH($B130,'20 RCC-003 MIAR Registry'!$B$14:$B$60,0)),""))</x:f>
      </x:c>
      <x:c r="R130" s="1247" t="str">
        <x:f>IF($B130="","",COUNTIF('18 RCC-002 Evidence Ledger'!$E$14:$E$213,$B130))</x:f>
      </x:c>
      <x:c r="S130" s="1247" t="str">
        <x:f>IF($B130="","",COUNTIFS('18 RCC-002 Evidence Ledger'!$E$14:$E$213,$B130,'18 RCC-002 Evidence Ledger'!$T$14:$T$213,"&lt;&gt;Closed — No Action",'18 RCC-002 Evidence Ledger'!$T$14:$T$213,"&lt;&gt;Closed — Incorporated"))</x:f>
      </x:c>
      <x:c r="T130" s="1248"/>
      <x:c r="U130" s="1249"/>
      <x:c r="V130" s="1242"/>
      <x:c r="W130" s="1248"/>
      <x:c r="X130" s="1244" t="str">
        <x:f>IF($B130="","",IF($D130="Certified Portfolio Holding","CERTIFIED HOLDING",IF(OR($A130="",$D130="",$E130="",$F130="",$G130="",$H130="",$I130=""),"NOT ASSESSED",IF(OR($K130="",$L130&lt;&gt;"Active",$M130="OVERDUE",$M130="MATERIAL EVENT REVIEW",$N130="",$O130="",$W130=""),"NOT ELIGIBLE",IF(OR(AND($F130="Zacks Election",OR($T130="",$T130&lt;50)),OR($U130=4,$U130=5),$V130="No Rating",$V130="Restricted / Unavailable"),"ELIGIBLE WITH EXCEPTION","ELIGIBLE")))))</x:f>
      </x:c>
      <x:c r="Y130" s="1244" t="str">
        <x:f>IF($B130="","",IF($A130="","Canonical MASR ID required",IF(AND($D130&lt;&gt;"Certified Portfolio Holding",OR($K130="",$L130&lt;&gt;"Active",$M130&lt;&gt;"CURRENT",$N130="",$O130="",$W130="")),"Complete MIAR / scoring / empirical eligibility",IF(AND($F130="Zacks Election",OR($T130="",$T130&lt;50)),"Sub-$50B Zacks election exception",IF(OR($U130=4,$U130=5),"Zacks #4/#5 exception review",IF($V130="No Rating","Merrill No Rating exception",IF($V130="Restricted / Unavailable","Merrill restricted / unavailable exception","None")))))))</x:f>
      </x:c>
      <x:c r="Z130" s="1250" t="str">
        <x:f>IF($B130="","",COUNTIF('24 RCC-004 Candidate Pipeline'!$C$14:$C$213,$B130))</x:f>
      </x:c>
      <x:c r="AA130" s="1244" t="str">
        <x:f>IF($B130="","",IFERROR(INDEX('24 RCC-004 Candidate Pipeline'!$Y$14:$Y$213,MATCH($B130,'24 RCC-004 Candidate Pipeline'!$C$14:$C$213,0)),""))</x:f>
      </x:c>
      <x:c r="AB130" s="1242"/>
      <x:c r="AC130" s="1244" t="str">
        <x:f>IF($B130="","",IF(COUNTIFS('24 RCC-004 Candidate Pipeline'!$C$14:$C$213,$B130,'24 RCC-004 Candidate Pipeline'!$AF$14:$AF$213,"Yes — Refer to PEW-004")&gt;0,"REFERRED — PEW-004",IF($Z130&gt;0,"CANDIDATE RECORD ACTIVE","NO ACTIVE CANDIDATE")))</x:f>
      </x:c>
      <x:c r="AD130" s="1244" t="str">
        <x:f>IF($B130="","",IF($A130="","SETUP REQUIRED",IF(COUNTIF($A$14:$A$163,$A130)&gt;1,"DUPLICATE MASR ID",IF(COUNTIF($B$14:$B$163,$B130)&gt;1,"DUPLICATE TICKER",IF(OR($D130="",$E130="",$F130="",$G130="",$H130="",$I130=""),"INCOMPLETE",IF(OR($K130="",$L130=""),"MIAR SETUP REQUIRED",IF($X130="NOT ELIGIBLE","NOT ELIGIBLE",IF($Y130&lt;&gt;"None","EXCEPTION REVIEW",IF(AND($D130&lt;&gt;"Certified Portfolio Holding",OR($E130="Active — Approved Non-Holding",$E130="Conditional",$E130="Candidate — Committee Review"),OR($AB130="",$AB130="Pending")),"COMMITTEE DISPOSITION REQUIRED",IF(AND(OR($E130="Active — Approved Non-Holding",$E130="Conditional"),OR($AG130="",$AH130="")),"CERTIFICATION REQUIRED",IF(OR($E130="Rejected",$E130="Removed",$E130="Archived"),"INACTIVE / CLOSED","CONTROL CLEAR")))))))))))</x:f>
      </x:c>
      <x:c r="AE130" s="1244" t="str">
        <x:f>IF($AD130="","",IFERROR(INDEX('97 RCC Lists'!$AK$5:$AK$15,MATCH($AD130,'97 RCC Lists'!$AJ$5:$AJ$15,0)),"Review exception"))</x:f>
      </x:c>
      <x:c r="AF130" s="1251"/>
      <x:c r="AG130" s="1242"/>
      <x:c r="AH130" s="1251"/>
      <x:c r="AI130" s="1242"/>
    </x:row>
    <x:row r="131" ht="32" customHeight="1">
      <x:c r="A131" s="1242"/>
      <x:c r="B131" s="1242"/>
      <x:c r="C131" s="1242"/>
      <x:c r="D131" s="1242"/>
      <x:c r="E131" s="1242"/>
      <x:c r="F131" s="1242"/>
      <x:c r="G131" s="1242"/>
      <x:c r="H131" s="1242"/>
      <x:c r="I131" s="1242"/>
      <x:c r="J131" s="1258" t="str">
        <x:f>IF($B131="","",IFERROR(INDEX('Certified Allocation'!$F$5:$F$51,MATCH($B131,'Certified Allocation'!$B$5:$B$51,0)),""))</x:f>
      </x:c>
      <x:c r="K131" s="1252" t="str">
        <x:f>IF($B131="","",IFERROR(INDEX('20 RCC-003 MIAR Registry'!$A$14:$A$60,MATCH($B131,'20 RCC-003 MIAR Registry'!$B$14:$B$60,0)),""))</x:f>
      </x:c>
      <x:c r="L131" s="1252" t="str">
        <x:f>IF($B131="","",IFERROR(INDEX('20 RCC-003 MIAR Registry'!$M$14:$M$60,MATCH($B131,'20 RCC-003 MIAR Registry'!$B$14:$B$60,0)),""))</x:f>
      </x:c>
      <x:c r="M131" s="1252" t="str">
        <x:f>IF($B131="","",IFERROR(INDEX('20 RCC-003 MIAR Registry'!$Z$14:$Z$60,MATCH($B131,'20 RCC-003 MIAR Registry'!$B$14:$B$60,0)),""))</x:f>
      </x:c>
      <x:c r="N131" s="1255" t="str">
        <x:f>IF($B131="","",IFERROR(INDEX('20 RCC-003 MIAR Registry'!$K$14:$K$60,MATCH($B131,'20 RCC-003 MIAR Registry'!$B$14:$B$60,0)),""))</x:f>
      </x:c>
      <x:c r="O131" s="1255" t="str">
        <x:f>IF($B131="","",IFERROR(INDEX('20 RCC-003 MIAR Registry'!$L$14:$L$60,MATCH($B131,'20 RCC-003 MIAR Registry'!$B$14:$B$60,0)),""))</x:f>
      </x:c>
      <x:c r="P131" s="1252" t="str">
        <x:f>IF($B131="","",IFERROR(INDEX('20 RCC-003 MIAR Registry'!$I$14:$I$60,MATCH($B131,'20 RCC-003 MIAR Registry'!$B$14:$B$60,0)),""))</x:f>
      </x:c>
      <x:c r="Q131" s="1252" t="str">
        <x:f>IF($B131="","",IFERROR(INDEX('20 RCC-003 MIAR Registry'!$J$14:$J$60,MATCH($B131,'20 RCC-003 MIAR Registry'!$B$14:$B$60,0)),""))</x:f>
      </x:c>
      <x:c r="R131" s="1256" t="str">
        <x:f>IF($B131="","",COUNTIF('18 RCC-002 Evidence Ledger'!$E$14:$E$213,$B131))</x:f>
      </x:c>
      <x:c r="S131" s="1256" t="str">
        <x:f>IF($B131="","",COUNTIFS('18 RCC-002 Evidence Ledger'!$E$14:$E$213,$B131,'18 RCC-002 Evidence Ledger'!$T$14:$T$213,"&lt;&gt;Closed — No Action",'18 RCC-002 Evidence Ledger'!$T$14:$T$213,"&lt;&gt;Closed — Incorporated"))</x:f>
      </x:c>
      <x:c r="T131" s="1248"/>
      <x:c r="U131" s="1249"/>
      <x:c r="V131" s="1242"/>
      <x:c r="W131" s="1248"/>
      <x:c r="X131" s="1253" t="str">
        <x:f>IF($B131="","",IF($D131="Certified Portfolio Holding","CERTIFIED HOLDING",IF(OR($A131="",$D131="",$E131="",$F131="",$G131="",$H131="",$I131=""),"NOT ASSESSED",IF(OR($K131="",$L131&lt;&gt;"Active",$M131="OVERDUE",$M131="MATERIAL EVENT REVIEW",$N131="",$O131="",$W131=""),"NOT ELIGIBLE",IF(OR(AND($F131="Zacks Election",OR($T131="",$T131&lt;50)),OR($U131=4,$U131=5),$V131="No Rating",$V131="Restricted / Unavailable"),"ELIGIBLE WITH EXCEPTION","ELIGIBLE")))))</x:f>
      </x:c>
      <x:c r="Y131" s="1253" t="str">
        <x:f>IF($B131="","",IF($A131="","Canonical MASR ID required",IF(AND($D131&lt;&gt;"Certified Portfolio Holding",OR($K131="",$L131&lt;&gt;"Active",$M131&lt;&gt;"CURRENT",$N131="",$O131="",$W131="")),"Complete MIAR / scoring / empirical eligibility",IF(AND($F131="Zacks Election",OR($T131="",$T131&lt;50)),"Sub-$50B Zacks election exception",IF(OR($U131=4,$U131=5),"Zacks #4/#5 exception review",IF($V131="No Rating","Merrill No Rating exception",IF($V131="Restricted / Unavailable","Merrill restricted / unavailable exception","None")))))))</x:f>
      </x:c>
      <x:c r="Z131" s="1257" t="str">
        <x:f>IF($B131="","",COUNTIF('24 RCC-004 Candidate Pipeline'!$C$14:$C$213,$B131))</x:f>
      </x:c>
      <x:c r="AA131" s="1253" t="str">
        <x:f>IF($B131="","",IFERROR(INDEX('24 RCC-004 Candidate Pipeline'!$Y$14:$Y$213,MATCH($B131,'24 RCC-004 Candidate Pipeline'!$C$14:$C$213,0)),""))</x:f>
      </x:c>
      <x:c r="AB131" s="1242"/>
      <x:c r="AC131" s="1253" t="str">
        <x:f>IF($B131="","",IF(COUNTIFS('24 RCC-004 Candidate Pipeline'!$C$14:$C$213,$B131,'24 RCC-004 Candidate Pipeline'!$AF$14:$AF$213,"Yes — Refer to PEW-004")&gt;0,"REFERRED — PEW-004",IF($Z131&gt;0,"CANDIDATE RECORD ACTIVE","NO ACTIVE CANDIDATE")))</x:f>
      </x:c>
      <x:c r="AD131" s="1253" t="str">
        <x:f>IF($B131="","",IF($A131="","SETUP REQUIRED",IF(COUNTIF($A$14:$A$163,$A131)&gt;1,"DUPLICATE MASR ID",IF(COUNTIF($B$14:$B$163,$B131)&gt;1,"DUPLICATE TICKER",IF(OR($D131="",$E131="",$F131="",$G131="",$H131="",$I131=""),"INCOMPLETE",IF(OR($K131="",$L131=""),"MIAR SETUP REQUIRED",IF($X131="NOT ELIGIBLE","NOT ELIGIBLE",IF($Y131&lt;&gt;"None","EXCEPTION REVIEW",IF(AND($D131&lt;&gt;"Certified Portfolio Holding",OR($E131="Active — Approved Non-Holding",$E131="Conditional",$E131="Candidate — Committee Review"),OR($AB131="",$AB131="Pending")),"COMMITTEE DISPOSITION REQUIRED",IF(AND(OR($E131="Active — Approved Non-Holding",$E131="Conditional"),OR($AG131="",$AH131="")),"CERTIFICATION REQUIRED",IF(OR($E131="Rejected",$E131="Removed",$E131="Archived"),"INACTIVE / CLOSED","CONTROL CLEAR")))))))))))</x:f>
      </x:c>
      <x:c r="AE131" s="1253" t="str">
        <x:f>IF($AD131="","",IFERROR(INDEX('97 RCC Lists'!$AK$5:$AK$15,MATCH($AD131,'97 RCC Lists'!$AJ$5:$AJ$15,0)),"Review exception"))</x:f>
      </x:c>
      <x:c r="AF131" s="1251"/>
      <x:c r="AG131" s="1242"/>
      <x:c r="AH131" s="1251"/>
      <x:c r="AI131" s="1242"/>
    </x:row>
    <x:row r="132" ht="32" customHeight="1">
      <x:c r="A132" s="1242"/>
      <x:c r="B132" s="1242"/>
      <x:c r="C132" s="1242"/>
      <x:c r="D132" s="1242"/>
      <x:c r="E132" s="1242"/>
      <x:c r="F132" s="1242"/>
      <x:c r="G132" s="1242"/>
      <x:c r="H132" s="1242"/>
      <x:c r="I132" s="1242"/>
      <x:c r="J132" s="1259" t="str">
        <x:f>IF($B132="","",IFERROR(INDEX('Certified Allocation'!$F$5:$F$51,MATCH($B132,'Certified Allocation'!$B$5:$B$51,0)),""))</x:f>
      </x:c>
      <x:c r="K132" s="1243" t="str">
        <x:f>IF($B132="","",IFERROR(INDEX('20 RCC-003 MIAR Registry'!$A$14:$A$60,MATCH($B132,'20 RCC-003 MIAR Registry'!$B$14:$B$60,0)),""))</x:f>
      </x:c>
      <x:c r="L132" s="1243" t="str">
        <x:f>IF($B132="","",IFERROR(INDEX('20 RCC-003 MIAR Registry'!$M$14:$M$60,MATCH($B132,'20 RCC-003 MIAR Registry'!$B$14:$B$60,0)),""))</x:f>
      </x:c>
      <x:c r="M132" s="1243" t="str">
        <x:f>IF($B132="","",IFERROR(INDEX('20 RCC-003 MIAR Registry'!$Z$14:$Z$60,MATCH($B132,'20 RCC-003 MIAR Registry'!$B$14:$B$60,0)),""))</x:f>
      </x:c>
      <x:c r="N132" s="1246" t="str">
        <x:f>IF($B132="","",IFERROR(INDEX('20 RCC-003 MIAR Registry'!$K$14:$K$60,MATCH($B132,'20 RCC-003 MIAR Registry'!$B$14:$B$60,0)),""))</x:f>
      </x:c>
      <x:c r="O132" s="1246" t="str">
        <x:f>IF($B132="","",IFERROR(INDEX('20 RCC-003 MIAR Registry'!$L$14:$L$60,MATCH($B132,'20 RCC-003 MIAR Registry'!$B$14:$B$60,0)),""))</x:f>
      </x:c>
      <x:c r="P132" s="1243" t="str">
        <x:f>IF($B132="","",IFERROR(INDEX('20 RCC-003 MIAR Registry'!$I$14:$I$60,MATCH($B132,'20 RCC-003 MIAR Registry'!$B$14:$B$60,0)),""))</x:f>
      </x:c>
      <x:c r="Q132" s="1243" t="str">
        <x:f>IF($B132="","",IFERROR(INDEX('20 RCC-003 MIAR Registry'!$J$14:$J$60,MATCH($B132,'20 RCC-003 MIAR Registry'!$B$14:$B$60,0)),""))</x:f>
      </x:c>
      <x:c r="R132" s="1247" t="str">
        <x:f>IF($B132="","",COUNTIF('18 RCC-002 Evidence Ledger'!$E$14:$E$213,$B132))</x:f>
      </x:c>
      <x:c r="S132" s="1247" t="str">
        <x:f>IF($B132="","",COUNTIFS('18 RCC-002 Evidence Ledger'!$E$14:$E$213,$B132,'18 RCC-002 Evidence Ledger'!$T$14:$T$213,"&lt;&gt;Closed — No Action",'18 RCC-002 Evidence Ledger'!$T$14:$T$213,"&lt;&gt;Closed — Incorporated"))</x:f>
      </x:c>
      <x:c r="T132" s="1248"/>
      <x:c r="U132" s="1249"/>
      <x:c r="V132" s="1242"/>
      <x:c r="W132" s="1248"/>
      <x:c r="X132" s="1244" t="str">
        <x:f>IF($B132="","",IF($D132="Certified Portfolio Holding","CERTIFIED HOLDING",IF(OR($A132="",$D132="",$E132="",$F132="",$G132="",$H132="",$I132=""),"NOT ASSESSED",IF(OR($K132="",$L132&lt;&gt;"Active",$M132="OVERDUE",$M132="MATERIAL EVENT REVIEW",$N132="",$O132="",$W132=""),"NOT ELIGIBLE",IF(OR(AND($F132="Zacks Election",OR($T132="",$T132&lt;50)),OR($U132=4,$U132=5),$V132="No Rating",$V132="Restricted / Unavailable"),"ELIGIBLE WITH EXCEPTION","ELIGIBLE")))))</x:f>
      </x:c>
      <x:c r="Y132" s="1244" t="str">
        <x:f>IF($B132="","",IF($A132="","Canonical MASR ID required",IF(AND($D132&lt;&gt;"Certified Portfolio Holding",OR($K132="",$L132&lt;&gt;"Active",$M132&lt;&gt;"CURRENT",$N132="",$O132="",$W132="")),"Complete MIAR / scoring / empirical eligibility",IF(AND($F132="Zacks Election",OR($T132="",$T132&lt;50)),"Sub-$50B Zacks election exception",IF(OR($U132=4,$U132=5),"Zacks #4/#5 exception review",IF($V132="No Rating","Merrill No Rating exception",IF($V132="Restricted / Unavailable","Merrill restricted / unavailable exception","None")))))))</x:f>
      </x:c>
      <x:c r="Z132" s="1250" t="str">
        <x:f>IF($B132="","",COUNTIF('24 RCC-004 Candidate Pipeline'!$C$14:$C$213,$B132))</x:f>
      </x:c>
      <x:c r="AA132" s="1244" t="str">
        <x:f>IF($B132="","",IFERROR(INDEX('24 RCC-004 Candidate Pipeline'!$Y$14:$Y$213,MATCH($B132,'24 RCC-004 Candidate Pipeline'!$C$14:$C$213,0)),""))</x:f>
      </x:c>
      <x:c r="AB132" s="1242"/>
      <x:c r="AC132" s="1244" t="str">
        <x:f>IF($B132="","",IF(COUNTIFS('24 RCC-004 Candidate Pipeline'!$C$14:$C$213,$B132,'24 RCC-004 Candidate Pipeline'!$AF$14:$AF$213,"Yes — Refer to PEW-004")&gt;0,"REFERRED — PEW-004",IF($Z132&gt;0,"CANDIDATE RECORD ACTIVE","NO ACTIVE CANDIDATE")))</x:f>
      </x:c>
      <x:c r="AD132" s="1244" t="str">
        <x:f>IF($B132="","",IF($A132="","SETUP REQUIRED",IF(COUNTIF($A$14:$A$163,$A132)&gt;1,"DUPLICATE MASR ID",IF(COUNTIF($B$14:$B$163,$B132)&gt;1,"DUPLICATE TICKER",IF(OR($D132="",$E132="",$F132="",$G132="",$H132="",$I132=""),"INCOMPLETE",IF(OR($K132="",$L132=""),"MIAR SETUP REQUIRED",IF($X132="NOT ELIGIBLE","NOT ELIGIBLE",IF($Y132&lt;&gt;"None","EXCEPTION REVIEW",IF(AND($D132&lt;&gt;"Certified Portfolio Holding",OR($E132="Active — Approved Non-Holding",$E132="Conditional",$E132="Candidate — Committee Review"),OR($AB132="",$AB132="Pending")),"COMMITTEE DISPOSITION REQUIRED",IF(AND(OR($E132="Active — Approved Non-Holding",$E132="Conditional"),OR($AG132="",$AH132="")),"CERTIFICATION REQUIRED",IF(OR($E132="Rejected",$E132="Removed",$E132="Archived"),"INACTIVE / CLOSED","CONTROL CLEAR")))))))))))</x:f>
      </x:c>
      <x:c r="AE132" s="1244" t="str">
        <x:f>IF($AD132="","",IFERROR(INDEX('97 RCC Lists'!$AK$5:$AK$15,MATCH($AD132,'97 RCC Lists'!$AJ$5:$AJ$15,0)),"Review exception"))</x:f>
      </x:c>
      <x:c r="AF132" s="1251"/>
      <x:c r="AG132" s="1242"/>
      <x:c r="AH132" s="1251"/>
      <x:c r="AI132" s="1242"/>
    </x:row>
    <x:row r="133" ht="32" customHeight="1">
      <x:c r="A133" s="1242"/>
      <x:c r="B133" s="1242"/>
      <x:c r="C133" s="1242"/>
      <x:c r="D133" s="1242"/>
      <x:c r="E133" s="1242"/>
      <x:c r="F133" s="1242"/>
      <x:c r="G133" s="1242"/>
      <x:c r="H133" s="1242"/>
      <x:c r="I133" s="1242"/>
      <x:c r="J133" s="1258" t="str">
        <x:f>IF($B133="","",IFERROR(INDEX('Certified Allocation'!$F$5:$F$51,MATCH($B133,'Certified Allocation'!$B$5:$B$51,0)),""))</x:f>
      </x:c>
      <x:c r="K133" s="1252" t="str">
        <x:f>IF($B133="","",IFERROR(INDEX('20 RCC-003 MIAR Registry'!$A$14:$A$60,MATCH($B133,'20 RCC-003 MIAR Registry'!$B$14:$B$60,0)),""))</x:f>
      </x:c>
      <x:c r="L133" s="1252" t="str">
        <x:f>IF($B133="","",IFERROR(INDEX('20 RCC-003 MIAR Registry'!$M$14:$M$60,MATCH($B133,'20 RCC-003 MIAR Registry'!$B$14:$B$60,0)),""))</x:f>
      </x:c>
      <x:c r="M133" s="1252" t="str">
        <x:f>IF($B133="","",IFERROR(INDEX('20 RCC-003 MIAR Registry'!$Z$14:$Z$60,MATCH($B133,'20 RCC-003 MIAR Registry'!$B$14:$B$60,0)),""))</x:f>
      </x:c>
      <x:c r="N133" s="1255" t="str">
        <x:f>IF($B133="","",IFERROR(INDEX('20 RCC-003 MIAR Registry'!$K$14:$K$60,MATCH($B133,'20 RCC-003 MIAR Registry'!$B$14:$B$60,0)),""))</x:f>
      </x:c>
      <x:c r="O133" s="1255" t="str">
        <x:f>IF($B133="","",IFERROR(INDEX('20 RCC-003 MIAR Registry'!$L$14:$L$60,MATCH($B133,'20 RCC-003 MIAR Registry'!$B$14:$B$60,0)),""))</x:f>
      </x:c>
      <x:c r="P133" s="1252" t="str">
        <x:f>IF($B133="","",IFERROR(INDEX('20 RCC-003 MIAR Registry'!$I$14:$I$60,MATCH($B133,'20 RCC-003 MIAR Registry'!$B$14:$B$60,0)),""))</x:f>
      </x:c>
      <x:c r="Q133" s="1252" t="str">
        <x:f>IF($B133="","",IFERROR(INDEX('20 RCC-003 MIAR Registry'!$J$14:$J$60,MATCH($B133,'20 RCC-003 MIAR Registry'!$B$14:$B$60,0)),""))</x:f>
      </x:c>
      <x:c r="R133" s="1256" t="str">
        <x:f>IF($B133="","",COUNTIF('18 RCC-002 Evidence Ledger'!$E$14:$E$213,$B133))</x:f>
      </x:c>
      <x:c r="S133" s="1256" t="str">
        <x:f>IF($B133="","",COUNTIFS('18 RCC-002 Evidence Ledger'!$E$14:$E$213,$B133,'18 RCC-002 Evidence Ledger'!$T$14:$T$213,"&lt;&gt;Closed — No Action",'18 RCC-002 Evidence Ledger'!$T$14:$T$213,"&lt;&gt;Closed — Incorporated"))</x:f>
      </x:c>
      <x:c r="T133" s="1248"/>
      <x:c r="U133" s="1249"/>
      <x:c r="V133" s="1242"/>
      <x:c r="W133" s="1248"/>
      <x:c r="X133" s="1253" t="str">
        <x:f>IF($B133="","",IF($D133="Certified Portfolio Holding","CERTIFIED HOLDING",IF(OR($A133="",$D133="",$E133="",$F133="",$G133="",$H133="",$I133=""),"NOT ASSESSED",IF(OR($K133="",$L133&lt;&gt;"Active",$M133="OVERDUE",$M133="MATERIAL EVENT REVIEW",$N133="",$O133="",$W133=""),"NOT ELIGIBLE",IF(OR(AND($F133="Zacks Election",OR($T133="",$T133&lt;50)),OR($U133=4,$U133=5),$V133="No Rating",$V133="Restricted / Unavailable"),"ELIGIBLE WITH EXCEPTION","ELIGIBLE")))))</x:f>
      </x:c>
      <x:c r="Y133" s="1253" t="str">
        <x:f>IF($B133="","",IF($A133="","Canonical MASR ID required",IF(AND($D133&lt;&gt;"Certified Portfolio Holding",OR($K133="",$L133&lt;&gt;"Active",$M133&lt;&gt;"CURRENT",$N133="",$O133="",$W133="")),"Complete MIAR / scoring / empirical eligibility",IF(AND($F133="Zacks Election",OR($T133="",$T133&lt;50)),"Sub-$50B Zacks election exception",IF(OR($U133=4,$U133=5),"Zacks #4/#5 exception review",IF($V133="No Rating","Merrill No Rating exception",IF($V133="Restricted / Unavailable","Merrill restricted / unavailable exception","None")))))))</x:f>
      </x:c>
      <x:c r="Z133" s="1257" t="str">
        <x:f>IF($B133="","",COUNTIF('24 RCC-004 Candidate Pipeline'!$C$14:$C$213,$B133))</x:f>
      </x:c>
      <x:c r="AA133" s="1253" t="str">
        <x:f>IF($B133="","",IFERROR(INDEX('24 RCC-004 Candidate Pipeline'!$Y$14:$Y$213,MATCH($B133,'24 RCC-004 Candidate Pipeline'!$C$14:$C$213,0)),""))</x:f>
      </x:c>
      <x:c r="AB133" s="1242"/>
      <x:c r="AC133" s="1253" t="str">
        <x:f>IF($B133="","",IF(COUNTIFS('24 RCC-004 Candidate Pipeline'!$C$14:$C$213,$B133,'24 RCC-004 Candidate Pipeline'!$AF$14:$AF$213,"Yes — Refer to PEW-004")&gt;0,"REFERRED — PEW-004",IF($Z133&gt;0,"CANDIDATE RECORD ACTIVE","NO ACTIVE CANDIDATE")))</x:f>
      </x:c>
      <x:c r="AD133" s="1253" t="str">
        <x:f>IF($B133="","",IF($A133="","SETUP REQUIRED",IF(COUNTIF($A$14:$A$163,$A133)&gt;1,"DUPLICATE MASR ID",IF(COUNTIF($B$14:$B$163,$B133)&gt;1,"DUPLICATE TICKER",IF(OR($D133="",$E133="",$F133="",$G133="",$H133="",$I133=""),"INCOMPLETE",IF(OR($K133="",$L133=""),"MIAR SETUP REQUIRED",IF($X133="NOT ELIGIBLE","NOT ELIGIBLE",IF($Y133&lt;&gt;"None","EXCEPTION REVIEW",IF(AND($D133&lt;&gt;"Certified Portfolio Holding",OR($E133="Active — Approved Non-Holding",$E133="Conditional",$E133="Candidate — Committee Review"),OR($AB133="",$AB133="Pending")),"COMMITTEE DISPOSITION REQUIRED",IF(AND(OR($E133="Active — Approved Non-Holding",$E133="Conditional"),OR($AG133="",$AH133="")),"CERTIFICATION REQUIRED",IF(OR($E133="Rejected",$E133="Removed",$E133="Archived"),"INACTIVE / CLOSED","CONTROL CLEAR")))))))))))</x:f>
      </x:c>
      <x:c r="AE133" s="1253" t="str">
        <x:f>IF($AD133="","",IFERROR(INDEX('97 RCC Lists'!$AK$5:$AK$15,MATCH($AD133,'97 RCC Lists'!$AJ$5:$AJ$15,0)),"Review exception"))</x:f>
      </x:c>
      <x:c r="AF133" s="1251"/>
      <x:c r="AG133" s="1242"/>
      <x:c r="AH133" s="1251"/>
      <x:c r="AI133" s="1242"/>
    </x:row>
    <x:row r="134" ht="32" customHeight="1">
      <x:c r="A134" s="1242"/>
      <x:c r="B134" s="1242"/>
      <x:c r="C134" s="1242"/>
      <x:c r="D134" s="1242"/>
      <x:c r="E134" s="1242"/>
      <x:c r="F134" s="1242"/>
      <x:c r="G134" s="1242"/>
      <x:c r="H134" s="1242"/>
      <x:c r="I134" s="1242"/>
      <x:c r="J134" s="1259" t="str">
        <x:f>IF($B134="","",IFERROR(INDEX('Certified Allocation'!$F$5:$F$51,MATCH($B134,'Certified Allocation'!$B$5:$B$51,0)),""))</x:f>
      </x:c>
      <x:c r="K134" s="1243" t="str">
        <x:f>IF($B134="","",IFERROR(INDEX('20 RCC-003 MIAR Registry'!$A$14:$A$60,MATCH($B134,'20 RCC-003 MIAR Registry'!$B$14:$B$60,0)),""))</x:f>
      </x:c>
      <x:c r="L134" s="1243" t="str">
        <x:f>IF($B134="","",IFERROR(INDEX('20 RCC-003 MIAR Registry'!$M$14:$M$60,MATCH($B134,'20 RCC-003 MIAR Registry'!$B$14:$B$60,0)),""))</x:f>
      </x:c>
      <x:c r="M134" s="1243" t="str">
        <x:f>IF($B134="","",IFERROR(INDEX('20 RCC-003 MIAR Registry'!$Z$14:$Z$60,MATCH($B134,'20 RCC-003 MIAR Registry'!$B$14:$B$60,0)),""))</x:f>
      </x:c>
      <x:c r="N134" s="1246" t="str">
        <x:f>IF($B134="","",IFERROR(INDEX('20 RCC-003 MIAR Registry'!$K$14:$K$60,MATCH($B134,'20 RCC-003 MIAR Registry'!$B$14:$B$60,0)),""))</x:f>
      </x:c>
      <x:c r="O134" s="1246" t="str">
        <x:f>IF($B134="","",IFERROR(INDEX('20 RCC-003 MIAR Registry'!$L$14:$L$60,MATCH($B134,'20 RCC-003 MIAR Registry'!$B$14:$B$60,0)),""))</x:f>
      </x:c>
      <x:c r="P134" s="1243" t="str">
        <x:f>IF($B134="","",IFERROR(INDEX('20 RCC-003 MIAR Registry'!$I$14:$I$60,MATCH($B134,'20 RCC-003 MIAR Registry'!$B$14:$B$60,0)),""))</x:f>
      </x:c>
      <x:c r="Q134" s="1243" t="str">
        <x:f>IF($B134="","",IFERROR(INDEX('20 RCC-003 MIAR Registry'!$J$14:$J$60,MATCH($B134,'20 RCC-003 MIAR Registry'!$B$14:$B$60,0)),""))</x:f>
      </x:c>
      <x:c r="R134" s="1247" t="str">
        <x:f>IF($B134="","",COUNTIF('18 RCC-002 Evidence Ledger'!$E$14:$E$213,$B134))</x:f>
      </x:c>
      <x:c r="S134" s="1247" t="str">
        <x:f>IF($B134="","",COUNTIFS('18 RCC-002 Evidence Ledger'!$E$14:$E$213,$B134,'18 RCC-002 Evidence Ledger'!$T$14:$T$213,"&lt;&gt;Closed — No Action",'18 RCC-002 Evidence Ledger'!$T$14:$T$213,"&lt;&gt;Closed — Incorporated"))</x:f>
      </x:c>
      <x:c r="T134" s="1248"/>
      <x:c r="U134" s="1249"/>
      <x:c r="V134" s="1242"/>
      <x:c r="W134" s="1248"/>
      <x:c r="X134" s="1244" t="str">
        <x:f>IF($B134="","",IF($D134="Certified Portfolio Holding","CERTIFIED HOLDING",IF(OR($A134="",$D134="",$E134="",$F134="",$G134="",$H134="",$I134=""),"NOT ASSESSED",IF(OR($K134="",$L134&lt;&gt;"Active",$M134="OVERDUE",$M134="MATERIAL EVENT REVIEW",$N134="",$O134="",$W134=""),"NOT ELIGIBLE",IF(OR(AND($F134="Zacks Election",OR($T134="",$T134&lt;50)),OR($U134=4,$U134=5),$V134="No Rating",$V134="Restricted / Unavailable"),"ELIGIBLE WITH EXCEPTION","ELIGIBLE")))))</x:f>
      </x:c>
      <x:c r="Y134" s="1244" t="str">
        <x:f>IF($B134="","",IF($A134="","Canonical MASR ID required",IF(AND($D134&lt;&gt;"Certified Portfolio Holding",OR($K134="",$L134&lt;&gt;"Active",$M134&lt;&gt;"CURRENT",$N134="",$O134="",$W134="")),"Complete MIAR / scoring / empirical eligibility",IF(AND($F134="Zacks Election",OR($T134="",$T134&lt;50)),"Sub-$50B Zacks election exception",IF(OR($U134=4,$U134=5),"Zacks #4/#5 exception review",IF($V134="No Rating","Merrill No Rating exception",IF($V134="Restricted / Unavailable","Merrill restricted / unavailable exception","None")))))))</x:f>
      </x:c>
      <x:c r="Z134" s="1250" t="str">
        <x:f>IF($B134="","",COUNTIF('24 RCC-004 Candidate Pipeline'!$C$14:$C$213,$B134))</x:f>
      </x:c>
      <x:c r="AA134" s="1244" t="str">
        <x:f>IF($B134="","",IFERROR(INDEX('24 RCC-004 Candidate Pipeline'!$Y$14:$Y$213,MATCH($B134,'24 RCC-004 Candidate Pipeline'!$C$14:$C$213,0)),""))</x:f>
      </x:c>
      <x:c r="AB134" s="1242"/>
      <x:c r="AC134" s="1244" t="str">
        <x:f>IF($B134="","",IF(COUNTIFS('24 RCC-004 Candidate Pipeline'!$C$14:$C$213,$B134,'24 RCC-004 Candidate Pipeline'!$AF$14:$AF$213,"Yes — Refer to PEW-004")&gt;0,"REFERRED — PEW-004",IF($Z134&gt;0,"CANDIDATE RECORD ACTIVE","NO ACTIVE CANDIDATE")))</x:f>
      </x:c>
      <x:c r="AD134" s="1244" t="str">
        <x:f>IF($B134="","",IF($A134="","SETUP REQUIRED",IF(COUNTIF($A$14:$A$163,$A134)&gt;1,"DUPLICATE MASR ID",IF(COUNTIF($B$14:$B$163,$B134)&gt;1,"DUPLICATE TICKER",IF(OR($D134="",$E134="",$F134="",$G134="",$H134="",$I134=""),"INCOMPLETE",IF(OR($K134="",$L134=""),"MIAR SETUP REQUIRED",IF($X134="NOT ELIGIBLE","NOT ELIGIBLE",IF($Y134&lt;&gt;"None","EXCEPTION REVIEW",IF(AND($D134&lt;&gt;"Certified Portfolio Holding",OR($E134="Active — Approved Non-Holding",$E134="Conditional",$E134="Candidate — Committee Review"),OR($AB134="",$AB134="Pending")),"COMMITTEE DISPOSITION REQUIRED",IF(AND(OR($E134="Active — Approved Non-Holding",$E134="Conditional"),OR($AG134="",$AH134="")),"CERTIFICATION REQUIRED",IF(OR($E134="Rejected",$E134="Removed",$E134="Archived"),"INACTIVE / CLOSED","CONTROL CLEAR")))))))))))</x:f>
      </x:c>
      <x:c r="AE134" s="1244" t="str">
        <x:f>IF($AD134="","",IFERROR(INDEX('97 RCC Lists'!$AK$5:$AK$15,MATCH($AD134,'97 RCC Lists'!$AJ$5:$AJ$15,0)),"Review exception"))</x:f>
      </x:c>
      <x:c r="AF134" s="1251"/>
      <x:c r="AG134" s="1242"/>
      <x:c r="AH134" s="1251"/>
      <x:c r="AI134" s="1242"/>
    </x:row>
    <x:row r="135" ht="32" customHeight="1">
      <x:c r="A135" s="1242"/>
      <x:c r="B135" s="1242"/>
      <x:c r="C135" s="1242"/>
      <x:c r="D135" s="1242"/>
      <x:c r="E135" s="1242"/>
      <x:c r="F135" s="1242"/>
      <x:c r="G135" s="1242"/>
      <x:c r="H135" s="1242"/>
      <x:c r="I135" s="1242"/>
      <x:c r="J135" s="1258" t="str">
        <x:f>IF($B135="","",IFERROR(INDEX('Certified Allocation'!$F$5:$F$51,MATCH($B135,'Certified Allocation'!$B$5:$B$51,0)),""))</x:f>
      </x:c>
      <x:c r="K135" s="1252" t="str">
        <x:f>IF($B135="","",IFERROR(INDEX('20 RCC-003 MIAR Registry'!$A$14:$A$60,MATCH($B135,'20 RCC-003 MIAR Registry'!$B$14:$B$60,0)),""))</x:f>
      </x:c>
      <x:c r="L135" s="1252" t="str">
        <x:f>IF($B135="","",IFERROR(INDEX('20 RCC-003 MIAR Registry'!$M$14:$M$60,MATCH($B135,'20 RCC-003 MIAR Registry'!$B$14:$B$60,0)),""))</x:f>
      </x:c>
      <x:c r="M135" s="1252" t="str">
        <x:f>IF($B135="","",IFERROR(INDEX('20 RCC-003 MIAR Registry'!$Z$14:$Z$60,MATCH($B135,'20 RCC-003 MIAR Registry'!$B$14:$B$60,0)),""))</x:f>
      </x:c>
      <x:c r="N135" s="1255" t="str">
        <x:f>IF($B135="","",IFERROR(INDEX('20 RCC-003 MIAR Registry'!$K$14:$K$60,MATCH($B135,'20 RCC-003 MIAR Registry'!$B$14:$B$60,0)),""))</x:f>
      </x:c>
      <x:c r="O135" s="1255" t="str">
        <x:f>IF($B135="","",IFERROR(INDEX('20 RCC-003 MIAR Registry'!$L$14:$L$60,MATCH($B135,'20 RCC-003 MIAR Registry'!$B$14:$B$60,0)),""))</x:f>
      </x:c>
      <x:c r="P135" s="1252" t="str">
        <x:f>IF($B135="","",IFERROR(INDEX('20 RCC-003 MIAR Registry'!$I$14:$I$60,MATCH($B135,'20 RCC-003 MIAR Registry'!$B$14:$B$60,0)),""))</x:f>
      </x:c>
      <x:c r="Q135" s="1252" t="str">
        <x:f>IF($B135="","",IFERROR(INDEX('20 RCC-003 MIAR Registry'!$J$14:$J$60,MATCH($B135,'20 RCC-003 MIAR Registry'!$B$14:$B$60,0)),""))</x:f>
      </x:c>
      <x:c r="R135" s="1256" t="str">
        <x:f>IF($B135="","",COUNTIF('18 RCC-002 Evidence Ledger'!$E$14:$E$213,$B135))</x:f>
      </x:c>
      <x:c r="S135" s="1256" t="str">
        <x:f>IF($B135="","",COUNTIFS('18 RCC-002 Evidence Ledger'!$E$14:$E$213,$B135,'18 RCC-002 Evidence Ledger'!$T$14:$T$213,"&lt;&gt;Closed — No Action",'18 RCC-002 Evidence Ledger'!$T$14:$T$213,"&lt;&gt;Closed — Incorporated"))</x:f>
      </x:c>
      <x:c r="T135" s="1248"/>
      <x:c r="U135" s="1249"/>
      <x:c r="V135" s="1242"/>
      <x:c r="W135" s="1248"/>
      <x:c r="X135" s="1253" t="str">
        <x:f>IF($B135="","",IF($D135="Certified Portfolio Holding","CERTIFIED HOLDING",IF(OR($A135="",$D135="",$E135="",$F135="",$G135="",$H135="",$I135=""),"NOT ASSESSED",IF(OR($K135="",$L135&lt;&gt;"Active",$M135="OVERDUE",$M135="MATERIAL EVENT REVIEW",$N135="",$O135="",$W135=""),"NOT ELIGIBLE",IF(OR(AND($F135="Zacks Election",OR($T135="",$T135&lt;50)),OR($U135=4,$U135=5),$V135="No Rating",$V135="Restricted / Unavailable"),"ELIGIBLE WITH EXCEPTION","ELIGIBLE")))))</x:f>
      </x:c>
      <x:c r="Y135" s="1253" t="str">
        <x:f>IF($B135="","",IF($A135="","Canonical MASR ID required",IF(AND($D135&lt;&gt;"Certified Portfolio Holding",OR($K135="",$L135&lt;&gt;"Active",$M135&lt;&gt;"CURRENT",$N135="",$O135="",$W135="")),"Complete MIAR / scoring / empirical eligibility",IF(AND($F135="Zacks Election",OR($T135="",$T135&lt;50)),"Sub-$50B Zacks election exception",IF(OR($U135=4,$U135=5),"Zacks #4/#5 exception review",IF($V135="No Rating","Merrill No Rating exception",IF($V135="Restricted / Unavailable","Merrill restricted / unavailable exception","None")))))))</x:f>
      </x:c>
      <x:c r="Z135" s="1257" t="str">
        <x:f>IF($B135="","",COUNTIF('24 RCC-004 Candidate Pipeline'!$C$14:$C$213,$B135))</x:f>
      </x:c>
      <x:c r="AA135" s="1253" t="str">
        <x:f>IF($B135="","",IFERROR(INDEX('24 RCC-004 Candidate Pipeline'!$Y$14:$Y$213,MATCH($B135,'24 RCC-004 Candidate Pipeline'!$C$14:$C$213,0)),""))</x:f>
      </x:c>
      <x:c r="AB135" s="1242"/>
      <x:c r="AC135" s="1253" t="str">
        <x:f>IF($B135="","",IF(COUNTIFS('24 RCC-004 Candidate Pipeline'!$C$14:$C$213,$B135,'24 RCC-004 Candidate Pipeline'!$AF$14:$AF$213,"Yes — Refer to PEW-004")&gt;0,"REFERRED — PEW-004",IF($Z135&gt;0,"CANDIDATE RECORD ACTIVE","NO ACTIVE CANDIDATE")))</x:f>
      </x:c>
      <x:c r="AD135" s="1253" t="str">
        <x:f>IF($B135="","",IF($A135="","SETUP REQUIRED",IF(COUNTIF($A$14:$A$163,$A135)&gt;1,"DUPLICATE MASR ID",IF(COUNTIF($B$14:$B$163,$B135)&gt;1,"DUPLICATE TICKER",IF(OR($D135="",$E135="",$F135="",$G135="",$H135="",$I135=""),"INCOMPLETE",IF(OR($K135="",$L135=""),"MIAR SETUP REQUIRED",IF($X135="NOT ELIGIBLE","NOT ELIGIBLE",IF($Y135&lt;&gt;"None","EXCEPTION REVIEW",IF(AND($D135&lt;&gt;"Certified Portfolio Holding",OR($E135="Active — Approved Non-Holding",$E135="Conditional",$E135="Candidate — Committee Review"),OR($AB135="",$AB135="Pending")),"COMMITTEE DISPOSITION REQUIRED",IF(AND(OR($E135="Active — Approved Non-Holding",$E135="Conditional"),OR($AG135="",$AH135="")),"CERTIFICATION REQUIRED",IF(OR($E135="Rejected",$E135="Removed",$E135="Archived"),"INACTIVE / CLOSED","CONTROL CLEAR")))))))))))</x:f>
      </x:c>
      <x:c r="AE135" s="1253" t="str">
        <x:f>IF($AD135="","",IFERROR(INDEX('97 RCC Lists'!$AK$5:$AK$15,MATCH($AD135,'97 RCC Lists'!$AJ$5:$AJ$15,0)),"Review exception"))</x:f>
      </x:c>
      <x:c r="AF135" s="1251"/>
      <x:c r="AG135" s="1242"/>
      <x:c r="AH135" s="1251"/>
      <x:c r="AI135" s="1242"/>
    </x:row>
    <x:row r="136" ht="32" customHeight="1">
      <x:c r="A136" s="1242"/>
      <x:c r="B136" s="1242"/>
      <x:c r="C136" s="1242"/>
      <x:c r="D136" s="1242"/>
      <x:c r="E136" s="1242"/>
      <x:c r="F136" s="1242"/>
      <x:c r="G136" s="1242"/>
      <x:c r="H136" s="1242"/>
      <x:c r="I136" s="1242"/>
      <x:c r="J136" s="1259" t="str">
        <x:f>IF($B136="","",IFERROR(INDEX('Certified Allocation'!$F$5:$F$51,MATCH($B136,'Certified Allocation'!$B$5:$B$51,0)),""))</x:f>
      </x:c>
      <x:c r="K136" s="1243" t="str">
        <x:f>IF($B136="","",IFERROR(INDEX('20 RCC-003 MIAR Registry'!$A$14:$A$60,MATCH($B136,'20 RCC-003 MIAR Registry'!$B$14:$B$60,0)),""))</x:f>
      </x:c>
      <x:c r="L136" s="1243" t="str">
        <x:f>IF($B136="","",IFERROR(INDEX('20 RCC-003 MIAR Registry'!$M$14:$M$60,MATCH($B136,'20 RCC-003 MIAR Registry'!$B$14:$B$60,0)),""))</x:f>
      </x:c>
      <x:c r="M136" s="1243" t="str">
        <x:f>IF($B136="","",IFERROR(INDEX('20 RCC-003 MIAR Registry'!$Z$14:$Z$60,MATCH($B136,'20 RCC-003 MIAR Registry'!$B$14:$B$60,0)),""))</x:f>
      </x:c>
      <x:c r="N136" s="1246" t="str">
        <x:f>IF($B136="","",IFERROR(INDEX('20 RCC-003 MIAR Registry'!$K$14:$K$60,MATCH($B136,'20 RCC-003 MIAR Registry'!$B$14:$B$60,0)),""))</x:f>
      </x:c>
      <x:c r="O136" s="1246" t="str">
        <x:f>IF($B136="","",IFERROR(INDEX('20 RCC-003 MIAR Registry'!$L$14:$L$60,MATCH($B136,'20 RCC-003 MIAR Registry'!$B$14:$B$60,0)),""))</x:f>
      </x:c>
      <x:c r="P136" s="1243" t="str">
        <x:f>IF($B136="","",IFERROR(INDEX('20 RCC-003 MIAR Registry'!$I$14:$I$60,MATCH($B136,'20 RCC-003 MIAR Registry'!$B$14:$B$60,0)),""))</x:f>
      </x:c>
      <x:c r="Q136" s="1243" t="str">
        <x:f>IF($B136="","",IFERROR(INDEX('20 RCC-003 MIAR Registry'!$J$14:$J$60,MATCH($B136,'20 RCC-003 MIAR Registry'!$B$14:$B$60,0)),""))</x:f>
      </x:c>
      <x:c r="R136" s="1247" t="str">
        <x:f>IF($B136="","",COUNTIF('18 RCC-002 Evidence Ledger'!$E$14:$E$213,$B136))</x:f>
      </x:c>
      <x:c r="S136" s="1247" t="str">
        <x:f>IF($B136="","",COUNTIFS('18 RCC-002 Evidence Ledger'!$E$14:$E$213,$B136,'18 RCC-002 Evidence Ledger'!$T$14:$T$213,"&lt;&gt;Closed — No Action",'18 RCC-002 Evidence Ledger'!$T$14:$T$213,"&lt;&gt;Closed — Incorporated"))</x:f>
      </x:c>
      <x:c r="T136" s="1248"/>
      <x:c r="U136" s="1249"/>
      <x:c r="V136" s="1242"/>
      <x:c r="W136" s="1248"/>
      <x:c r="X136" s="1244" t="str">
        <x:f>IF($B136="","",IF($D136="Certified Portfolio Holding","CERTIFIED HOLDING",IF(OR($A136="",$D136="",$E136="",$F136="",$G136="",$H136="",$I136=""),"NOT ASSESSED",IF(OR($K136="",$L136&lt;&gt;"Active",$M136="OVERDUE",$M136="MATERIAL EVENT REVIEW",$N136="",$O136="",$W136=""),"NOT ELIGIBLE",IF(OR(AND($F136="Zacks Election",OR($T136="",$T136&lt;50)),OR($U136=4,$U136=5),$V136="No Rating",$V136="Restricted / Unavailable"),"ELIGIBLE WITH EXCEPTION","ELIGIBLE")))))</x:f>
      </x:c>
      <x:c r="Y136" s="1244" t="str">
        <x:f>IF($B136="","",IF($A136="","Canonical MASR ID required",IF(AND($D136&lt;&gt;"Certified Portfolio Holding",OR($K136="",$L136&lt;&gt;"Active",$M136&lt;&gt;"CURRENT",$N136="",$O136="",$W136="")),"Complete MIAR / scoring / empirical eligibility",IF(AND($F136="Zacks Election",OR($T136="",$T136&lt;50)),"Sub-$50B Zacks election exception",IF(OR($U136=4,$U136=5),"Zacks #4/#5 exception review",IF($V136="No Rating","Merrill No Rating exception",IF($V136="Restricted / Unavailable","Merrill restricted / unavailable exception","None")))))))</x:f>
      </x:c>
      <x:c r="Z136" s="1250" t="str">
        <x:f>IF($B136="","",COUNTIF('24 RCC-004 Candidate Pipeline'!$C$14:$C$213,$B136))</x:f>
      </x:c>
      <x:c r="AA136" s="1244" t="str">
        <x:f>IF($B136="","",IFERROR(INDEX('24 RCC-004 Candidate Pipeline'!$Y$14:$Y$213,MATCH($B136,'24 RCC-004 Candidate Pipeline'!$C$14:$C$213,0)),""))</x:f>
      </x:c>
      <x:c r="AB136" s="1242"/>
      <x:c r="AC136" s="1244" t="str">
        <x:f>IF($B136="","",IF(COUNTIFS('24 RCC-004 Candidate Pipeline'!$C$14:$C$213,$B136,'24 RCC-004 Candidate Pipeline'!$AF$14:$AF$213,"Yes — Refer to PEW-004")&gt;0,"REFERRED — PEW-004",IF($Z136&gt;0,"CANDIDATE RECORD ACTIVE","NO ACTIVE CANDIDATE")))</x:f>
      </x:c>
      <x:c r="AD136" s="1244" t="str">
        <x:f>IF($B136="","",IF($A136="","SETUP REQUIRED",IF(COUNTIF($A$14:$A$163,$A136)&gt;1,"DUPLICATE MASR ID",IF(COUNTIF($B$14:$B$163,$B136)&gt;1,"DUPLICATE TICKER",IF(OR($D136="",$E136="",$F136="",$G136="",$H136="",$I136=""),"INCOMPLETE",IF(OR($K136="",$L136=""),"MIAR SETUP REQUIRED",IF($X136="NOT ELIGIBLE","NOT ELIGIBLE",IF($Y136&lt;&gt;"None","EXCEPTION REVIEW",IF(AND($D136&lt;&gt;"Certified Portfolio Holding",OR($E136="Active — Approved Non-Holding",$E136="Conditional",$E136="Candidate — Committee Review"),OR($AB136="",$AB136="Pending")),"COMMITTEE DISPOSITION REQUIRED",IF(AND(OR($E136="Active — Approved Non-Holding",$E136="Conditional"),OR($AG136="",$AH136="")),"CERTIFICATION REQUIRED",IF(OR($E136="Rejected",$E136="Removed",$E136="Archived"),"INACTIVE / CLOSED","CONTROL CLEAR")))))))))))</x:f>
      </x:c>
      <x:c r="AE136" s="1244" t="str">
        <x:f>IF($AD136="","",IFERROR(INDEX('97 RCC Lists'!$AK$5:$AK$15,MATCH($AD136,'97 RCC Lists'!$AJ$5:$AJ$15,0)),"Review exception"))</x:f>
      </x:c>
      <x:c r="AF136" s="1251"/>
      <x:c r="AG136" s="1242"/>
      <x:c r="AH136" s="1251"/>
      <x:c r="AI136" s="1242"/>
    </x:row>
    <x:row r="137" ht="32" customHeight="1">
      <x:c r="A137" s="1242"/>
      <x:c r="B137" s="1242"/>
      <x:c r="C137" s="1242"/>
      <x:c r="D137" s="1242"/>
      <x:c r="E137" s="1242"/>
      <x:c r="F137" s="1242"/>
      <x:c r="G137" s="1242"/>
      <x:c r="H137" s="1242"/>
      <x:c r="I137" s="1242"/>
      <x:c r="J137" s="1258" t="str">
        <x:f>IF($B137="","",IFERROR(INDEX('Certified Allocation'!$F$5:$F$51,MATCH($B137,'Certified Allocation'!$B$5:$B$51,0)),""))</x:f>
      </x:c>
      <x:c r="K137" s="1252" t="str">
        <x:f>IF($B137="","",IFERROR(INDEX('20 RCC-003 MIAR Registry'!$A$14:$A$60,MATCH($B137,'20 RCC-003 MIAR Registry'!$B$14:$B$60,0)),""))</x:f>
      </x:c>
      <x:c r="L137" s="1252" t="str">
        <x:f>IF($B137="","",IFERROR(INDEX('20 RCC-003 MIAR Registry'!$M$14:$M$60,MATCH($B137,'20 RCC-003 MIAR Registry'!$B$14:$B$60,0)),""))</x:f>
      </x:c>
      <x:c r="M137" s="1252" t="str">
        <x:f>IF($B137="","",IFERROR(INDEX('20 RCC-003 MIAR Registry'!$Z$14:$Z$60,MATCH($B137,'20 RCC-003 MIAR Registry'!$B$14:$B$60,0)),""))</x:f>
      </x:c>
      <x:c r="N137" s="1255" t="str">
        <x:f>IF($B137="","",IFERROR(INDEX('20 RCC-003 MIAR Registry'!$K$14:$K$60,MATCH($B137,'20 RCC-003 MIAR Registry'!$B$14:$B$60,0)),""))</x:f>
      </x:c>
      <x:c r="O137" s="1255" t="str">
        <x:f>IF($B137="","",IFERROR(INDEX('20 RCC-003 MIAR Registry'!$L$14:$L$60,MATCH($B137,'20 RCC-003 MIAR Registry'!$B$14:$B$60,0)),""))</x:f>
      </x:c>
      <x:c r="P137" s="1252" t="str">
        <x:f>IF($B137="","",IFERROR(INDEX('20 RCC-003 MIAR Registry'!$I$14:$I$60,MATCH($B137,'20 RCC-003 MIAR Registry'!$B$14:$B$60,0)),""))</x:f>
      </x:c>
      <x:c r="Q137" s="1252" t="str">
        <x:f>IF($B137="","",IFERROR(INDEX('20 RCC-003 MIAR Registry'!$J$14:$J$60,MATCH($B137,'20 RCC-003 MIAR Registry'!$B$14:$B$60,0)),""))</x:f>
      </x:c>
      <x:c r="R137" s="1256" t="str">
        <x:f>IF($B137="","",COUNTIF('18 RCC-002 Evidence Ledger'!$E$14:$E$213,$B137))</x:f>
      </x:c>
      <x:c r="S137" s="1256" t="str">
        <x:f>IF($B137="","",COUNTIFS('18 RCC-002 Evidence Ledger'!$E$14:$E$213,$B137,'18 RCC-002 Evidence Ledger'!$T$14:$T$213,"&lt;&gt;Closed — No Action",'18 RCC-002 Evidence Ledger'!$T$14:$T$213,"&lt;&gt;Closed — Incorporated"))</x:f>
      </x:c>
      <x:c r="T137" s="1248"/>
      <x:c r="U137" s="1249"/>
      <x:c r="V137" s="1242"/>
      <x:c r="W137" s="1248"/>
      <x:c r="X137" s="1253" t="str">
        <x:f>IF($B137="","",IF($D137="Certified Portfolio Holding","CERTIFIED HOLDING",IF(OR($A137="",$D137="",$E137="",$F137="",$G137="",$H137="",$I137=""),"NOT ASSESSED",IF(OR($K137="",$L137&lt;&gt;"Active",$M137="OVERDUE",$M137="MATERIAL EVENT REVIEW",$N137="",$O137="",$W137=""),"NOT ELIGIBLE",IF(OR(AND($F137="Zacks Election",OR($T137="",$T137&lt;50)),OR($U137=4,$U137=5),$V137="No Rating",$V137="Restricted / Unavailable"),"ELIGIBLE WITH EXCEPTION","ELIGIBLE")))))</x:f>
      </x:c>
      <x:c r="Y137" s="1253" t="str">
        <x:f>IF($B137="","",IF($A137="","Canonical MASR ID required",IF(AND($D137&lt;&gt;"Certified Portfolio Holding",OR($K137="",$L137&lt;&gt;"Active",$M137&lt;&gt;"CURRENT",$N137="",$O137="",$W137="")),"Complete MIAR / scoring / empirical eligibility",IF(AND($F137="Zacks Election",OR($T137="",$T137&lt;50)),"Sub-$50B Zacks election exception",IF(OR($U137=4,$U137=5),"Zacks #4/#5 exception review",IF($V137="No Rating","Merrill No Rating exception",IF($V137="Restricted / Unavailable","Merrill restricted / unavailable exception","None")))))))</x:f>
      </x:c>
      <x:c r="Z137" s="1257" t="str">
        <x:f>IF($B137="","",COUNTIF('24 RCC-004 Candidate Pipeline'!$C$14:$C$213,$B137))</x:f>
      </x:c>
      <x:c r="AA137" s="1253" t="str">
        <x:f>IF($B137="","",IFERROR(INDEX('24 RCC-004 Candidate Pipeline'!$Y$14:$Y$213,MATCH($B137,'24 RCC-004 Candidate Pipeline'!$C$14:$C$213,0)),""))</x:f>
      </x:c>
      <x:c r="AB137" s="1242"/>
      <x:c r="AC137" s="1253" t="str">
        <x:f>IF($B137="","",IF(COUNTIFS('24 RCC-004 Candidate Pipeline'!$C$14:$C$213,$B137,'24 RCC-004 Candidate Pipeline'!$AF$14:$AF$213,"Yes — Refer to PEW-004")&gt;0,"REFERRED — PEW-004",IF($Z137&gt;0,"CANDIDATE RECORD ACTIVE","NO ACTIVE CANDIDATE")))</x:f>
      </x:c>
      <x:c r="AD137" s="1253" t="str">
        <x:f>IF($B137="","",IF($A137="","SETUP REQUIRED",IF(COUNTIF($A$14:$A$163,$A137)&gt;1,"DUPLICATE MASR ID",IF(COUNTIF($B$14:$B$163,$B137)&gt;1,"DUPLICATE TICKER",IF(OR($D137="",$E137="",$F137="",$G137="",$H137="",$I137=""),"INCOMPLETE",IF(OR($K137="",$L137=""),"MIAR SETUP REQUIRED",IF($X137="NOT ELIGIBLE","NOT ELIGIBLE",IF($Y137&lt;&gt;"None","EXCEPTION REVIEW",IF(AND($D137&lt;&gt;"Certified Portfolio Holding",OR($E137="Active — Approved Non-Holding",$E137="Conditional",$E137="Candidate — Committee Review"),OR($AB137="",$AB137="Pending")),"COMMITTEE DISPOSITION REQUIRED",IF(AND(OR($E137="Active — Approved Non-Holding",$E137="Conditional"),OR($AG137="",$AH137="")),"CERTIFICATION REQUIRED",IF(OR($E137="Rejected",$E137="Removed",$E137="Archived"),"INACTIVE / CLOSED","CONTROL CLEAR")))))))))))</x:f>
      </x:c>
      <x:c r="AE137" s="1253" t="str">
        <x:f>IF($AD137="","",IFERROR(INDEX('97 RCC Lists'!$AK$5:$AK$15,MATCH($AD137,'97 RCC Lists'!$AJ$5:$AJ$15,0)),"Review exception"))</x:f>
      </x:c>
      <x:c r="AF137" s="1251"/>
      <x:c r="AG137" s="1242"/>
      <x:c r="AH137" s="1251"/>
      <x:c r="AI137" s="1242"/>
    </x:row>
    <x:row r="138" ht="32" customHeight="1">
      <x:c r="A138" s="1242"/>
      <x:c r="B138" s="1242"/>
      <x:c r="C138" s="1242"/>
      <x:c r="D138" s="1242"/>
      <x:c r="E138" s="1242"/>
      <x:c r="F138" s="1242"/>
      <x:c r="G138" s="1242"/>
      <x:c r="H138" s="1242"/>
      <x:c r="I138" s="1242"/>
      <x:c r="J138" s="1259" t="str">
        <x:f>IF($B138="","",IFERROR(INDEX('Certified Allocation'!$F$5:$F$51,MATCH($B138,'Certified Allocation'!$B$5:$B$51,0)),""))</x:f>
      </x:c>
      <x:c r="K138" s="1243" t="str">
        <x:f>IF($B138="","",IFERROR(INDEX('20 RCC-003 MIAR Registry'!$A$14:$A$60,MATCH($B138,'20 RCC-003 MIAR Registry'!$B$14:$B$60,0)),""))</x:f>
      </x:c>
      <x:c r="L138" s="1243" t="str">
        <x:f>IF($B138="","",IFERROR(INDEX('20 RCC-003 MIAR Registry'!$M$14:$M$60,MATCH($B138,'20 RCC-003 MIAR Registry'!$B$14:$B$60,0)),""))</x:f>
      </x:c>
      <x:c r="M138" s="1243" t="str">
        <x:f>IF($B138="","",IFERROR(INDEX('20 RCC-003 MIAR Registry'!$Z$14:$Z$60,MATCH($B138,'20 RCC-003 MIAR Registry'!$B$14:$B$60,0)),""))</x:f>
      </x:c>
      <x:c r="N138" s="1246" t="str">
        <x:f>IF($B138="","",IFERROR(INDEX('20 RCC-003 MIAR Registry'!$K$14:$K$60,MATCH($B138,'20 RCC-003 MIAR Registry'!$B$14:$B$60,0)),""))</x:f>
      </x:c>
      <x:c r="O138" s="1246" t="str">
        <x:f>IF($B138="","",IFERROR(INDEX('20 RCC-003 MIAR Registry'!$L$14:$L$60,MATCH($B138,'20 RCC-003 MIAR Registry'!$B$14:$B$60,0)),""))</x:f>
      </x:c>
      <x:c r="P138" s="1243" t="str">
        <x:f>IF($B138="","",IFERROR(INDEX('20 RCC-003 MIAR Registry'!$I$14:$I$60,MATCH($B138,'20 RCC-003 MIAR Registry'!$B$14:$B$60,0)),""))</x:f>
      </x:c>
      <x:c r="Q138" s="1243" t="str">
        <x:f>IF($B138="","",IFERROR(INDEX('20 RCC-003 MIAR Registry'!$J$14:$J$60,MATCH($B138,'20 RCC-003 MIAR Registry'!$B$14:$B$60,0)),""))</x:f>
      </x:c>
      <x:c r="R138" s="1247" t="str">
        <x:f>IF($B138="","",COUNTIF('18 RCC-002 Evidence Ledger'!$E$14:$E$213,$B138))</x:f>
      </x:c>
      <x:c r="S138" s="1247" t="str">
        <x:f>IF($B138="","",COUNTIFS('18 RCC-002 Evidence Ledger'!$E$14:$E$213,$B138,'18 RCC-002 Evidence Ledger'!$T$14:$T$213,"&lt;&gt;Closed — No Action",'18 RCC-002 Evidence Ledger'!$T$14:$T$213,"&lt;&gt;Closed — Incorporated"))</x:f>
      </x:c>
      <x:c r="T138" s="1248"/>
      <x:c r="U138" s="1249"/>
      <x:c r="V138" s="1242"/>
      <x:c r="W138" s="1248"/>
      <x:c r="X138" s="1244" t="str">
        <x:f>IF($B138="","",IF($D138="Certified Portfolio Holding","CERTIFIED HOLDING",IF(OR($A138="",$D138="",$E138="",$F138="",$G138="",$H138="",$I138=""),"NOT ASSESSED",IF(OR($K138="",$L138&lt;&gt;"Active",$M138="OVERDUE",$M138="MATERIAL EVENT REVIEW",$N138="",$O138="",$W138=""),"NOT ELIGIBLE",IF(OR(AND($F138="Zacks Election",OR($T138="",$T138&lt;50)),OR($U138=4,$U138=5),$V138="No Rating",$V138="Restricted / Unavailable"),"ELIGIBLE WITH EXCEPTION","ELIGIBLE")))))</x:f>
      </x:c>
      <x:c r="Y138" s="1244" t="str">
        <x:f>IF($B138="","",IF($A138="","Canonical MASR ID required",IF(AND($D138&lt;&gt;"Certified Portfolio Holding",OR($K138="",$L138&lt;&gt;"Active",$M138&lt;&gt;"CURRENT",$N138="",$O138="",$W138="")),"Complete MIAR / scoring / empirical eligibility",IF(AND($F138="Zacks Election",OR($T138="",$T138&lt;50)),"Sub-$50B Zacks election exception",IF(OR($U138=4,$U138=5),"Zacks #4/#5 exception review",IF($V138="No Rating","Merrill No Rating exception",IF($V138="Restricted / Unavailable","Merrill restricted / unavailable exception","None")))))))</x:f>
      </x:c>
      <x:c r="Z138" s="1250" t="str">
        <x:f>IF($B138="","",COUNTIF('24 RCC-004 Candidate Pipeline'!$C$14:$C$213,$B138))</x:f>
      </x:c>
      <x:c r="AA138" s="1244" t="str">
        <x:f>IF($B138="","",IFERROR(INDEX('24 RCC-004 Candidate Pipeline'!$Y$14:$Y$213,MATCH($B138,'24 RCC-004 Candidate Pipeline'!$C$14:$C$213,0)),""))</x:f>
      </x:c>
      <x:c r="AB138" s="1242"/>
      <x:c r="AC138" s="1244" t="str">
        <x:f>IF($B138="","",IF(COUNTIFS('24 RCC-004 Candidate Pipeline'!$C$14:$C$213,$B138,'24 RCC-004 Candidate Pipeline'!$AF$14:$AF$213,"Yes — Refer to PEW-004")&gt;0,"REFERRED — PEW-004",IF($Z138&gt;0,"CANDIDATE RECORD ACTIVE","NO ACTIVE CANDIDATE")))</x:f>
      </x:c>
      <x:c r="AD138" s="1244" t="str">
        <x:f>IF($B138="","",IF($A138="","SETUP REQUIRED",IF(COUNTIF($A$14:$A$163,$A138)&gt;1,"DUPLICATE MASR ID",IF(COUNTIF($B$14:$B$163,$B138)&gt;1,"DUPLICATE TICKER",IF(OR($D138="",$E138="",$F138="",$G138="",$H138="",$I138=""),"INCOMPLETE",IF(OR($K138="",$L138=""),"MIAR SETUP REQUIRED",IF($X138="NOT ELIGIBLE","NOT ELIGIBLE",IF($Y138&lt;&gt;"None","EXCEPTION REVIEW",IF(AND($D138&lt;&gt;"Certified Portfolio Holding",OR($E138="Active — Approved Non-Holding",$E138="Conditional",$E138="Candidate — Committee Review"),OR($AB138="",$AB138="Pending")),"COMMITTEE DISPOSITION REQUIRED",IF(AND(OR($E138="Active — Approved Non-Holding",$E138="Conditional"),OR($AG138="",$AH138="")),"CERTIFICATION REQUIRED",IF(OR($E138="Rejected",$E138="Removed",$E138="Archived"),"INACTIVE / CLOSED","CONTROL CLEAR")))))))))))</x:f>
      </x:c>
      <x:c r="AE138" s="1244" t="str">
        <x:f>IF($AD138="","",IFERROR(INDEX('97 RCC Lists'!$AK$5:$AK$15,MATCH($AD138,'97 RCC Lists'!$AJ$5:$AJ$15,0)),"Review exception"))</x:f>
      </x:c>
      <x:c r="AF138" s="1251"/>
      <x:c r="AG138" s="1242"/>
      <x:c r="AH138" s="1251"/>
      <x:c r="AI138" s="1242"/>
    </x:row>
    <x:row r="139" ht="32" customHeight="1">
      <x:c r="A139" s="1242"/>
      <x:c r="B139" s="1242"/>
      <x:c r="C139" s="1242"/>
      <x:c r="D139" s="1242"/>
      <x:c r="E139" s="1242"/>
      <x:c r="F139" s="1242"/>
      <x:c r="G139" s="1242"/>
      <x:c r="H139" s="1242"/>
      <x:c r="I139" s="1242"/>
      <x:c r="J139" s="1258" t="str">
        <x:f>IF($B139="","",IFERROR(INDEX('Certified Allocation'!$F$5:$F$51,MATCH($B139,'Certified Allocation'!$B$5:$B$51,0)),""))</x:f>
      </x:c>
      <x:c r="K139" s="1252" t="str">
        <x:f>IF($B139="","",IFERROR(INDEX('20 RCC-003 MIAR Registry'!$A$14:$A$60,MATCH($B139,'20 RCC-003 MIAR Registry'!$B$14:$B$60,0)),""))</x:f>
      </x:c>
      <x:c r="L139" s="1252" t="str">
        <x:f>IF($B139="","",IFERROR(INDEX('20 RCC-003 MIAR Registry'!$M$14:$M$60,MATCH($B139,'20 RCC-003 MIAR Registry'!$B$14:$B$60,0)),""))</x:f>
      </x:c>
      <x:c r="M139" s="1252" t="str">
        <x:f>IF($B139="","",IFERROR(INDEX('20 RCC-003 MIAR Registry'!$Z$14:$Z$60,MATCH($B139,'20 RCC-003 MIAR Registry'!$B$14:$B$60,0)),""))</x:f>
      </x:c>
      <x:c r="N139" s="1255" t="str">
        <x:f>IF($B139="","",IFERROR(INDEX('20 RCC-003 MIAR Registry'!$K$14:$K$60,MATCH($B139,'20 RCC-003 MIAR Registry'!$B$14:$B$60,0)),""))</x:f>
      </x:c>
      <x:c r="O139" s="1255" t="str">
        <x:f>IF($B139="","",IFERROR(INDEX('20 RCC-003 MIAR Registry'!$L$14:$L$60,MATCH($B139,'20 RCC-003 MIAR Registry'!$B$14:$B$60,0)),""))</x:f>
      </x:c>
      <x:c r="P139" s="1252" t="str">
        <x:f>IF($B139="","",IFERROR(INDEX('20 RCC-003 MIAR Registry'!$I$14:$I$60,MATCH($B139,'20 RCC-003 MIAR Registry'!$B$14:$B$60,0)),""))</x:f>
      </x:c>
      <x:c r="Q139" s="1252" t="str">
        <x:f>IF($B139="","",IFERROR(INDEX('20 RCC-003 MIAR Registry'!$J$14:$J$60,MATCH($B139,'20 RCC-003 MIAR Registry'!$B$14:$B$60,0)),""))</x:f>
      </x:c>
      <x:c r="R139" s="1256" t="str">
        <x:f>IF($B139="","",COUNTIF('18 RCC-002 Evidence Ledger'!$E$14:$E$213,$B139))</x:f>
      </x:c>
      <x:c r="S139" s="1256" t="str">
        <x:f>IF($B139="","",COUNTIFS('18 RCC-002 Evidence Ledger'!$E$14:$E$213,$B139,'18 RCC-002 Evidence Ledger'!$T$14:$T$213,"&lt;&gt;Closed — No Action",'18 RCC-002 Evidence Ledger'!$T$14:$T$213,"&lt;&gt;Closed — Incorporated"))</x:f>
      </x:c>
      <x:c r="T139" s="1248"/>
      <x:c r="U139" s="1249"/>
      <x:c r="V139" s="1242"/>
      <x:c r="W139" s="1248"/>
      <x:c r="X139" s="1253" t="str">
        <x:f>IF($B139="","",IF($D139="Certified Portfolio Holding","CERTIFIED HOLDING",IF(OR($A139="",$D139="",$E139="",$F139="",$G139="",$H139="",$I139=""),"NOT ASSESSED",IF(OR($K139="",$L139&lt;&gt;"Active",$M139="OVERDUE",$M139="MATERIAL EVENT REVIEW",$N139="",$O139="",$W139=""),"NOT ELIGIBLE",IF(OR(AND($F139="Zacks Election",OR($T139="",$T139&lt;50)),OR($U139=4,$U139=5),$V139="No Rating",$V139="Restricted / Unavailable"),"ELIGIBLE WITH EXCEPTION","ELIGIBLE")))))</x:f>
      </x:c>
      <x:c r="Y139" s="1253" t="str">
        <x:f>IF($B139="","",IF($A139="","Canonical MASR ID required",IF(AND($D139&lt;&gt;"Certified Portfolio Holding",OR($K139="",$L139&lt;&gt;"Active",$M139&lt;&gt;"CURRENT",$N139="",$O139="",$W139="")),"Complete MIAR / scoring / empirical eligibility",IF(AND($F139="Zacks Election",OR($T139="",$T139&lt;50)),"Sub-$50B Zacks election exception",IF(OR($U139=4,$U139=5),"Zacks #4/#5 exception review",IF($V139="No Rating","Merrill No Rating exception",IF($V139="Restricted / Unavailable","Merrill restricted / unavailable exception","None")))))))</x:f>
      </x:c>
      <x:c r="Z139" s="1257" t="str">
        <x:f>IF($B139="","",COUNTIF('24 RCC-004 Candidate Pipeline'!$C$14:$C$213,$B139))</x:f>
      </x:c>
      <x:c r="AA139" s="1253" t="str">
        <x:f>IF($B139="","",IFERROR(INDEX('24 RCC-004 Candidate Pipeline'!$Y$14:$Y$213,MATCH($B139,'24 RCC-004 Candidate Pipeline'!$C$14:$C$213,0)),""))</x:f>
      </x:c>
      <x:c r="AB139" s="1242"/>
      <x:c r="AC139" s="1253" t="str">
        <x:f>IF($B139="","",IF(COUNTIFS('24 RCC-004 Candidate Pipeline'!$C$14:$C$213,$B139,'24 RCC-004 Candidate Pipeline'!$AF$14:$AF$213,"Yes — Refer to PEW-004")&gt;0,"REFERRED — PEW-004",IF($Z139&gt;0,"CANDIDATE RECORD ACTIVE","NO ACTIVE CANDIDATE")))</x:f>
      </x:c>
      <x:c r="AD139" s="1253" t="str">
        <x:f>IF($B139="","",IF($A139="","SETUP REQUIRED",IF(COUNTIF($A$14:$A$163,$A139)&gt;1,"DUPLICATE MASR ID",IF(COUNTIF($B$14:$B$163,$B139)&gt;1,"DUPLICATE TICKER",IF(OR($D139="",$E139="",$F139="",$G139="",$H139="",$I139=""),"INCOMPLETE",IF(OR($K139="",$L139=""),"MIAR SETUP REQUIRED",IF($X139="NOT ELIGIBLE","NOT ELIGIBLE",IF($Y139&lt;&gt;"None","EXCEPTION REVIEW",IF(AND($D139&lt;&gt;"Certified Portfolio Holding",OR($E139="Active — Approved Non-Holding",$E139="Conditional",$E139="Candidate — Committee Review"),OR($AB139="",$AB139="Pending")),"COMMITTEE DISPOSITION REQUIRED",IF(AND(OR($E139="Active — Approved Non-Holding",$E139="Conditional"),OR($AG139="",$AH139="")),"CERTIFICATION REQUIRED",IF(OR($E139="Rejected",$E139="Removed",$E139="Archived"),"INACTIVE / CLOSED","CONTROL CLEAR")))))))))))</x:f>
      </x:c>
      <x:c r="AE139" s="1253" t="str">
        <x:f>IF($AD139="","",IFERROR(INDEX('97 RCC Lists'!$AK$5:$AK$15,MATCH($AD139,'97 RCC Lists'!$AJ$5:$AJ$15,0)),"Review exception"))</x:f>
      </x:c>
      <x:c r="AF139" s="1251"/>
      <x:c r="AG139" s="1242"/>
      <x:c r="AH139" s="1251"/>
      <x:c r="AI139" s="1242"/>
    </x:row>
    <x:row r="140" ht="32" customHeight="1">
      <x:c r="A140" s="1242"/>
      <x:c r="B140" s="1242"/>
      <x:c r="C140" s="1242"/>
      <x:c r="D140" s="1242"/>
      <x:c r="E140" s="1242"/>
      <x:c r="F140" s="1242"/>
      <x:c r="G140" s="1242"/>
      <x:c r="H140" s="1242"/>
      <x:c r="I140" s="1242"/>
      <x:c r="J140" s="1259" t="str">
        <x:f>IF($B140="","",IFERROR(INDEX('Certified Allocation'!$F$5:$F$51,MATCH($B140,'Certified Allocation'!$B$5:$B$51,0)),""))</x:f>
      </x:c>
      <x:c r="K140" s="1243" t="str">
        <x:f>IF($B140="","",IFERROR(INDEX('20 RCC-003 MIAR Registry'!$A$14:$A$60,MATCH($B140,'20 RCC-003 MIAR Registry'!$B$14:$B$60,0)),""))</x:f>
      </x:c>
      <x:c r="L140" s="1243" t="str">
        <x:f>IF($B140="","",IFERROR(INDEX('20 RCC-003 MIAR Registry'!$M$14:$M$60,MATCH($B140,'20 RCC-003 MIAR Registry'!$B$14:$B$60,0)),""))</x:f>
      </x:c>
      <x:c r="M140" s="1243" t="str">
        <x:f>IF($B140="","",IFERROR(INDEX('20 RCC-003 MIAR Registry'!$Z$14:$Z$60,MATCH($B140,'20 RCC-003 MIAR Registry'!$B$14:$B$60,0)),""))</x:f>
      </x:c>
      <x:c r="N140" s="1246" t="str">
        <x:f>IF($B140="","",IFERROR(INDEX('20 RCC-003 MIAR Registry'!$K$14:$K$60,MATCH($B140,'20 RCC-003 MIAR Registry'!$B$14:$B$60,0)),""))</x:f>
      </x:c>
      <x:c r="O140" s="1246" t="str">
        <x:f>IF($B140="","",IFERROR(INDEX('20 RCC-003 MIAR Registry'!$L$14:$L$60,MATCH($B140,'20 RCC-003 MIAR Registry'!$B$14:$B$60,0)),""))</x:f>
      </x:c>
      <x:c r="P140" s="1243" t="str">
        <x:f>IF($B140="","",IFERROR(INDEX('20 RCC-003 MIAR Registry'!$I$14:$I$60,MATCH($B140,'20 RCC-003 MIAR Registry'!$B$14:$B$60,0)),""))</x:f>
      </x:c>
      <x:c r="Q140" s="1243" t="str">
        <x:f>IF($B140="","",IFERROR(INDEX('20 RCC-003 MIAR Registry'!$J$14:$J$60,MATCH($B140,'20 RCC-003 MIAR Registry'!$B$14:$B$60,0)),""))</x:f>
      </x:c>
      <x:c r="R140" s="1247" t="str">
        <x:f>IF($B140="","",COUNTIF('18 RCC-002 Evidence Ledger'!$E$14:$E$213,$B140))</x:f>
      </x:c>
      <x:c r="S140" s="1247" t="str">
        <x:f>IF($B140="","",COUNTIFS('18 RCC-002 Evidence Ledger'!$E$14:$E$213,$B140,'18 RCC-002 Evidence Ledger'!$T$14:$T$213,"&lt;&gt;Closed — No Action",'18 RCC-002 Evidence Ledger'!$T$14:$T$213,"&lt;&gt;Closed — Incorporated"))</x:f>
      </x:c>
      <x:c r="T140" s="1248"/>
      <x:c r="U140" s="1249"/>
      <x:c r="V140" s="1242"/>
      <x:c r="W140" s="1248"/>
      <x:c r="X140" s="1244" t="str">
        <x:f>IF($B140="","",IF($D140="Certified Portfolio Holding","CERTIFIED HOLDING",IF(OR($A140="",$D140="",$E140="",$F140="",$G140="",$H140="",$I140=""),"NOT ASSESSED",IF(OR($K140="",$L140&lt;&gt;"Active",$M140="OVERDUE",$M140="MATERIAL EVENT REVIEW",$N140="",$O140="",$W140=""),"NOT ELIGIBLE",IF(OR(AND($F140="Zacks Election",OR($T140="",$T140&lt;50)),OR($U140=4,$U140=5),$V140="No Rating",$V140="Restricted / Unavailable"),"ELIGIBLE WITH EXCEPTION","ELIGIBLE")))))</x:f>
      </x:c>
      <x:c r="Y140" s="1244" t="str">
        <x:f>IF($B140="","",IF($A140="","Canonical MASR ID required",IF(AND($D140&lt;&gt;"Certified Portfolio Holding",OR($K140="",$L140&lt;&gt;"Active",$M140&lt;&gt;"CURRENT",$N140="",$O140="",$W140="")),"Complete MIAR / scoring / empirical eligibility",IF(AND($F140="Zacks Election",OR($T140="",$T140&lt;50)),"Sub-$50B Zacks election exception",IF(OR($U140=4,$U140=5),"Zacks #4/#5 exception review",IF($V140="No Rating","Merrill No Rating exception",IF($V140="Restricted / Unavailable","Merrill restricted / unavailable exception","None")))))))</x:f>
      </x:c>
      <x:c r="Z140" s="1250" t="str">
        <x:f>IF($B140="","",COUNTIF('24 RCC-004 Candidate Pipeline'!$C$14:$C$213,$B140))</x:f>
      </x:c>
      <x:c r="AA140" s="1244" t="str">
        <x:f>IF($B140="","",IFERROR(INDEX('24 RCC-004 Candidate Pipeline'!$Y$14:$Y$213,MATCH($B140,'24 RCC-004 Candidate Pipeline'!$C$14:$C$213,0)),""))</x:f>
      </x:c>
      <x:c r="AB140" s="1242"/>
      <x:c r="AC140" s="1244" t="str">
        <x:f>IF($B140="","",IF(COUNTIFS('24 RCC-004 Candidate Pipeline'!$C$14:$C$213,$B140,'24 RCC-004 Candidate Pipeline'!$AF$14:$AF$213,"Yes — Refer to PEW-004")&gt;0,"REFERRED — PEW-004",IF($Z140&gt;0,"CANDIDATE RECORD ACTIVE","NO ACTIVE CANDIDATE")))</x:f>
      </x:c>
      <x:c r="AD140" s="1244" t="str">
        <x:f>IF($B140="","",IF($A140="","SETUP REQUIRED",IF(COUNTIF($A$14:$A$163,$A140)&gt;1,"DUPLICATE MASR ID",IF(COUNTIF($B$14:$B$163,$B140)&gt;1,"DUPLICATE TICKER",IF(OR($D140="",$E140="",$F140="",$G140="",$H140="",$I140=""),"INCOMPLETE",IF(OR($K140="",$L140=""),"MIAR SETUP REQUIRED",IF($X140="NOT ELIGIBLE","NOT ELIGIBLE",IF($Y140&lt;&gt;"None","EXCEPTION REVIEW",IF(AND($D140&lt;&gt;"Certified Portfolio Holding",OR($E140="Active — Approved Non-Holding",$E140="Conditional",$E140="Candidate — Committee Review"),OR($AB140="",$AB140="Pending")),"COMMITTEE DISPOSITION REQUIRED",IF(AND(OR($E140="Active — Approved Non-Holding",$E140="Conditional"),OR($AG140="",$AH140="")),"CERTIFICATION REQUIRED",IF(OR($E140="Rejected",$E140="Removed",$E140="Archived"),"INACTIVE / CLOSED","CONTROL CLEAR")))))))))))</x:f>
      </x:c>
      <x:c r="AE140" s="1244" t="str">
        <x:f>IF($AD140="","",IFERROR(INDEX('97 RCC Lists'!$AK$5:$AK$15,MATCH($AD140,'97 RCC Lists'!$AJ$5:$AJ$15,0)),"Review exception"))</x:f>
      </x:c>
      <x:c r="AF140" s="1251"/>
      <x:c r="AG140" s="1242"/>
      <x:c r="AH140" s="1251"/>
      <x:c r="AI140" s="1242"/>
    </x:row>
    <x:row r="141" ht="32" customHeight="1">
      <x:c r="A141" s="1242"/>
      <x:c r="B141" s="1242"/>
      <x:c r="C141" s="1242"/>
      <x:c r="D141" s="1242"/>
      <x:c r="E141" s="1242"/>
      <x:c r="F141" s="1242"/>
      <x:c r="G141" s="1242"/>
      <x:c r="H141" s="1242"/>
      <x:c r="I141" s="1242"/>
      <x:c r="J141" s="1258" t="str">
        <x:f>IF($B141="","",IFERROR(INDEX('Certified Allocation'!$F$5:$F$51,MATCH($B141,'Certified Allocation'!$B$5:$B$51,0)),""))</x:f>
      </x:c>
      <x:c r="K141" s="1252" t="str">
        <x:f>IF($B141="","",IFERROR(INDEX('20 RCC-003 MIAR Registry'!$A$14:$A$60,MATCH($B141,'20 RCC-003 MIAR Registry'!$B$14:$B$60,0)),""))</x:f>
      </x:c>
      <x:c r="L141" s="1252" t="str">
        <x:f>IF($B141="","",IFERROR(INDEX('20 RCC-003 MIAR Registry'!$M$14:$M$60,MATCH($B141,'20 RCC-003 MIAR Registry'!$B$14:$B$60,0)),""))</x:f>
      </x:c>
      <x:c r="M141" s="1252" t="str">
        <x:f>IF($B141="","",IFERROR(INDEX('20 RCC-003 MIAR Registry'!$Z$14:$Z$60,MATCH($B141,'20 RCC-003 MIAR Registry'!$B$14:$B$60,0)),""))</x:f>
      </x:c>
      <x:c r="N141" s="1255" t="str">
        <x:f>IF($B141="","",IFERROR(INDEX('20 RCC-003 MIAR Registry'!$K$14:$K$60,MATCH($B141,'20 RCC-003 MIAR Registry'!$B$14:$B$60,0)),""))</x:f>
      </x:c>
      <x:c r="O141" s="1255" t="str">
        <x:f>IF($B141="","",IFERROR(INDEX('20 RCC-003 MIAR Registry'!$L$14:$L$60,MATCH($B141,'20 RCC-003 MIAR Registry'!$B$14:$B$60,0)),""))</x:f>
      </x:c>
      <x:c r="P141" s="1252" t="str">
        <x:f>IF($B141="","",IFERROR(INDEX('20 RCC-003 MIAR Registry'!$I$14:$I$60,MATCH($B141,'20 RCC-003 MIAR Registry'!$B$14:$B$60,0)),""))</x:f>
      </x:c>
      <x:c r="Q141" s="1252" t="str">
        <x:f>IF($B141="","",IFERROR(INDEX('20 RCC-003 MIAR Registry'!$J$14:$J$60,MATCH($B141,'20 RCC-003 MIAR Registry'!$B$14:$B$60,0)),""))</x:f>
      </x:c>
      <x:c r="R141" s="1256" t="str">
        <x:f>IF($B141="","",COUNTIF('18 RCC-002 Evidence Ledger'!$E$14:$E$213,$B141))</x:f>
      </x:c>
      <x:c r="S141" s="1256" t="str">
        <x:f>IF($B141="","",COUNTIFS('18 RCC-002 Evidence Ledger'!$E$14:$E$213,$B141,'18 RCC-002 Evidence Ledger'!$T$14:$T$213,"&lt;&gt;Closed — No Action",'18 RCC-002 Evidence Ledger'!$T$14:$T$213,"&lt;&gt;Closed — Incorporated"))</x:f>
      </x:c>
      <x:c r="T141" s="1248"/>
      <x:c r="U141" s="1249"/>
      <x:c r="V141" s="1242"/>
      <x:c r="W141" s="1248"/>
      <x:c r="X141" s="1253" t="str">
        <x:f>IF($B141="","",IF($D141="Certified Portfolio Holding","CERTIFIED HOLDING",IF(OR($A141="",$D141="",$E141="",$F141="",$G141="",$H141="",$I141=""),"NOT ASSESSED",IF(OR($K141="",$L141&lt;&gt;"Active",$M141="OVERDUE",$M141="MATERIAL EVENT REVIEW",$N141="",$O141="",$W141=""),"NOT ELIGIBLE",IF(OR(AND($F141="Zacks Election",OR($T141="",$T141&lt;50)),OR($U141=4,$U141=5),$V141="No Rating",$V141="Restricted / Unavailable"),"ELIGIBLE WITH EXCEPTION","ELIGIBLE")))))</x:f>
      </x:c>
      <x:c r="Y141" s="1253" t="str">
        <x:f>IF($B141="","",IF($A141="","Canonical MASR ID required",IF(AND($D141&lt;&gt;"Certified Portfolio Holding",OR($K141="",$L141&lt;&gt;"Active",$M141&lt;&gt;"CURRENT",$N141="",$O141="",$W141="")),"Complete MIAR / scoring / empirical eligibility",IF(AND($F141="Zacks Election",OR($T141="",$T141&lt;50)),"Sub-$50B Zacks election exception",IF(OR($U141=4,$U141=5),"Zacks #4/#5 exception review",IF($V141="No Rating","Merrill No Rating exception",IF($V141="Restricted / Unavailable","Merrill restricted / unavailable exception","None")))))))</x:f>
      </x:c>
      <x:c r="Z141" s="1257" t="str">
        <x:f>IF($B141="","",COUNTIF('24 RCC-004 Candidate Pipeline'!$C$14:$C$213,$B141))</x:f>
      </x:c>
      <x:c r="AA141" s="1253" t="str">
        <x:f>IF($B141="","",IFERROR(INDEX('24 RCC-004 Candidate Pipeline'!$Y$14:$Y$213,MATCH($B141,'24 RCC-004 Candidate Pipeline'!$C$14:$C$213,0)),""))</x:f>
      </x:c>
      <x:c r="AB141" s="1242"/>
      <x:c r="AC141" s="1253" t="str">
        <x:f>IF($B141="","",IF(COUNTIFS('24 RCC-004 Candidate Pipeline'!$C$14:$C$213,$B141,'24 RCC-004 Candidate Pipeline'!$AF$14:$AF$213,"Yes — Refer to PEW-004")&gt;0,"REFERRED — PEW-004",IF($Z141&gt;0,"CANDIDATE RECORD ACTIVE","NO ACTIVE CANDIDATE")))</x:f>
      </x:c>
      <x:c r="AD141" s="1253" t="str">
        <x:f>IF($B141="","",IF($A141="","SETUP REQUIRED",IF(COUNTIF($A$14:$A$163,$A141)&gt;1,"DUPLICATE MASR ID",IF(COUNTIF($B$14:$B$163,$B141)&gt;1,"DUPLICATE TICKER",IF(OR($D141="",$E141="",$F141="",$G141="",$H141="",$I141=""),"INCOMPLETE",IF(OR($K141="",$L141=""),"MIAR SETUP REQUIRED",IF($X141="NOT ELIGIBLE","NOT ELIGIBLE",IF($Y141&lt;&gt;"None","EXCEPTION REVIEW",IF(AND($D141&lt;&gt;"Certified Portfolio Holding",OR($E141="Active — Approved Non-Holding",$E141="Conditional",$E141="Candidate — Committee Review"),OR($AB141="",$AB141="Pending")),"COMMITTEE DISPOSITION REQUIRED",IF(AND(OR($E141="Active — Approved Non-Holding",$E141="Conditional"),OR($AG141="",$AH141="")),"CERTIFICATION REQUIRED",IF(OR($E141="Rejected",$E141="Removed",$E141="Archived"),"INACTIVE / CLOSED","CONTROL CLEAR")))))))))))</x:f>
      </x:c>
      <x:c r="AE141" s="1253" t="str">
        <x:f>IF($AD141="","",IFERROR(INDEX('97 RCC Lists'!$AK$5:$AK$15,MATCH($AD141,'97 RCC Lists'!$AJ$5:$AJ$15,0)),"Review exception"))</x:f>
      </x:c>
      <x:c r="AF141" s="1251"/>
      <x:c r="AG141" s="1242"/>
      <x:c r="AH141" s="1251"/>
      <x:c r="AI141" s="1242"/>
    </x:row>
    <x:row r="142" ht="32" customHeight="1">
      <x:c r="A142" s="1242"/>
      <x:c r="B142" s="1242"/>
      <x:c r="C142" s="1242"/>
      <x:c r="D142" s="1242"/>
      <x:c r="E142" s="1242"/>
      <x:c r="F142" s="1242"/>
      <x:c r="G142" s="1242"/>
      <x:c r="H142" s="1242"/>
      <x:c r="I142" s="1242"/>
      <x:c r="J142" s="1259" t="str">
        <x:f>IF($B142="","",IFERROR(INDEX('Certified Allocation'!$F$5:$F$51,MATCH($B142,'Certified Allocation'!$B$5:$B$51,0)),""))</x:f>
      </x:c>
      <x:c r="K142" s="1243" t="str">
        <x:f>IF($B142="","",IFERROR(INDEX('20 RCC-003 MIAR Registry'!$A$14:$A$60,MATCH($B142,'20 RCC-003 MIAR Registry'!$B$14:$B$60,0)),""))</x:f>
      </x:c>
      <x:c r="L142" s="1243" t="str">
        <x:f>IF($B142="","",IFERROR(INDEX('20 RCC-003 MIAR Registry'!$M$14:$M$60,MATCH($B142,'20 RCC-003 MIAR Registry'!$B$14:$B$60,0)),""))</x:f>
      </x:c>
      <x:c r="M142" s="1243" t="str">
        <x:f>IF($B142="","",IFERROR(INDEX('20 RCC-003 MIAR Registry'!$Z$14:$Z$60,MATCH($B142,'20 RCC-003 MIAR Registry'!$B$14:$B$60,0)),""))</x:f>
      </x:c>
      <x:c r="N142" s="1246" t="str">
        <x:f>IF($B142="","",IFERROR(INDEX('20 RCC-003 MIAR Registry'!$K$14:$K$60,MATCH($B142,'20 RCC-003 MIAR Registry'!$B$14:$B$60,0)),""))</x:f>
      </x:c>
      <x:c r="O142" s="1246" t="str">
        <x:f>IF($B142="","",IFERROR(INDEX('20 RCC-003 MIAR Registry'!$L$14:$L$60,MATCH($B142,'20 RCC-003 MIAR Registry'!$B$14:$B$60,0)),""))</x:f>
      </x:c>
      <x:c r="P142" s="1243" t="str">
        <x:f>IF($B142="","",IFERROR(INDEX('20 RCC-003 MIAR Registry'!$I$14:$I$60,MATCH($B142,'20 RCC-003 MIAR Registry'!$B$14:$B$60,0)),""))</x:f>
      </x:c>
      <x:c r="Q142" s="1243" t="str">
        <x:f>IF($B142="","",IFERROR(INDEX('20 RCC-003 MIAR Registry'!$J$14:$J$60,MATCH($B142,'20 RCC-003 MIAR Registry'!$B$14:$B$60,0)),""))</x:f>
      </x:c>
      <x:c r="R142" s="1247" t="str">
        <x:f>IF($B142="","",COUNTIF('18 RCC-002 Evidence Ledger'!$E$14:$E$213,$B142))</x:f>
      </x:c>
      <x:c r="S142" s="1247" t="str">
        <x:f>IF($B142="","",COUNTIFS('18 RCC-002 Evidence Ledger'!$E$14:$E$213,$B142,'18 RCC-002 Evidence Ledger'!$T$14:$T$213,"&lt;&gt;Closed — No Action",'18 RCC-002 Evidence Ledger'!$T$14:$T$213,"&lt;&gt;Closed — Incorporated"))</x:f>
      </x:c>
      <x:c r="T142" s="1248"/>
      <x:c r="U142" s="1249"/>
      <x:c r="V142" s="1242"/>
      <x:c r="W142" s="1248"/>
      <x:c r="X142" s="1244" t="str">
        <x:f>IF($B142="","",IF($D142="Certified Portfolio Holding","CERTIFIED HOLDING",IF(OR($A142="",$D142="",$E142="",$F142="",$G142="",$H142="",$I142=""),"NOT ASSESSED",IF(OR($K142="",$L142&lt;&gt;"Active",$M142="OVERDUE",$M142="MATERIAL EVENT REVIEW",$N142="",$O142="",$W142=""),"NOT ELIGIBLE",IF(OR(AND($F142="Zacks Election",OR($T142="",$T142&lt;50)),OR($U142=4,$U142=5),$V142="No Rating",$V142="Restricted / Unavailable"),"ELIGIBLE WITH EXCEPTION","ELIGIBLE")))))</x:f>
      </x:c>
      <x:c r="Y142" s="1244" t="str">
        <x:f>IF($B142="","",IF($A142="","Canonical MASR ID required",IF(AND($D142&lt;&gt;"Certified Portfolio Holding",OR($K142="",$L142&lt;&gt;"Active",$M142&lt;&gt;"CURRENT",$N142="",$O142="",$W142="")),"Complete MIAR / scoring / empirical eligibility",IF(AND($F142="Zacks Election",OR($T142="",$T142&lt;50)),"Sub-$50B Zacks election exception",IF(OR($U142=4,$U142=5),"Zacks #4/#5 exception review",IF($V142="No Rating","Merrill No Rating exception",IF($V142="Restricted / Unavailable","Merrill restricted / unavailable exception","None")))))))</x:f>
      </x:c>
      <x:c r="Z142" s="1250" t="str">
        <x:f>IF($B142="","",COUNTIF('24 RCC-004 Candidate Pipeline'!$C$14:$C$213,$B142))</x:f>
      </x:c>
      <x:c r="AA142" s="1244" t="str">
        <x:f>IF($B142="","",IFERROR(INDEX('24 RCC-004 Candidate Pipeline'!$Y$14:$Y$213,MATCH($B142,'24 RCC-004 Candidate Pipeline'!$C$14:$C$213,0)),""))</x:f>
      </x:c>
      <x:c r="AB142" s="1242"/>
      <x:c r="AC142" s="1244" t="str">
        <x:f>IF($B142="","",IF(COUNTIFS('24 RCC-004 Candidate Pipeline'!$C$14:$C$213,$B142,'24 RCC-004 Candidate Pipeline'!$AF$14:$AF$213,"Yes — Refer to PEW-004")&gt;0,"REFERRED — PEW-004",IF($Z142&gt;0,"CANDIDATE RECORD ACTIVE","NO ACTIVE CANDIDATE")))</x:f>
      </x:c>
      <x:c r="AD142" s="1244" t="str">
        <x:f>IF($B142="","",IF($A142="","SETUP REQUIRED",IF(COUNTIF($A$14:$A$163,$A142)&gt;1,"DUPLICATE MASR ID",IF(COUNTIF($B$14:$B$163,$B142)&gt;1,"DUPLICATE TICKER",IF(OR($D142="",$E142="",$F142="",$G142="",$H142="",$I142=""),"INCOMPLETE",IF(OR($K142="",$L142=""),"MIAR SETUP REQUIRED",IF($X142="NOT ELIGIBLE","NOT ELIGIBLE",IF($Y142&lt;&gt;"None","EXCEPTION REVIEW",IF(AND($D142&lt;&gt;"Certified Portfolio Holding",OR($E142="Active — Approved Non-Holding",$E142="Conditional",$E142="Candidate — Committee Review"),OR($AB142="",$AB142="Pending")),"COMMITTEE DISPOSITION REQUIRED",IF(AND(OR($E142="Active — Approved Non-Holding",$E142="Conditional"),OR($AG142="",$AH142="")),"CERTIFICATION REQUIRED",IF(OR($E142="Rejected",$E142="Removed",$E142="Archived"),"INACTIVE / CLOSED","CONTROL CLEAR")))))))))))</x:f>
      </x:c>
      <x:c r="AE142" s="1244" t="str">
        <x:f>IF($AD142="","",IFERROR(INDEX('97 RCC Lists'!$AK$5:$AK$15,MATCH($AD142,'97 RCC Lists'!$AJ$5:$AJ$15,0)),"Review exception"))</x:f>
      </x:c>
      <x:c r="AF142" s="1251"/>
      <x:c r="AG142" s="1242"/>
      <x:c r="AH142" s="1251"/>
      <x:c r="AI142" s="1242"/>
    </x:row>
    <x:row r="143" ht="32" customHeight="1">
      <x:c r="A143" s="1242"/>
      <x:c r="B143" s="1242"/>
      <x:c r="C143" s="1242"/>
      <x:c r="D143" s="1242"/>
      <x:c r="E143" s="1242"/>
      <x:c r="F143" s="1242"/>
      <x:c r="G143" s="1242"/>
      <x:c r="H143" s="1242"/>
      <x:c r="I143" s="1242"/>
      <x:c r="J143" s="1258" t="str">
        <x:f>IF($B143="","",IFERROR(INDEX('Certified Allocation'!$F$5:$F$51,MATCH($B143,'Certified Allocation'!$B$5:$B$51,0)),""))</x:f>
      </x:c>
      <x:c r="K143" s="1252" t="str">
        <x:f>IF($B143="","",IFERROR(INDEX('20 RCC-003 MIAR Registry'!$A$14:$A$60,MATCH($B143,'20 RCC-003 MIAR Registry'!$B$14:$B$60,0)),""))</x:f>
      </x:c>
      <x:c r="L143" s="1252" t="str">
        <x:f>IF($B143="","",IFERROR(INDEX('20 RCC-003 MIAR Registry'!$M$14:$M$60,MATCH($B143,'20 RCC-003 MIAR Registry'!$B$14:$B$60,0)),""))</x:f>
      </x:c>
      <x:c r="M143" s="1252" t="str">
        <x:f>IF($B143="","",IFERROR(INDEX('20 RCC-003 MIAR Registry'!$Z$14:$Z$60,MATCH($B143,'20 RCC-003 MIAR Registry'!$B$14:$B$60,0)),""))</x:f>
      </x:c>
      <x:c r="N143" s="1255" t="str">
        <x:f>IF($B143="","",IFERROR(INDEX('20 RCC-003 MIAR Registry'!$K$14:$K$60,MATCH($B143,'20 RCC-003 MIAR Registry'!$B$14:$B$60,0)),""))</x:f>
      </x:c>
      <x:c r="O143" s="1255" t="str">
        <x:f>IF($B143="","",IFERROR(INDEX('20 RCC-003 MIAR Registry'!$L$14:$L$60,MATCH($B143,'20 RCC-003 MIAR Registry'!$B$14:$B$60,0)),""))</x:f>
      </x:c>
      <x:c r="P143" s="1252" t="str">
        <x:f>IF($B143="","",IFERROR(INDEX('20 RCC-003 MIAR Registry'!$I$14:$I$60,MATCH($B143,'20 RCC-003 MIAR Registry'!$B$14:$B$60,0)),""))</x:f>
      </x:c>
      <x:c r="Q143" s="1252" t="str">
        <x:f>IF($B143="","",IFERROR(INDEX('20 RCC-003 MIAR Registry'!$J$14:$J$60,MATCH($B143,'20 RCC-003 MIAR Registry'!$B$14:$B$60,0)),""))</x:f>
      </x:c>
      <x:c r="R143" s="1256" t="str">
        <x:f>IF($B143="","",COUNTIF('18 RCC-002 Evidence Ledger'!$E$14:$E$213,$B143))</x:f>
      </x:c>
      <x:c r="S143" s="1256" t="str">
        <x:f>IF($B143="","",COUNTIFS('18 RCC-002 Evidence Ledger'!$E$14:$E$213,$B143,'18 RCC-002 Evidence Ledger'!$T$14:$T$213,"&lt;&gt;Closed — No Action",'18 RCC-002 Evidence Ledger'!$T$14:$T$213,"&lt;&gt;Closed — Incorporated"))</x:f>
      </x:c>
      <x:c r="T143" s="1248"/>
      <x:c r="U143" s="1249"/>
      <x:c r="V143" s="1242"/>
      <x:c r="W143" s="1248"/>
      <x:c r="X143" s="1253" t="str">
        <x:f>IF($B143="","",IF($D143="Certified Portfolio Holding","CERTIFIED HOLDING",IF(OR($A143="",$D143="",$E143="",$F143="",$G143="",$H143="",$I143=""),"NOT ASSESSED",IF(OR($K143="",$L143&lt;&gt;"Active",$M143="OVERDUE",$M143="MATERIAL EVENT REVIEW",$N143="",$O143="",$W143=""),"NOT ELIGIBLE",IF(OR(AND($F143="Zacks Election",OR($T143="",$T143&lt;50)),OR($U143=4,$U143=5),$V143="No Rating",$V143="Restricted / Unavailable"),"ELIGIBLE WITH EXCEPTION","ELIGIBLE")))))</x:f>
      </x:c>
      <x:c r="Y143" s="1253" t="str">
        <x:f>IF($B143="","",IF($A143="","Canonical MASR ID required",IF(AND($D143&lt;&gt;"Certified Portfolio Holding",OR($K143="",$L143&lt;&gt;"Active",$M143&lt;&gt;"CURRENT",$N143="",$O143="",$W143="")),"Complete MIAR / scoring / empirical eligibility",IF(AND($F143="Zacks Election",OR($T143="",$T143&lt;50)),"Sub-$50B Zacks election exception",IF(OR($U143=4,$U143=5),"Zacks #4/#5 exception review",IF($V143="No Rating","Merrill No Rating exception",IF($V143="Restricted / Unavailable","Merrill restricted / unavailable exception","None")))))))</x:f>
      </x:c>
      <x:c r="Z143" s="1257" t="str">
        <x:f>IF($B143="","",COUNTIF('24 RCC-004 Candidate Pipeline'!$C$14:$C$213,$B143))</x:f>
      </x:c>
      <x:c r="AA143" s="1253" t="str">
        <x:f>IF($B143="","",IFERROR(INDEX('24 RCC-004 Candidate Pipeline'!$Y$14:$Y$213,MATCH($B143,'24 RCC-004 Candidate Pipeline'!$C$14:$C$213,0)),""))</x:f>
      </x:c>
      <x:c r="AB143" s="1242"/>
      <x:c r="AC143" s="1253" t="str">
        <x:f>IF($B143="","",IF(COUNTIFS('24 RCC-004 Candidate Pipeline'!$C$14:$C$213,$B143,'24 RCC-004 Candidate Pipeline'!$AF$14:$AF$213,"Yes — Refer to PEW-004")&gt;0,"REFERRED — PEW-004",IF($Z143&gt;0,"CANDIDATE RECORD ACTIVE","NO ACTIVE CANDIDATE")))</x:f>
      </x:c>
      <x:c r="AD143" s="1253" t="str">
        <x:f>IF($B143="","",IF($A143="","SETUP REQUIRED",IF(COUNTIF($A$14:$A$163,$A143)&gt;1,"DUPLICATE MASR ID",IF(COUNTIF($B$14:$B$163,$B143)&gt;1,"DUPLICATE TICKER",IF(OR($D143="",$E143="",$F143="",$G143="",$H143="",$I143=""),"INCOMPLETE",IF(OR($K143="",$L143=""),"MIAR SETUP REQUIRED",IF($X143="NOT ELIGIBLE","NOT ELIGIBLE",IF($Y143&lt;&gt;"None","EXCEPTION REVIEW",IF(AND($D143&lt;&gt;"Certified Portfolio Holding",OR($E143="Active — Approved Non-Holding",$E143="Conditional",$E143="Candidate — Committee Review"),OR($AB143="",$AB143="Pending")),"COMMITTEE DISPOSITION REQUIRED",IF(AND(OR($E143="Active — Approved Non-Holding",$E143="Conditional"),OR($AG143="",$AH143="")),"CERTIFICATION REQUIRED",IF(OR($E143="Rejected",$E143="Removed",$E143="Archived"),"INACTIVE / CLOSED","CONTROL CLEAR")))))))))))</x:f>
      </x:c>
      <x:c r="AE143" s="1253" t="str">
        <x:f>IF($AD143="","",IFERROR(INDEX('97 RCC Lists'!$AK$5:$AK$15,MATCH($AD143,'97 RCC Lists'!$AJ$5:$AJ$15,0)),"Review exception"))</x:f>
      </x:c>
      <x:c r="AF143" s="1251"/>
      <x:c r="AG143" s="1242"/>
      <x:c r="AH143" s="1251"/>
      <x:c r="AI143" s="1242"/>
    </x:row>
    <x:row r="144" ht="32" customHeight="1">
      <x:c r="A144" s="1242"/>
      <x:c r="B144" s="1242"/>
      <x:c r="C144" s="1242"/>
      <x:c r="D144" s="1242"/>
      <x:c r="E144" s="1242"/>
      <x:c r="F144" s="1242"/>
      <x:c r="G144" s="1242"/>
      <x:c r="H144" s="1242"/>
      <x:c r="I144" s="1242"/>
      <x:c r="J144" s="1259" t="str">
        <x:f>IF($B144="","",IFERROR(INDEX('Certified Allocation'!$F$5:$F$51,MATCH($B144,'Certified Allocation'!$B$5:$B$51,0)),""))</x:f>
      </x:c>
      <x:c r="K144" s="1243" t="str">
        <x:f>IF($B144="","",IFERROR(INDEX('20 RCC-003 MIAR Registry'!$A$14:$A$60,MATCH($B144,'20 RCC-003 MIAR Registry'!$B$14:$B$60,0)),""))</x:f>
      </x:c>
      <x:c r="L144" s="1243" t="str">
        <x:f>IF($B144="","",IFERROR(INDEX('20 RCC-003 MIAR Registry'!$M$14:$M$60,MATCH($B144,'20 RCC-003 MIAR Registry'!$B$14:$B$60,0)),""))</x:f>
      </x:c>
      <x:c r="M144" s="1243" t="str">
        <x:f>IF($B144="","",IFERROR(INDEX('20 RCC-003 MIAR Registry'!$Z$14:$Z$60,MATCH($B144,'20 RCC-003 MIAR Registry'!$B$14:$B$60,0)),""))</x:f>
      </x:c>
      <x:c r="N144" s="1246" t="str">
        <x:f>IF($B144="","",IFERROR(INDEX('20 RCC-003 MIAR Registry'!$K$14:$K$60,MATCH($B144,'20 RCC-003 MIAR Registry'!$B$14:$B$60,0)),""))</x:f>
      </x:c>
      <x:c r="O144" s="1246" t="str">
        <x:f>IF($B144="","",IFERROR(INDEX('20 RCC-003 MIAR Registry'!$L$14:$L$60,MATCH($B144,'20 RCC-003 MIAR Registry'!$B$14:$B$60,0)),""))</x:f>
      </x:c>
      <x:c r="P144" s="1243" t="str">
        <x:f>IF($B144="","",IFERROR(INDEX('20 RCC-003 MIAR Registry'!$I$14:$I$60,MATCH($B144,'20 RCC-003 MIAR Registry'!$B$14:$B$60,0)),""))</x:f>
      </x:c>
      <x:c r="Q144" s="1243" t="str">
        <x:f>IF($B144="","",IFERROR(INDEX('20 RCC-003 MIAR Registry'!$J$14:$J$60,MATCH($B144,'20 RCC-003 MIAR Registry'!$B$14:$B$60,0)),""))</x:f>
      </x:c>
      <x:c r="R144" s="1247" t="str">
        <x:f>IF($B144="","",COUNTIF('18 RCC-002 Evidence Ledger'!$E$14:$E$213,$B144))</x:f>
      </x:c>
      <x:c r="S144" s="1247" t="str">
        <x:f>IF($B144="","",COUNTIFS('18 RCC-002 Evidence Ledger'!$E$14:$E$213,$B144,'18 RCC-002 Evidence Ledger'!$T$14:$T$213,"&lt;&gt;Closed — No Action",'18 RCC-002 Evidence Ledger'!$T$14:$T$213,"&lt;&gt;Closed — Incorporated"))</x:f>
      </x:c>
      <x:c r="T144" s="1248"/>
      <x:c r="U144" s="1249"/>
      <x:c r="V144" s="1242"/>
      <x:c r="W144" s="1248"/>
      <x:c r="X144" s="1244" t="str">
        <x:f>IF($B144="","",IF($D144="Certified Portfolio Holding","CERTIFIED HOLDING",IF(OR($A144="",$D144="",$E144="",$F144="",$G144="",$H144="",$I144=""),"NOT ASSESSED",IF(OR($K144="",$L144&lt;&gt;"Active",$M144="OVERDUE",$M144="MATERIAL EVENT REVIEW",$N144="",$O144="",$W144=""),"NOT ELIGIBLE",IF(OR(AND($F144="Zacks Election",OR($T144="",$T144&lt;50)),OR($U144=4,$U144=5),$V144="No Rating",$V144="Restricted / Unavailable"),"ELIGIBLE WITH EXCEPTION","ELIGIBLE")))))</x:f>
      </x:c>
      <x:c r="Y144" s="1244" t="str">
        <x:f>IF($B144="","",IF($A144="","Canonical MASR ID required",IF(AND($D144&lt;&gt;"Certified Portfolio Holding",OR($K144="",$L144&lt;&gt;"Active",$M144&lt;&gt;"CURRENT",$N144="",$O144="",$W144="")),"Complete MIAR / scoring / empirical eligibility",IF(AND($F144="Zacks Election",OR($T144="",$T144&lt;50)),"Sub-$50B Zacks election exception",IF(OR($U144=4,$U144=5),"Zacks #4/#5 exception review",IF($V144="No Rating","Merrill No Rating exception",IF($V144="Restricted / Unavailable","Merrill restricted / unavailable exception","None")))))))</x:f>
      </x:c>
      <x:c r="Z144" s="1250" t="str">
        <x:f>IF($B144="","",COUNTIF('24 RCC-004 Candidate Pipeline'!$C$14:$C$213,$B144))</x:f>
      </x:c>
      <x:c r="AA144" s="1244" t="str">
        <x:f>IF($B144="","",IFERROR(INDEX('24 RCC-004 Candidate Pipeline'!$Y$14:$Y$213,MATCH($B144,'24 RCC-004 Candidate Pipeline'!$C$14:$C$213,0)),""))</x:f>
      </x:c>
      <x:c r="AB144" s="1242"/>
      <x:c r="AC144" s="1244" t="str">
        <x:f>IF($B144="","",IF(COUNTIFS('24 RCC-004 Candidate Pipeline'!$C$14:$C$213,$B144,'24 RCC-004 Candidate Pipeline'!$AF$14:$AF$213,"Yes — Refer to PEW-004")&gt;0,"REFERRED — PEW-004",IF($Z144&gt;0,"CANDIDATE RECORD ACTIVE","NO ACTIVE CANDIDATE")))</x:f>
      </x:c>
      <x:c r="AD144" s="1244" t="str">
        <x:f>IF($B144="","",IF($A144="","SETUP REQUIRED",IF(COUNTIF($A$14:$A$163,$A144)&gt;1,"DUPLICATE MASR ID",IF(COUNTIF($B$14:$B$163,$B144)&gt;1,"DUPLICATE TICKER",IF(OR($D144="",$E144="",$F144="",$G144="",$H144="",$I144=""),"INCOMPLETE",IF(OR($K144="",$L144=""),"MIAR SETUP REQUIRED",IF($X144="NOT ELIGIBLE","NOT ELIGIBLE",IF($Y144&lt;&gt;"None","EXCEPTION REVIEW",IF(AND($D144&lt;&gt;"Certified Portfolio Holding",OR($E144="Active — Approved Non-Holding",$E144="Conditional",$E144="Candidate — Committee Review"),OR($AB144="",$AB144="Pending")),"COMMITTEE DISPOSITION REQUIRED",IF(AND(OR($E144="Active — Approved Non-Holding",$E144="Conditional"),OR($AG144="",$AH144="")),"CERTIFICATION REQUIRED",IF(OR($E144="Rejected",$E144="Removed",$E144="Archived"),"INACTIVE / CLOSED","CONTROL CLEAR")))))))))))</x:f>
      </x:c>
      <x:c r="AE144" s="1244" t="str">
        <x:f>IF($AD144="","",IFERROR(INDEX('97 RCC Lists'!$AK$5:$AK$15,MATCH($AD144,'97 RCC Lists'!$AJ$5:$AJ$15,0)),"Review exception"))</x:f>
      </x:c>
      <x:c r="AF144" s="1251"/>
      <x:c r="AG144" s="1242"/>
      <x:c r="AH144" s="1251"/>
      <x:c r="AI144" s="1242"/>
    </x:row>
    <x:row r="145" ht="32" customHeight="1">
      <x:c r="A145" s="1242"/>
      <x:c r="B145" s="1242"/>
      <x:c r="C145" s="1242"/>
      <x:c r="D145" s="1242"/>
      <x:c r="E145" s="1242"/>
      <x:c r="F145" s="1242"/>
      <x:c r="G145" s="1242"/>
      <x:c r="H145" s="1242"/>
      <x:c r="I145" s="1242"/>
      <x:c r="J145" s="1258" t="str">
        <x:f>IF($B145="","",IFERROR(INDEX('Certified Allocation'!$F$5:$F$51,MATCH($B145,'Certified Allocation'!$B$5:$B$51,0)),""))</x:f>
      </x:c>
      <x:c r="K145" s="1252" t="str">
        <x:f>IF($B145="","",IFERROR(INDEX('20 RCC-003 MIAR Registry'!$A$14:$A$60,MATCH($B145,'20 RCC-003 MIAR Registry'!$B$14:$B$60,0)),""))</x:f>
      </x:c>
      <x:c r="L145" s="1252" t="str">
        <x:f>IF($B145="","",IFERROR(INDEX('20 RCC-003 MIAR Registry'!$M$14:$M$60,MATCH($B145,'20 RCC-003 MIAR Registry'!$B$14:$B$60,0)),""))</x:f>
      </x:c>
      <x:c r="M145" s="1252" t="str">
        <x:f>IF($B145="","",IFERROR(INDEX('20 RCC-003 MIAR Registry'!$Z$14:$Z$60,MATCH($B145,'20 RCC-003 MIAR Registry'!$B$14:$B$60,0)),""))</x:f>
      </x:c>
      <x:c r="N145" s="1255" t="str">
        <x:f>IF($B145="","",IFERROR(INDEX('20 RCC-003 MIAR Registry'!$K$14:$K$60,MATCH($B145,'20 RCC-003 MIAR Registry'!$B$14:$B$60,0)),""))</x:f>
      </x:c>
      <x:c r="O145" s="1255" t="str">
        <x:f>IF($B145="","",IFERROR(INDEX('20 RCC-003 MIAR Registry'!$L$14:$L$60,MATCH($B145,'20 RCC-003 MIAR Registry'!$B$14:$B$60,0)),""))</x:f>
      </x:c>
      <x:c r="P145" s="1252" t="str">
        <x:f>IF($B145="","",IFERROR(INDEX('20 RCC-003 MIAR Registry'!$I$14:$I$60,MATCH($B145,'20 RCC-003 MIAR Registry'!$B$14:$B$60,0)),""))</x:f>
      </x:c>
      <x:c r="Q145" s="1252" t="str">
        <x:f>IF($B145="","",IFERROR(INDEX('20 RCC-003 MIAR Registry'!$J$14:$J$60,MATCH($B145,'20 RCC-003 MIAR Registry'!$B$14:$B$60,0)),""))</x:f>
      </x:c>
      <x:c r="R145" s="1256" t="str">
        <x:f>IF($B145="","",COUNTIF('18 RCC-002 Evidence Ledger'!$E$14:$E$213,$B145))</x:f>
      </x:c>
      <x:c r="S145" s="1256" t="str">
        <x:f>IF($B145="","",COUNTIFS('18 RCC-002 Evidence Ledger'!$E$14:$E$213,$B145,'18 RCC-002 Evidence Ledger'!$T$14:$T$213,"&lt;&gt;Closed — No Action",'18 RCC-002 Evidence Ledger'!$T$14:$T$213,"&lt;&gt;Closed — Incorporated"))</x:f>
      </x:c>
      <x:c r="T145" s="1248"/>
      <x:c r="U145" s="1249"/>
      <x:c r="V145" s="1242"/>
      <x:c r="W145" s="1248"/>
      <x:c r="X145" s="1253" t="str">
        <x:f>IF($B145="","",IF($D145="Certified Portfolio Holding","CERTIFIED HOLDING",IF(OR($A145="",$D145="",$E145="",$F145="",$G145="",$H145="",$I145=""),"NOT ASSESSED",IF(OR($K145="",$L145&lt;&gt;"Active",$M145="OVERDUE",$M145="MATERIAL EVENT REVIEW",$N145="",$O145="",$W145=""),"NOT ELIGIBLE",IF(OR(AND($F145="Zacks Election",OR($T145="",$T145&lt;50)),OR($U145=4,$U145=5),$V145="No Rating",$V145="Restricted / Unavailable"),"ELIGIBLE WITH EXCEPTION","ELIGIBLE")))))</x:f>
      </x:c>
      <x:c r="Y145" s="1253" t="str">
        <x:f>IF($B145="","",IF($A145="","Canonical MASR ID required",IF(AND($D145&lt;&gt;"Certified Portfolio Holding",OR($K145="",$L145&lt;&gt;"Active",$M145&lt;&gt;"CURRENT",$N145="",$O145="",$W145="")),"Complete MIAR / scoring / empirical eligibility",IF(AND($F145="Zacks Election",OR($T145="",$T145&lt;50)),"Sub-$50B Zacks election exception",IF(OR($U145=4,$U145=5),"Zacks #4/#5 exception review",IF($V145="No Rating","Merrill No Rating exception",IF($V145="Restricted / Unavailable","Merrill restricted / unavailable exception","None")))))))</x:f>
      </x:c>
      <x:c r="Z145" s="1257" t="str">
        <x:f>IF($B145="","",COUNTIF('24 RCC-004 Candidate Pipeline'!$C$14:$C$213,$B145))</x:f>
      </x:c>
      <x:c r="AA145" s="1253" t="str">
        <x:f>IF($B145="","",IFERROR(INDEX('24 RCC-004 Candidate Pipeline'!$Y$14:$Y$213,MATCH($B145,'24 RCC-004 Candidate Pipeline'!$C$14:$C$213,0)),""))</x:f>
      </x:c>
      <x:c r="AB145" s="1242"/>
      <x:c r="AC145" s="1253" t="str">
        <x:f>IF($B145="","",IF(COUNTIFS('24 RCC-004 Candidate Pipeline'!$C$14:$C$213,$B145,'24 RCC-004 Candidate Pipeline'!$AF$14:$AF$213,"Yes — Refer to PEW-004")&gt;0,"REFERRED — PEW-004",IF($Z145&gt;0,"CANDIDATE RECORD ACTIVE","NO ACTIVE CANDIDATE")))</x:f>
      </x:c>
      <x:c r="AD145" s="1253" t="str">
        <x:f>IF($B145="","",IF($A145="","SETUP REQUIRED",IF(COUNTIF($A$14:$A$163,$A145)&gt;1,"DUPLICATE MASR ID",IF(COUNTIF($B$14:$B$163,$B145)&gt;1,"DUPLICATE TICKER",IF(OR($D145="",$E145="",$F145="",$G145="",$H145="",$I145=""),"INCOMPLETE",IF(OR($K145="",$L145=""),"MIAR SETUP REQUIRED",IF($X145="NOT ELIGIBLE","NOT ELIGIBLE",IF($Y145&lt;&gt;"None","EXCEPTION REVIEW",IF(AND($D145&lt;&gt;"Certified Portfolio Holding",OR($E145="Active — Approved Non-Holding",$E145="Conditional",$E145="Candidate — Committee Review"),OR($AB145="",$AB145="Pending")),"COMMITTEE DISPOSITION REQUIRED",IF(AND(OR($E145="Active — Approved Non-Holding",$E145="Conditional"),OR($AG145="",$AH145="")),"CERTIFICATION REQUIRED",IF(OR($E145="Rejected",$E145="Removed",$E145="Archived"),"INACTIVE / CLOSED","CONTROL CLEAR")))))))))))</x:f>
      </x:c>
      <x:c r="AE145" s="1253" t="str">
        <x:f>IF($AD145="","",IFERROR(INDEX('97 RCC Lists'!$AK$5:$AK$15,MATCH($AD145,'97 RCC Lists'!$AJ$5:$AJ$15,0)),"Review exception"))</x:f>
      </x:c>
      <x:c r="AF145" s="1251"/>
      <x:c r="AG145" s="1242"/>
      <x:c r="AH145" s="1251"/>
      <x:c r="AI145" s="1242"/>
    </x:row>
    <x:row r="146" ht="32" customHeight="1">
      <x:c r="A146" s="1242"/>
      <x:c r="B146" s="1242"/>
      <x:c r="C146" s="1242"/>
      <x:c r="D146" s="1242"/>
      <x:c r="E146" s="1242"/>
      <x:c r="F146" s="1242"/>
      <x:c r="G146" s="1242"/>
      <x:c r="H146" s="1242"/>
      <x:c r="I146" s="1242"/>
      <x:c r="J146" s="1259" t="str">
        <x:f>IF($B146="","",IFERROR(INDEX('Certified Allocation'!$F$5:$F$51,MATCH($B146,'Certified Allocation'!$B$5:$B$51,0)),""))</x:f>
      </x:c>
      <x:c r="K146" s="1243" t="str">
        <x:f>IF($B146="","",IFERROR(INDEX('20 RCC-003 MIAR Registry'!$A$14:$A$60,MATCH($B146,'20 RCC-003 MIAR Registry'!$B$14:$B$60,0)),""))</x:f>
      </x:c>
      <x:c r="L146" s="1243" t="str">
        <x:f>IF($B146="","",IFERROR(INDEX('20 RCC-003 MIAR Registry'!$M$14:$M$60,MATCH($B146,'20 RCC-003 MIAR Registry'!$B$14:$B$60,0)),""))</x:f>
      </x:c>
      <x:c r="M146" s="1243" t="str">
        <x:f>IF($B146="","",IFERROR(INDEX('20 RCC-003 MIAR Registry'!$Z$14:$Z$60,MATCH($B146,'20 RCC-003 MIAR Registry'!$B$14:$B$60,0)),""))</x:f>
      </x:c>
      <x:c r="N146" s="1246" t="str">
        <x:f>IF($B146="","",IFERROR(INDEX('20 RCC-003 MIAR Registry'!$K$14:$K$60,MATCH($B146,'20 RCC-003 MIAR Registry'!$B$14:$B$60,0)),""))</x:f>
      </x:c>
      <x:c r="O146" s="1246" t="str">
        <x:f>IF($B146="","",IFERROR(INDEX('20 RCC-003 MIAR Registry'!$L$14:$L$60,MATCH($B146,'20 RCC-003 MIAR Registry'!$B$14:$B$60,0)),""))</x:f>
      </x:c>
      <x:c r="P146" s="1243" t="str">
        <x:f>IF($B146="","",IFERROR(INDEX('20 RCC-003 MIAR Registry'!$I$14:$I$60,MATCH($B146,'20 RCC-003 MIAR Registry'!$B$14:$B$60,0)),""))</x:f>
      </x:c>
      <x:c r="Q146" s="1243" t="str">
        <x:f>IF($B146="","",IFERROR(INDEX('20 RCC-003 MIAR Registry'!$J$14:$J$60,MATCH($B146,'20 RCC-003 MIAR Registry'!$B$14:$B$60,0)),""))</x:f>
      </x:c>
      <x:c r="R146" s="1247" t="str">
        <x:f>IF($B146="","",COUNTIF('18 RCC-002 Evidence Ledger'!$E$14:$E$213,$B146))</x:f>
      </x:c>
      <x:c r="S146" s="1247" t="str">
        <x:f>IF($B146="","",COUNTIFS('18 RCC-002 Evidence Ledger'!$E$14:$E$213,$B146,'18 RCC-002 Evidence Ledger'!$T$14:$T$213,"&lt;&gt;Closed — No Action",'18 RCC-002 Evidence Ledger'!$T$14:$T$213,"&lt;&gt;Closed — Incorporated"))</x:f>
      </x:c>
      <x:c r="T146" s="1248"/>
      <x:c r="U146" s="1249"/>
      <x:c r="V146" s="1242"/>
      <x:c r="W146" s="1248"/>
      <x:c r="X146" s="1244" t="str">
        <x:f>IF($B146="","",IF($D146="Certified Portfolio Holding","CERTIFIED HOLDING",IF(OR($A146="",$D146="",$E146="",$F146="",$G146="",$H146="",$I146=""),"NOT ASSESSED",IF(OR($K146="",$L146&lt;&gt;"Active",$M146="OVERDUE",$M146="MATERIAL EVENT REVIEW",$N146="",$O146="",$W146=""),"NOT ELIGIBLE",IF(OR(AND($F146="Zacks Election",OR($T146="",$T146&lt;50)),OR($U146=4,$U146=5),$V146="No Rating",$V146="Restricted / Unavailable"),"ELIGIBLE WITH EXCEPTION","ELIGIBLE")))))</x:f>
      </x:c>
      <x:c r="Y146" s="1244" t="str">
        <x:f>IF($B146="","",IF($A146="","Canonical MASR ID required",IF(AND($D146&lt;&gt;"Certified Portfolio Holding",OR($K146="",$L146&lt;&gt;"Active",$M146&lt;&gt;"CURRENT",$N146="",$O146="",$W146="")),"Complete MIAR / scoring / empirical eligibility",IF(AND($F146="Zacks Election",OR($T146="",$T146&lt;50)),"Sub-$50B Zacks election exception",IF(OR($U146=4,$U146=5),"Zacks #4/#5 exception review",IF($V146="No Rating","Merrill No Rating exception",IF($V146="Restricted / Unavailable","Merrill restricted / unavailable exception","None")))))))</x:f>
      </x:c>
      <x:c r="Z146" s="1250" t="str">
        <x:f>IF($B146="","",COUNTIF('24 RCC-004 Candidate Pipeline'!$C$14:$C$213,$B146))</x:f>
      </x:c>
      <x:c r="AA146" s="1244" t="str">
        <x:f>IF($B146="","",IFERROR(INDEX('24 RCC-004 Candidate Pipeline'!$Y$14:$Y$213,MATCH($B146,'24 RCC-004 Candidate Pipeline'!$C$14:$C$213,0)),""))</x:f>
      </x:c>
      <x:c r="AB146" s="1242"/>
      <x:c r="AC146" s="1244" t="str">
        <x:f>IF($B146="","",IF(COUNTIFS('24 RCC-004 Candidate Pipeline'!$C$14:$C$213,$B146,'24 RCC-004 Candidate Pipeline'!$AF$14:$AF$213,"Yes — Refer to PEW-004")&gt;0,"REFERRED — PEW-004",IF($Z146&gt;0,"CANDIDATE RECORD ACTIVE","NO ACTIVE CANDIDATE")))</x:f>
      </x:c>
      <x:c r="AD146" s="1244" t="str">
        <x:f>IF($B146="","",IF($A146="","SETUP REQUIRED",IF(COUNTIF($A$14:$A$163,$A146)&gt;1,"DUPLICATE MASR ID",IF(COUNTIF($B$14:$B$163,$B146)&gt;1,"DUPLICATE TICKER",IF(OR($D146="",$E146="",$F146="",$G146="",$H146="",$I146=""),"INCOMPLETE",IF(OR($K146="",$L146=""),"MIAR SETUP REQUIRED",IF($X146="NOT ELIGIBLE","NOT ELIGIBLE",IF($Y146&lt;&gt;"None","EXCEPTION REVIEW",IF(AND($D146&lt;&gt;"Certified Portfolio Holding",OR($E146="Active — Approved Non-Holding",$E146="Conditional",$E146="Candidate — Committee Review"),OR($AB146="",$AB146="Pending")),"COMMITTEE DISPOSITION REQUIRED",IF(AND(OR($E146="Active — Approved Non-Holding",$E146="Conditional"),OR($AG146="",$AH146="")),"CERTIFICATION REQUIRED",IF(OR($E146="Rejected",$E146="Removed",$E146="Archived"),"INACTIVE / CLOSED","CONTROL CLEAR")))))))))))</x:f>
      </x:c>
      <x:c r="AE146" s="1244" t="str">
        <x:f>IF($AD146="","",IFERROR(INDEX('97 RCC Lists'!$AK$5:$AK$15,MATCH($AD146,'97 RCC Lists'!$AJ$5:$AJ$15,0)),"Review exception"))</x:f>
      </x:c>
      <x:c r="AF146" s="1251"/>
      <x:c r="AG146" s="1242"/>
      <x:c r="AH146" s="1251"/>
      <x:c r="AI146" s="1242"/>
    </x:row>
    <x:row r="147" ht="32" customHeight="1">
      <x:c r="A147" s="1242"/>
      <x:c r="B147" s="1242"/>
      <x:c r="C147" s="1242"/>
      <x:c r="D147" s="1242"/>
      <x:c r="E147" s="1242"/>
      <x:c r="F147" s="1242"/>
      <x:c r="G147" s="1242"/>
      <x:c r="H147" s="1242"/>
      <x:c r="I147" s="1242"/>
      <x:c r="J147" s="1258" t="str">
        <x:f>IF($B147="","",IFERROR(INDEX('Certified Allocation'!$F$5:$F$51,MATCH($B147,'Certified Allocation'!$B$5:$B$51,0)),""))</x:f>
      </x:c>
      <x:c r="K147" s="1252" t="str">
        <x:f>IF($B147="","",IFERROR(INDEX('20 RCC-003 MIAR Registry'!$A$14:$A$60,MATCH($B147,'20 RCC-003 MIAR Registry'!$B$14:$B$60,0)),""))</x:f>
      </x:c>
      <x:c r="L147" s="1252" t="str">
        <x:f>IF($B147="","",IFERROR(INDEX('20 RCC-003 MIAR Registry'!$M$14:$M$60,MATCH($B147,'20 RCC-003 MIAR Registry'!$B$14:$B$60,0)),""))</x:f>
      </x:c>
      <x:c r="M147" s="1252" t="str">
        <x:f>IF($B147="","",IFERROR(INDEX('20 RCC-003 MIAR Registry'!$Z$14:$Z$60,MATCH($B147,'20 RCC-003 MIAR Registry'!$B$14:$B$60,0)),""))</x:f>
      </x:c>
      <x:c r="N147" s="1255" t="str">
        <x:f>IF($B147="","",IFERROR(INDEX('20 RCC-003 MIAR Registry'!$K$14:$K$60,MATCH($B147,'20 RCC-003 MIAR Registry'!$B$14:$B$60,0)),""))</x:f>
      </x:c>
      <x:c r="O147" s="1255" t="str">
        <x:f>IF($B147="","",IFERROR(INDEX('20 RCC-003 MIAR Registry'!$L$14:$L$60,MATCH($B147,'20 RCC-003 MIAR Registry'!$B$14:$B$60,0)),""))</x:f>
      </x:c>
      <x:c r="P147" s="1252" t="str">
        <x:f>IF($B147="","",IFERROR(INDEX('20 RCC-003 MIAR Registry'!$I$14:$I$60,MATCH($B147,'20 RCC-003 MIAR Registry'!$B$14:$B$60,0)),""))</x:f>
      </x:c>
      <x:c r="Q147" s="1252" t="str">
        <x:f>IF($B147="","",IFERROR(INDEX('20 RCC-003 MIAR Registry'!$J$14:$J$60,MATCH($B147,'20 RCC-003 MIAR Registry'!$B$14:$B$60,0)),""))</x:f>
      </x:c>
      <x:c r="R147" s="1256" t="str">
        <x:f>IF($B147="","",COUNTIF('18 RCC-002 Evidence Ledger'!$E$14:$E$213,$B147))</x:f>
      </x:c>
      <x:c r="S147" s="1256" t="str">
        <x:f>IF($B147="","",COUNTIFS('18 RCC-002 Evidence Ledger'!$E$14:$E$213,$B147,'18 RCC-002 Evidence Ledger'!$T$14:$T$213,"&lt;&gt;Closed — No Action",'18 RCC-002 Evidence Ledger'!$T$14:$T$213,"&lt;&gt;Closed — Incorporated"))</x:f>
      </x:c>
      <x:c r="T147" s="1248"/>
      <x:c r="U147" s="1249"/>
      <x:c r="V147" s="1242"/>
      <x:c r="W147" s="1248"/>
      <x:c r="X147" s="1253" t="str">
        <x:f>IF($B147="","",IF($D147="Certified Portfolio Holding","CERTIFIED HOLDING",IF(OR($A147="",$D147="",$E147="",$F147="",$G147="",$H147="",$I147=""),"NOT ASSESSED",IF(OR($K147="",$L147&lt;&gt;"Active",$M147="OVERDUE",$M147="MATERIAL EVENT REVIEW",$N147="",$O147="",$W147=""),"NOT ELIGIBLE",IF(OR(AND($F147="Zacks Election",OR($T147="",$T147&lt;50)),OR($U147=4,$U147=5),$V147="No Rating",$V147="Restricted / Unavailable"),"ELIGIBLE WITH EXCEPTION","ELIGIBLE")))))</x:f>
      </x:c>
      <x:c r="Y147" s="1253" t="str">
        <x:f>IF($B147="","",IF($A147="","Canonical MASR ID required",IF(AND($D147&lt;&gt;"Certified Portfolio Holding",OR($K147="",$L147&lt;&gt;"Active",$M147&lt;&gt;"CURRENT",$N147="",$O147="",$W147="")),"Complete MIAR / scoring / empirical eligibility",IF(AND($F147="Zacks Election",OR($T147="",$T147&lt;50)),"Sub-$50B Zacks election exception",IF(OR($U147=4,$U147=5),"Zacks #4/#5 exception review",IF($V147="No Rating","Merrill No Rating exception",IF($V147="Restricted / Unavailable","Merrill restricted / unavailable exception","None")))))))</x:f>
      </x:c>
      <x:c r="Z147" s="1257" t="str">
        <x:f>IF($B147="","",COUNTIF('24 RCC-004 Candidate Pipeline'!$C$14:$C$213,$B147))</x:f>
      </x:c>
      <x:c r="AA147" s="1253" t="str">
        <x:f>IF($B147="","",IFERROR(INDEX('24 RCC-004 Candidate Pipeline'!$Y$14:$Y$213,MATCH($B147,'24 RCC-004 Candidate Pipeline'!$C$14:$C$213,0)),""))</x:f>
      </x:c>
      <x:c r="AB147" s="1242"/>
      <x:c r="AC147" s="1253" t="str">
        <x:f>IF($B147="","",IF(COUNTIFS('24 RCC-004 Candidate Pipeline'!$C$14:$C$213,$B147,'24 RCC-004 Candidate Pipeline'!$AF$14:$AF$213,"Yes — Refer to PEW-004")&gt;0,"REFERRED — PEW-004",IF($Z147&gt;0,"CANDIDATE RECORD ACTIVE","NO ACTIVE CANDIDATE")))</x:f>
      </x:c>
      <x:c r="AD147" s="1253" t="str">
        <x:f>IF($B147="","",IF($A147="","SETUP REQUIRED",IF(COUNTIF($A$14:$A$163,$A147)&gt;1,"DUPLICATE MASR ID",IF(COUNTIF($B$14:$B$163,$B147)&gt;1,"DUPLICATE TICKER",IF(OR($D147="",$E147="",$F147="",$G147="",$H147="",$I147=""),"INCOMPLETE",IF(OR($K147="",$L147=""),"MIAR SETUP REQUIRED",IF($X147="NOT ELIGIBLE","NOT ELIGIBLE",IF($Y147&lt;&gt;"None","EXCEPTION REVIEW",IF(AND($D147&lt;&gt;"Certified Portfolio Holding",OR($E147="Active — Approved Non-Holding",$E147="Conditional",$E147="Candidate — Committee Review"),OR($AB147="",$AB147="Pending")),"COMMITTEE DISPOSITION REQUIRED",IF(AND(OR($E147="Active — Approved Non-Holding",$E147="Conditional"),OR($AG147="",$AH147="")),"CERTIFICATION REQUIRED",IF(OR($E147="Rejected",$E147="Removed",$E147="Archived"),"INACTIVE / CLOSED","CONTROL CLEAR")))))))))))</x:f>
      </x:c>
      <x:c r="AE147" s="1253" t="str">
        <x:f>IF($AD147="","",IFERROR(INDEX('97 RCC Lists'!$AK$5:$AK$15,MATCH($AD147,'97 RCC Lists'!$AJ$5:$AJ$15,0)),"Review exception"))</x:f>
      </x:c>
      <x:c r="AF147" s="1251"/>
      <x:c r="AG147" s="1242"/>
      <x:c r="AH147" s="1251"/>
      <x:c r="AI147" s="1242"/>
    </x:row>
    <x:row r="148" ht="32" customHeight="1">
      <x:c r="A148" s="1242"/>
      <x:c r="B148" s="1242"/>
      <x:c r="C148" s="1242"/>
      <x:c r="D148" s="1242"/>
      <x:c r="E148" s="1242"/>
      <x:c r="F148" s="1242"/>
      <x:c r="G148" s="1242"/>
      <x:c r="H148" s="1242"/>
      <x:c r="I148" s="1242"/>
      <x:c r="J148" s="1259" t="str">
        <x:f>IF($B148="","",IFERROR(INDEX('Certified Allocation'!$F$5:$F$51,MATCH($B148,'Certified Allocation'!$B$5:$B$51,0)),""))</x:f>
      </x:c>
      <x:c r="K148" s="1243" t="str">
        <x:f>IF($B148="","",IFERROR(INDEX('20 RCC-003 MIAR Registry'!$A$14:$A$60,MATCH($B148,'20 RCC-003 MIAR Registry'!$B$14:$B$60,0)),""))</x:f>
      </x:c>
      <x:c r="L148" s="1243" t="str">
        <x:f>IF($B148="","",IFERROR(INDEX('20 RCC-003 MIAR Registry'!$M$14:$M$60,MATCH($B148,'20 RCC-003 MIAR Registry'!$B$14:$B$60,0)),""))</x:f>
      </x:c>
      <x:c r="M148" s="1243" t="str">
        <x:f>IF($B148="","",IFERROR(INDEX('20 RCC-003 MIAR Registry'!$Z$14:$Z$60,MATCH($B148,'20 RCC-003 MIAR Registry'!$B$14:$B$60,0)),""))</x:f>
      </x:c>
      <x:c r="N148" s="1246" t="str">
        <x:f>IF($B148="","",IFERROR(INDEX('20 RCC-003 MIAR Registry'!$K$14:$K$60,MATCH($B148,'20 RCC-003 MIAR Registry'!$B$14:$B$60,0)),""))</x:f>
      </x:c>
      <x:c r="O148" s="1246" t="str">
        <x:f>IF($B148="","",IFERROR(INDEX('20 RCC-003 MIAR Registry'!$L$14:$L$60,MATCH($B148,'20 RCC-003 MIAR Registry'!$B$14:$B$60,0)),""))</x:f>
      </x:c>
      <x:c r="P148" s="1243" t="str">
        <x:f>IF($B148="","",IFERROR(INDEX('20 RCC-003 MIAR Registry'!$I$14:$I$60,MATCH($B148,'20 RCC-003 MIAR Registry'!$B$14:$B$60,0)),""))</x:f>
      </x:c>
      <x:c r="Q148" s="1243" t="str">
        <x:f>IF($B148="","",IFERROR(INDEX('20 RCC-003 MIAR Registry'!$J$14:$J$60,MATCH($B148,'20 RCC-003 MIAR Registry'!$B$14:$B$60,0)),""))</x:f>
      </x:c>
      <x:c r="R148" s="1247" t="str">
        <x:f>IF($B148="","",COUNTIF('18 RCC-002 Evidence Ledger'!$E$14:$E$213,$B148))</x:f>
      </x:c>
      <x:c r="S148" s="1247" t="str">
        <x:f>IF($B148="","",COUNTIFS('18 RCC-002 Evidence Ledger'!$E$14:$E$213,$B148,'18 RCC-002 Evidence Ledger'!$T$14:$T$213,"&lt;&gt;Closed — No Action",'18 RCC-002 Evidence Ledger'!$T$14:$T$213,"&lt;&gt;Closed — Incorporated"))</x:f>
      </x:c>
      <x:c r="T148" s="1248"/>
      <x:c r="U148" s="1249"/>
      <x:c r="V148" s="1242"/>
      <x:c r="W148" s="1248"/>
      <x:c r="X148" s="1244" t="str">
        <x:f>IF($B148="","",IF($D148="Certified Portfolio Holding","CERTIFIED HOLDING",IF(OR($A148="",$D148="",$E148="",$F148="",$G148="",$H148="",$I148=""),"NOT ASSESSED",IF(OR($K148="",$L148&lt;&gt;"Active",$M148="OVERDUE",$M148="MATERIAL EVENT REVIEW",$N148="",$O148="",$W148=""),"NOT ELIGIBLE",IF(OR(AND($F148="Zacks Election",OR($T148="",$T148&lt;50)),OR($U148=4,$U148=5),$V148="No Rating",$V148="Restricted / Unavailable"),"ELIGIBLE WITH EXCEPTION","ELIGIBLE")))))</x:f>
      </x:c>
      <x:c r="Y148" s="1244" t="str">
        <x:f>IF($B148="","",IF($A148="","Canonical MASR ID required",IF(AND($D148&lt;&gt;"Certified Portfolio Holding",OR($K148="",$L148&lt;&gt;"Active",$M148&lt;&gt;"CURRENT",$N148="",$O148="",$W148="")),"Complete MIAR / scoring / empirical eligibility",IF(AND($F148="Zacks Election",OR($T148="",$T148&lt;50)),"Sub-$50B Zacks election exception",IF(OR($U148=4,$U148=5),"Zacks #4/#5 exception review",IF($V148="No Rating","Merrill No Rating exception",IF($V148="Restricted / Unavailable","Merrill restricted / unavailable exception","None")))))))</x:f>
      </x:c>
      <x:c r="Z148" s="1250" t="str">
        <x:f>IF($B148="","",COUNTIF('24 RCC-004 Candidate Pipeline'!$C$14:$C$213,$B148))</x:f>
      </x:c>
      <x:c r="AA148" s="1244" t="str">
        <x:f>IF($B148="","",IFERROR(INDEX('24 RCC-004 Candidate Pipeline'!$Y$14:$Y$213,MATCH($B148,'24 RCC-004 Candidate Pipeline'!$C$14:$C$213,0)),""))</x:f>
      </x:c>
      <x:c r="AB148" s="1242"/>
      <x:c r="AC148" s="1244" t="str">
        <x:f>IF($B148="","",IF(COUNTIFS('24 RCC-004 Candidate Pipeline'!$C$14:$C$213,$B148,'24 RCC-004 Candidate Pipeline'!$AF$14:$AF$213,"Yes — Refer to PEW-004")&gt;0,"REFERRED — PEW-004",IF($Z148&gt;0,"CANDIDATE RECORD ACTIVE","NO ACTIVE CANDIDATE")))</x:f>
      </x:c>
      <x:c r="AD148" s="1244" t="str">
        <x:f>IF($B148="","",IF($A148="","SETUP REQUIRED",IF(COUNTIF($A$14:$A$163,$A148)&gt;1,"DUPLICATE MASR ID",IF(COUNTIF($B$14:$B$163,$B148)&gt;1,"DUPLICATE TICKER",IF(OR($D148="",$E148="",$F148="",$G148="",$H148="",$I148=""),"INCOMPLETE",IF(OR($K148="",$L148=""),"MIAR SETUP REQUIRED",IF($X148="NOT ELIGIBLE","NOT ELIGIBLE",IF($Y148&lt;&gt;"None","EXCEPTION REVIEW",IF(AND($D148&lt;&gt;"Certified Portfolio Holding",OR($E148="Active — Approved Non-Holding",$E148="Conditional",$E148="Candidate — Committee Review"),OR($AB148="",$AB148="Pending")),"COMMITTEE DISPOSITION REQUIRED",IF(AND(OR($E148="Active — Approved Non-Holding",$E148="Conditional"),OR($AG148="",$AH148="")),"CERTIFICATION REQUIRED",IF(OR($E148="Rejected",$E148="Removed",$E148="Archived"),"INACTIVE / CLOSED","CONTROL CLEAR")))))))))))</x:f>
      </x:c>
      <x:c r="AE148" s="1244" t="str">
        <x:f>IF($AD148="","",IFERROR(INDEX('97 RCC Lists'!$AK$5:$AK$15,MATCH($AD148,'97 RCC Lists'!$AJ$5:$AJ$15,0)),"Review exception"))</x:f>
      </x:c>
      <x:c r="AF148" s="1251"/>
      <x:c r="AG148" s="1242"/>
      <x:c r="AH148" s="1251"/>
      <x:c r="AI148" s="1242"/>
    </x:row>
    <x:row r="149" ht="32" customHeight="1">
      <x:c r="A149" s="1242"/>
      <x:c r="B149" s="1242"/>
      <x:c r="C149" s="1242"/>
      <x:c r="D149" s="1242"/>
      <x:c r="E149" s="1242"/>
      <x:c r="F149" s="1242"/>
      <x:c r="G149" s="1242"/>
      <x:c r="H149" s="1242"/>
      <x:c r="I149" s="1242"/>
      <x:c r="J149" s="1258" t="str">
        <x:f>IF($B149="","",IFERROR(INDEX('Certified Allocation'!$F$5:$F$51,MATCH($B149,'Certified Allocation'!$B$5:$B$51,0)),""))</x:f>
      </x:c>
      <x:c r="K149" s="1252" t="str">
        <x:f>IF($B149="","",IFERROR(INDEX('20 RCC-003 MIAR Registry'!$A$14:$A$60,MATCH($B149,'20 RCC-003 MIAR Registry'!$B$14:$B$60,0)),""))</x:f>
      </x:c>
      <x:c r="L149" s="1252" t="str">
        <x:f>IF($B149="","",IFERROR(INDEX('20 RCC-003 MIAR Registry'!$M$14:$M$60,MATCH($B149,'20 RCC-003 MIAR Registry'!$B$14:$B$60,0)),""))</x:f>
      </x:c>
      <x:c r="M149" s="1252" t="str">
        <x:f>IF($B149="","",IFERROR(INDEX('20 RCC-003 MIAR Registry'!$Z$14:$Z$60,MATCH($B149,'20 RCC-003 MIAR Registry'!$B$14:$B$60,0)),""))</x:f>
      </x:c>
      <x:c r="N149" s="1255" t="str">
        <x:f>IF($B149="","",IFERROR(INDEX('20 RCC-003 MIAR Registry'!$K$14:$K$60,MATCH($B149,'20 RCC-003 MIAR Registry'!$B$14:$B$60,0)),""))</x:f>
      </x:c>
      <x:c r="O149" s="1255" t="str">
        <x:f>IF($B149="","",IFERROR(INDEX('20 RCC-003 MIAR Registry'!$L$14:$L$60,MATCH($B149,'20 RCC-003 MIAR Registry'!$B$14:$B$60,0)),""))</x:f>
      </x:c>
      <x:c r="P149" s="1252" t="str">
        <x:f>IF($B149="","",IFERROR(INDEX('20 RCC-003 MIAR Registry'!$I$14:$I$60,MATCH($B149,'20 RCC-003 MIAR Registry'!$B$14:$B$60,0)),""))</x:f>
      </x:c>
      <x:c r="Q149" s="1252" t="str">
        <x:f>IF($B149="","",IFERROR(INDEX('20 RCC-003 MIAR Registry'!$J$14:$J$60,MATCH($B149,'20 RCC-003 MIAR Registry'!$B$14:$B$60,0)),""))</x:f>
      </x:c>
      <x:c r="R149" s="1256" t="str">
        <x:f>IF($B149="","",COUNTIF('18 RCC-002 Evidence Ledger'!$E$14:$E$213,$B149))</x:f>
      </x:c>
      <x:c r="S149" s="1256" t="str">
        <x:f>IF($B149="","",COUNTIFS('18 RCC-002 Evidence Ledger'!$E$14:$E$213,$B149,'18 RCC-002 Evidence Ledger'!$T$14:$T$213,"&lt;&gt;Closed — No Action",'18 RCC-002 Evidence Ledger'!$T$14:$T$213,"&lt;&gt;Closed — Incorporated"))</x:f>
      </x:c>
      <x:c r="T149" s="1248"/>
      <x:c r="U149" s="1249"/>
      <x:c r="V149" s="1242"/>
      <x:c r="W149" s="1248"/>
      <x:c r="X149" s="1253" t="str">
        <x:f>IF($B149="","",IF($D149="Certified Portfolio Holding","CERTIFIED HOLDING",IF(OR($A149="",$D149="",$E149="",$F149="",$G149="",$H149="",$I149=""),"NOT ASSESSED",IF(OR($K149="",$L149&lt;&gt;"Active",$M149="OVERDUE",$M149="MATERIAL EVENT REVIEW",$N149="",$O149="",$W149=""),"NOT ELIGIBLE",IF(OR(AND($F149="Zacks Election",OR($T149="",$T149&lt;50)),OR($U149=4,$U149=5),$V149="No Rating",$V149="Restricted / Unavailable"),"ELIGIBLE WITH EXCEPTION","ELIGIBLE")))))</x:f>
      </x:c>
      <x:c r="Y149" s="1253" t="str">
        <x:f>IF($B149="","",IF($A149="","Canonical MASR ID required",IF(AND($D149&lt;&gt;"Certified Portfolio Holding",OR($K149="",$L149&lt;&gt;"Active",$M149&lt;&gt;"CURRENT",$N149="",$O149="",$W149="")),"Complete MIAR / scoring / empirical eligibility",IF(AND($F149="Zacks Election",OR($T149="",$T149&lt;50)),"Sub-$50B Zacks election exception",IF(OR($U149=4,$U149=5),"Zacks #4/#5 exception review",IF($V149="No Rating","Merrill No Rating exception",IF($V149="Restricted / Unavailable","Merrill restricted / unavailable exception","None")))))))</x:f>
      </x:c>
      <x:c r="Z149" s="1257" t="str">
        <x:f>IF($B149="","",COUNTIF('24 RCC-004 Candidate Pipeline'!$C$14:$C$213,$B149))</x:f>
      </x:c>
      <x:c r="AA149" s="1253" t="str">
        <x:f>IF($B149="","",IFERROR(INDEX('24 RCC-004 Candidate Pipeline'!$Y$14:$Y$213,MATCH($B149,'24 RCC-004 Candidate Pipeline'!$C$14:$C$213,0)),""))</x:f>
      </x:c>
      <x:c r="AB149" s="1242"/>
      <x:c r="AC149" s="1253" t="str">
        <x:f>IF($B149="","",IF(COUNTIFS('24 RCC-004 Candidate Pipeline'!$C$14:$C$213,$B149,'24 RCC-004 Candidate Pipeline'!$AF$14:$AF$213,"Yes — Refer to PEW-004")&gt;0,"REFERRED — PEW-004",IF($Z149&gt;0,"CANDIDATE RECORD ACTIVE","NO ACTIVE CANDIDATE")))</x:f>
      </x:c>
      <x:c r="AD149" s="1253" t="str">
        <x:f>IF($B149="","",IF($A149="","SETUP REQUIRED",IF(COUNTIF($A$14:$A$163,$A149)&gt;1,"DUPLICATE MASR ID",IF(COUNTIF($B$14:$B$163,$B149)&gt;1,"DUPLICATE TICKER",IF(OR($D149="",$E149="",$F149="",$G149="",$H149="",$I149=""),"INCOMPLETE",IF(OR($K149="",$L149=""),"MIAR SETUP REQUIRED",IF($X149="NOT ELIGIBLE","NOT ELIGIBLE",IF($Y149&lt;&gt;"None","EXCEPTION REVIEW",IF(AND($D149&lt;&gt;"Certified Portfolio Holding",OR($E149="Active — Approved Non-Holding",$E149="Conditional",$E149="Candidate — Committee Review"),OR($AB149="",$AB149="Pending")),"COMMITTEE DISPOSITION REQUIRED",IF(AND(OR($E149="Active — Approved Non-Holding",$E149="Conditional"),OR($AG149="",$AH149="")),"CERTIFICATION REQUIRED",IF(OR($E149="Rejected",$E149="Removed",$E149="Archived"),"INACTIVE / CLOSED","CONTROL CLEAR")))))))))))</x:f>
      </x:c>
      <x:c r="AE149" s="1253" t="str">
        <x:f>IF($AD149="","",IFERROR(INDEX('97 RCC Lists'!$AK$5:$AK$15,MATCH($AD149,'97 RCC Lists'!$AJ$5:$AJ$15,0)),"Review exception"))</x:f>
      </x:c>
      <x:c r="AF149" s="1251"/>
      <x:c r="AG149" s="1242"/>
      <x:c r="AH149" s="1251"/>
      <x:c r="AI149" s="1242"/>
    </x:row>
    <x:row r="150" ht="32" customHeight="1">
      <x:c r="A150" s="1242"/>
      <x:c r="B150" s="1242"/>
      <x:c r="C150" s="1242"/>
      <x:c r="D150" s="1242"/>
      <x:c r="E150" s="1242"/>
      <x:c r="F150" s="1242"/>
      <x:c r="G150" s="1242"/>
      <x:c r="H150" s="1242"/>
      <x:c r="I150" s="1242"/>
      <x:c r="J150" s="1259" t="str">
        <x:f>IF($B150="","",IFERROR(INDEX('Certified Allocation'!$F$5:$F$51,MATCH($B150,'Certified Allocation'!$B$5:$B$51,0)),""))</x:f>
      </x:c>
      <x:c r="K150" s="1243" t="str">
        <x:f>IF($B150="","",IFERROR(INDEX('20 RCC-003 MIAR Registry'!$A$14:$A$60,MATCH($B150,'20 RCC-003 MIAR Registry'!$B$14:$B$60,0)),""))</x:f>
      </x:c>
      <x:c r="L150" s="1243" t="str">
        <x:f>IF($B150="","",IFERROR(INDEX('20 RCC-003 MIAR Registry'!$M$14:$M$60,MATCH($B150,'20 RCC-003 MIAR Registry'!$B$14:$B$60,0)),""))</x:f>
      </x:c>
      <x:c r="M150" s="1243" t="str">
        <x:f>IF($B150="","",IFERROR(INDEX('20 RCC-003 MIAR Registry'!$Z$14:$Z$60,MATCH($B150,'20 RCC-003 MIAR Registry'!$B$14:$B$60,0)),""))</x:f>
      </x:c>
      <x:c r="N150" s="1246" t="str">
        <x:f>IF($B150="","",IFERROR(INDEX('20 RCC-003 MIAR Registry'!$K$14:$K$60,MATCH($B150,'20 RCC-003 MIAR Registry'!$B$14:$B$60,0)),""))</x:f>
      </x:c>
      <x:c r="O150" s="1246" t="str">
        <x:f>IF($B150="","",IFERROR(INDEX('20 RCC-003 MIAR Registry'!$L$14:$L$60,MATCH($B150,'20 RCC-003 MIAR Registry'!$B$14:$B$60,0)),""))</x:f>
      </x:c>
      <x:c r="P150" s="1243" t="str">
        <x:f>IF($B150="","",IFERROR(INDEX('20 RCC-003 MIAR Registry'!$I$14:$I$60,MATCH($B150,'20 RCC-003 MIAR Registry'!$B$14:$B$60,0)),""))</x:f>
      </x:c>
      <x:c r="Q150" s="1243" t="str">
        <x:f>IF($B150="","",IFERROR(INDEX('20 RCC-003 MIAR Registry'!$J$14:$J$60,MATCH($B150,'20 RCC-003 MIAR Registry'!$B$14:$B$60,0)),""))</x:f>
      </x:c>
      <x:c r="R150" s="1247" t="str">
        <x:f>IF($B150="","",COUNTIF('18 RCC-002 Evidence Ledger'!$E$14:$E$213,$B150))</x:f>
      </x:c>
      <x:c r="S150" s="1247" t="str">
        <x:f>IF($B150="","",COUNTIFS('18 RCC-002 Evidence Ledger'!$E$14:$E$213,$B150,'18 RCC-002 Evidence Ledger'!$T$14:$T$213,"&lt;&gt;Closed — No Action",'18 RCC-002 Evidence Ledger'!$T$14:$T$213,"&lt;&gt;Closed — Incorporated"))</x:f>
      </x:c>
      <x:c r="T150" s="1248"/>
      <x:c r="U150" s="1249"/>
      <x:c r="V150" s="1242"/>
      <x:c r="W150" s="1248"/>
      <x:c r="X150" s="1244" t="str">
        <x:f>IF($B150="","",IF($D150="Certified Portfolio Holding","CERTIFIED HOLDING",IF(OR($A150="",$D150="",$E150="",$F150="",$G150="",$H150="",$I150=""),"NOT ASSESSED",IF(OR($K150="",$L150&lt;&gt;"Active",$M150="OVERDUE",$M150="MATERIAL EVENT REVIEW",$N150="",$O150="",$W150=""),"NOT ELIGIBLE",IF(OR(AND($F150="Zacks Election",OR($T150="",$T150&lt;50)),OR($U150=4,$U150=5),$V150="No Rating",$V150="Restricted / Unavailable"),"ELIGIBLE WITH EXCEPTION","ELIGIBLE")))))</x:f>
      </x:c>
      <x:c r="Y150" s="1244" t="str">
        <x:f>IF($B150="","",IF($A150="","Canonical MASR ID required",IF(AND($D150&lt;&gt;"Certified Portfolio Holding",OR($K150="",$L150&lt;&gt;"Active",$M150&lt;&gt;"CURRENT",$N150="",$O150="",$W150="")),"Complete MIAR / scoring / empirical eligibility",IF(AND($F150="Zacks Election",OR($T150="",$T150&lt;50)),"Sub-$50B Zacks election exception",IF(OR($U150=4,$U150=5),"Zacks #4/#5 exception review",IF($V150="No Rating","Merrill No Rating exception",IF($V150="Restricted / Unavailable","Merrill restricted / unavailable exception","None")))))))</x:f>
      </x:c>
      <x:c r="Z150" s="1250" t="str">
        <x:f>IF($B150="","",COUNTIF('24 RCC-004 Candidate Pipeline'!$C$14:$C$213,$B150))</x:f>
      </x:c>
      <x:c r="AA150" s="1244" t="str">
        <x:f>IF($B150="","",IFERROR(INDEX('24 RCC-004 Candidate Pipeline'!$Y$14:$Y$213,MATCH($B150,'24 RCC-004 Candidate Pipeline'!$C$14:$C$213,0)),""))</x:f>
      </x:c>
      <x:c r="AB150" s="1242"/>
      <x:c r="AC150" s="1244" t="str">
        <x:f>IF($B150="","",IF(COUNTIFS('24 RCC-004 Candidate Pipeline'!$C$14:$C$213,$B150,'24 RCC-004 Candidate Pipeline'!$AF$14:$AF$213,"Yes — Refer to PEW-004")&gt;0,"REFERRED — PEW-004",IF($Z150&gt;0,"CANDIDATE RECORD ACTIVE","NO ACTIVE CANDIDATE")))</x:f>
      </x:c>
      <x:c r="AD150" s="1244" t="str">
        <x:f>IF($B150="","",IF($A150="","SETUP REQUIRED",IF(COUNTIF($A$14:$A$163,$A150)&gt;1,"DUPLICATE MASR ID",IF(COUNTIF($B$14:$B$163,$B150)&gt;1,"DUPLICATE TICKER",IF(OR($D150="",$E150="",$F150="",$G150="",$H150="",$I150=""),"INCOMPLETE",IF(OR($K150="",$L150=""),"MIAR SETUP REQUIRED",IF($X150="NOT ELIGIBLE","NOT ELIGIBLE",IF($Y150&lt;&gt;"None","EXCEPTION REVIEW",IF(AND($D150&lt;&gt;"Certified Portfolio Holding",OR($E150="Active — Approved Non-Holding",$E150="Conditional",$E150="Candidate — Committee Review"),OR($AB150="",$AB150="Pending")),"COMMITTEE DISPOSITION REQUIRED",IF(AND(OR($E150="Active — Approved Non-Holding",$E150="Conditional"),OR($AG150="",$AH150="")),"CERTIFICATION REQUIRED",IF(OR($E150="Rejected",$E150="Removed",$E150="Archived"),"INACTIVE / CLOSED","CONTROL CLEAR")))))))))))</x:f>
      </x:c>
      <x:c r="AE150" s="1244" t="str">
        <x:f>IF($AD150="","",IFERROR(INDEX('97 RCC Lists'!$AK$5:$AK$15,MATCH($AD150,'97 RCC Lists'!$AJ$5:$AJ$15,0)),"Review exception"))</x:f>
      </x:c>
      <x:c r="AF150" s="1251"/>
      <x:c r="AG150" s="1242"/>
      <x:c r="AH150" s="1251"/>
      <x:c r="AI150" s="1242"/>
    </x:row>
    <x:row r="151" ht="32" customHeight="1">
      <x:c r="A151" s="1242"/>
      <x:c r="B151" s="1242"/>
      <x:c r="C151" s="1242"/>
      <x:c r="D151" s="1242"/>
      <x:c r="E151" s="1242"/>
      <x:c r="F151" s="1242"/>
      <x:c r="G151" s="1242"/>
      <x:c r="H151" s="1242"/>
      <x:c r="I151" s="1242"/>
      <x:c r="J151" s="1258" t="str">
        <x:f>IF($B151="","",IFERROR(INDEX('Certified Allocation'!$F$5:$F$51,MATCH($B151,'Certified Allocation'!$B$5:$B$51,0)),""))</x:f>
      </x:c>
      <x:c r="K151" s="1252" t="str">
        <x:f>IF($B151="","",IFERROR(INDEX('20 RCC-003 MIAR Registry'!$A$14:$A$60,MATCH($B151,'20 RCC-003 MIAR Registry'!$B$14:$B$60,0)),""))</x:f>
      </x:c>
      <x:c r="L151" s="1252" t="str">
        <x:f>IF($B151="","",IFERROR(INDEX('20 RCC-003 MIAR Registry'!$M$14:$M$60,MATCH($B151,'20 RCC-003 MIAR Registry'!$B$14:$B$60,0)),""))</x:f>
      </x:c>
      <x:c r="M151" s="1252" t="str">
        <x:f>IF($B151="","",IFERROR(INDEX('20 RCC-003 MIAR Registry'!$Z$14:$Z$60,MATCH($B151,'20 RCC-003 MIAR Registry'!$B$14:$B$60,0)),""))</x:f>
      </x:c>
      <x:c r="N151" s="1255" t="str">
        <x:f>IF($B151="","",IFERROR(INDEX('20 RCC-003 MIAR Registry'!$K$14:$K$60,MATCH($B151,'20 RCC-003 MIAR Registry'!$B$14:$B$60,0)),""))</x:f>
      </x:c>
      <x:c r="O151" s="1255" t="str">
        <x:f>IF($B151="","",IFERROR(INDEX('20 RCC-003 MIAR Registry'!$L$14:$L$60,MATCH($B151,'20 RCC-003 MIAR Registry'!$B$14:$B$60,0)),""))</x:f>
      </x:c>
      <x:c r="P151" s="1252" t="str">
        <x:f>IF($B151="","",IFERROR(INDEX('20 RCC-003 MIAR Registry'!$I$14:$I$60,MATCH($B151,'20 RCC-003 MIAR Registry'!$B$14:$B$60,0)),""))</x:f>
      </x:c>
      <x:c r="Q151" s="1252" t="str">
        <x:f>IF($B151="","",IFERROR(INDEX('20 RCC-003 MIAR Registry'!$J$14:$J$60,MATCH($B151,'20 RCC-003 MIAR Registry'!$B$14:$B$60,0)),""))</x:f>
      </x:c>
      <x:c r="R151" s="1256" t="str">
        <x:f>IF($B151="","",COUNTIF('18 RCC-002 Evidence Ledger'!$E$14:$E$213,$B151))</x:f>
      </x:c>
      <x:c r="S151" s="1256" t="str">
        <x:f>IF($B151="","",COUNTIFS('18 RCC-002 Evidence Ledger'!$E$14:$E$213,$B151,'18 RCC-002 Evidence Ledger'!$T$14:$T$213,"&lt;&gt;Closed — No Action",'18 RCC-002 Evidence Ledger'!$T$14:$T$213,"&lt;&gt;Closed — Incorporated"))</x:f>
      </x:c>
      <x:c r="T151" s="1248"/>
      <x:c r="U151" s="1249"/>
      <x:c r="V151" s="1242"/>
      <x:c r="W151" s="1248"/>
      <x:c r="X151" s="1253" t="str">
        <x:f>IF($B151="","",IF($D151="Certified Portfolio Holding","CERTIFIED HOLDING",IF(OR($A151="",$D151="",$E151="",$F151="",$G151="",$H151="",$I151=""),"NOT ASSESSED",IF(OR($K151="",$L151&lt;&gt;"Active",$M151="OVERDUE",$M151="MATERIAL EVENT REVIEW",$N151="",$O151="",$W151=""),"NOT ELIGIBLE",IF(OR(AND($F151="Zacks Election",OR($T151="",$T151&lt;50)),OR($U151=4,$U151=5),$V151="No Rating",$V151="Restricted / Unavailable"),"ELIGIBLE WITH EXCEPTION","ELIGIBLE")))))</x:f>
      </x:c>
      <x:c r="Y151" s="1253" t="str">
        <x:f>IF($B151="","",IF($A151="","Canonical MASR ID required",IF(AND($D151&lt;&gt;"Certified Portfolio Holding",OR($K151="",$L151&lt;&gt;"Active",$M151&lt;&gt;"CURRENT",$N151="",$O151="",$W151="")),"Complete MIAR / scoring / empirical eligibility",IF(AND($F151="Zacks Election",OR($T151="",$T151&lt;50)),"Sub-$50B Zacks election exception",IF(OR($U151=4,$U151=5),"Zacks #4/#5 exception review",IF($V151="No Rating","Merrill No Rating exception",IF($V151="Restricted / Unavailable","Merrill restricted / unavailable exception","None")))))))</x:f>
      </x:c>
      <x:c r="Z151" s="1257" t="str">
        <x:f>IF($B151="","",COUNTIF('24 RCC-004 Candidate Pipeline'!$C$14:$C$213,$B151))</x:f>
      </x:c>
      <x:c r="AA151" s="1253" t="str">
        <x:f>IF($B151="","",IFERROR(INDEX('24 RCC-004 Candidate Pipeline'!$Y$14:$Y$213,MATCH($B151,'24 RCC-004 Candidate Pipeline'!$C$14:$C$213,0)),""))</x:f>
      </x:c>
      <x:c r="AB151" s="1242"/>
      <x:c r="AC151" s="1253" t="str">
        <x:f>IF($B151="","",IF(COUNTIFS('24 RCC-004 Candidate Pipeline'!$C$14:$C$213,$B151,'24 RCC-004 Candidate Pipeline'!$AF$14:$AF$213,"Yes — Refer to PEW-004")&gt;0,"REFERRED — PEW-004",IF($Z151&gt;0,"CANDIDATE RECORD ACTIVE","NO ACTIVE CANDIDATE")))</x:f>
      </x:c>
      <x:c r="AD151" s="1253" t="str">
        <x:f>IF($B151="","",IF($A151="","SETUP REQUIRED",IF(COUNTIF($A$14:$A$163,$A151)&gt;1,"DUPLICATE MASR ID",IF(COUNTIF($B$14:$B$163,$B151)&gt;1,"DUPLICATE TICKER",IF(OR($D151="",$E151="",$F151="",$G151="",$H151="",$I151=""),"INCOMPLETE",IF(OR($K151="",$L151=""),"MIAR SETUP REQUIRED",IF($X151="NOT ELIGIBLE","NOT ELIGIBLE",IF($Y151&lt;&gt;"None","EXCEPTION REVIEW",IF(AND($D151&lt;&gt;"Certified Portfolio Holding",OR($E151="Active — Approved Non-Holding",$E151="Conditional",$E151="Candidate — Committee Review"),OR($AB151="",$AB151="Pending")),"COMMITTEE DISPOSITION REQUIRED",IF(AND(OR($E151="Active — Approved Non-Holding",$E151="Conditional"),OR($AG151="",$AH151="")),"CERTIFICATION REQUIRED",IF(OR($E151="Rejected",$E151="Removed",$E151="Archived"),"INACTIVE / CLOSED","CONTROL CLEAR")))))))))))</x:f>
      </x:c>
      <x:c r="AE151" s="1253" t="str">
        <x:f>IF($AD151="","",IFERROR(INDEX('97 RCC Lists'!$AK$5:$AK$15,MATCH($AD151,'97 RCC Lists'!$AJ$5:$AJ$15,0)),"Review exception"))</x:f>
      </x:c>
      <x:c r="AF151" s="1251"/>
      <x:c r="AG151" s="1242"/>
      <x:c r="AH151" s="1251"/>
      <x:c r="AI151" s="1242"/>
    </x:row>
    <x:row r="152" ht="32" customHeight="1">
      <x:c r="A152" s="1242"/>
      <x:c r="B152" s="1242"/>
      <x:c r="C152" s="1242"/>
      <x:c r="D152" s="1242"/>
      <x:c r="E152" s="1242"/>
      <x:c r="F152" s="1242"/>
      <x:c r="G152" s="1242"/>
      <x:c r="H152" s="1242"/>
      <x:c r="I152" s="1242"/>
      <x:c r="J152" s="1259" t="str">
        <x:f>IF($B152="","",IFERROR(INDEX('Certified Allocation'!$F$5:$F$51,MATCH($B152,'Certified Allocation'!$B$5:$B$51,0)),""))</x:f>
      </x:c>
      <x:c r="K152" s="1243" t="str">
        <x:f>IF($B152="","",IFERROR(INDEX('20 RCC-003 MIAR Registry'!$A$14:$A$60,MATCH($B152,'20 RCC-003 MIAR Registry'!$B$14:$B$60,0)),""))</x:f>
      </x:c>
      <x:c r="L152" s="1243" t="str">
        <x:f>IF($B152="","",IFERROR(INDEX('20 RCC-003 MIAR Registry'!$M$14:$M$60,MATCH($B152,'20 RCC-003 MIAR Registry'!$B$14:$B$60,0)),""))</x:f>
      </x:c>
      <x:c r="M152" s="1243" t="str">
        <x:f>IF($B152="","",IFERROR(INDEX('20 RCC-003 MIAR Registry'!$Z$14:$Z$60,MATCH($B152,'20 RCC-003 MIAR Registry'!$B$14:$B$60,0)),""))</x:f>
      </x:c>
      <x:c r="N152" s="1246" t="str">
        <x:f>IF($B152="","",IFERROR(INDEX('20 RCC-003 MIAR Registry'!$K$14:$K$60,MATCH($B152,'20 RCC-003 MIAR Registry'!$B$14:$B$60,0)),""))</x:f>
      </x:c>
      <x:c r="O152" s="1246" t="str">
        <x:f>IF($B152="","",IFERROR(INDEX('20 RCC-003 MIAR Registry'!$L$14:$L$60,MATCH($B152,'20 RCC-003 MIAR Registry'!$B$14:$B$60,0)),""))</x:f>
      </x:c>
      <x:c r="P152" s="1243" t="str">
        <x:f>IF($B152="","",IFERROR(INDEX('20 RCC-003 MIAR Registry'!$I$14:$I$60,MATCH($B152,'20 RCC-003 MIAR Registry'!$B$14:$B$60,0)),""))</x:f>
      </x:c>
      <x:c r="Q152" s="1243" t="str">
        <x:f>IF($B152="","",IFERROR(INDEX('20 RCC-003 MIAR Registry'!$J$14:$J$60,MATCH($B152,'20 RCC-003 MIAR Registry'!$B$14:$B$60,0)),""))</x:f>
      </x:c>
      <x:c r="R152" s="1247" t="str">
        <x:f>IF($B152="","",COUNTIF('18 RCC-002 Evidence Ledger'!$E$14:$E$213,$B152))</x:f>
      </x:c>
      <x:c r="S152" s="1247" t="str">
        <x:f>IF($B152="","",COUNTIFS('18 RCC-002 Evidence Ledger'!$E$14:$E$213,$B152,'18 RCC-002 Evidence Ledger'!$T$14:$T$213,"&lt;&gt;Closed — No Action",'18 RCC-002 Evidence Ledger'!$T$14:$T$213,"&lt;&gt;Closed — Incorporated"))</x:f>
      </x:c>
      <x:c r="T152" s="1248"/>
      <x:c r="U152" s="1249"/>
      <x:c r="V152" s="1242"/>
      <x:c r="W152" s="1248"/>
      <x:c r="X152" s="1244" t="str">
        <x:f>IF($B152="","",IF($D152="Certified Portfolio Holding","CERTIFIED HOLDING",IF(OR($A152="",$D152="",$E152="",$F152="",$G152="",$H152="",$I152=""),"NOT ASSESSED",IF(OR($K152="",$L152&lt;&gt;"Active",$M152="OVERDUE",$M152="MATERIAL EVENT REVIEW",$N152="",$O152="",$W152=""),"NOT ELIGIBLE",IF(OR(AND($F152="Zacks Election",OR($T152="",$T152&lt;50)),OR($U152=4,$U152=5),$V152="No Rating",$V152="Restricted / Unavailable"),"ELIGIBLE WITH EXCEPTION","ELIGIBLE")))))</x:f>
      </x:c>
      <x:c r="Y152" s="1244" t="str">
        <x:f>IF($B152="","",IF($A152="","Canonical MASR ID required",IF(AND($D152&lt;&gt;"Certified Portfolio Holding",OR($K152="",$L152&lt;&gt;"Active",$M152&lt;&gt;"CURRENT",$N152="",$O152="",$W152="")),"Complete MIAR / scoring / empirical eligibility",IF(AND($F152="Zacks Election",OR($T152="",$T152&lt;50)),"Sub-$50B Zacks election exception",IF(OR($U152=4,$U152=5),"Zacks #4/#5 exception review",IF($V152="No Rating","Merrill No Rating exception",IF($V152="Restricted / Unavailable","Merrill restricted / unavailable exception","None")))))))</x:f>
      </x:c>
      <x:c r="Z152" s="1250" t="str">
        <x:f>IF($B152="","",COUNTIF('24 RCC-004 Candidate Pipeline'!$C$14:$C$213,$B152))</x:f>
      </x:c>
      <x:c r="AA152" s="1244" t="str">
        <x:f>IF($B152="","",IFERROR(INDEX('24 RCC-004 Candidate Pipeline'!$Y$14:$Y$213,MATCH($B152,'24 RCC-004 Candidate Pipeline'!$C$14:$C$213,0)),""))</x:f>
      </x:c>
      <x:c r="AB152" s="1242"/>
      <x:c r="AC152" s="1244" t="str">
        <x:f>IF($B152="","",IF(COUNTIFS('24 RCC-004 Candidate Pipeline'!$C$14:$C$213,$B152,'24 RCC-004 Candidate Pipeline'!$AF$14:$AF$213,"Yes — Refer to PEW-004")&gt;0,"REFERRED — PEW-004",IF($Z152&gt;0,"CANDIDATE RECORD ACTIVE","NO ACTIVE CANDIDATE")))</x:f>
      </x:c>
      <x:c r="AD152" s="1244" t="str">
        <x:f>IF($B152="","",IF($A152="","SETUP REQUIRED",IF(COUNTIF($A$14:$A$163,$A152)&gt;1,"DUPLICATE MASR ID",IF(COUNTIF($B$14:$B$163,$B152)&gt;1,"DUPLICATE TICKER",IF(OR($D152="",$E152="",$F152="",$G152="",$H152="",$I152=""),"INCOMPLETE",IF(OR($K152="",$L152=""),"MIAR SETUP REQUIRED",IF($X152="NOT ELIGIBLE","NOT ELIGIBLE",IF($Y152&lt;&gt;"None","EXCEPTION REVIEW",IF(AND($D152&lt;&gt;"Certified Portfolio Holding",OR($E152="Active — Approved Non-Holding",$E152="Conditional",$E152="Candidate — Committee Review"),OR($AB152="",$AB152="Pending")),"COMMITTEE DISPOSITION REQUIRED",IF(AND(OR($E152="Active — Approved Non-Holding",$E152="Conditional"),OR($AG152="",$AH152="")),"CERTIFICATION REQUIRED",IF(OR($E152="Rejected",$E152="Removed",$E152="Archived"),"INACTIVE / CLOSED","CONTROL CLEAR")))))))))))</x:f>
      </x:c>
      <x:c r="AE152" s="1244" t="str">
        <x:f>IF($AD152="","",IFERROR(INDEX('97 RCC Lists'!$AK$5:$AK$15,MATCH($AD152,'97 RCC Lists'!$AJ$5:$AJ$15,0)),"Review exception"))</x:f>
      </x:c>
      <x:c r="AF152" s="1251"/>
      <x:c r="AG152" s="1242"/>
      <x:c r="AH152" s="1251"/>
      <x:c r="AI152" s="1242"/>
    </x:row>
    <x:row r="153" ht="32" customHeight="1">
      <x:c r="A153" s="1242"/>
      <x:c r="B153" s="1242"/>
      <x:c r="C153" s="1242"/>
      <x:c r="D153" s="1242"/>
      <x:c r="E153" s="1242"/>
      <x:c r="F153" s="1242"/>
      <x:c r="G153" s="1242"/>
      <x:c r="H153" s="1242"/>
      <x:c r="I153" s="1242"/>
      <x:c r="J153" s="1258" t="str">
        <x:f>IF($B153="","",IFERROR(INDEX('Certified Allocation'!$F$5:$F$51,MATCH($B153,'Certified Allocation'!$B$5:$B$51,0)),""))</x:f>
      </x:c>
      <x:c r="K153" s="1252" t="str">
        <x:f>IF($B153="","",IFERROR(INDEX('20 RCC-003 MIAR Registry'!$A$14:$A$60,MATCH($B153,'20 RCC-003 MIAR Registry'!$B$14:$B$60,0)),""))</x:f>
      </x:c>
      <x:c r="L153" s="1252" t="str">
        <x:f>IF($B153="","",IFERROR(INDEX('20 RCC-003 MIAR Registry'!$M$14:$M$60,MATCH($B153,'20 RCC-003 MIAR Registry'!$B$14:$B$60,0)),""))</x:f>
      </x:c>
      <x:c r="M153" s="1252" t="str">
        <x:f>IF($B153="","",IFERROR(INDEX('20 RCC-003 MIAR Registry'!$Z$14:$Z$60,MATCH($B153,'20 RCC-003 MIAR Registry'!$B$14:$B$60,0)),""))</x:f>
      </x:c>
      <x:c r="N153" s="1255" t="str">
        <x:f>IF($B153="","",IFERROR(INDEX('20 RCC-003 MIAR Registry'!$K$14:$K$60,MATCH($B153,'20 RCC-003 MIAR Registry'!$B$14:$B$60,0)),""))</x:f>
      </x:c>
      <x:c r="O153" s="1255" t="str">
        <x:f>IF($B153="","",IFERROR(INDEX('20 RCC-003 MIAR Registry'!$L$14:$L$60,MATCH($B153,'20 RCC-003 MIAR Registry'!$B$14:$B$60,0)),""))</x:f>
      </x:c>
      <x:c r="P153" s="1252" t="str">
        <x:f>IF($B153="","",IFERROR(INDEX('20 RCC-003 MIAR Registry'!$I$14:$I$60,MATCH($B153,'20 RCC-003 MIAR Registry'!$B$14:$B$60,0)),""))</x:f>
      </x:c>
      <x:c r="Q153" s="1252" t="str">
        <x:f>IF($B153="","",IFERROR(INDEX('20 RCC-003 MIAR Registry'!$J$14:$J$60,MATCH($B153,'20 RCC-003 MIAR Registry'!$B$14:$B$60,0)),""))</x:f>
      </x:c>
      <x:c r="R153" s="1256" t="str">
        <x:f>IF($B153="","",COUNTIF('18 RCC-002 Evidence Ledger'!$E$14:$E$213,$B153))</x:f>
      </x:c>
      <x:c r="S153" s="1256" t="str">
        <x:f>IF($B153="","",COUNTIFS('18 RCC-002 Evidence Ledger'!$E$14:$E$213,$B153,'18 RCC-002 Evidence Ledger'!$T$14:$T$213,"&lt;&gt;Closed — No Action",'18 RCC-002 Evidence Ledger'!$T$14:$T$213,"&lt;&gt;Closed — Incorporated"))</x:f>
      </x:c>
      <x:c r="T153" s="1248"/>
      <x:c r="U153" s="1249"/>
      <x:c r="V153" s="1242"/>
      <x:c r="W153" s="1248"/>
      <x:c r="X153" s="1253" t="str">
        <x:f>IF($B153="","",IF($D153="Certified Portfolio Holding","CERTIFIED HOLDING",IF(OR($A153="",$D153="",$E153="",$F153="",$G153="",$H153="",$I153=""),"NOT ASSESSED",IF(OR($K153="",$L153&lt;&gt;"Active",$M153="OVERDUE",$M153="MATERIAL EVENT REVIEW",$N153="",$O153="",$W153=""),"NOT ELIGIBLE",IF(OR(AND($F153="Zacks Election",OR($T153="",$T153&lt;50)),OR($U153=4,$U153=5),$V153="No Rating",$V153="Restricted / Unavailable"),"ELIGIBLE WITH EXCEPTION","ELIGIBLE")))))</x:f>
      </x:c>
      <x:c r="Y153" s="1253" t="str">
        <x:f>IF($B153="","",IF($A153="","Canonical MASR ID required",IF(AND($D153&lt;&gt;"Certified Portfolio Holding",OR($K153="",$L153&lt;&gt;"Active",$M153&lt;&gt;"CURRENT",$N153="",$O153="",$W153="")),"Complete MIAR / scoring / empirical eligibility",IF(AND($F153="Zacks Election",OR($T153="",$T153&lt;50)),"Sub-$50B Zacks election exception",IF(OR($U153=4,$U153=5),"Zacks #4/#5 exception review",IF($V153="No Rating","Merrill No Rating exception",IF($V153="Restricted / Unavailable","Merrill restricted / unavailable exception","None")))))))</x:f>
      </x:c>
      <x:c r="Z153" s="1257" t="str">
        <x:f>IF($B153="","",COUNTIF('24 RCC-004 Candidate Pipeline'!$C$14:$C$213,$B153))</x:f>
      </x:c>
      <x:c r="AA153" s="1253" t="str">
        <x:f>IF($B153="","",IFERROR(INDEX('24 RCC-004 Candidate Pipeline'!$Y$14:$Y$213,MATCH($B153,'24 RCC-004 Candidate Pipeline'!$C$14:$C$213,0)),""))</x:f>
      </x:c>
      <x:c r="AB153" s="1242"/>
      <x:c r="AC153" s="1253" t="str">
        <x:f>IF($B153="","",IF(COUNTIFS('24 RCC-004 Candidate Pipeline'!$C$14:$C$213,$B153,'24 RCC-004 Candidate Pipeline'!$AF$14:$AF$213,"Yes — Refer to PEW-004")&gt;0,"REFERRED — PEW-004",IF($Z153&gt;0,"CANDIDATE RECORD ACTIVE","NO ACTIVE CANDIDATE")))</x:f>
      </x:c>
      <x:c r="AD153" s="1253" t="str">
        <x:f>IF($B153="","",IF($A153="","SETUP REQUIRED",IF(COUNTIF($A$14:$A$163,$A153)&gt;1,"DUPLICATE MASR ID",IF(COUNTIF($B$14:$B$163,$B153)&gt;1,"DUPLICATE TICKER",IF(OR($D153="",$E153="",$F153="",$G153="",$H153="",$I153=""),"INCOMPLETE",IF(OR($K153="",$L153=""),"MIAR SETUP REQUIRED",IF($X153="NOT ELIGIBLE","NOT ELIGIBLE",IF($Y153&lt;&gt;"None","EXCEPTION REVIEW",IF(AND($D153&lt;&gt;"Certified Portfolio Holding",OR($E153="Active — Approved Non-Holding",$E153="Conditional",$E153="Candidate — Committee Review"),OR($AB153="",$AB153="Pending")),"COMMITTEE DISPOSITION REQUIRED",IF(AND(OR($E153="Active — Approved Non-Holding",$E153="Conditional"),OR($AG153="",$AH153="")),"CERTIFICATION REQUIRED",IF(OR($E153="Rejected",$E153="Removed",$E153="Archived"),"INACTIVE / CLOSED","CONTROL CLEAR")))))))))))</x:f>
      </x:c>
      <x:c r="AE153" s="1253" t="str">
        <x:f>IF($AD153="","",IFERROR(INDEX('97 RCC Lists'!$AK$5:$AK$15,MATCH($AD153,'97 RCC Lists'!$AJ$5:$AJ$15,0)),"Review exception"))</x:f>
      </x:c>
      <x:c r="AF153" s="1251"/>
      <x:c r="AG153" s="1242"/>
      <x:c r="AH153" s="1251"/>
      <x:c r="AI153" s="1242"/>
    </x:row>
    <x:row r="154" ht="32" customHeight="1">
      <x:c r="A154" s="1242"/>
      <x:c r="B154" s="1242"/>
      <x:c r="C154" s="1242"/>
      <x:c r="D154" s="1242"/>
      <x:c r="E154" s="1242"/>
      <x:c r="F154" s="1242"/>
      <x:c r="G154" s="1242"/>
      <x:c r="H154" s="1242"/>
      <x:c r="I154" s="1242"/>
      <x:c r="J154" s="1259" t="str">
        <x:f>IF($B154="","",IFERROR(INDEX('Certified Allocation'!$F$5:$F$51,MATCH($B154,'Certified Allocation'!$B$5:$B$51,0)),""))</x:f>
      </x:c>
      <x:c r="K154" s="1243" t="str">
        <x:f>IF($B154="","",IFERROR(INDEX('20 RCC-003 MIAR Registry'!$A$14:$A$60,MATCH($B154,'20 RCC-003 MIAR Registry'!$B$14:$B$60,0)),""))</x:f>
      </x:c>
      <x:c r="L154" s="1243" t="str">
        <x:f>IF($B154="","",IFERROR(INDEX('20 RCC-003 MIAR Registry'!$M$14:$M$60,MATCH($B154,'20 RCC-003 MIAR Registry'!$B$14:$B$60,0)),""))</x:f>
      </x:c>
      <x:c r="M154" s="1243" t="str">
        <x:f>IF($B154="","",IFERROR(INDEX('20 RCC-003 MIAR Registry'!$Z$14:$Z$60,MATCH($B154,'20 RCC-003 MIAR Registry'!$B$14:$B$60,0)),""))</x:f>
      </x:c>
      <x:c r="N154" s="1246" t="str">
        <x:f>IF($B154="","",IFERROR(INDEX('20 RCC-003 MIAR Registry'!$K$14:$K$60,MATCH($B154,'20 RCC-003 MIAR Registry'!$B$14:$B$60,0)),""))</x:f>
      </x:c>
      <x:c r="O154" s="1246" t="str">
        <x:f>IF($B154="","",IFERROR(INDEX('20 RCC-003 MIAR Registry'!$L$14:$L$60,MATCH($B154,'20 RCC-003 MIAR Registry'!$B$14:$B$60,0)),""))</x:f>
      </x:c>
      <x:c r="P154" s="1243" t="str">
        <x:f>IF($B154="","",IFERROR(INDEX('20 RCC-003 MIAR Registry'!$I$14:$I$60,MATCH($B154,'20 RCC-003 MIAR Registry'!$B$14:$B$60,0)),""))</x:f>
      </x:c>
      <x:c r="Q154" s="1243" t="str">
        <x:f>IF($B154="","",IFERROR(INDEX('20 RCC-003 MIAR Registry'!$J$14:$J$60,MATCH($B154,'20 RCC-003 MIAR Registry'!$B$14:$B$60,0)),""))</x:f>
      </x:c>
      <x:c r="R154" s="1247" t="str">
        <x:f>IF($B154="","",COUNTIF('18 RCC-002 Evidence Ledger'!$E$14:$E$213,$B154))</x:f>
      </x:c>
      <x:c r="S154" s="1247" t="str">
        <x:f>IF($B154="","",COUNTIFS('18 RCC-002 Evidence Ledger'!$E$14:$E$213,$B154,'18 RCC-002 Evidence Ledger'!$T$14:$T$213,"&lt;&gt;Closed — No Action",'18 RCC-002 Evidence Ledger'!$T$14:$T$213,"&lt;&gt;Closed — Incorporated"))</x:f>
      </x:c>
      <x:c r="T154" s="1248"/>
      <x:c r="U154" s="1249"/>
      <x:c r="V154" s="1242"/>
      <x:c r="W154" s="1248"/>
      <x:c r="X154" s="1244" t="str">
        <x:f>IF($B154="","",IF($D154="Certified Portfolio Holding","CERTIFIED HOLDING",IF(OR($A154="",$D154="",$E154="",$F154="",$G154="",$H154="",$I154=""),"NOT ASSESSED",IF(OR($K154="",$L154&lt;&gt;"Active",$M154="OVERDUE",$M154="MATERIAL EVENT REVIEW",$N154="",$O154="",$W154=""),"NOT ELIGIBLE",IF(OR(AND($F154="Zacks Election",OR($T154="",$T154&lt;50)),OR($U154=4,$U154=5),$V154="No Rating",$V154="Restricted / Unavailable"),"ELIGIBLE WITH EXCEPTION","ELIGIBLE")))))</x:f>
      </x:c>
      <x:c r="Y154" s="1244" t="str">
        <x:f>IF($B154="","",IF($A154="","Canonical MASR ID required",IF(AND($D154&lt;&gt;"Certified Portfolio Holding",OR($K154="",$L154&lt;&gt;"Active",$M154&lt;&gt;"CURRENT",$N154="",$O154="",$W154="")),"Complete MIAR / scoring / empirical eligibility",IF(AND($F154="Zacks Election",OR($T154="",$T154&lt;50)),"Sub-$50B Zacks election exception",IF(OR($U154=4,$U154=5),"Zacks #4/#5 exception review",IF($V154="No Rating","Merrill No Rating exception",IF($V154="Restricted / Unavailable","Merrill restricted / unavailable exception","None")))))))</x:f>
      </x:c>
      <x:c r="Z154" s="1250" t="str">
        <x:f>IF($B154="","",COUNTIF('24 RCC-004 Candidate Pipeline'!$C$14:$C$213,$B154))</x:f>
      </x:c>
      <x:c r="AA154" s="1244" t="str">
        <x:f>IF($B154="","",IFERROR(INDEX('24 RCC-004 Candidate Pipeline'!$Y$14:$Y$213,MATCH($B154,'24 RCC-004 Candidate Pipeline'!$C$14:$C$213,0)),""))</x:f>
      </x:c>
      <x:c r="AB154" s="1242"/>
      <x:c r="AC154" s="1244" t="str">
        <x:f>IF($B154="","",IF(COUNTIFS('24 RCC-004 Candidate Pipeline'!$C$14:$C$213,$B154,'24 RCC-004 Candidate Pipeline'!$AF$14:$AF$213,"Yes — Refer to PEW-004")&gt;0,"REFERRED — PEW-004",IF($Z154&gt;0,"CANDIDATE RECORD ACTIVE","NO ACTIVE CANDIDATE")))</x:f>
      </x:c>
      <x:c r="AD154" s="1244" t="str">
        <x:f>IF($B154="","",IF($A154="","SETUP REQUIRED",IF(COUNTIF($A$14:$A$163,$A154)&gt;1,"DUPLICATE MASR ID",IF(COUNTIF($B$14:$B$163,$B154)&gt;1,"DUPLICATE TICKER",IF(OR($D154="",$E154="",$F154="",$G154="",$H154="",$I154=""),"INCOMPLETE",IF(OR($K154="",$L154=""),"MIAR SETUP REQUIRED",IF($X154="NOT ELIGIBLE","NOT ELIGIBLE",IF($Y154&lt;&gt;"None","EXCEPTION REVIEW",IF(AND($D154&lt;&gt;"Certified Portfolio Holding",OR($E154="Active — Approved Non-Holding",$E154="Conditional",$E154="Candidate — Committee Review"),OR($AB154="",$AB154="Pending")),"COMMITTEE DISPOSITION REQUIRED",IF(AND(OR($E154="Active — Approved Non-Holding",$E154="Conditional"),OR($AG154="",$AH154="")),"CERTIFICATION REQUIRED",IF(OR($E154="Rejected",$E154="Removed",$E154="Archived"),"INACTIVE / CLOSED","CONTROL CLEAR")))))))))))</x:f>
      </x:c>
      <x:c r="AE154" s="1244" t="str">
        <x:f>IF($AD154="","",IFERROR(INDEX('97 RCC Lists'!$AK$5:$AK$15,MATCH($AD154,'97 RCC Lists'!$AJ$5:$AJ$15,0)),"Review exception"))</x:f>
      </x:c>
      <x:c r="AF154" s="1251"/>
      <x:c r="AG154" s="1242"/>
      <x:c r="AH154" s="1251"/>
      <x:c r="AI154" s="1242"/>
    </x:row>
    <x:row r="155" ht="32" customHeight="1">
      <x:c r="A155" s="1242"/>
      <x:c r="B155" s="1242"/>
      <x:c r="C155" s="1242"/>
      <x:c r="D155" s="1242"/>
      <x:c r="E155" s="1242"/>
      <x:c r="F155" s="1242"/>
      <x:c r="G155" s="1242"/>
      <x:c r="H155" s="1242"/>
      <x:c r="I155" s="1242"/>
      <x:c r="J155" s="1258" t="str">
        <x:f>IF($B155="","",IFERROR(INDEX('Certified Allocation'!$F$5:$F$51,MATCH($B155,'Certified Allocation'!$B$5:$B$51,0)),""))</x:f>
      </x:c>
      <x:c r="K155" s="1252" t="str">
        <x:f>IF($B155="","",IFERROR(INDEX('20 RCC-003 MIAR Registry'!$A$14:$A$60,MATCH($B155,'20 RCC-003 MIAR Registry'!$B$14:$B$60,0)),""))</x:f>
      </x:c>
      <x:c r="L155" s="1252" t="str">
        <x:f>IF($B155="","",IFERROR(INDEX('20 RCC-003 MIAR Registry'!$M$14:$M$60,MATCH($B155,'20 RCC-003 MIAR Registry'!$B$14:$B$60,0)),""))</x:f>
      </x:c>
      <x:c r="M155" s="1252" t="str">
        <x:f>IF($B155="","",IFERROR(INDEX('20 RCC-003 MIAR Registry'!$Z$14:$Z$60,MATCH($B155,'20 RCC-003 MIAR Registry'!$B$14:$B$60,0)),""))</x:f>
      </x:c>
      <x:c r="N155" s="1255" t="str">
        <x:f>IF($B155="","",IFERROR(INDEX('20 RCC-003 MIAR Registry'!$K$14:$K$60,MATCH($B155,'20 RCC-003 MIAR Registry'!$B$14:$B$60,0)),""))</x:f>
      </x:c>
      <x:c r="O155" s="1255" t="str">
        <x:f>IF($B155="","",IFERROR(INDEX('20 RCC-003 MIAR Registry'!$L$14:$L$60,MATCH($B155,'20 RCC-003 MIAR Registry'!$B$14:$B$60,0)),""))</x:f>
      </x:c>
      <x:c r="P155" s="1252" t="str">
        <x:f>IF($B155="","",IFERROR(INDEX('20 RCC-003 MIAR Registry'!$I$14:$I$60,MATCH($B155,'20 RCC-003 MIAR Registry'!$B$14:$B$60,0)),""))</x:f>
      </x:c>
      <x:c r="Q155" s="1252" t="str">
        <x:f>IF($B155="","",IFERROR(INDEX('20 RCC-003 MIAR Registry'!$J$14:$J$60,MATCH($B155,'20 RCC-003 MIAR Registry'!$B$14:$B$60,0)),""))</x:f>
      </x:c>
      <x:c r="R155" s="1256" t="str">
        <x:f>IF($B155="","",COUNTIF('18 RCC-002 Evidence Ledger'!$E$14:$E$213,$B155))</x:f>
      </x:c>
      <x:c r="S155" s="1256" t="str">
        <x:f>IF($B155="","",COUNTIFS('18 RCC-002 Evidence Ledger'!$E$14:$E$213,$B155,'18 RCC-002 Evidence Ledger'!$T$14:$T$213,"&lt;&gt;Closed — No Action",'18 RCC-002 Evidence Ledger'!$T$14:$T$213,"&lt;&gt;Closed — Incorporated"))</x:f>
      </x:c>
      <x:c r="T155" s="1248"/>
      <x:c r="U155" s="1249"/>
      <x:c r="V155" s="1242"/>
      <x:c r="W155" s="1248"/>
      <x:c r="X155" s="1253" t="str">
        <x:f>IF($B155="","",IF($D155="Certified Portfolio Holding","CERTIFIED HOLDING",IF(OR($A155="",$D155="",$E155="",$F155="",$G155="",$H155="",$I155=""),"NOT ASSESSED",IF(OR($K155="",$L155&lt;&gt;"Active",$M155="OVERDUE",$M155="MATERIAL EVENT REVIEW",$N155="",$O155="",$W155=""),"NOT ELIGIBLE",IF(OR(AND($F155="Zacks Election",OR($T155="",$T155&lt;50)),OR($U155=4,$U155=5),$V155="No Rating",$V155="Restricted / Unavailable"),"ELIGIBLE WITH EXCEPTION","ELIGIBLE")))))</x:f>
      </x:c>
      <x:c r="Y155" s="1253" t="str">
        <x:f>IF($B155="","",IF($A155="","Canonical MASR ID required",IF(AND($D155&lt;&gt;"Certified Portfolio Holding",OR($K155="",$L155&lt;&gt;"Active",$M155&lt;&gt;"CURRENT",$N155="",$O155="",$W155="")),"Complete MIAR / scoring / empirical eligibility",IF(AND($F155="Zacks Election",OR($T155="",$T155&lt;50)),"Sub-$50B Zacks election exception",IF(OR($U155=4,$U155=5),"Zacks #4/#5 exception review",IF($V155="No Rating","Merrill No Rating exception",IF($V155="Restricted / Unavailable","Merrill restricted / unavailable exception","None")))))))</x:f>
      </x:c>
      <x:c r="Z155" s="1257" t="str">
        <x:f>IF($B155="","",COUNTIF('24 RCC-004 Candidate Pipeline'!$C$14:$C$213,$B155))</x:f>
      </x:c>
      <x:c r="AA155" s="1253" t="str">
        <x:f>IF($B155="","",IFERROR(INDEX('24 RCC-004 Candidate Pipeline'!$Y$14:$Y$213,MATCH($B155,'24 RCC-004 Candidate Pipeline'!$C$14:$C$213,0)),""))</x:f>
      </x:c>
      <x:c r="AB155" s="1242"/>
      <x:c r="AC155" s="1253" t="str">
        <x:f>IF($B155="","",IF(COUNTIFS('24 RCC-004 Candidate Pipeline'!$C$14:$C$213,$B155,'24 RCC-004 Candidate Pipeline'!$AF$14:$AF$213,"Yes — Refer to PEW-004")&gt;0,"REFERRED — PEW-004",IF($Z155&gt;0,"CANDIDATE RECORD ACTIVE","NO ACTIVE CANDIDATE")))</x:f>
      </x:c>
      <x:c r="AD155" s="1253" t="str">
        <x:f>IF($B155="","",IF($A155="","SETUP REQUIRED",IF(COUNTIF($A$14:$A$163,$A155)&gt;1,"DUPLICATE MASR ID",IF(COUNTIF($B$14:$B$163,$B155)&gt;1,"DUPLICATE TICKER",IF(OR($D155="",$E155="",$F155="",$G155="",$H155="",$I155=""),"INCOMPLETE",IF(OR($K155="",$L155=""),"MIAR SETUP REQUIRED",IF($X155="NOT ELIGIBLE","NOT ELIGIBLE",IF($Y155&lt;&gt;"None","EXCEPTION REVIEW",IF(AND($D155&lt;&gt;"Certified Portfolio Holding",OR($E155="Active — Approved Non-Holding",$E155="Conditional",$E155="Candidate — Committee Review"),OR($AB155="",$AB155="Pending")),"COMMITTEE DISPOSITION REQUIRED",IF(AND(OR($E155="Active — Approved Non-Holding",$E155="Conditional"),OR($AG155="",$AH155="")),"CERTIFICATION REQUIRED",IF(OR($E155="Rejected",$E155="Removed",$E155="Archived"),"INACTIVE / CLOSED","CONTROL CLEAR")))))))))))</x:f>
      </x:c>
      <x:c r="AE155" s="1253" t="str">
        <x:f>IF($AD155="","",IFERROR(INDEX('97 RCC Lists'!$AK$5:$AK$15,MATCH($AD155,'97 RCC Lists'!$AJ$5:$AJ$15,0)),"Review exception"))</x:f>
      </x:c>
      <x:c r="AF155" s="1251"/>
      <x:c r="AG155" s="1242"/>
      <x:c r="AH155" s="1251"/>
      <x:c r="AI155" s="1242"/>
    </x:row>
    <x:row r="156" ht="32" customHeight="1">
      <x:c r="A156" s="1242"/>
      <x:c r="B156" s="1242"/>
      <x:c r="C156" s="1242"/>
      <x:c r="D156" s="1242"/>
      <x:c r="E156" s="1242"/>
      <x:c r="F156" s="1242"/>
      <x:c r="G156" s="1242"/>
      <x:c r="H156" s="1242"/>
      <x:c r="I156" s="1242"/>
      <x:c r="J156" s="1259" t="str">
        <x:f>IF($B156="","",IFERROR(INDEX('Certified Allocation'!$F$5:$F$51,MATCH($B156,'Certified Allocation'!$B$5:$B$51,0)),""))</x:f>
      </x:c>
      <x:c r="K156" s="1243" t="str">
        <x:f>IF($B156="","",IFERROR(INDEX('20 RCC-003 MIAR Registry'!$A$14:$A$60,MATCH($B156,'20 RCC-003 MIAR Registry'!$B$14:$B$60,0)),""))</x:f>
      </x:c>
      <x:c r="L156" s="1243" t="str">
        <x:f>IF($B156="","",IFERROR(INDEX('20 RCC-003 MIAR Registry'!$M$14:$M$60,MATCH($B156,'20 RCC-003 MIAR Registry'!$B$14:$B$60,0)),""))</x:f>
      </x:c>
      <x:c r="M156" s="1243" t="str">
        <x:f>IF($B156="","",IFERROR(INDEX('20 RCC-003 MIAR Registry'!$Z$14:$Z$60,MATCH($B156,'20 RCC-003 MIAR Registry'!$B$14:$B$60,0)),""))</x:f>
      </x:c>
      <x:c r="N156" s="1246" t="str">
        <x:f>IF($B156="","",IFERROR(INDEX('20 RCC-003 MIAR Registry'!$K$14:$K$60,MATCH($B156,'20 RCC-003 MIAR Registry'!$B$14:$B$60,0)),""))</x:f>
      </x:c>
      <x:c r="O156" s="1246" t="str">
        <x:f>IF($B156="","",IFERROR(INDEX('20 RCC-003 MIAR Registry'!$L$14:$L$60,MATCH($B156,'20 RCC-003 MIAR Registry'!$B$14:$B$60,0)),""))</x:f>
      </x:c>
      <x:c r="P156" s="1243" t="str">
        <x:f>IF($B156="","",IFERROR(INDEX('20 RCC-003 MIAR Registry'!$I$14:$I$60,MATCH($B156,'20 RCC-003 MIAR Registry'!$B$14:$B$60,0)),""))</x:f>
      </x:c>
      <x:c r="Q156" s="1243" t="str">
        <x:f>IF($B156="","",IFERROR(INDEX('20 RCC-003 MIAR Registry'!$J$14:$J$60,MATCH($B156,'20 RCC-003 MIAR Registry'!$B$14:$B$60,0)),""))</x:f>
      </x:c>
      <x:c r="R156" s="1247" t="str">
        <x:f>IF($B156="","",COUNTIF('18 RCC-002 Evidence Ledger'!$E$14:$E$213,$B156))</x:f>
      </x:c>
      <x:c r="S156" s="1247" t="str">
        <x:f>IF($B156="","",COUNTIFS('18 RCC-002 Evidence Ledger'!$E$14:$E$213,$B156,'18 RCC-002 Evidence Ledger'!$T$14:$T$213,"&lt;&gt;Closed — No Action",'18 RCC-002 Evidence Ledger'!$T$14:$T$213,"&lt;&gt;Closed — Incorporated"))</x:f>
      </x:c>
      <x:c r="T156" s="1248"/>
      <x:c r="U156" s="1249"/>
      <x:c r="V156" s="1242"/>
      <x:c r="W156" s="1248"/>
      <x:c r="X156" s="1244" t="str">
        <x:f>IF($B156="","",IF($D156="Certified Portfolio Holding","CERTIFIED HOLDING",IF(OR($A156="",$D156="",$E156="",$F156="",$G156="",$H156="",$I156=""),"NOT ASSESSED",IF(OR($K156="",$L156&lt;&gt;"Active",$M156="OVERDUE",$M156="MATERIAL EVENT REVIEW",$N156="",$O156="",$W156=""),"NOT ELIGIBLE",IF(OR(AND($F156="Zacks Election",OR($T156="",$T156&lt;50)),OR($U156=4,$U156=5),$V156="No Rating",$V156="Restricted / Unavailable"),"ELIGIBLE WITH EXCEPTION","ELIGIBLE")))))</x:f>
      </x:c>
      <x:c r="Y156" s="1244" t="str">
        <x:f>IF($B156="","",IF($A156="","Canonical MASR ID required",IF(AND($D156&lt;&gt;"Certified Portfolio Holding",OR($K156="",$L156&lt;&gt;"Active",$M156&lt;&gt;"CURRENT",$N156="",$O156="",$W156="")),"Complete MIAR / scoring / empirical eligibility",IF(AND($F156="Zacks Election",OR($T156="",$T156&lt;50)),"Sub-$50B Zacks election exception",IF(OR($U156=4,$U156=5),"Zacks #4/#5 exception review",IF($V156="No Rating","Merrill No Rating exception",IF($V156="Restricted / Unavailable","Merrill restricted / unavailable exception","None")))))))</x:f>
      </x:c>
      <x:c r="Z156" s="1250" t="str">
        <x:f>IF($B156="","",COUNTIF('24 RCC-004 Candidate Pipeline'!$C$14:$C$213,$B156))</x:f>
      </x:c>
      <x:c r="AA156" s="1244" t="str">
        <x:f>IF($B156="","",IFERROR(INDEX('24 RCC-004 Candidate Pipeline'!$Y$14:$Y$213,MATCH($B156,'24 RCC-004 Candidate Pipeline'!$C$14:$C$213,0)),""))</x:f>
      </x:c>
      <x:c r="AB156" s="1242"/>
      <x:c r="AC156" s="1244" t="str">
        <x:f>IF($B156="","",IF(COUNTIFS('24 RCC-004 Candidate Pipeline'!$C$14:$C$213,$B156,'24 RCC-004 Candidate Pipeline'!$AF$14:$AF$213,"Yes — Refer to PEW-004")&gt;0,"REFERRED — PEW-004",IF($Z156&gt;0,"CANDIDATE RECORD ACTIVE","NO ACTIVE CANDIDATE")))</x:f>
      </x:c>
      <x:c r="AD156" s="1244" t="str">
        <x:f>IF($B156="","",IF($A156="","SETUP REQUIRED",IF(COUNTIF($A$14:$A$163,$A156)&gt;1,"DUPLICATE MASR ID",IF(COUNTIF($B$14:$B$163,$B156)&gt;1,"DUPLICATE TICKER",IF(OR($D156="",$E156="",$F156="",$G156="",$H156="",$I156=""),"INCOMPLETE",IF(OR($K156="",$L156=""),"MIAR SETUP REQUIRED",IF($X156="NOT ELIGIBLE","NOT ELIGIBLE",IF($Y156&lt;&gt;"None","EXCEPTION REVIEW",IF(AND($D156&lt;&gt;"Certified Portfolio Holding",OR($E156="Active — Approved Non-Holding",$E156="Conditional",$E156="Candidate — Committee Review"),OR($AB156="",$AB156="Pending")),"COMMITTEE DISPOSITION REQUIRED",IF(AND(OR($E156="Active — Approved Non-Holding",$E156="Conditional"),OR($AG156="",$AH156="")),"CERTIFICATION REQUIRED",IF(OR($E156="Rejected",$E156="Removed",$E156="Archived"),"INACTIVE / CLOSED","CONTROL CLEAR")))))))))))</x:f>
      </x:c>
      <x:c r="AE156" s="1244" t="str">
        <x:f>IF($AD156="","",IFERROR(INDEX('97 RCC Lists'!$AK$5:$AK$15,MATCH($AD156,'97 RCC Lists'!$AJ$5:$AJ$15,0)),"Review exception"))</x:f>
      </x:c>
      <x:c r="AF156" s="1251"/>
      <x:c r="AG156" s="1242"/>
      <x:c r="AH156" s="1251"/>
      <x:c r="AI156" s="1242"/>
    </x:row>
    <x:row r="157" ht="32" customHeight="1">
      <x:c r="A157" s="1242"/>
      <x:c r="B157" s="1242"/>
      <x:c r="C157" s="1242"/>
      <x:c r="D157" s="1242"/>
      <x:c r="E157" s="1242"/>
      <x:c r="F157" s="1242"/>
      <x:c r="G157" s="1242"/>
      <x:c r="H157" s="1242"/>
      <x:c r="I157" s="1242"/>
      <x:c r="J157" s="1258" t="str">
        <x:f>IF($B157="","",IFERROR(INDEX('Certified Allocation'!$F$5:$F$51,MATCH($B157,'Certified Allocation'!$B$5:$B$51,0)),""))</x:f>
      </x:c>
      <x:c r="K157" s="1252" t="str">
        <x:f>IF($B157="","",IFERROR(INDEX('20 RCC-003 MIAR Registry'!$A$14:$A$60,MATCH($B157,'20 RCC-003 MIAR Registry'!$B$14:$B$60,0)),""))</x:f>
      </x:c>
      <x:c r="L157" s="1252" t="str">
        <x:f>IF($B157="","",IFERROR(INDEX('20 RCC-003 MIAR Registry'!$M$14:$M$60,MATCH($B157,'20 RCC-003 MIAR Registry'!$B$14:$B$60,0)),""))</x:f>
      </x:c>
      <x:c r="M157" s="1252" t="str">
        <x:f>IF($B157="","",IFERROR(INDEX('20 RCC-003 MIAR Registry'!$Z$14:$Z$60,MATCH($B157,'20 RCC-003 MIAR Registry'!$B$14:$B$60,0)),""))</x:f>
      </x:c>
      <x:c r="N157" s="1255" t="str">
        <x:f>IF($B157="","",IFERROR(INDEX('20 RCC-003 MIAR Registry'!$K$14:$K$60,MATCH($B157,'20 RCC-003 MIAR Registry'!$B$14:$B$60,0)),""))</x:f>
      </x:c>
      <x:c r="O157" s="1255" t="str">
        <x:f>IF($B157="","",IFERROR(INDEX('20 RCC-003 MIAR Registry'!$L$14:$L$60,MATCH($B157,'20 RCC-003 MIAR Registry'!$B$14:$B$60,0)),""))</x:f>
      </x:c>
      <x:c r="P157" s="1252" t="str">
        <x:f>IF($B157="","",IFERROR(INDEX('20 RCC-003 MIAR Registry'!$I$14:$I$60,MATCH($B157,'20 RCC-003 MIAR Registry'!$B$14:$B$60,0)),""))</x:f>
      </x:c>
      <x:c r="Q157" s="1252" t="str">
        <x:f>IF($B157="","",IFERROR(INDEX('20 RCC-003 MIAR Registry'!$J$14:$J$60,MATCH($B157,'20 RCC-003 MIAR Registry'!$B$14:$B$60,0)),""))</x:f>
      </x:c>
      <x:c r="R157" s="1256" t="str">
        <x:f>IF($B157="","",COUNTIF('18 RCC-002 Evidence Ledger'!$E$14:$E$213,$B157))</x:f>
      </x:c>
      <x:c r="S157" s="1256" t="str">
        <x:f>IF($B157="","",COUNTIFS('18 RCC-002 Evidence Ledger'!$E$14:$E$213,$B157,'18 RCC-002 Evidence Ledger'!$T$14:$T$213,"&lt;&gt;Closed — No Action",'18 RCC-002 Evidence Ledger'!$T$14:$T$213,"&lt;&gt;Closed — Incorporated"))</x:f>
      </x:c>
      <x:c r="T157" s="1248"/>
      <x:c r="U157" s="1249"/>
      <x:c r="V157" s="1242"/>
      <x:c r="W157" s="1248"/>
      <x:c r="X157" s="1253" t="str">
        <x:f>IF($B157="","",IF($D157="Certified Portfolio Holding","CERTIFIED HOLDING",IF(OR($A157="",$D157="",$E157="",$F157="",$G157="",$H157="",$I157=""),"NOT ASSESSED",IF(OR($K157="",$L157&lt;&gt;"Active",$M157="OVERDUE",$M157="MATERIAL EVENT REVIEW",$N157="",$O157="",$W157=""),"NOT ELIGIBLE",IF(OR(AND($F157="Zacks Election",OR($T157="",$T157&lt;50)),OR($U157=4,$U157=5),$V157="No Rating",$V157="Restricted / Unavailable"),"ELIGIBLE WITH EXCEPTION","ELIGIBLE")))))</x:f>
      </x:c>
      <x:c r="Y157" s="1253" t="str">
        <x:f>IF($B157="","",IF($A157="","Canonical MASR ID required",IF(AND($D157&lt;&gt;"Certified Portfolio Holding",OR($K157="",$L157&lt;&gt;"Active",$M157&lt;&gt;"CURRENT",$N157="",$O157="",$W157="")),"Complete MIAR / scoring / empirical eligibility",IF(AND($F157="Zacks Election",OR($T157="",$T157&lt;50)),"Sub-$50B Zacks election exception",IF(OR($U157=4,$U157=5),"Zacks #4/#5 exception review",IF($V157="No Rating","Merrill No Rating exception",IF($V157="Restricted / Unavailable","Merrill restricted / unavailable exception","None")))))))</x:f>
      </x:c>
      <x:c r="Z157" s="1257" t="str">
        <x:f>IF($B157="","",COUNTIF('24 RCC-004 Candidate Pipeline'!$C$14:$C$213,$B157))</x:f>
      </x:c>
      <x:c r="AA157" s="1253" t="str">
        <x:f>IF($B157="","",IFERROR(INDEX('24 RCC-004 Candidate Pipeline'!$Y$14:$Y$213,MATCH($B157,'24 RCC-004 Candidate Pipeline'!$C$14:$C$213,0)),""))</x:f>
      </x:c>
      <x:c r="AB157" s="1242"/>
      <x:c r="AC157" s="1253" t="str">
        <x:f>IF($B157="","",IF(COUNTIFS('24 RCC-004 Candidate Pipeline'!$C$14:$C$213,$B157,'24 RCC-004 Candidate Pipeline'!$AF$14:$AF$213,"Yes — Refer to PEW-004")&gt;0,"REFERRED — PEW-004",IF($Z157&gt;0,"CANDIDATE RECORD ACTIVE","NO ACTIVE CANDIDATE")))</x:f>
      </x:c>
      <x:c r="AD157" s="1253" t="str">
        <x:f>IF($B157="","",IF($A157="","SETUP REQUIRED",IF(COUNTIF($A$14:$A$163,$A157)&gt;1,"DUPLICATE MASR ID",IF(COUNTIF($B$14:$B$163,$B157)&gt;1,"DUPLICATE TICKER",IF(OR($D157="",$E157="",$F157="",$G157="",$H157="",$I157=""),"INCOMPLETE",IF(OR($K157="",$L157=""),"MIAR SETUP REQUIRED",IF($X157="NOT ELIGIBLE","NOT ELIGIBLE",IF($Y157&lt;&gt;"None","EXCEPTION REVIEW",IF(AND($D157&lt;&gt;"Certified Portfolio Holding",OR($E157="Active — Approved Non-Holding",$E157="Conditional",$E157="Candidate — Committee Review"),OR($AB157="",$AB157="Pending")),"COMMITTEE DISPOSITION REQUIRED",IF(AND(OR($E157="Active — Approved Non-Holding",$E157="Conditional"),OR($AG157="",$AH157="")),"CERTIFICATION REQUIRED",IF(OR($E157="Rejected",$E157="Removed",$E157="Archived"),"INACTIVE / CLOSED","CONTROL CLEAR")))))))))))</x:f>
      </x:c>
      <x:c r="AE157" s="1253" t="str">
        <x:f>IF($AD157="","",IFERROR(INDEX('97 RCC Lists'!$AK$5:$AK$15,MATCH($AD157,'97 RCC Lists'!$AJ$5:$AJ$15,0)),"Review exception"))</x:f>
      </x:c>
      <x:c r="AF157" s="1251"/>
      <x:c r="AG157" s="1242"/>
      <x:c r="AH157" s="1251"/>
      <x:c r="AI157" s="1242"/>
    </x:row>
    <x:row r="158" ht="32" customHeight="1">
      <x:c r="A158" s="1242"/>
      <x:c r="B158" s="1242"/>
      <x:c r="C158" s="1242"/>
      <x:c r="D158" s="1242"/>
      <x:c r="E158" s="1242"/>
      <x:c r="F158" s="1242"/>
      <x:c r="G158" s="1242"/>
      <x:c r="H158" s="1242"/>
      <x:c r="I158" s="1242"/>
      <x:c r="J158" s="1259" t="str">
        <x:f>IF($B158="","",IFERROR(INDEX('Certified Allocation'!$F$5:$F$51,MATCH($B158,'Certified Allocation'!$B$5:$B$51,0)),""))</x:f>
      </x:c>
      <x:c r="K158" s="1243" t="str">
        <x:f>IF($B158="","",IFERROR(INDEX('20 RCC-003 MIAR Registry'!$A$14:$A$60,MATCH($B158,'20 RCC-003 MIAR Registry'!$B$14:$B$60,0)),""))</x:f>
      </x:c>
      <x:c r="L158" s="1243" t="str">
        <x:f>IF($B158="","",IFERROR(INDEX('20 RCC-003 MIAR Registry'!$M$14:$M$60,MATCH($B158,'20 RCC-003 MIAR Registry'!$B$14:$B$60,0)),""))</x:f>
      </x:c>
      <x:c r="M158" s="1243" t="str">
        <x:f>IF($B158="","",IFERROR(INDEX('20 RCC-003 MIAR Registry'!$Z$14:$Z$60,MATCH($B158,'20 RCC-003 MIAR Registry'!$B$14:$B$60,0)),""))</x:f>
      </x:c>
      <x:c r="N158" s="1246" t="str">
        <x:f>IF($B158="","",IFERROR(INDEX('20 RCC-003 MIAR Registry'!$K$14:$K$60,MATCH($B158,'20 RCC-003 MIAR Registry'!$B$14:$B$60,0)),""))</x:f>
      </x:c>
      <x:c r="O158" s="1246" t="str">
        <x:f>IF($B158="","",IFERROR(INDEX('20 RCC-003 MIAR Registry'!$L$14:$L$60,MATCH($B158,'20 RCC-003 MIAR Registry'!$B$14:$B$60,0)),""))</x:f>
      </x:c>
      <x:c r="P158" s="1243" t="str">
        <x:f>IF($B158="","",IFERROR(INDEX('20 RCC-003 MIAR Registry'!$I$14:$I$60,MATCH($B158,'20 RCC-003 MIAR Registry'!$B$14:$B$60,0)),""))</x:f>
      </x:c>
      <x:c r="Q158" s="1243" t="str">
        <x:f>IF($B158="","",IFERROR(INDEX('20 RCC-003 MIAR Registry'!$J$14:$J$60,MATCH($B158,'20 RCC-003 MIAR Registry'!$B$14:$B$60,0)),""))</x:f>
      </x:c>
      <x:c r="R158" s="1247" t="str">
        <x:f>IF($B158="","",COUNTIF('18 RCC-002 Evidence Ledger'!$E$14:$E$213,$B158))</x:f>
      </x:c>
      <x:c r="S158" s="1247" t="str">
        <x:f>IF($B158="","",COUNTIFS('18 RCC-002 Evidence Ledger'!$E$14:$E$213,$B158,'18 RCC-002 Evidence Ledger'!$T$14:$T$213,"&lt;&gt;Closed — No Action",'18 RCC-002 Evidence Ledger'!$T$14:$T$213,"&lt;&gt;Closed — Incorporated"))</x:f>
      </x:c>
      <x:c r="T158" s="1248"/>
      <x:c r="U158" s="1249"/>
      <x:c r="V158" s="1242"/>
      <x:c r="W158" s="1248"/>
      <x:c r="X158" s="1244" t="str">
        <x:f>IF($B158="","",IF($D158="Certified Portfolio Holding","CERTIFIED HOLDING",IF(OR($A158="",$D158="",$E158="",$F158="",$G158="",$H158="",$I158=""),"NOT ASSESSED",IF(OR($K158="",$L158&lt;&gt;"Active",$M158="OVERDUE",$M158="MATERIAL EVENT REVIEW",$N158="",$O158="",$W158=""),"NOT ELIGIBLE",IF(OR(AND($F158="Zacks Election",OR($T158="",$T158&lt;50)),OR($U158=4,$U158=5),$V158="No Rating",$V158="Restricted / Unavailable"),"ELIGIBLE WITH EXCEPTION","ELIGIBLE")))))</x:f>
      </x:c>
      <x:c r="Y158" s="1244" t="str">
        <x:f>IF($B158="","",IF($A158="","Canonical MASR ID required",IF(AND($D158&lt;&gt;"Certified Portfolio Holding",OR($K158="",$L158&lt;&gt;"Active",$M158&lt;&gt;"CURRENT",$N158="",$O158="",$W158="")),"Complete MIAR / scoring / empirical eligibility",IF(AND($F158="Zacks Election",OR($T158="",$T158&lt;50)),"Sub-$50B Zacks election exception",IF(OR($U158=4,$U158=5),"Zacks #4/#5 exception review",IF($V158="No Rating","Merrill No Rating exception",IF($V158="Restricted / Unavailable","Merrill restricted / unavailable exception","None")))))))</x:f>
      </x:c>
      <x:c r="Z158" s="1250" t="str">
        <x:f>IF($B158="","",COUNTIF('24 RCC-004 Candidate Pipeline'!$C$14:$C$213,$B158))</x:f>
      </x:c>
      <x:c r="AA158" s="1244" t="str">
        <x:f>IF($B158="","",IFERROR(INDEX('24 RCC-004 Candidate Pipeline'!$Y$14:$Y$213,MATCH($B158,'24 RCC-004 Candidate Pipeline'!$C$14:$C$213,0)),""))</x:f>
      </x:c>
      <x:c r="AB158" s="1242"/>
      <x:c r="AC158" s="1244" t="str">
        <x:f>IF($B158="","",IF(COUNTIFS('24 RCC-004 Candidate Pipeline'!$C$14:$C$213,$B158,'24 RCC-004 Candidate Pipeline'!$AF$14:$AF$213,"Yes — Refer to PEW-004")&gt;0,"REFERRED — PEW-004",IF($Z158&gt;0,"CANDIDATE RECORD ACTIVE","NO ACTIVE CANDIDATE")))</x:f>
      </x:c>
      <x:c r="AD158" s="1244" t="str">
        <x:f>IF($B158="","",IF($A158="","SETUP REQUIRED",IF(COUNTIF($A$14:$A$163,$A158)&gt;1,"DUPLICATE MASR ID",IF(COUNTIF($B$14:$B$163,$B158)&gt;1,"DUPLICATE TICKER",IF(OR($D158="",$E158="",$F158="",$G158="",$H158="",$I158=""),"INCOMPLETE",IF(OR($K158="",$L158=""),"MIAR SETUP REQUIRED",IF($X158="NOT ELIGIBLE","NOT ELIGIBLE",IF($Y158&lt;&gt;"None","EXCEPTION REVIEW",IF(AND($D158&lt;&gt;"Certified Portfolio Holding",OR($E158="Active — Approved Non-Holding",$E158="Conditional",$E158="Candidate — Committee Review"),OR($AB158="",$AB158="Pending")),"COMMITTEE DISPOSITION REQUIRED",IF(AND(OR($E158="Active — Approved Non-Holding",$E158="Conditional"),OR($AG158="",$AH158="")),"CERTIFICATION REQUIRED",IF(OR($E158="Rejected",$E158="Removed",$E158="Archived"),"INACTIVE / CLOSED","CONTROL CLEAR")))))))))))</x:f>
      </x:c>
      <x:c r="AE158" s="1244" t="str">
        <x:f>IF($AD158="","",IFERROR(INDEX('97 RCC Lists'!$AK$5:$AK$15,MATCH($AD158,'97 RCC Lists'!$AJ$5:$AJ$15,0)),"Review exception"))</x:f>
      </x:c>
      <x:c r="AF158" s="1251"/>
      <x:c r="AG158" s="1242"/>
      <x:c r="AH158" s="1251"/>
      <x:c r="AI158" s="1242"/>
    </x:row>
    <x:row r="159" ht="32" customHeight="1">
      <x:c r="A159" s="1242"/>
      <x:c r="B159" s="1242"/>
      <x:c r="C159" s="1242"/>
      <x:c r="D159" s="1242"/>
      <x:c r="E159" s="1242"/>
      <x:c r="F159" s="1242"/>
      <x:c r="G159" s="1242"/>
      <x:c r="H159" s="1242"/>
      <x:c r="I159" s="1242"/>
      <x:c r="J159" s="1258" t="str">
        <x:f>IF($B159="","",IFERROR(INDEX('Certified Allocation'!$F$5:$F$51,MATCH($B159,'Certified Allocation'!$B$5:$B$51,0)),""))</x:f>
      </x:c>
      <x:c r="K159" s="1252" t="str">
        <x:f>IF($B159="","",IFERROR(INDEX('20 RCC-003 MIAR Registry'!$A$14:$A$60,MATCH($B159,'20 RCC-003 MIAR Registry'!$B$14:$B$60,0)),""))</x:f>
      </x:c>
      <x:c r="L159" s="1252" t="str">
        <x:f>IF($B159="","",IFERROR(INDEX('20 RCC-003 MIAR Registry'!$M$14:$M$60,MATCH($B159,'20 RCC-003 MIAR Registry'!$B$14:$B$60,0)),""))</x:f>
      </x:c>
      <x:c r="M159" s="1252" t="str">
        <x:f>IF($B159="","",IFERROR(INDEX('20 RCC-003 MIAR Registry'!$Z$14:$Z$60,MATCH($B159,'20 RCC-003 MIAR Registry'!$B$14:$B$60,0)),""))</x:f>
      </x:c>
      <x:c r="N159" s="1255" t="str">
        <x:f>IF($B159="","",IFERROR(INDEX('20 RCC-003 MIAR Registry'!$K$14:$K$60,MATCH($B159,'20 RCC-003 MIAR Registry'!$B$14:$B$60,0)),""))</x:f>
      </x:c>
      <x:c r="O159" s="1255" t="str">
        <x:f>IF($B159="","",IFERROR(INDEX('20 RCC-003 MIAR Registry'!$L$14:$L$60,MATCH($B159,'20 RCC-003 MIAR Registry'!$B$14:$B$60,0)),""))</x:f>
      </x:c>
      <x:c r="P159" s="1252" t="str">
        <x:f>IF($B159="","",IFERROR(INDEX('20 RCC-003 MIAR Registry'!$I$14:$I$60,MATCH($B159,'20 RCC-003 MIAR Registry'!$B$14:$B$60,0)),""))</x:f>
      </x:c>
      <x:c r="Q159" s="1252" t="str">
        <x:f>IF($B159="","",IFERROR(INDEX('20 RCC-003 MIAR Registry'!$J$14:$J$60,MATCH($B159,'20 RCC-003 MIAR Registry'!$B$14:$B$60,0)),""))</x:f>
      </x:c>
      <x:c r="R159" s="1256" t="str">
        <x:f>IF($B159="","",COUNTIF('18 RCC-002 Evidence Ledger'!$E$14:$E$213,$B159))</x:f>
      </x:c>
      <x:c r="S159" s="1256" t="str">
        <x:f>IF($B159="","",COUNTIFS('18 RCC-002 Evidence Ledger'!$E$14:$E$213,$B159,'18 RCC-002 Evidence Ledger'!$T$14:$T$213,"&lt;&gt;Closed — No Action",'18 RCC-002 Evidence Ledger'!$T$14:$T$213,"&lt;&gt;Closed — Incorporated"))</x:f>
      </x:c>
      <x:c r="T159" s="1248"/>
      <x:c r="U159" s="1249"/>
      <x:c r="V159" s="1242"/>
      <x:c r="W159" s="1248"/>
      <x:c r="X159" s="1253" t="str">
        <x:f>IF($B159="","",IF($D159="Certified Portfolio Holding","CERTIFIED HOLDING",IF(OR($A159="",$D159="",$E159="",$F159="",$G159="",$H159="",$I159=""),"NOT ASSESSED",IF(OR($K159="",$L159&lt;&gt;"Active",$M159="OVERDUE",$M159="MATERIAL EVENT REVIEW",$N159="",$O159="",$W159=""),"NOT ELIGIBLE",IF(OR(AND($F159="Zacks Election",OR($T159="",$T159&lt;50)),OR($U159=4,$U159=5),$V159="No Rating",$V159="Restricted / Unavailable"),"ELIGIBLE WITH EXCEPTION","ELIGIBLE")))))</x:f>
      </x:c>
      <x:c r="Y159" s="1253" t="str">
        <x:f>IF($B159="","",IF($A159="","Canonical MASR ID required",IF(AND($D159&lt;&gt;"Certified Portfolio Holding",OR($K159="",$L159&lt;&gt;"Active",$M159&lt;&gt;"CURRENT",$N159="",$O159="",$W159="")),"Complete MIAR / scoring / empirical eligibility",IF(AND($F159="Zacks Election",OR($T159="",$T159&lt;50)),"Sub-$50B Zacks election exception",IF(OR($U159=4,$U159=5),"Zacks #4/#5 exception review",IF($V159="No Rating","Merrill No Rating exception",IF($V159="Restricted / Unavailable","Merrill restricted / unavailable exception","None")))))))</x:f>
      </x:c>
      <x:c r="Z159" s="1257" t="str">
        <x:f>IF($B159="","",COUNTIF('24 RCC-004 Candidate Pipeline'!$C$14:$C$213,$B159))</x:f>
      </x:c>
      <x:c r="AA159" s="1253" t="str">
        <x:f>IF($B159="","",IFERROR(INDEX('24 RCC-004 Candidate Pipeline'!$Y$14:$Y$213,MATCH($B159,'24 RCC-004 Candidate Pipeline'!$C$14:$C$213,0)),""))</x:f>
      </x:c>
      <x:c r="AB159" s="1242"/>
      <x:c r="AC159" s="1253" t="str">
        <x:f>IF($B159="","",IF(COUNTIFS('24 RCC-004 Candidate Pipeline'!$C$14:$C$213,$B159,'24 RCC-004 Candidate Pipeline'!$AF$14:$AF$213,"Yes — Refer to PEW-004")&gt;0,"REFERRED — PEW-004",IF($Z159&gt;0,"CANDIDATE RECORD ACTIVE","NO ACTIVE CANDIDATE")))</x:f>
      </x:c>
      <x:c r="AD159" s="1253" t="str">
        <x:f>IF($B159="","",IF($A159="","SETUP REQUIRED",IF(COUNTIF($A$14:$A$163,$A159)&gt;1,"DUPLICATE MASR ID",IF(COUNTIF($B$14:$B$163,$B159)&gt;1,"DUPLICATE TICKER",IF(OR($D159="",$E159="",$F159="",$G159="",$H159="",$I159=""),"INCOMPLETE",IF(OR($K159="",$L159=""),"MIAR SETUP REQUIRED",IF($X159="NOT ELIGIBLE","NOT ELIGIBLE",IF($Y159&lt;&gt;"None","EXCEPTION REVIEW",IF(AND($D159&lt;&gt;"Certified Portfolio Holding",OR($E159="Active — Approved Non-Holding",$E159="Conditional",$E159="Candidate — Committee Review"),OR($AB159="",$AB159="Pending")),"COMMITTEE DISPOSITION REQUIRED",IF(AND(OR($E159="Active — Approved Non-Holding",$E159="Conditional"),OR($AG159="",$AH159="")),"CERTIFICATION REQUIRED",IF(OR($E159="Rejected",$E159="Removed",$E159="Archived"),"INACTIVE / CLOSED","CONTROL CLEAR")))))))))))</x:f>
      </x:c>
      <x:c r="AE159" s="1253" t="str">
        <x:f>IF($AD159="","",IFERROR(INDEX('97 RCC Lists'!$AK$5:$AK$15,MATCH($AD159,'97 RCC Lists'!$AJ$5:$AJ$15,0)),"Review exception"))</x:f>
      </x:c>
      <x:c r="AF159" s="1251"/>
      <x:c r="AG159" s="1242"/>
      <x:c r="AH159" s="1251"/>
      <x:c r="AI159" s="1242"/>
    </x:row>
    <x:row r="160" ht="32" customHeight="1">
      <x:c r="A160" s="1242"/>
      <x:c r="B160" s="1242"/>
      <x:c r="C160" s="1242"/>
      <x:c r="D160" s="1242"/>
      <x:c r="E160" s="1242"/>
      <x:c r="F160" s="1242"/>
      <x:c r="G160" s="1242"/>
      <x:c r="H160" s="1242"/>
      <x:c r="I160" s="1242"/>
      <x:c r="J160" s="1259" t="str">
        <x:f>IF($B160="","",IFERROR(INDEX('Certified Allocation'!$F$5:$F$51,MATCH($B160,'Certified Allocation'!$B$5:$B$51,0)),""))</x:f>
      </x:c>
      <x:c r="K160" s="1243" t="str">
        <x:f>IF($B160="","",IFERROR(INDEX('20 RCC-003 MIAR Registry'!$A$14:$A$60,MATCH($B160,'20 RCC-003 MIAR Registry'!$B$14:$B$60,0)),""))</x:f>
      </x:c>
      <x:c r="L160" s="1243" t="str">
        <x:f>IF($B160="","",IFERROR(INDEX('20 RCC-003 MIAR Registry'!$M$14:$M$60,MATCH($B160,'20 RCC-003 MIAR Registry'!$B$14:$B$60,0)),""))</x:f>
      </x:c>
      <x:c r="M160" s="1243" t="str">
        <x:f>IF($B160="","",IFERROR(INDEX('20 RCC-003 MIAR Registry'!$Z$14:$Z$60,MATCH($B160,'20 RCC-003 MIAR Registry'!$B$14:$B$60,0)),""))</x:f>
      </x:c>
      <x:c r="N160" s="1246" t="str">
        <x:f>IF($B160="","",IFERROR(INDEX('20 RCC-003 MIAR Registry'!$K$14:$K$60,MATCH($B160,'20 RCC-003 MIAR Registry'!$B$14:$B$60,0)),""))</x:f>
      </x:c>
      <x:c r="O160" s="1246" t="str">
        <x:f>IF($B160="","",IFERROR(INDEX('20 RCC-003 MIAR Registry'!$L$14:$L$60,MATCH($B160,'20 RCC-003 MIAR Registry'!$B$14:$B$60,0)),""))</x:f>
      </x:c>
      <x:c r="P160" s="1243" t="str">
        <x:f>IF($B160="","",IFERROR(INDEX('20 RCC-003 MIAR Registry'!$I$14:$I$60,MATCH($B160,'20 RCC-003 MIAR Registry'!$B$14:$B$60,0)),""))</x:f>
      </x:c>
      <x:c r="Q160" s="1243" t="str">
        <x:f>IF($B160="","",IFERROR(INDEX('20 RCC-003 MIAR Registry'!$J$14:$J$60,MATCH($B160,'20 RCC-003 MIAR Registry'!$B$14:$B$60,0)),""))</x:f>
      </x:c>
      <x:c r="R160" s="1247" t="str">
        <x:f>IF($B160="","",COUNTIF('18 RCC-002 Evidence Ledger'!$E$14:$E$213,$B160))</x:f>
      </x:c>
      <x:c r="S160" s="1247" t="str">
        <x:f>IF($B160="","",COUNTIFS('18 RCC-002 Evidence Ledger'!$E$14:$E$213,$B160,'18 RCC-002 Evidence Ledger'!$T$14:$T$213,"&lt;&gt;Closed — No Action",'18 RCC-002 Evidence Ledger'!$T$14:$T$213,"&lt;&gt;Closed — Incorporated"))</x:f>
      </x:c>
      <x:c r="T160" s="1248"/>
      <x:c r="U160" s="1249"/>
      <x:c r="V160" s="1242"/>
      <x:c r="W160" s="1248"/>
      <x:c r="X160" s="1244" t="str">
        <x:f>IF($B160="","",IF($D160="Certified Portfolio Holding","CERTIFIED HOLDING",IF(OR($A160="",$D160="",$E160="",$F160="",$G160="",$H160="",$I160=""),"NOT ASSESSED",IF(OR($K160="",$L160&lt;&gt;"Active",$M160="OVERDUE",$M160="MATERIAL EVENT REVIEW",$N160="",$O160="",$W160=""),"NOT ELIGIBLE",IF(OR(AND($F160="Zacks Election",OR($T160="",$T160&lt;50)),OR($U160=4,$U160=5),$V160="No Rating",$V160="Restricted / Unavailable"),"ELIGIBLE WITH EXCEPTION","ELIGIBLE")))))</x:f>
      </x:c>
      <x:c r="Y160" s="1244" t="str">
        <x:f>IF($B160="","",IF($A160="","Canonical MASR ID required",IF(AND($D160&lt;&gt;"Certified Portfolio Holding",OR($K160="",$L160&lt;&gt;"Active",$M160&lt;&gt;"CURRENT",$N160="",$O160="",$W160="")),"Complete MIAR / scoring / empirical eligibility",IF(AND($F160="Zacks Election",OR($T160="",$T160&lt;50)),"Sub-$50B Zacks election exception",IF(OR($U160=4,$U160=5),"Zacks #4/#5 exception review",IF($V160="No Rating","Merrill No Rating exception",IF($V160="Restricted / Unavailable","Merrill restricted / unavailable exception","None")))))))</x:f>
      </x:c>
      <x:c r="Z160" s="1250" t="str">
        <x:f>IF($B160="","",COUNTIF('24 RCC-004 Candidate Pipeline'!$C$14:$C$213,$B160))</x:f>
      </x:c>
      <x:c r="AA160" s="1244" t="str">
        <x:f>IF($B160="","",IFERROR(INDEX('24 RCC-004 Candidate Pipeline'!$Y$14:$Y$213,MATCH($B160,'24 RCC-004 Candidate Pipeline'!$C$14:$C$213,0)),""))</x:f>
      </x:c>
      <x:c r="AB160" s="1242"/>
      <x:c r="AC160" s="1244" t="str">
        <x:f>IF($B160="","",IF(COUNTIFS('24 RCC-004 Candidate Pipeline'!$C$14:$C$213,$B160,'24 RCC-004 Candidate Pipeline'!$AF$14:$AF$213,"Yes — Refer to PEW-004")&gt;0,"REFERRED — PEW-004",IF($Z160&gt;0,"CANDIDATE RECORD ACTIVE","NO ACTIVE CANDIDATE")))</x:f>
      </x:c>
      <x:c r="AD160" s="1244" t="str">
        <x:f>IF($B160="","",IF($A160="","SETUP REQUIRED",IF(COUNTIF($A$14:$A$163,$A160)&gt;1,"DUPLICATE MASR ID",IF(COUNTIF($B$14:$B$163,$B160)&gt;1,"DUPLICATE TICKER",IF(OR($D160="",$E160="",$F160="",$G160="",$H160="",$I160=""),"INCOMPLETE",IF(OR($K160="",$L160=""),"MIAR SETUP REQUIRED",IF($X160="NOT ELIGIBLE","NOT ELIGIBLE",IF($Y160&lt;&gt;"None","EXCEPTION REVIEW",IF(AND($D160&lt;&gt;"Certified Portfolio Holding",OR($E160="Active — Approved Non-Holding",$E160="Conditional",$E160="Candidate — Committee Review"),OR($AB160="",$AB160="Pending")),"COMMITTEE DISPOSITION REQUIRED",IF(AND(OR($E160="Active — Approved Non-Holding",$E160="Conditional"),OR($AG160="",$AH160="")),"CERTIFICATION REQUIRED",IF(OR($E160="Rejected",$E160="Removed",$E160="Archived"),"INACTIVE / CLOSED","CONTROL CLEAR")))))))))))</x:f>
      </x:c>
      <x:c r="AE160" s="1244" t="str">
        <x:f>IF($AD160="","",IFERROR(INDEX('97 RCC Lists'!$AK$5:$AK$15,MATCH($AD160,'97 RCC Lists'!$AJ$5:$AJ$15,0)),"Review exception"))</x:f>
      </x:c>
      <x:c r="AF160" s="1251"/>
      <x:c r="AG160" s="1242"/>
      <x:c r="AH160" s="1251"/>
      <x:c r="AI160" s="1242"/>
    </x:row>
    <x:row r="161" ht="32" customHeight="1">
      <x:c r="A161" s="1242"/>
      <x:c r="B161" s="1242"/>
      <x:c r="C161" s="1242"/>
      <x:c r="D161" s="1242"/>
      <x:c r="E161" s="1242"/>
      <x:c r="F161" s="1242"/>
      <x:c r="G161" s="1242"/>
      <x:c r="H161" s="1242"/>
      <x:c r="I161" s="1242"/>
      <x:c r="J161" s="1258" t="str">
        <x:f>IF($B161="","",IFERROR(INDEX('Certified Allocation'!$F$5:$F$51,MATCH($B161,'Certified Allocation'!$B$5:$B$51,0)),""))</x:f>
      </x:c>
      <x:c r="K161" s="1252" t="str">
        <x:f>IF($B161="","",IFERROR(INDEX('20 RCC-003 MIAR Registry'!$A$14:$A$60,MATCH($B161,'20 RCC-003 MIAR Registry'!$B$14:$B$60,0)),""))</x:f>
      </x:c>
      <x:c r="L161" s="1252" t="str">
        <x:f>IF($B161="","",IFERROR(INDEX('20 RCC-003 MIAR Registry'!$M$14:$M$60,MATCH($B161,'20 RCC-003 MIAR Registry'!$B$14:$B$60,0)),""))</x:f>
      </x:c>
      <x:c r="M161" s="1252" t="str">
        <x:f>IF($B161="","",IFERROR(INDEX('20 RCC-003 MIAR Registry'!$Z$14:$Z$60,MATCH($B161,'20 RCC-003 MIAR Registry'!$B$14:$B$60,0)),""))</x:f>
      </x:c>
      <x:c r="N161" s="1255" t="str">
        <x:f>IF($B161="","",IFERROR(INDEX('20 RCC-003 MIAR Registry'!$K$14:$K$60,MATCH($B161,'20 RCC-003 MIAR Registry'!$B$14:$B$60,0)),""))</x:f>
      </x:c>
      <x:c r="O161" s="1255" t="str">
        <x:f>IF($B161="","",IFERROR(INDEX('20 RCC-003 MIAR Registry'!$L$14:$L$60,MATCH($B161,'20 RCC-003 MIAR Registry'!$B$14:$B$60,0)),""))</x:f>
      </x:c>
      <x:c r="P161" s="1252" t="str">
        <x:f>IF($B161="","",IFERROR(INDEX('20 RCC-003 MIAR Registry'!$I$14:$I$60,MATCH($B161,'20 RCC-003 MIAR Registry'!$B$14:$B$60,0)),""))</x:f>
      </x:c>
      <x:c r="Q161" s="1252" t="str">
        <x:f>IF($B161="","",IFERROR(INDEX('20 RCC-003 MIAR Registry'!$J$14:$J$60,MATCH($B161,'20 RCC-003 MIAR Registry'!$B$14:$B$60,0)),""))</x:f>
      </x:c>
      <x:c r="R161" s="1256" t="str">
        <x:f>IF($B161="","",COUNTIF('18 RCC-002 Evidence Ledger'!$E$14:$E$213,$B161))</x:f>
      </x:c>
      <x:c r="S161" s="1256" t="str">
        <x:f>IF($B161="","",COUNTIFS('18 RCC-002 Evidence Ledger'!$E$14:$E$213,$B161,'18 RCC-002 Evidence Ledger'!$T$14:$T$213,"&lt;&gt;Closed — No Action",'18 RCC-002 Evidence Ledger'!$T$14:$T$213,"&lt;&gt;Closed — Incorporated"))</x:f>
      </x:c>
      <x:c r="T161" s="1248"/>
      <x:c r="U161" s="1249"/>
      <x:c r="V161" s="1242"/>
      <x:c r="W161" s="1248"/>
      <x:c r="X161" s="1253" t="str">
        <x:f>IF($B161="","",IF($D161="Certified Portfolio Holding","CERTIFIED HOLDING",IF(OR($A161="",$D161="",$E161="",$F161="",$G161="",$H161="",$I161=""),"NOT ASSESSED",IF(OR($K161="",$L161&lt;&gt;"Active",$M161="OVERDUE",$M161="MATERIAL EVENT REVIEW",$N161="",$O161="",$W161=""),"NOT ELIGIBLE",IF(OR(AND($F161="Zacks Election",OR($T161="",$T161&lt;50)),OR($U161=4,$U161=5),$V161="No Rating",$V161="Restricted / Unavailable"),"ELIGIBLE WITH EXCEPTION","ELIGIBLE")))))</x:f>
      </x:c>
      <x:c r="Y161" s="1253" t="str">
        <x:f>IF($B161="","",IF($A161="","Canonical MASR ID required",IF(AND($D161&lt;&gt;"Certified Portfolio Holding",OR($K161="",$L161&lt;&gt;"Active",$M161&lt;&gt;"CURRENT",$N161="",$O161="",$W161="")),"Complete MIAR / scoring / empirical eligibility",IF(AND($F161="Zacks Election",OR($T161="",$T161&lt;50)),"Sub-$50B Zacks election exception",IF(OR($U161=4,$U161=5),"Zacks #4/#5 exception review",IF($V161="No Rating","Merrill No Rating exception",IF($V161="Restricted / Unavailable","Merrill restricted / unavailable exception","None")))))))</x:f>
      </x:c>
      <x:c r="Z161" s="1257" t="str">
        <x:f>IF($B161="","",COUNTIF('24 RCC-004 Candidate Pipeline'!$C$14:$C$213,$B161))</x:f>
      </x:c>
      <x:c r="AA161" s="1253" t="str">
        <x:f>IF($B161="","",IFERROR(INDEX('24 RCC-004 Candidate Pipeline'!$Y$14:$Y$213,MATCH($B161,'24 RCC-004 Candidate Pipeline'!$C$14:$C$213,0)),""))</x:f>
      </x:c>
      <x:c r="AB161" s="1242"/>
      <x:c r="AC161" s="1253" t="str">
        <x:f>IF($B161="","",IF(COUNTIFS('24 RCC-004 Candidate Pipeline'!$C$14:$C$213,$B161,'24 RCC-004 Candidate Pipeline'!$AF$14:$AF$213,"Yes — Refer to PEW-004")&gt;0,"REFERRED — PEW-004",IF($Z161&gt;0,"CANDIDATE RECORD ACTIVE","NO ACTIVE CANDIDATE")))</x:f>
      </x:c>
      <x:c r="AD161" s="1253" t="str">
        <x:f>IF($B161="","",IF($A161="","SETUP REQUIRED",IF(COUNTIF($A$14:$A$163,$A161)&gt;1,"DUPLICATE MASR ID",IF(COUNTIF($B$14:$B$163,$B161)&gt;1,"DUPLICATE TICKER",IF(OR($D161="",$E161="",$F161="",$G161="",$H161="",$I161=""),"INCOMPLETE",IF(OR($K161="",$L161=""),"MIAR SETUP REQUIRED",IF($X161="NOT ELIGIBLE","NOT ELIGIBLE",IF($Y161&lt;&gt;"None","EXCEPTION REVIEW",IF(AND($D161&lt;&gt;"Certified Portfolio Holding",OR($E161="Active — Approved Non-Holding",$E161="Conditional",$E161="Candidate — Committee Review"),OR($AB161="",$AB161="Pending")),"COMMITTEE DISPOSITION REQUIRED",IF(AND(OR($E161="Active — Approved Non-Holding",$E161="Conditional"),OR($AG161="",$AH161="")),"CERTIFICATION REQUIRED",IF(OR($E161="Rejected",$E161="Removed",$E161="Archived"),"INACTIVE / CLOSED","CONTROL CLEAR")))))))))))</x:f>
      </x:c>
      <x:c r="AE161" s="1253" t="str">
        <x:f>IF($AD161="","",IFERROR(INDEX('97 RCC Lists'!$AK$5:$AK$15,MATCH($AD161,'97 RCC Lists'!$AJ$5:$AJ$15,0)),"Review exception"))</x:f>
      </x:c>
      <x:c r="AF161" s="1251"/>
      <x:c r="AG161" s="1242"/>
      <x:c r="AH161" s="1251"/>
      <x:c r="AI161" s="1242"/>
    </x:row>
    <x:row r="162" ht="32" customHeight="1">
      <x:c r="A162" s="1242"/>
      <x:c r="B162" s="1242"/>
      <x:c r="C162" s="1242"/>
      <x:c r="D162" s="1242"/>
      <x:c r="E162" s="1242"/>
      <x:c r="F162" s="1242"/>
      <x:c r="G162" s="1242"/>
      <x:c r="H162" s="1242"/>
      <x:c r="I162" s="1242"/>
      <x:c r="J162" s="1259" t="str">
        <x:f>IF($B162="","",IFERROR(INDEX('Certified Allocation'!$F$5:$F$51,MATCH($B162,'Certified Allocation'!$B$5:$B$51,0)),""))</x:f>
      </x:c>
      <x:c r="K162" s="1243" t="str">
        <x:f>IF($B162="","",IFERROR(INDEX('20 RCC-003 MIAR Registry'!$A$14:$A$60,MATCH($B162,'20 RCC-003 MIAR Registry'!$B$14:$B$60,0)),""))</x:f>
      </x:c>
      <x:c r="L162" s="1243" t="str">
        <x:f>IF($B162="","",IFERROR(INDEX('20 RCC-003 MIAR Registry'!$M$14:$M$60,MATCH($B162,'20 RCC-003 MIAR Registry'!$B$14:$B$60,0)),""))</x:f>
      </x:c>
      <x:c r="M162" s="1243" t="str">
        <x:f>IF($B162="","",IFERROR(INDEX('20 RCC-003 MIAR Registry'!$Z$14:$Z$60,MATCH($B162,'20 RCC-003 MIAR Registry'!$B$14:$B$60,0)),""))</x:f>
      </x:c>
      <x:c r="N162" s="1246" t="str">
        <x:f>IF($B162="","",IFERROR(INDEX('20 RCC-003 MIAR Registry'!$K$14:$K$60,MATCH($B162,'20 RCC-003 MIAR Registry'!$B$14:$B$60,0)),""))</x:f>
      </x:c>
      <x:c r="O162" s="1246" t="str">
        <x:f>IF($B162="","",IFERROR(INDEX('20 RCC-003 MIAR Registry'!$L$14:$L$60,MATCH($B162,'20 RCC-003 MIAR Registry'!$B$14:$B$60,0)),""))</x:f>
      </x:c>
      <x:c r="P162" s="1243" t="str">
        <x:f>IF($B162="","",IFERROR(INDEX('20 RCC-003 MIAR Registry'!$I$14:$I$60,MATCH($B162,'20 RCC-003 MIAR Registry'!$B$14:$B$60,0)),""))</x:f>
      </x:c>
      <x:c r="Q162" s="1243" t="str">
        <x:f>IF($B162="","",IFERROR(INDEX('20 RCC-003 MIAR Registry'!$J$14:$J$60,MATCH($B162,'20 RCC-003 MIAR Registry'!$B$14:$B$60,0)),""))</x:f>
      </x:c>
      <x:c r="R162" s="1247" t="str">
        <x:f>IF($B162="","",COUNTIF('18 RCC-002 Evidence Ledger'!$E$14:$E$213,$B162))</x:f>
      </x:c>
      <x:c r="S162" s="1247" t="str">
        <x:f>IF($B162="","",COUNTIFS('18 RCC-002 Evidence Ledger'!$E$14:$E$213,$B162,'18 RCC-002 Evidence Ledger'!$T$14:$T$213,"&lt;&gt;Closed — No Action",'18 RCC-002 Evidence Ledger'!$T$14:$T$213,"&lt;&gt;Closed — Incorporated"))</x:f>
      </x:c>
      <x:c r="T162" s="1248"/>
      <x:c r="U162" s="1249"/>
      <x:c r="V162" s="1242"/>
      <x:c r="W162" s="1248"/>
      <x:c r="X162" s="1244" t="str">
        <x:f>IF($B162="","",IF($D162="Certified Portfolio Holding","CERTIFIED HOLDING",IF(OR($A162="",$D162="",$E162="",$F162="",$G162="",$H162="",$I162=""),"NOT ASSESSED",IF(OR($K162="",$L162&lt;&gt;"Active",$M162="OVERDUE",$M162="MATERIAL EVENT REVIEW",$N162="",$O162="",$W162=""),"NOT ELIGIBLE",IF(OR(AND($F162="Zacks Election",OR($T162="",$T162&lt;50)),OR($U162=4,$U162=5),$V162="No Rating",$V162="Restricted / Unavailable"),"ELIGIBLE WITH EXCEPTION","ELIGIBLE")))))</x:f>
      </x:c>
      <x:c r="Y162" s="1244" t="str">
        <x:f>IF($B162="","",IF($A162="","Canonical MASR ID required",IF(AND($D162&lt;&gt;"Certified Portfolio Holding",OR($K162="",$L162&lt;&gt;"Active",$M162&lt;&gt;"CURRENT",$N162="",$O162="",$W162="")),"Complete MIAR / scoring / empirical eligibility",IF(AND($F162="Zacks Election",OR($T162="",$T162&lt;50)),"Sub-$50B Zacks election exception",IF(OR($U162=4,$U162=5),"Zacks #4/#5 exception review",IF($V162="No Rating","Merrill No Rating exception",IF($V162="Restricted / Unavailable","Merrill restricted / unavailable exception","None")))))))</x:f>
      </x:c>
      <x:c r="Z162" s="1250" t="str">
        <x:f>IF($B162="","",COUNTIF('24 RCC-004 Candidate Pipeline'!$C$14:$C$213,$B162))</x:f>
      </x:c>
      <x:c r="AA162" s="1244" t="str">
        <x:f>IF($B162="","",IFERROR(INDEX('24 RCC-004 Candidate Pipeline'!$Y$14:$Y$213,MATCH($B162,'24 RCC-004 Candidate Pipeline'!$C$14:$C$213,0)),""))</x:f>
      </x:c>
      <x:c r="AB162" s="1242"/>
      <x:c r="AC162" s="1244" t="str">
        <x:f>IF($B162="","",IF(COUNTIFS('24 RCC-004 Candidate Pipeline'!$C$14:$C$213,$B162,'24 RCC-004 Candidate Pipeline'!$AF$14:$AF$213,"Yes — Refer to PEW-004")&gt;0,"REFERRED — PEW-004",IF($Z162&gt;0,"CANDIDATE RECORD ACTIVE","NO ACTIVE CANDIDATE")))</x:f>
      </x:c>
      <x:c r="AD162" s="1244" t="str">
        <x:f>IF($B162="","",IF($A162="","SETUP REQUIRED",IF(COUNTIF($A$14:$A$163,$A162)&gt;1,"DUPLICATE MASR ID",IF(COUNTIF($B$14:$B$163,$B162)&gt;1,"DUPLICATE TICKER",IF(OR($D162="",$E162="",$F162="",$G162="",$H162="",$I162=""),"INCOMPLETE",IF(OR($K162="",$L162=""),"MIAR SETUP REQUIRED",IF($X162="NOT ELIGIBLE","NOT ELIGIBLE",IF($Y162&lt;&gt;"None","EXCEPTION REVIEW",IF(AND($D162&lt;&gt;"Certified Portfolio Holding",OR($E162="Active — Approved Non-Holding",$E162="Conditional",$E162="Candidate — Committee Review"),OR($AB162="",$AB162="Pending")),"COMMITTEE DISPOSITION REQUIRED",IF(AND(OR($E162="Active — Approved Non-Holding",$E162="Conditional"),OR($AG162="",$AH162="")),"CERTIFICATION REQUIRED",IF(OR($E162="Rejected",$E162="Removed",$E162="Archived"),"INACTIVE / CLOSED","CONTROL CLEAR")))))))))))</x:f>
      </x:c>
      <x:c r="AE162" s="1244" t="str">
        <x:f>IF($AD162="","",IFERROR(INDEX('97 RCC Lists'!$AK$5:$AK$15,MATCH($AD162,'97 RCC Lists'!$AJ$5:$AJ$15,0)),"Review exception"))</x:f>
      </x:c>
      <x:c r="AF162" s="1251"/>
      <x:c r="AG162" s="1242"/>
      <x:c r="AH162" s="1251"/>
      <x:c r="AI162" s="1242"/>
    </x:row>
    <x:row r="163" ht="32" customHeight="1">
      <x:c r="A163" s="1242"/>
      <x:c r="B163" s="1242"/>
      <x:c r="C163" s="1242"/>
      <x:c r="D163" s="1242"/>
      <x:c r="E163" s="1242"/>
      <x:c r="F163" s="1242"/>
      <x:c r="G163" s="1242"/>
      <x:c r="H163" s="1242"/>
      <x:c r="I163" s="1242"/>
      <x:c r="J163" s="1258" t="str">
        <x:f>IF($B163="","",IFERROR(INDEX('Certified Allocation'!$F$5:$F$51,MATCH($B163,'Certified Allocation'!$B$5:$B$51,0)),""))</x:f>
      </x:c>
      <x:c r="K163" s="1252" t="str">
        <x:f>IF($B163="","",IFERROR(INDEX('20 RCC-003 MIAR Registry'!$A$14:$A$60,MATCH($B163,'20 RCC-003 MIAR Registry'!$B$14:$B$60,0)),""))</x:f>
      </x:c>
      <x:c r="L163" s="1252" t="str">
        <x:f>IF($B163="","",IFERROR(INDEX('20 RCC-003 MIAR Registry'!$M$14:$M$60,MATCH($B163,'20 RCC-003 MIAR Registry'!$B$14:$B$60,0)),""))</x:f>
      </x:c>
      <x:c r="M163" s="1252" t="str">
        <x:f>IF($B163="","",IFERROR(INDEX('20 RCC-003 MIAR Registry'!$Z$14:$Z$60,MATCH($B163,'20 RCC-003 MIAR Registry'!$B$14:$B$60,0)),""))</x:f>
      </x:c>
      <x:c r="N163" s="1255" t="str">
        <x:f>IF($B163="","",IFERROR(INDEX('20 RCC-003 MIAR Registry'!$K$14:$K$60,MATCH($B163,'20 RCC-003 MIAR Registry'!$B$14:$B$60,0)),""))</x:f>
      </x:c>
      <x:c r="O163" s="1255" t="str">
        <x:f>IF($B163="","",IFERROR(INDEX('20 RCC-003 MIAR Registry'!$L$14:$L$60,MATCH($B163,'20 RCC-003 MIAR Registry'!$B$14:$B$60,0)),""))</x:f>
      </x:c>
      <x:c r="P163" s="1252" t="str">
        <x:f>IF($B163="","",IFERROR(INDEX('20 RCC-003 MIAR Registry'!$I$14:$I$60,MATCH($B163,'20 RCC-003 MIAR Registry'!$B$14:$B$60,0)),""))</x:f>
      </x:c>
      <x:c r="Q163" s="1252" t="str">
        <x:f>IF($B163="","",IFERROR(INDEX('20 RCC-003 MIAR Registry'!$J$14:$J$60,MATCH($B163,'20 RCC-003 MIAR Registry'!$B$14:$B$60,0)),""))</x:f>
      </x:c>
      <x:c r="R163" s="1256" t="str">
        <x:f>IF($B163="","",COUNTIF('18 RCC-002 Evidence Ledger'!$E$14:$E$213,$B163))</x:f>
      </x:c>
      <x:c r="S163" s="1256" t="str">
        <x:f>IF($B163="","",COUNTIFS('18 RCC-002 Evidence Ledger'!$E$14:$E$213,$B163,'18 RCC-002 Evidence Ledger'!$T$14:$T$213,"&lt;&gt;Closed — No Action",'18 RCC-002 Evidence Ledger'!$T$14:$T$213,"&lt;&gt;Closed — Incorporated"))</x:f>
      </x:c>
      <x:c r="T163" s="1248"/>
      <x:c r="U163" s="1249"/>
      <x:c r="V163" s="1242"/>
      <x:c r="W163" s="1248"/>
      <x:c r="X163" s="1253" t="str">
        <x:f>IF($B163="","",IF($D163="Certified Portfolio Holding","CERTIFIED HOLDING",IF(OR($A163="",$D163="",$E163="",$F163="",$G163="",$H163="",$I163=""),"NOT ASSESSED",IF(OR($K163="",$L163&lt;&gt;"Active",$M163="OVERDUE",$M163="MATERIAL EVENT REVIEW",$N163="",$O163="",$W163=""),"NOT ELIGIBLE",IF(OR(AND($F163="Zacks Election",OR($T163="",$T163&lt;50)),OR($U163=4,$U163=5),$V163="No Rating",$V163="Restricted / Unavailable"),"ELIGIBLE WITH EXCEPTION","ELIGIBLE")))))</x:f>
      </x:c>
      <x:c r="Y163" s="1253" t="str">
        <x:f>IF($B163="","",IF($A163="","Canonical MASR ID required",IF(AND($D163&lt;&gt;"Certified Portfolio Holding",OR($K163="",$L163&lt;&gt;"Active",$M163&lt;&gt;"CURRENT",$N163="",$O163="",$W163="")),"Complete MIAR / scoring / empirical eligibility",IF(AND($F163="Zacks Election",OR($T163="",$T163&lt;50)),"Sub-$50B Zacks election exception",IF(OR($U163=4,$U163=5),"Zacks #4/#5 exception review",IF($V163="No Rating","Merrill No Rating exception",IF($V163="Restricted / Unavailable","Merrill restricted / unavailable exception","None")))))))</x:f>
      </x:c>
      <x:c r="Z163" s="1257" t="str">
        <x:f>IF($B163="","",COUNTIF('24 RCC-004 Candidate Pipeline'!$C$14:$C$213,$B163))</x:f>
      </x:c>
      <x:c r="AA163" s="1253" t="str">
        <x:f>IF($B163="","",IFERROR(INDEX('24 RCC-004 Candidate Pipeline'!$Y$14:$Y$213,MATCH($B163,'24 RCC-004 Candidate Pipeline'!$C$14:$C$213,0)),""))</x:f>
      </x:c>
      <x:c r="AB163" s="1242"/>
      <x:c r="AC163" s="1253" t="str">
        <x:f>IF($B163="","",IF(COUNTIFS('24 RCC-004 Candidate Pipeline'!$C$14:$C$213,$B163,'24 RCC-004 Candidate Pipeline'!$AF$14:$AF$213,"Yes — Refer to PEW-004")&gt;0,"REFERRED — PEW-004",IF($Z163&gt;0,"CANDIDATE RECORD ACTIVE","NO ACTIVE CANDIDATE")))</x:f>
      </x:c>
      <x:c r="AD163" s="1253" t="str">
        <x:f>IF($B163="","",IF($A163="","SETUP REQUIRED",IF(COUNTIF($A$14:$A$163,$A163)&gt;1,"DUPLICATE MASR ID",IF(COUNTIF($B$14:$B$163,$B163)&gt;1,"DUPLICATE TICKER",IF(OR($D163="",$E163="",$F163="",$G163="",$H163="",$I163=""),"INCOMPLETE",IF(OR($K163="",$L163=""),"MIAR SETUP REQUIRED",IF($X163="NOT ELIGIBLE","NOT ELIGIBLE",IF($Y163&lt;&gt;"None","EXCEPTION REVIEW",IF(AND($D163&lt;&gt;"Certified Portfolio Holding",OR($E163="Active — Approved Non-Holding",$E163="Conditional",$E163="Candidate — Committee Review"),OR($AB163="",$AB163="Pending")),"COMMITTEE DISPOSITION REQUIRED",IF(AND(OR($E163="Active — Approved Non-Holding",$E163="Conditional"),OR($AG163="",$AH163="")),"CERTIFICATION REQUIRED",IF(OR($E163="Rejected",$E163="Removed",$E163="Archived"),"INACTIVE / CLOSED","CONTROL CLEAR")))))))))))</x:f>
      </x:c>
      <x:c r="AE163" s="1253" t="str">
        <x:f>IF($AD163="","",IFERROR(INDEX('97 RCC Lists'!$AK$5:$AK$15,MATCH($AD163,'97 RCC Lists'!$AJ$5:$AJ$15,0)),"Review exception"))</x:f>
      </x:c>
      <x:c r="AF163" s="1251"/>
      <x:c r="AG163" s="1242"/>
      <x:c r="AH163" s="1251"/>
      <x:c r="AI163" s="1242"/>
    </x:row>
  </x:sheetData>
  <x:mergeCells>
    <x:mergeCell ref="A1:AI1"/>
    <x:mergeCell ref="A2:AI2"/>
    <x:mergeCell ref="A3:AI3"/>
    <x:mergeCell ref="A5:J5"/>
    <x:mergeCell ref="K5:V5"/>
    <x:mergeCell ref="W5:AI5"/>
    <x:mergeCell ref="A6:J10"/>
    <x:mergeCell ref="K6:V10"/>
    <x:mergeCell ref="W6:AD6"/>
    <x:mergeCell ref="AE6:AI6"/>
    <x:mergeCell ref="W7:AD7"/>
    <x:mergeCell ref="AE7:AI7"/>
    <x:mergeCell ref="W8:AD8"/>
    <x:mergeCell ref="AE8:AI8"/>
    <x:mergeCell ref="W9:AD9"/>
    <x:mergeCell ref="AE9:AI9"/>
    <x:mergeCell ref="W10:AD10"/>
    <x:mergeCell ref="AE10:AI10"/>
    <x:mergeCell ref="A12:AI12"/>
  </x:mergeCells>
  <x:conditionalFormatting sqref="X14:X163">
    <x:cfRule type="expression" dxfId="132" priority="1">
      <x:formula>X14="CERTIFIED HOLDING"</x:formula>
    </x:cfRule>
    <x:cfRule type="expression" dxfId="133" priority="2">
      <x:formula>X14="ELIGIBLE"</x:formula>
    </x:cfRule>
    <x:cfRule type="expression" dxfId="134" priority="3">
      <x:formula>X14="ELIGIBLE WITH EXCEPTION"</x:formula>
    </x:cfRule>
    <x:cfRule type="expression" dxfId="135" priority="4">
      <x:formula>X14="NOT ELIGIBLE"</x:formula>
    </x:cfRule>
    <x:cfRule type="expression" dxfId="136" priority="5">
      <x:formula>X14="NOT ASSESSED"</x:formula>
    </x:cfRule>
  </x:conditionalFormatting>
  <x:conditionalFormatting sqref="AD14:AD163">
    <x:cfRule type="expression" dxfId="137" priority="6">
      <x:formula>AD14="CONTROL CLEAR"</x:formula>
    </x:cfRule>
    <x:cfRule type="expression" dxfId="138" priority="7">
      <x:formula>AD14="INACTIVE / CLOSED"</x:formula>
    </x:cfRule>
    <x:cfRule type="expression" dxfId="139" priority="8">
      <x:formula>AD14="DUPLICATE MASR ID"</x:formula>
    </x:cfRule>
    <x:cfRule type="expression" dxfId="140" priority="9">
      <x:formula>AD14="DUPLICATE TICKER"</x:formula>
    </x:cfRule>
    <x:cfRule type="expression" dxfId="141" priority="10">
      <x:formula>AD14="NOT ELIGIBLE"</x:formula>
    </x:cfRule>
    <x:cfRule type="expression" dxfId="142" priority="11">
      <x:formula>AD14="SETUP REQUIRED"</x:formula>
    </x:cfRule>
    <x:cfRule type="expression" dxfId="143" priority="12">
      <x:formula>AD14="INCOMPLETE"</x:formula>
    </x:cfRule>
    <x:cfRule type="expression" dxfId="144" priority="13">
      <x:formula>AD14="MIAR SETUP REQUIRED"</x:formula>
    </x:cfRule>
    <x:cfRule type="expression" dxfId="145" priority="14">
      <x:formula>AD14="EXCEPTION REVIEW"</x:formula>
    </x:cfRule>
    <x:cfRule type="expression" dxfId="146" priority="15">
      <x:formula>AD14="COMMITTEE DISPOSITION REQUIRED"</x:formula>
    </x:cfRule>
    <x:cfRule type="expression" dxfId="147" priority="16">
      <x:formula>AD14="CERTIFICATION REQUIRED"</x:formula>
    </x:cfRule>
  </x:conditionalFormatting>
  <x:dataValidations count="8">
    <x:dataValidation type="list" sqref="D14:D163">
      <x:formula1>'97 RCC Lists'!$Z$5:$Z$12</x:formula1>
    </x:dataValidation>
    <x:dataValidation type="list" sqref="E14:E163">
      <x:formula1>'97 RCC Lists'!$AA$5:$AA$13</x:formula1>
    </x:dataValidation>
    <x:dataValidation type="list" sqref="F14:F163">
      <x:formula1>'97 RCC Lists'!$AB$5:$AB$13</x:formula1>
    </x:dataValidation>
    <x:dataValidation type="list" sqref="G14:G163">
      <x:formula1>'Sleeve Summary'!$A$3:$A$10</x:formula1>
    </x:dataValidation>
    <x:dataValidation type="list" sqref="I14:I163">
      <x:formula1>'97 RCC Lists'!$AO$5:$AO$7</x:formula1>
    </x:dataValidation>
    <x:dataValidation type="list" sqref="U14:U163">
      <x:formula1>'98 PEW Lists'!$F$6:$F$10</x:formula1>
    </x:dataValidation>
    <x:dataValidation type="list" sqref="V14:V163">
      <x:formula1>'97 RCC Lists'!$AF$5:$AF$10</x:formula1>
    </x:dataValidation>
    <x:dataValidation type="list" sqref="AB14:AB163">
      <x:formula1>'97 RCC Lists'!$AH$5:$AH$15</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14" hidden="0" customWidth="1"/>
    <x:col min="3" max="3" width="10" hidden="0" customWidth="1"/>
    <x:col min="4" max="4" width="28" hidden="0" customWidth="1"/>
    <x:col min="5" max="5" width="22" hidden="0" customWidth="1"/>
    <x:col min="6" max="6" width="20" hidden="0" customWidth="1"/>
    <x:col min="7" max="7" width="18" hidden="0" customWidth="1"/>
    <x:col min="8" max="8" width="28" hidden="0" customWidth="1"/>
    <x:col min="9" max="9" width="24" hidden="0" customWidth="1"/>
    <x:col min="10" max="10" width="34" hidden="0" customWidth="1"/>
    <x:col min="11" max="11" width="22" hidden="0" customWidth="1"/>
    <x:col min="12" max="12" width="24" hidden="0" customWidth="1"/>
    <x:col min="13" max="13" width="22" hidden="0" customWidth="1"/>
    <x:col min="14" max="14" width="34" hidden="0" customWidth="1"/>
    <x:col min="15" max="15" width="18" hidden="0" customWidth="1"/>
    <x:col min="16" max="16" width="18" hidden="0" customWidth="1"/>
    <x:col min="17" max="17" width="14" hidden="0" customWidth="1"/>
    <x:col min="18" max="18" width="14" hidden="0" customWidth="1"/>
    <x:col min="19" max="19" width="14" hidden="0" customWidth="1"/>
    <x:col min="20" max="20" width="14" hidden="0" customWidth="1"/>
    <x:col min="21" max="21" width="12" hidden="0" customWidth="1"/>
    <x:col min="22" max="22" width="20" hidden="0" customWidth="1"/>
    <x:col min="23" max="23" width="26" hidden="0" customWidth="1"/>
    <x:col min="24" max="24" width="14" hidden="0" customWidth="1"/>
    <x:col min="25" max="25" width="22" hidden="0" customWidth="1"/>
    <x:col min="26" max="26" width="26" hidden="0" customWidth="1"/>
    <x:col min="27" max="27" width="20" hidden="0" customWidth="1"/>
    <x:col min="28" max="28" width="14" hidden="0" customWidth="1"/>
    <x:col min="29" max="29" width="12" hidden="0" customWidth="1"/>
    <x:col min="30" max="30" width="28" hidden="0" customWidth="1"/>
    <x:col min="31" max="31" width="14" hidden="0" customWidth="1"/>
    <x:col min="32" max="32" width="24" hidden="0" customWidth="1"/>
    <x:col min="33" max="33" width="18" hidden="0" customWidth="1"/>
    <x:col min="34" max="34" width="14" hidden="0" customWidth="1"/>
    <x:col min="35" max="35" width="18" hidden="0" customWidth="1"/>
    <x:col min="36" max="36" width="20" hidden="0" customWidth="1"/>
    <x:col min="37" max="37" width="26" hidden="0" customWidth="1"/>
    <x:col min="38" max="38" width="40" hidden="0" customWidth="1"/>
    <x:col min="39" max="39" width="42" hidden="0" customWidth="1"/>
    <x:col min="40" max="40" width="44" hidden="0" customWidth="1"/>
    <x:col min="41" max="41" width="24" hidden="0" customWidth="1"/>
    <x:col min="42" max="42" width="20" hidden="0" customWidth="1"/>
    <x:col min="43" max="43" width="14" hidden="0" customWidth="1"/>
  </x:cols>
  <x:sheetData>
    <x:row r="1" ht="24" customHeight="1">
      <x:c r="A1" s="1096" t="str">
        <x:v>MOPS-003 — RCC-004 MASR CANDIDATE PIPELINE</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c r="Y1" s="1096"/>
      <x:c r="Z1" s="1096"/>
      <x:c r="AA1" s="1096"/>
      <x:c r="AB1" s="1096"/>
      <x:c r="AC1" s="1096"/>
      <x:c r="AD1" s="1096"/>
      <x:c r="AE1" s="1096"/>
      <x:c r="AF1" s="1096"/>
      <x:c r="AG1" s="1096"/>
      <x:c r="AH1" s="1096"/>
      <x:c r="AI1" s="1096"/>
      <x:c r="AJ1" s="1096"/>
      <x:c r="AK1" s="1096"/>
      <x:c r="AL1" s="1096"/>
      <x:c r="AM1" s="1096"/>
      <x:c r="AN1" s="1096"/>
      <x:c r="AO1" s="1096"/>
      <x:c r="AP1" s="1096"/>
      <x:c r="AQ1" s="1096"/>
    </x:row>
    <x:row r="2" ht="24" customHeight="1">
      <x:c r="A2" s="1101" t="str">
        <x:v>FOUNDERS EDITION v1.0 — CONSTRUCTION CANDIDATE | 200 controlled candidate records</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c r="Y2" s="1101"/>
      <x:c r="Z2" s="1101"/>
      <x:c r="AA2" s="1101"/>
      <x:c r="AB2" s="1101"/>
      <x:c r="AC2" s="1101"/>
      <x:c r="AD2" s="1101"/>
      <x:c r="AE2" s="1101"/>
      <x:c r="AF2" s="1101"/>
      <x:c r="AG2" s="1101"/>
      <x:c r="AH2" s="1101"/>
      <x:c r="AI2" s="1101"/>
      <x:c r="AJ2" s="1101"/>
      <x:c r="AK2" s="1101"/>
      <x:c r="AL2" s="1101"/>
      <x:c r="AM2" s="1101"/>
      <x:c r="AN2" s="1101"/>
      <x:c r="AO2" s="1101"/>
      <x:c r="AP2" s="1101"/>
      <x:c r="AQ2" s="1101"/>
    </x:row>
    <x:row r="3" ht="38" customHeight="1">
      <x:c r="A3" s="1199" t="str">
        <x:v>Use one row for each candidate, replacement, retention, addition, removal or reinstatement review. Candidate progression is stage-gated through evidence, MIAR, eligibility, committee disposition and PEW-004 referral. The pipeline records research judgment; it does not admit a security to the certified portfolio or authorize trading.</x:v>
      </x:c>
      <x:c r="B3" s="1199"/>
      <x:c r="C3" s="1199"/>
      <x:c r="D3" s="1199"/>
      <x:c r="E3" s="1199"/>
      <x:c r="F3" s="1199"/>
      <x:c r="G3" s="1199"/>
      <x:c r="H3" s="1199"/>
      <x:c r="I3" s="1199"/>
      <x:c r="J3" s="1199"/>
      <x:c r="K3" s="1199"/>
      <x:c r="L3" s="1199"/>
      <x:c r="M3" s="1199"/>
      <x:c r="N3" s="1199"/>
      <x:c r="O3" s="1199"/>
      <x:c r="P3" s="1199"/>
      <x:c r="Q3" s="1199"/>
      <x:c r="R3" s="1199"/>
      <x:c r="S3" s="1199"/>
      <x:c r="T3" s="1199"/>
      <x:c r="U3" s="1199"/>
      <x:c r="V3" s="1199"/>
      <x:c r="W3" s="1199"/>
      <x:c r="X3" s="1199"/>
      <x:c r="Y3" s="1199"/>
      <x:c r="Z3" s="1199"/>
      <x:c r="AA3" s="1199"/>
      <x:c r="AB3" s="1199"/>
      <x:c r="AC3" s="1199"/>
      <x:c r="AD3" s="1199"/>
      <x:c r="AE3" s="1199"/>
      <x:c r="AF3" s="1199"/>
      <x:c r="AG3" s="1199"/>
      <x:c r="AH3" s="1199"/>
      <x:c r="AI3" s="1199"/>
      <x:c r="AJ3" s="1199"/>
      <x:c r="AK3" s="1199"/>
      <x:c r="AL3" s="1199"/>
      <x:c r="AM3" s="1199"/>
      <x:c r="AN3" s="1199"/>
      <x:c r="AO3" s="1199"/>
      <x:c r="AP3" s="1199"/>
      <x:c r="AQ3" s="1199"/>
    </x:row>
    <x:row r="5">
      <x:c r="A5" s="1236" t="str">
        <x:v>CANDIDATE INTAKE STANDARD</x:v>
      </x:c>
      <x:c r="B5" s="1236"/>
      <x:c r="C5" s="1236"/>
      <x:c r="D5" s="1236"/>
      <x:c r="E5" s="1236"/>
      <x:c r="F5" s="1236"/>
      <x:c r="G5" s="1236"/>
      <x:c r="H5" s="1236"/>
      <x:c r="I5" s="1236" t="str">
        <x:v>AUTOMATED MASR / MIAR / ELIGIBILITY STATE</x:v>
      </x:c>
      <x:c r="J5" s="1236"/>
      <x:c r="K5" s="1236"/>
      <x:c r="L5" s="1236"/>
      <x:c r="M5" s="1236"/>
      <x:c r="N5" s="1236"/>
      <x:c r="O5" s="1236"/>
      <x:c r="P5" s="1236"/>
      <x:c r="Q5" s="1236"/>
      <x:c r="R5" s="1236"/>
      <x:c r="S5" s="1236"/>
      <x:c r="T5" s="1236"/>
      <x:c r="U5" s="1236"/>
      <x:c r="V5" s="1236"/>
      <x:c r="W5" s="1236" t="str">
        <x:v>EXECUTIVE PIPELINE STATE</x:v>
      </x:c>
      <x:c r="X5" s="1236"/>
      <x:c r="Y5" s="1236"/>
      <x:c r="Z5" s="1236"/>
      <x:c r="AA5" s="1236"/>
      <x:c r="AB5" s="1236"/>
      <x:c r="AC5" s="1236"/>
      <x:c r="AD5" s="1236"/>
      <x:c r="AE5" s="1236"/>
      <x:c r="AF5" s="1236"/>
      <x:c r="AG5" s="1236"/>
      <x:c r="AH5" s="1236"/>
      <x:c r="AI5" s="1236"/>
      <x:c r="AJ5" s="1236"/>
      <x:c r="AK5" s="1236"/>
      <x:c r="AL5" s="1236"/>
      <x:c r="AM5" s="1236"/>
      <x:c r="AN5" s="1236"/>
      <x:c r="AO5" s="1236"/>
      <x:c r="AP5" s="1236"/>
      <x:c r="AQ5" s="1236"/>
    </x:row>
    <x:row r="6" ht="28" customHeight="1">
      <x:c r="A6" s="1237" t="str">
        <x:v>• Assign a unique Candidate ID using MCP-YYYYMMDD-###.
• Create or reconcile the RCC-004 MASR registry record first.
• Record intake date, candidate type, comparison group, source, owner and due date.
• Reference supporting RCC-002 Evidence IDs.
• Advance one stage only after the current stage gate passes.
• Edit yellow cells only.</x:v>
      </x:c>
      <x:c r="B6" s="1237"/>
      <x:c r="C6" s="1237"/>
      <x:c r="D6" s="1237"/>
      <x:c r="E6" s="1237"/>
      <x:c r="F6" s="1237"/>
      <x:c r="G6" s="1237"/>
      <x:c r="H6" s="1237"/>
      <x:c r="I6" s="1238" t="str">
        <x:v>The pipeline automatically retrieves registry class and status, eligibility, MIAR state, research freshness, Integrity and MICS scores, empirical rank, market cap, Zacks Rank and Merrill status. Candidate Comparison and later stages require evidence, eligibility and a current active MIAR dossier. Committee-approved referrals must be linked to a PEW-004 Candidate ID.</x:v>
      </x:c>
      <x:c r="J6" s="1238"/>
      <x:c r="K6" s="1238"/>
      <x:c r="L6" s="1238"/>
      <x:c r="M6" s="1238"/>
      <x:c r="N6" s="1238"/>
      <x:c r="O6" s="1238"/>
      <x:c r="P6" s="1238"/>
      <x:c r="Q6" s="1238"/>
      <x:c r="R6" s="1238"/>
      <x:c r="S6" s="1238"/>
      <x:c r="T6" s="1238"/>
      <x:c r="U6" s="1238"/>
      <x:c r="V6" s="1238"/>
      <x:c r="W6" s="1239" t="str">
        <x:v>Candidate Records</x:v>
      </x:c>
      <x:c r="X6" s="1239"/>
      <x:c r="Y6" s="1239"/>
      <x:c r="Z6" s="1239"/>
      <x:c r="AA6" s="1239"/>
      <x:c r="AB6" s="1239"/>
      <x:c r="AC6" s="1239"/>
      <x:c r="AD6" s="1239"/>
      <x:c r="AE6" s="1239"/>
      <x:c r="AF6" s="1239"/>
      <x:c r="AG6" s="1239"/>
      <x:c r="AH6" s="1239"/>
      <x:c r="AI6" s="1239"/>
      <x:c r="AJ6" s="1239"/>
      <x:c r="AK6" s="1239"/>
      <x:c r="AL6" s="1239"/>
      <x:c r="AM6" s="1240" t="n">
        <x:f>COUNTA($A$14:$A$213)</x:f>
        <x:v>10</x:v>
      </x:c>
      <x:c r="AN6" s="1240"/>
      <x:c r="AO6" s="1240"/>
      <x:c r="AP6" s="1240"/>
      <x:c r="AQ6" s="1240"/>
    </x:row>
    <x:row r="7" ht="28" customHeight="1">
      <x:c r="A7" s="1237"/>
      <x:c r="B7" s="1237"/>
      <x:c r="C7" s="1237"/>
      <x:c r="D7" s="1237"/>
      <x:c r="E7" s="1237"/>
      <x:c r="F7" s="1237"/>
      <x:c r="G7" s="1237"/>
      <x:c r="H7" s="1237"/>
      <x:c r="I7" s="1238"/>
      <x:c r="J7" s="1238"/>
      <x:c r="K7" s="1238"/>
      <x:c r="L7" s="1238"/>
      <x:c r="M7" s="1238"/>
      <x:c r="N7" s="1238"/>
      <x:c r="O7" s="1238"/>
      <x:c r="P7" s="1238"/>
      <x:c r="Q7" s="1238"/>
      <x:c r="R7" s="1238"/>
      <x:c r="S7" s="1238"/>
      <x:c r="T7" s="1238"/>
      <x:c r="U7" s="1238"/>
      <x:c r="V7" s="1238"/>
      <x:c r="W7" s="1239" t="str">
        <x:v>Stage Gates Passed</x:v>
      </x:c>
      <x:c r="X7" s="1239"/>
      <x:c r="Y7" s="1239"/>
      <x:c r="Z7" s="1239"/>
      <x:c r="AA7" s="1239"/>
      <x:c r="AB7" s="1239"/>
      <x:c r="AC7" s="1239"/>
      <x:c r="AD7" s="1239"/>
      <x:c r="AE7" s="1239"/>
      <x:c r="AF7" s="1239"/>
      <x:c r="AG7" s="1239"/>
      <x:c r="AH7" s="1239"/>
      <x:c r="AI7" s="1239"/>
      <x:c r="AJ7" s="1239"/>
      <x:c r="AK7" s="1239"/>
      <x:c r="AL7" s="1239"/>
      <x:c r="AM7" s="1240" t="n">
        <x:f>COUNTIF($Z$14:$Z$213,"PASS — STAGE GATE")</x:f>
        <x:v>10</x:v>
      </x:c>
      <x:c r="AN7" s="1240"/>
      <x:c r="AO7" s="1240"/>
      <x:c r="AP7" s="1240"/>
      <x:c r="AQ7" s="1240"/>
    </x:row>
    <x:row r="8" ht="28" customHeight="1">
      <x:c r="A8" s="1237"/>
      <x:c r="B8" s="1237"/>
      <x:c r="C8" s="1237"/>
      <x:c r="D8" s="1237"/>
      <x:c r="E8" s="1237"/>
      <x:c r="F8" s="1237"/>
      <x:c r="G8" s="1237"/>
      <x:c r="H8" s="1237"/>
      <x:c r="I8" s="1238"/>
      <x:c r="J8" s="1238"/>
      <x:c r="K8" s="1238"/>
      <x:c r="L8" s="1238"/>
      <x:c r="M8" s="1238"/>
      <x:c r="N8" s="1238"/>
      <x:c r="O8" s="1238"/>
      <x:c r="P8" s="1238"/>
      <x:c r="Q8" s="1238"/>
      <x:c r="R8" s="1238"/>
      <x:c r="S8" s="1238"/>
      <x:c r="T8" s="1238"/>
      <x:c r="U8" s="1238"/>
      <x:c r="V8" s="1238"/>
      <x:c r="W8" s="1239" t="str">
        <x:v>Control Exceptions</x:v>
      </x:c>
      <x:c r="X8" s="1239"/>
      <x:c r="Y8" s="1239"/>
      <x:c r="Z8" s="1239"/>
      <x:c r="AA8" s="1239"/>
      <x:c r="AB8" s="1239"/>
      <x:c r="AC8" s="1239"/>
      <x:c r="AD8" s="1239"/>
      <x:c r="AE8" s="1239"/>
      <x:c r="AF8" s="1239"/>
      <x:c r="AG8" s="1239"/>
      <x:c r="AH8" s="1239"/>
      <x:c r="AI8" s="1239"/>
      <x:c r="AJ8" s="1239"/>
      <x:c r="AK8" s="1239"/>
      <x:c r="AL8" s="1239"/>
      <x:c r="AM8" s="1241" t="n">
        <x:f>COUNTIFS($A$14:$A$213,"&lt;&gt;",$AK$14:$AK$213,"&lt;&gt;OPEN — ON TRACK",$AK$14:$AK$213,"&lt;&gt;CLOSED")</x:f>
        <x:v>10</x:v>
      </x:c>
      <x:c r="AN8" s="1241"/>
      <x:c r="AO8" s="1241"/>
      <x:c r="AP8" s="1241"/>
      <x:c r="AQ8" s="1241"/>
    </x:row>
    <x:row r="9" ht="28" customHeight="1">
      <x:c r="A9" s="1237"/>
      <x:c r="B9" s="1237"/>
      <x:c r="C9" s="1237"/>
      <x:c r="D9" s="1237"/>
      <x:c r="E9" s="1237"/>
      <x:c r="F9" s="1237"/>
      <x:c r="G9" s="1237"/>
      <x:c r="H9" s="1237"/>
      <x:c r="I9" s="1238"/>
      <x:c r="J9" s="1238"/>
      <x:c r="K9" s="1238"/>
      <x:c r="L9" s="1238"/>
      <x:c r="M9" s="1238"/>
      <x:c r="N9" s="1238"/>
      <x:c r="O9" s="1238"/>
      <x:c r="P9" s="1238"/>
      <x:c r="Q9" s="1238"/>
      <x:c r="R9" s="1238"/>
      <x:c r="S9" s="1238"/>
      <x:c r="T9" s="1238"/>
      <x:c r="U9" s="1238"/>
      <x:c r="V9" s="1238"/>
      <x:c r="W9" s="1239" t="str">
        <x:v>Overdue Reviews</x:v>
      </x:c>
      <x:c r="X9" s="1239"/>
      <x:c r="Y9" s="1239"/>
      <x:c r="Z9" s="1239"/>
      <x:c r="AA9" s="1239"/>
      <x:c r="AB9" s="1239"/>
      <x:c r="AC9" s="1239"/>
      <x:c r="AD9" s="1239"/>
      <x:c r="AE9" s="1239"/>
      <x:c r="AF9" s="1239"/>
      <x:c r="AG9" s="1239"/>
      <x:c r="AH9" s="1239"/>
      <x:c r="AI9" s="1239"/>
      <x:c r="AJ9" s="1239"/>
      <x:c r="AK9" s="1239"/>
      <x:c r="AL9" s="1239"/>
      <x:c r="AM9" s="1241" t="n">
        <x:f>COUNTIF($AK$14:$AK$213,"OVERDUE")</x:f>
        <x:v>10</x:v>
      </x:c>
      <x:c r="AN9" s="1241"/>
      <x:c r="AO9" s="1241"/>
      <x:c r="AP9" s="1241"/>
      <x:c r="AQ9" s="1241"/>
    </x:row>
    <x:row r="10" ht="28" customHeight="1">
      <x:c r="A10" s="1237"/>
      <x:c r="B10" s="1237"/>
      <x:c r="C10" s="1237"/>
      <x:c r="D10" s="1237"/>
      <x:c r="E10" s="1237"/>
      <x:c r="F10" s="1237"/>
      <x:c r="G10" s="1237"/>
      <x:c r="H10" s="1237"/>
      <x:c r="I10" s="1238"/>
      <x:c r="J10" s="1238"/>
      <x:c r="K10" s="1238"/>
      <x:c r="L10" s="1238"/>
      <x:c r="M10" s="1238"/>
      <x:c r="N10" s="1238"/>
      <x:c r="O10" s="1238"/>
      <x:c r="P10" s="1238"/>
      <x:c r="Q10" s="1238"/>
      <x:c r="R10" s="1238"/>
      <x:c r="S10" s="1238"/>
      <x:c r="T10" s="1238"/>
      <x:c r="U10" s="1238"/>
      <x:c r="V10" s="1238"/>
      <x:c r="W10" s="1239" t="str">
        <x:v>PEW-004 Referrals</x:v>
      </x:c>
      <x:c r="X10" s="1239"/>
      <x:c r="Y10" s="1239"/>
      <x:c r="Z10" s="1239"/>
      <x:c r="AA10" s="1239"/>
      <x:c r="AB10" s="1239"/>
      <x:c r="AC10" s="1239"/>
      <x:c r="AD10" s="1239"/>
      <x:c r="AE10" s="1239"/>
      <x:c r="AF10" s="1239"/>
      <x:c r="AG10" s="1239"/>
      <x:c r="AH10" s="1239"/>
      <x:c r="AI10" s="1239"/>
      <x:c r="AJ10" s="1239"/>
      <x:c r="AK10" s="1239"/>
      <x:c r="AL10" s="1239"/>
      <x:c r="AM10" s="1240" t="n">
        <x:f>COUNTIF($AF$14:$AF$213,"Yes — Refer to PEW-004")</x:f>
        <x:v>0</x:v>
      </x:c>
      <x:c r="AN10" s="1240"/>
      <x:c r="AO10" s="1240"/>
      <x:c r="AP10" s="1240"/>
      <x:c r="AQ10" s="1240"/>
    </x:row>
    <x:row r="12">
      <x:c r="A12" s="1236" t="str">
        <x:v>RCC-004 CONTROLLED CANDIDATE PIPELINE — EDIT YELLOW CELLS ONLY</x:v>
      </x:c>
      <x:c r="B12" s="1236"/>
      <x:c r="C12" s="1236"/>
      <x:c r="D12" s="1236"/>
      <x:c r="E12" s="1236"/>
      <x:c r="F12" s="1236"/>
      <x:c r="G12" s="1236"/>
      <x:c r="H12" s="1236"/>
      <x:c r="I12" s="1236"/>
      <x:c r="J12" s="1236"/>
      <x:c r="K12" s="1236"/>
      <x:c r="L12" s="1236"/>
      <x:c r="M12" s="1236"/>
      <x:c r="N12" s="1236"/>
      <x:c r="O12" s="1236"/>
      <x:c r="P12" s="1236"/>
      <x:c r="Q12" s="1236"/>
      <x:c r="R12" s="1236"/>
      <x:c r="S12" s="1236"/>
      <x:c r="T12" s="1236"/>
      <x:c r="U12" s="1236"/>
      <x:c r="V12" s="1236"/>
      <x:c r="W12" s="1236"/>
      <x:c r="X12" s="1236"/>
      <x:c r="Y12" s="1236"/>
      <x:c r="Z12" s="1236"/>
      <x:c r="AA12" s="1236"/>
      <x:c r="AB12" s="1236"/>
      <x:c r="AC12" s="1236"/>
      <x:c r="AD12" s="1236"/>
      <x:c r="AE12" s="1236"/>
      <x:c r="AF12" s="1236"/>
      <x:c r="AG12" s="1236"/>
      <x:c r="AH12" s="1236"/>
      <x:c r="AI12" s="1236"/>
      <x:c r="AJ12" s="1236"/>
      <x:c r="AK12" s="1236"/>
      <x:c r="AL12" s="1236"/>
      <x:c r="AM12" s="1236"/>
      <x:c r="AN12" s="1236"/>
      <x:c r="AO12" s="1236"/>
      <x:c r="AP12" s="1236"/>
      <x:c r="AQ12" s="1236"/>
    </x:row>
    <x:row r="13" ht="54" customHeight="1">
      <x:c r="A13" s="1091" t="str">
        <x:v>Candidate ID (Input)</x:v>
      </x:c>
      <x:c r="B13" s="1091" t="str">
        <x:v>Intake Date (Input)</x:v>
      </x:c>
      <x:c r="C13" s="1091" t="str">
        <x:v>Ticker (Input)</x:v>
      </x:c>
      <x:c r="D13" s="1091" t="str">
        <x:v>Security (Auto)</x:v>
      </x:c>
      <x:c r="E13" s="1091" t="str">
        <x:v>Candidate Type (Input)</x:v>
      </x:c>
      <x:c r="F13" s="1091" t="str">
        <x:v>Comparison Group (Input)</x:v>
      </x:c>
      <x:c r="G13" s="1091" t="str">
        <x:v>Incumbent / Replacement Target (Input)</x:v>
      </x:c>
      <x:c r="H13" s="1091" t="str">
        <x:v>Source / Referral (Input)</x:v>
      </x:c>
      <x:c r="I13" s="1091" t="str">
        <x:v>Proposed Sleeve (Auto)</x:v>
      </x:c>
      <x:c r="J13" s="1091" t="str">
        <x:v>Proposed Role (Auto)</x:v>
      </x:c>
      <x:c r="K13" s="1091" t="str">
        <x:v>MASR Record Class (Auto)</x:v>
      </x:c>
      <x:c r="L13" s="1091" t="str">
        <x:v>MASR Status (Auto)</x:v>
      </x:c>
      <x:c r="M13" s="1091" t="str">
        <x:v>Eligibility Gate (Auto)</x:v>
      </x:c>
      <x:c r="N13" s="1091" t="str">
        <x:v>Exception Requirement (Auto)</x:v>
      </x:c>
      <x:c r="O13" s="1091" t="str">
        <x:v>MIAR Record Status (Auto)</x:v>
      </x:c>
      <x:c r="P13" s="1091" t="str">
        <x:v>Research Freshness (Auto)</x:v>
      </x:c>
      <x:c r="Q13" s="1091" t="str">
        <x:v>Integrity Score (Auto)</x:v>
      </x:c>
      <x:c r="R13" s="1091" t="str">
        <x:v>MICS Score (Auto)</x:v>
      </x:c>
      <x:c r="S13" s="1091" t="str">
        <x:v>Empirical Rank (Auto)</x:v>
      </x:c>
      <x:c r="T13" s="1091" t="str">
        <x:v>Market Cap ($B) (Auto)</x:v>
      </x:c>
      <x:c r="U13" s="1091" t="str">
        <x:v>Zacks Rank (Auto)</x:v>
      </x:c>
      <x:c r="V13" s="1091" t="str">
        <x:v>Merrill Status (Auto)</x:v>
      </x:c>
      <x:c r="W13" s="1091" t="str">
        <x:v>Evidence IDs Referenced (Input)</x:v>
      </x:c>
      <x:c r="X13" s="1091" t="str">
        <x:v>Evidence Records (Auto)</x:v>
      </x:c>
      <x:c r="Y13" s="1091" t="str">
        <x:v>Candidate Stage (Input)</x:v>
      </x:c>
      <x:c r="Z13" s="1091" t="str">
        <x:v>Stage Gate Result (Auto)</x:v>
      </x:c>
      <x:c r="AA13" s="1091" t="str">
        <x:v>Assigned Owner (Input)</x:v>
      </x:c>
      <x:c r="AB13" s="1091" t="str">
        <x:v>Due Date (Input)</x:v>
      </x:c>
      <x:c r="AC13" s="1091" t="str">
        <x:v>Days Open (Auto)</x:v>
      </x:c>
      <x:c r="AD13" s="1091" t="str">
        <x:v>Committee Disposition (Input)</x:v>
      </x:c>
      <x:c r="AE13" s="1091" t="str">
        <x:v>Disposition Date (Input)</x:v>
      </x:c>
      <x:c r="AF13" s="1091" t="str">
        <x:v>PEW Referral (Input)</x:v>
      </x:c>
      <x:c r="AG13" s="1091" t="str">
        <x:v>PEW-004 Candidate ID (Input)</x:v>
      </x:c>
      <x:c r="AH13" s="1091" t="str">
        <x:v>PEW-004 Final Score (Auto)</x:v>
      </x:c>
      <x:c r="AI13" s="1091" t="str">
        <x:v>PEW-004 Eligibility (Auto)</x:v>
      </x:c>
      <x:c r="AJ13" s="1091" t="str">
        <x:v>PEW-004 Status (Auto)</x:v>
      </x:c>
      <x:c r="AK13" s="1091" t="str">
        <x:v>Control Status (Auto)</x:v>
      </x:c>
      <x:c r="AL13" s="1091" t="str">
        <x:v>Next Required Action (Auto)</x:v>
      </x:c>
      <x:c r="AM13" s="1091" t="str">
        <x:v>Decision / Thesis Summary (Input)</x:v>
      </x:c>
      <x:c r="AN13" s="1091" t="str">
        <x:v>Source / Internal Memo / Exception Rationale (Input)</x:v>
      </x:c>
      <x:c r="AO13" s="1091" t="str">
        <x:v>Closure / Removal Reason (Input)</x:v>
      </x:c>
      <x:c r="AP13" s="1091" t="str">
        <x:v>Closed By (Input)</x:v>
      </x:c>
      <x:c r="AQ13" s="1091" t="str">
        <x:v>Closed Date (Input)</x:v>
      </x:c>
    </x:row>
    <x:row r="14" ht="32" customHeight="1">
      <x:c r="A14" s="1242" t="str">
        <x:v>MCP-20260824-001</x:v>
      </x:c>
      <x:c r="B14" s="1297" t="n">
        <x:v>46258</x:v>
      </x:c>
      <x:c r="C14" s="1242" t="str">
        <x:v>VRT</x:v>
      </x:c>
      <x:c r="D14" s="1243" t="str">
        <x:f>IF($C14="","",IFERROR(INDEX('23 RCC-004 MASR Registry'!$C$14:$C$163,MATCH($C14,'23 RCC-004 MASR Registry'!$B$14:$B$163,0)),""))</x:f>
        <x:v>Vertiv Holdings Co.</x:v>
      </x:c>
      <x:c r="E14" s="1242" t="str">
        <x:v>Retention Review</x:v>
      </x:c>
      <x:c r="F14" s="1242" t="str">
        <x:v>Manufacturing Revival — Barron's Roundtable</x:v>
      </x:c>
      <x:c r="G14" s="1242"/>
      <x:c r="H14" s="1242" t="str">
        <x:v>Advisor Observation</x:v>
      </x:c>
      <x:c r="I14" s="1243" t="str">
        <x:f>IF($C14="","",IFERROR(INDEX('23 RCC-004 MASR Registry'!$G$14:$G$163,MATCH($C14,'23 RCC-004 MASR Registry'!$B$14:$B$163,0)),""))</x:f>
        <x:v>Digital Infrastructure &amp; AI</x:v>
      </x:c>
      <x:c r="J14" s="1243" t="str">
        <x:f>IF($C14="","",IFERROR(INDEX('23 RCC-004 MASR Registry'!$H$14:$H$163,MATCH($C14,'23 RCC-004 MASR Registry'!$B$14:$B$163,0)),""))</x:f>
        <x:v>Critical data-center infrastructure</x:v>
      </x:c>
      <x:c r="K14" s="1243" t="str">
        <x:f>IF($C14="","",IFERROR(INDEX('23 RCC-004 MASR Registry'!$D$14:$D$163,MATCH($C14,'23 RCC-004 MASR Registry'!$B$14:$B$163,0)),""))</x:f>
        <x:v>Certified Portfolio Holding</x:v>
      </x:c>
      <x:c r="L14" s="1243" t="str">
        <x:f>IF($C14="","",IFERROR(INDEX('23 RCC-004 MASR Registry'!$E$14:$E$163,MATCH($C14,'23 RCC-004 MASR Registry'!$B$14:$B$163,0)),""))</x:f>
        <x:v>Active — Certified Holding</x:v>
      </x:c>
      <x:c r="M14" s="1243" t="str">
        <x:f>IF($C14="","",IFERROR(INDEX('23 RCC-004 MASR Registry'!$X$14:$X$163,MATCH($C14,'23 RCC-004 MASR Registry'!$B$14:$B$163,0)),""))</x:f>
        <x:v>CERTIFIED HOLDING</x:v>
      </x:c>
      <x:c r="N14" s="1243" t="str">
        <x:f>IF($C14="","",IFERROR(INDEX('23 RCC-004 MASR Registry'!$Y$14:$Y$163,MATCH($C14,'23 RCC-004 MASR Registry'!$B$14:$B$163,0)),""))</x:f>
        <x:v>Canonical MASR ID required</x:v>
      </x:c>
      <x:c r="O14" s="1243" t="str">
        <x:f>IF($C14="","",IFERROR(INDEX('23 RCC-004 MASR Registry'!$L$14:$L$163,MATCH($C14,'23 RCC-004 MASR Registry'!$B$14:$B$163,0)),""))</x:f>
      </x:c>
      <x:c r="P14" s="1243" t="str">
        <x:f>IF($C14="","",IFERROR(INDEX('23 RCC-004 MASR Registry'!$M$14:$M$163,MATCH($C14,'23 RCC-004 MASR Registry'!$B$14:$B$163,0)),""))</x:f>
        <x:v>NOT INITIALIZED</x:v>
      </x:c>
      <x:c r="Q14" s="1246" t="str">
        <x:f>IF($C14="","",IFERROR(INDEX('23 RCC-004 MASR Registry'!$N$14:$N$163,MATCH($C14,'23 RCC-004 MASR Registry'!$B$14:$B$163,0)),""))</x:f>
      </x:c>
      <x:c r="R14" s="1246" t="str">
        <x:f>IF($C14="","",IFERROR(INDEX('23 RCC-004 MASR Registry'!$O$14:$O$163,MATCH($C14,'23 RCC-004 MASR Registry'!$B$14:$B$163,0)),""))</x:f>
      </x:c>
      <x:c r="S14" s="1246" t="str">
        <x:f>IF($C14="","",IFERROR(INDEX('23 RCC-004 MASR Registry'!$W$14:$W$163,MATCH($C14,'23 RCC-004 MASR Registry'!$B$14:$B$163,0)),""))</x:f>
      </x:c>
      <x:c r="T14" s="1246" t="str">
        <x:f>IF($C14="","",IFERROR(INDEX('23 RCC-004 MASR Registry'!$T$14:$T$163,MATCH($C14,'23 RCC-004 MASR Registry'!$B$14:$B$163,0)),""))</x:f>
      </x:c>
      <x:c r="U14" s="1247" t="str">
        <x:f>IF($C14="","",IFERROR(INDEX('23 RCC-004 MASR Registry'!$U$14:$U$163,MATCH($C14,'23 RCC-004 MASR Registry'!$B$14:$B$163,0)),""))</x:f>
      </x:c>
      <x:c r="V14" s="1243" t="str">
        <x:f>IF($C14="","",IFERROR(INDEX('23 RCC-004 MASR Registry'!$V$14:$V$163,MATCH($C14,'23 RCC-004 MASR Registry'!$B$14:$B$163,0)),""))</x:f>
      </x:c>
      <x:c r="W14" s="1242"/>
      <x:c r="X14" s="1247" t="n">
        <x:f>IF($C14="","",COUNTIF('18 RCC-002 Evidence Ledger'!$E$14:$E$213,$C14))</x:f>
        <x:v>0</x:v>
      </x:c>
      <x:c r="Y14" s="1242" t="str">
        <x:v>Intake</x:v>
      </x:c>
      <x:c r="Z14" s="1244" t="str">
        <x:f>IF($A14="","",IF(COUNTIF($A$14:$A$213,$A14)&gt;1,"FAIL — DUPLICATE ID",IF(OR($B14="",$C14="",$E14="",$H14="",$Y14="",$AA14="",$AB14=""),"FAIL — INCOMPLETE",IF(AND(OR($Y14="MIAR Review",$Y14="Eligibility Review",$Y14="Candidate Comparison",$Y14="Committee Review",$Y14="Approved for MASR",$Y14="Referred to PEW-004",$Y14="On Watch",$Y14="Rejected",$Y14="Closed",$Y14="Removed"),$K14=""),"FAIL — MASR RECORD REQUIRED",IF(AND(OR($Y14="Eligibility Review",$Y14="Candidate Comparison",$Y14="Committee Review",$Y14="Approved for MASR",$Y14="Referred to PEW-004",$Y14="On Watch"),NOT(OR($M14="ELIGIBLE",$M14="ELIGIBLE WITH EXCEPTION",$M14="CERTIFIED HOLDING"))),"FAIL — ELIGIBILITY",IF(AND(OR($Y14="Candidate Comparison",$Y14="Committee Review",$Y14="Approved for MASR",$Y14="Referred to PEW-004",$Y14="On Watch"),$X14=0),"FAIL — EVIDENCE",IF(AND(OR($Y14="Candidate Comparison",$Y14="Committee Review",$Y14="Approved for MASR",$Y14="Referred to PEW-004",$Y14="On Watch"),OR($O14&lt;&gt;"Active",$P14&lt;&gt;"CURRENT")),"FAIL — MIAR GATE",IF(AND(OR($Y14="Approved for MASR",$Y14="Referred to PEW-004",$Y14="On Watch",$Y14="Rejected",$Y14="Closed",$Y14="Removed"),OR($AD14="",$AD14="Pending")),"FAIL — COMMITTEE DISPOSITION",IF(AND($Y14="Referred to PEW-004",OR($AF14&lt;&gt;"Yes — Refer to PEW-004",$AG14="",$AJ14="")),"FAIL — PEW REFERRAL","PASS — STAGE GATE")))))))))</x:f>
        <x:v>PASS — STAGE GATE</x:v>
      </x:c>
      <x:c r="AA14" s="1242" t="str">
        <x:v>Research Committee</x:v>
      </x:c>
      <x:c r="AB14" s="1297" t="n">
        <x:v>46288</x:v>
      </x:c>
      <x:c r="AC14" s="1250" t="n">
        <x:f>IF($B14="","",IF($AQ14&lt;&gt;"",$AQ14-$B14,TODAY()-$B14))</x:f>
        <x:v>36</x:v>
      </x:c>
      <x:c r="AD14" s="1242"/>
      <x:c r="AE14" s="1251"/>
      <x:c r="AF14" s="1242"/>
      <x:c r="AG14" s="1242"/>
      <x:c r="AH14" s="1246" t="str">
        <x:f>IF($AG14="","",IFERROR(INDEX('10 Candidate Comparison'!$T$14:$T$33,MATCH($AG14,'10 Candidate Comparison'!$A$14:$A$33,0)),""))</x:f>
      </x:c>
      <x:c r="AI14" s="1243" t="str">
        <x:f>IF($AG14="","",IFERROR(INDEX('10 Candidate Comparison'!$U$14:$U$33,MATCH($AG14,'10 Candidate Comparison'!$A$14:$A$33,0)),""))</x:f>
      </x:c>
      <x:c r="AJ14" s="1243" t="str">
        <x:f>IF($AG14="","",IFERROR(INDEX('10 Candidate Comparison'!$Y$14:$Y$33,MATCH($AG14,'10 Candidate Comparison'!$A$14:$A$33,0)),""))</x:f>
      </x:c>
      <x:c r="AK14" s="1244" t="str">
        <x:f>IF($A14="","",IF($Z14="FAIL — DUPLICATE ID","DUPLICATE CANDIDATE ID",IF($Z14="FAIL — INCOMPLETE","INCOMPLETE",IF($Z14="FAIL — MASR RECORD REQUIRED","MASR RECORD REQUIRED",IF($Z14="FAIL — ELIGIBILITY","ELIGIBILITY BLOCK",IF($Z14="FAIL — EVIDENCE","EVIDENCE REQUIRED",IF($Z14="FAIL — MIAR GATE","MIAR GATE BLOCK",IF($Z14="FAIL — COMMITTEE DISPOSITION","COMMITTEE DECISION REQUIRED",IF($Z14="FAIL — PEW REFERRAL","PEW REFERRAL INCOMPLETE",IF(AND(OR($Y14="Rejected",$Y14="Closed",$Y14="Removed"),OR($AO14="",$AP14="",$AQ14="")),"CLOSURE REQUIRED",IF(AND($AB14&lt;TODAY(),NOT(OR($Y14="Rejected",$Y14="Closed",$Y14="Removed"))),"OVERDUE",IF(OR($Y14="Rejected",$Y14="Closed",$Y14="Removed"),"CLOSED","OPEN — ON TRACK"))))))))))))</x:f>
        <x:v>OVERDUE</x:v>
      </x:c>
      <x:c r="AL14" s="1244" t="str">
        <x:f>IF($AK14="","",IFERROR(INDEX('97 RCC Lists'!$AM$5:$AM$16,MATCH($AK14,'97 RCC Lists'!$AL$5:$AL$16,0)),"Review candidate exception"))</x:f>
        <x:v>Complete or formally extend the overdue review</x:v>
      </x:c>
      <x:c r="AM14" s="1242" t="str">
        <x:v>Digital infrastructure power and thermal-management leadership; reassess valuation, growth durability, and portfolio overlap.</x:v>
      </x:c>
      <x:c r="AN14" s="1242" t="str">
        <x:v>Barron's Aug. 21, 2026 manufacturing roundtable | https://www.barrons.com/articles/manufacturing-stocks-picks-roundtable-7c264514 | Source establishes consideration only; no Manifest validation or portfolio action.</x:v>
      </x:c>
      <x:c r="AO14" s="1242"/>
      <x:c r="AP14" s="1242"/>
      <x:c r="AQ14" s="1251"/>
    </x:row>
    <x:row r="15" ht="32" customHeight="1">
      <x:c r="A15" s="1242" t="str">
        <x:v>MCP-20260824-002</x:v>
      </x:c>
      <x:c r="B15" s="1297" t="n">
        <x:v>46258</x:v>
      </x:c>
      <x:c r="C15" s="1242" t="str">
        <x:v>EMR</x:v>
      </x:c>
      <x:c r="D15" s="1252" t="str">
        <x:f>IF($C15="","",IFERROR(INDEX('23 RCC-004 MASR Registry'!$C$14:$C$163,MATCH($C15,'23 RCC-004 MASR Registry'!$B$14:$B$163,0)),""))</x:f>
        <x:v>Emerson Electric Co.</x:v>
      </x:c>
      <x:c r="E15" s="1242" t="str">
        <x:v>Research Candidate</x:v>
      </x:c>
      <x:c r="F15" s="1242" t="str">
        <x:v>Manufacturing Revival — Barron's Roundtable</x:v>
      </x:c>
      <x:c r="G15" s="1242"/>
      <x:c r="H15" s="1242" t="str">
        <x:v>Advisor Observation</x:v>
      </x:c>
      <x:c r="I15" s="1252" t="str">
        <x:f>IF($C15="","",IFERROR(INDEX('23 RCC-004 MASR Registry'!$G$14:$G$163,MATCH($C15,'23 RCC-004 MASR Registry'!$B$14:$B$163,0)),""))</x:f>
        <x:v>Industrials &amp; Infrastructure</x:v>
      </x:c>
      <x:c r="J15" s="1252" t="str">
        <x:f>IF($C15="","",IFERROR(INDEX('23 RCC-004 MASR Registry'!$H$14:$H$163,MATCH($C15,'23 RCC-004 MASR Registry'!$B$14:$B$163,0)),""))</x:f>
        <x:v>Industrial automation and control-systems candidate</x:v>
      </x:c>
      <x:c r="K15" s="1252" t="str">
        <x:f>IF($C15="","",IFERROR(INDEX('23 RCC-004 MASR Registry'!$D$14:$D$163,MATCH($C15,'23 RCC-004 MASR Registry'!$B$14:$B$163,0)),""))</x:f>
        <x:v>Research Candidate</x:v>
      </x:c>
      <x:c r="L15" s="1252" t="str">
        <x:f>IF($C15="","",IFERROR(INDEX('23 RCC-004 MASR Registry'!$E$14:$E$163,MATCH($C15,'23 RCC-004 MASR Registry'!$B$14:$B$163,0)),""))</x:f>
        <x:v>Candidate — Under Research</x:v>
      </x:c>
      <x:c r="M15" s="1252" t="str">
        <x:f>IF($C15="","",IFERROR(INDEX('23 RCC-004 MASR Registry'!$X$14:$X$163,MATCH($C15,'23 RCC-004 MASR Registry'!$B$14:$B$163,0)),""))</x:f>
        <x:v>NOT ASSESSED</x:v>
      </x:c>
      <x:c r="N15" s="1252" t="str">
        <x:f>IF($C15="","",IFERROR(INDEX('23 RCC-004 MASR Registry'!$Y$14:$Y$163,MATCH($C15,'23 RCC-004 MASR Registry'!$B$14:$B$163,0)),""))</x:f>
        <x:v>Canonical MASR ID required</x:v>
      </x:c>
      <x:c r="O15" s="1252" t="str">
        <x:f>IF($C15="","",IFERROR(INDEX('23 RCC-004 MASR Registry'!$L$14:$L$163,MATCH($C15,'23 RCC-004 MASR Registry'!$B$14:$B$163,0)),""))</x:f>
      </x:c>
      <x:c r="P15" s="1252" t="str">
        <x:f>IF($C15="","",IFERROR(INDEX('23 RCC-004 MASR Registry'!$M$14:$M$163,MATCH($C15,'23 RCC-004 MASR Registry'!$B$14:$B$163,0)),""))</x:f>
      </x:c>
      <x:c r="Q15" s="1255" t="str">
        <x:f>IF($C15="","",IFERROR(INDEX('23 RCC-004 MASR Registry'!$N$14:$N$163,MATCH($C15,'23 RCC-004 MASR Registry'!$B$14:$B$163,0)),""))</x:f>
      </x:c>
      <x:c r="R15" s="1255" t="str">
        <x:f>IF($C15="","",IFERROR(INDEX('23 RCC-004 MASR Registry'!$O$14:$O$163,MATCH($C15,'23 RCC-004 MASR Registry'!$B$14:$B$163,0)),""))</x:f>
      </x:c>
      <x:c r="S15" s="1255" t="str">
        <x:f>IF($C15="","",IFERROR(INDEX('23 RCC-004 MASR Registry'!$W$14:$W$163,MATCH($C15,'23 RCC-004 MASR Registry'!$B$14:$B$163,0)),""))</x:f>
      </x:c>
      <x:c r="T15" s="1255" t="str">
        <x:f>IF($C15="","",IFERROR(INDEX('23 RCC-004 MASR Registry'!$T$14:$T$163,MATCH($C15,'23 RCC-004 MASR Registry'!$B$14:$B$163,0)),""))</x:f>
      </x:c>
      <x:c r="U15" s="1256" t="str">
        <x:f>IF($C15="","",IFERROR(INDEX('23 RCC-004 MASR Registry'!$U$14:$U$163,MATCH($C15,'23 RCC-004 MASR Registry'!$B$14:$B$163,0)),""))</x:f>
      </x:c>
      <x:c r="V15" s="1252" t="str">
        <x:f>IF($C15="","",IFERROR(INDEX('23 RCC-004 MASR Registry'!$V$14:$V$163,MATCH($C15,'23 RCC-004 MASR Registry'!$B$14:$B$163,0)),""))</x:f>
      </x:c>
      <x:c r="W15" s="1242"/>
      <x:c r="X15" s="1256" t="n">
        <x:f>IF($C15="","",COUNTIF('18 RCC-002 Evidence Ledger'!$E$14:$E$213,$C15))</x:f>
        <x:v>0</x:v>
      </x:c>
      <x:c r="Y15" s="1242" t="str">
        <x:v>Intake</x:v>
      </x:c>
      <x:c r="Z15" s="1253" t="str">
        <x:f>IF($A15="","",IF(COUNTIF($A$14:$A$213,$A15)&gt;1,"FAIL — DUPLICATE ID",IF(OR($B15="",$C15="",$E15="",$H15="",$Y15="",$AA15="",$AB15=""),"FAIL — INCOMPLETE",IF(AND(OR($Y15="MIAR Review",$Y15="Eligibility Review",$Y15="Candidate Comparison",$Y15="Committee Review",$Y15="Approved for MASR",$Y15="Referred to PEW-004",$Y15="On Watch",$Y15="Rejected",$Y15="Closed",$Y15="Removed"),$K15=""),"FAIL — MASR RECORD REQUIRED",IF(AND(OR($Y15="Eligibility Review",$Y15="Candidate Comparison",$Y15="Committee Review",$Y15="Approved for MASR",$Y15="Referred to PEW-004",$Y15="On Watch"),NOT(OR($M15="ELIGIBLE",$M15="ELIGIBLE WITH EXCEPTION",$M15="CERTIFIED HOLDING"))),"FAIL — ELIGIBILITY",IF(AND(OR($Y15="Candidate Comparison",$Y15="Committee Review",$Y15="Approved for MASR",$Y15="Referred to PEW-004",$Y15="On Watch"),$X15=0),"FAIL — EVIDENCE",IF(AND(OR($Y15="Candidate Comparison",$Y15="Committee Review",$Y15="Approved for MASR",$Y15="Referred to PEW-004",$Y15="On Watch"),OR($O15&lt;&gt;"Active",$P15&lt;&gt;"CURRENT")),"FAIL — MIAR GATE",IF(AND(OR($Y15="Approved for MASR",$Y15="Referred to PEW-004",$Y15="On Watch",$Y15="Rejected",$Y15="Closed",$Y15="Removed"),OR($AD15="",$AD15="Pending")),"FAIL — COMMITTEE DISPOSITION",IF(AND($Y15="Referred to PEW-004",OR($AF15&lt;&gt;"Yes — Refer to PEW-004",$AG15="",$AJ15="")),"FAIL — PEW REFERRAL","PASS — STAGE GATE")))))))))</x:f>
        <x:v>PASS — STAGE GATE</x:v>
      </x:c>
      <x:c r="AA15" s="1242" t="str">
        <x:v>Research Committee</x:v>
      </x:c>
      <x:c r="AB15" s="1297" t="n">
        <x:v>46288</x:v>
      </x:c>
      <x:c r="AC15" s="1257" t="n">
        <x:f>IF($B15="","",IF($AQ15&lt;&gt;"",$AQ15-$B15,TODAY()-$B15))</x:f>
        <x:v>36</x:v>
      </x:c>
      <x:c r="AD15" s="1242"/>
      <x:c r="AE15" s="1251"/>
      <x:c r="AF15" s="1242"/>
      <x:c r="AG15" s="1242"/>
      <x:c r="AH15" s="1255" t="str">
        <x:f>IF($AG15="","",IFERROR(INDEX('10 Candidate Comparison'!$T$14:$T$33,MATCH($AG15,'10 Candidate Comparison'!$A$14:$A$33,0)),""))</x:f>
      </x:c>
      <x:c r="AI15" s="1252" t="str">
        <x:f>IF($AG15="","",IFERROR(INDEX('10 Candidate Comparison'!$U$14:$U$33,MATCH($AG15,'10 Candidate Comparison'!$A$14:$A$33,0)),""))</x:f>
      </x:c>
      <x:c r="AJ15" s="1252" t="str">
        <x:f>IF($AG15="","",IFERROR(INDEX('10 Candidate Comparison'!$Y$14:$Y$33,MATCH($AG15,'10 Candidate Comparison'!$A$14:$A$33,0)),""))</x:f>
      </x:c>
      <x:c r="AK15" s="1253" t="str">
        <x:f>IF($A15="","",IF($Z15="FAIL — DUPLICATE ID","DUPLICATE CANDIDATE ID",IF($Z15="FAIL — INCOMPLETE","INCOMPLETE",IF($Z15="FAIL — MASR RECORD REQUIRED","MASR RECORD REQUIRED",IF($Z15="FAIL — ELIGIBILITY","ELIGIBILITY BLOCK",IF($Z15="FAIL — EVIDENCE","EVIDENCE REQUIRED",IF($Z15="FAIL — MIAR GATE","MIAR GATE BLOCK",IF($Z15="FAIL — COMMITTEE DISPOSITION","COMMITTEE DECISION REQUIRED",IF($Z15="FAIL — PEW REFERRAL","PEW REFERRAL INCOMPLETE",IF(AND(OR($Y15="Rejected",$Y15="Closed",$Y15="Removed"),OR($AO15="",$AP15="",$AQ15="")),"CLOSURE REQUIRED",IF(AND($AB15&lt;TODAY(),NOT(OR($Y15="Rejected",$Y15="Closed",$Y15="Removed"))),"OVERDUE",IF(OR($Y15="Rejected",$Y15="Closed",$Y15="Removed"),"CLOSED","OPEN — ON TRACK"))))))))))))</x:f>
        <x:v>OVERDUE</x:v>
      </x:c>
      <x:c r="AL15" s="1253" t="str">
        <x:f>IF($AK15="","",IFERROR(INDEX('97 RCC Lists'!$AM$5:$AM$16,MATCH($AK15,'97 RCC Lists'!$AL$5:$AL$16,0)),"Review candidate exception"))</x:f>
        <x:v>Complete or formally extend the overdue review</x:v>
      </x:c>
      <x:c r="AM15" s="1242" t="str">
        <x:v>Automation exposure across utilities, life sciences, and energy; assess quality, valuation, and sleeve role.</x:v>
      </x:c>
      <x:c r="AN15" s="1242" t="str">
        <x:v>Barron's Aug. 21, 2026 manufacturing roundtable | https://www.barrons.com/articles/manufacturing-stocks-picks-roundtable-7c264514 | Source establishes consideration only; no Manifest validation or portfolio action.</x:v>
      </x:c>
      <x:c r="AO15" s="1242"/>
      <x:c r="AP15" s="1242"/>
      <x:c r="AQ15" s="1251"/>
    </x:row>
    <x:row r="16" ht="32" customHeight="1">
      <x:c r="A16" s="1242" t="str">
        <x:v>MCP-20260824-003</x:v>
      </x:c>
      <x:c r="B16" s="1297" t="n">
        <x:v>46258</x:v>
      </x:c>
      <x:c r="C16" s="1242" t="str">
        <x:v>HUBB</x:v>
      </x:c>
      <x:c r="D16" s="1243" t="str">
        <x:f>IF($C16="","",IFERROR(INDEX('23 RCC-004 MASR Registry'!$C$14:$C$163,MATCH($C16,'23 RCC-004 MASR Registry'!$B$14:$B$163,0)),""))</x:f>
        <x:v>Hubbell Incorporated</x:v>
      </x:c>
      <x:c r="E16" s="1242" t="str">
        <x:v>Research Candidate</x:v>
      </x:c>
      <x:c r="F16" s="1242" t="str">
        <x:v>Manufacturing Revival — Barron's Roundtable</x:v>
      </x:c>
      <x:c r="G16" s="1242"/>
      <x:c r="H16" s="1242" t="str">
        <x:v>Advisor Observation</x:v>
      </x:c>
      <x:c r="I16" s="1243" t="str">
        <x:f>IF($C16="","",IFERROR(INDEX('23 RCC-004 MASR Registry'!$G$14:$G$163,MATCH($C16,'23 RCC-004 MASR Registry'!$B$14:$B$163,0)),""))</x:f>
        <x:v>Digital Infrastructure &amp; AI</x:v>
      </x:c>
      <x:c r="J16" s="1243" t="str">
        <x:f>IF($C16="","",IFERROR(INDEX('23 RCC-004 MASR Registry'!$H$14:$H$163,MATCH($C16,'23 RCC-004 MASR Registry'!$B$14:$B$163,0)),""))</x:f>
        <x:v>Grid connection and electrical infrastructure candidate</x:v>
      </x:c>
      <x:c r="K16" s="1243" t="str">
        <x:f>IF($C16="","",IFERROR(INDEX('23 RCC-004 MASR Registry'!$D$14:$D$163,MATCH($C16,'23 RCC-004 MASR Registry'!$B$14:$B$163,0)),""))</x:f>
        <x:v>Research Candidate</x:v>
      </x:c>
      <x:c r="L16" s="1243" t="str">
        <x:f>IF($C16="","",IFERROR(INDEX('23 RCC-004 MASR Registry'!$E$14:$E$163,MATCH($C16,'23 RCC-004 MASR Registry'!$B$14:$B$163,0)),""))</x:f>
        <x:v>Candidate — Under Research</x:v>
      </x:c>
      <x:c r="M16" s="1243" t="str">
        <x:f>IF($C16="","",IFERROR(INDEX('23 RCC-004 MASR Registry'!$X$14:$X$163,MATCH($C16,'23 RCC-004 MASR Registry'!$B$14:$B$163,0)),""))</x:f>
        <x:v>NOT ASSESSED</x:v>
      </x:c>
      <x:c r="N16" s="1243" t="str">
        <x:f>IF($C16="","",IFERROR(INDEX('23 RCC-004 MASR Registry'!$Y$14:$Y$163,MATCH($C16,'23 RCC-004 MASR Registry'!$B$14:$B$163,0)),""))</x:f>
        <x:v>Canonical MASR ID required</x:v>
      </x:c>
      <x:c r="O16" s="1243" t="str">
        <x:f>IF($C16="","",IFERROR(INDEX('23 RCC-004 MASR Registry'!$L$14:$L$163,MATCH($C16,'23 RCC-004 MASR Registry'!$B$14:$B$163,0)),""))</x:f>
      </x:c>
      <x:c r="P16" s="1243" t="str">
        <x:f>IF($C16="","",IFERROR(INDEX('23 RCC-004 MASR Registry'!$M$14:$M$163,MATCH($C16,'23 RCC-004 MASR Registry'!$B$14:$B$163,0)),""))</x:f>
      </x:c>
      <x:c r="Q16" s="1246" t="str">
        <x:f>IF($C16="","",IFERROR(INDEX('23 RCC-004 MASR Registry'!$N$14:$N$163,MATCH($C16,'23 RCC-004 MASR Registry'!$B$14:$B$163,0)),""))</x:f>
      </x:c>
      <x:c r="R16" s="1246" t="str">
        <x:f>IF($C16="","",IFERROR(INDEX('23 RCC-004 MASR Registry'!$O$14:$O$163,MATCH($C16,'23 RCC-004 MASR Registry'!$B$14:$B$163,0)),""))</x:f>
      </x:c>
      <x:c r="S16" s="1246" t="str">
        <x:f>IF($C16="","",IFERROR(INDEX('23 RCC-004 MASR Registry'!$W$14:$W$163,MATCH($C16,'23 RCC-004 MASR Registry'!$B$14:$B$163,0)),""))</x:f>
      </x:c>
      <x:c r="T16" s="1246" t="str">
        <x:f>IF($C16="","",IFERROR(INDEX('23 RCC-004 MASR Registry'!$T$14:$T$163,MATCH($C16,'23 RCC-004 MASR Registry'!$B$14:$B$163,0)),""))</x:f>
      </x:c>
      <x:c r="U16" s="1247" t="str">
        <x:f>IF($C16="","",IFERROR(INDEX('23 RCC-004 MASR Registry'!$U$14:$U$163,MATCH($C16,'23 RCC-004 MASR Registry'!$B$14:$B$163,0)),""))</x:f>
      </x:c>
      <x:c r="V16" s="1243" t="str">
        <x:f>IF($C16="","",IFERROR(INDEX('23 RCC-004 MASR Registry'!$V$14:$V$163,MATCH($C16,'23 RCC-004 MASR Registry'!$B$14:$B$163,0)),""))</x:f>
      </x:c>
      <x:c r="W16" s="1242"/>
      <x:c r="X16" s="1247" t="n">
        <x:f>IF($C16="","",COUNTIF('18 RCC-002 Evidence Ledger'!$E$14:$E$213,$C16))</x:f>
        <x:v>0</x:v>
      </x:c>
      <x:c r="Y16" s="1242" t="str">
        <x:v>Intake</x:v>
      </x:c>
      <x:c r="Z16" s="1244" t="str">
        <x:f>IF($A16="","",IF(COUNTIF($A$14:$A$213,$A16)&gt;1,"FAIL — DUPLICATE ID",IF(OR($B16="",$C16="",$E16="",$H16="",$Y16="",$AA16="",$AB16=""),"FAIL — INCOMPLETE",IF(AND(OR($Y16="MIAR Review",$Y16="Eligibility Review",$Y16="Candidate Comparison",$Y16="Committee Review",$Y16="Approved for MASR",$Y16="Referred to PEW-004",$Y16="On Watch",$Y16="Rejected",$Y16="Closed",$Y16="Removed"),$K16=""),"FAIL — MASR RECORD REQUIRED",IF(AND(OR($Y16="Eligibility Review",$Y16="Candidate Comparison",$Y16="Committee Review",$Y16="Approved for MASR",$Y16="Referred to PEW-004",$Y16="On Watch"),NOT(OR($M16="ELIGIBLE",$M16="ELIGIBLE WITH EXCEPTION",$M16="CERTIFIED HOLDING"))),"FAIL — ELIGIBILITY",IF(AND(OR($Y16="Candidate Comparison",$Y16="Committee Review",$Y16="Approved for MASR",$Y16="Referred to PEW-004",$Y16="On Watch"),$X16=0),"FAIL — EVIDENCE",IF(AND(OR($Y16="Candidate Comparison",$Y16="Committee Review",$Y16="Approved for MASR",$Y16="Referred to PEW-004",$Y16="On Watch"),OR($O16&lt;&gt;"Active",$P16&lt;&gt;"CURRENT")),"FAIL — MIAR GATE",IF(AND(OR($Y16="Approved for MASR",$Y16="Referred to PEW-004",$Y16="On Watch",$Y16="Rejected",$Y16="Closed",$Y16="Removed"),OR($AD16="",$AD16="Pending")),"FAIL — COMMITTEE DISPOSITION",IF(AND($Y16="Referred to PEW-004",OR($AF16&lt;&gt;"Yes — Refer to PEW-004",$AG16="",$AJ16="")),"FAIL — PEW REFERRAL","PASS — STAGE GATE")))))))))</x:f>
        <x:v>PASS — STAGE GATE</x:v>
      </x:c>
      <x:c r="AA16" s="1242" t="str">
        <x:v>Research Committee</x:v>
      </x:c>
      <x:c r="AB16" s="1297" t="n">
        <x:v>46288</x:v>
      </x:c>
      <x:c r="AC16" s="1250" t="n">
        <x:f>IF($B16="","",IF($AQ16&lt;&gt;"",$AQ16-$B16,TODAY()-$B16))</x:f>
        <x:v>36</x:v>
      </x:c>
      <x:c r="AD16" s="1242"/>
      <x:c r="AE16" s="1251"/>
      <x:c r="AF16" s="1242"/>
      <x:c r="AG16" s="1242"/>
      <x:c r="AH16" s="1246" t="str">
        <x:f>IF($AG16="","",IFERROR(INDEX('10 Candidate Comparison'!$T$14:$T$33,MATCH($AG16,'10 Candidate Comparison'!$A$14:$A$33,0)),""))</x:f>
      </x:c>
      <x:c r="AI16" s="1243" t="str">
        <x:f>IF($AG16="","",IFERROR(INDEX('10 Candidate Comparison'!$U$14:$U$33,MATCH($AG16,'10 Candidate Comparison'!$A$14:$A$33,0)),""))</x:f>
      </x:c>
      <x:c r="AJ16" s="1243" t="str">
        <x:f>IF($AG16="","",IFERROR(INDEX('10 Candidate Comparison'!$Y$14:$Y$33,MATCH($AG16,'10 Candidate Comparison'!$A$14:$A$33,0)),""))</x:f>
      </x:c>
      <x:c r="AK16" s="1244" t="str">
        <x:f>IF($A16="","",IF($Z16="FAIL — DUPLICATE ID","DUPLICATE CANDIDATE ID",IF($Z16="FAIL — INCOMPLETE","INCOMPLETE",IF($Z16="FAIL — MASR RECORD REQUIRED","MASR RECORD REQUIRED",IF($Z16="FAIL — ELIGIBILITY","ELIGIBILITY BLOCK",IF($Z16="FAIL — EVIDENCE","EVIDENCE REQUIRED",IF($Z16="FAIL — MIAR GATE","MIAR GATE BLOCK",IF($Z16="FAIL — COMMITTEE DISPOSITION","COMMITTEE DECISION REQUIRED",IF($Z16="FAIL — PEW REFERRAL","PEW REFERRAL INCOMPLETE",IF(AND(OR($Y16="Rejected",$Y16="Closed",$Y16="Removed"),OR($AO16="",$AP16="",$AQ16="")),"CLOSURE REQUIRED",IF(AND($AB16&lt;TODAY(),NOT(OR($Y16="Rejected",$Y16="Closed",$Y16="Removed"))),"OVERDUE",IF(OR($Y16="Rejected",$Y16="Closed",$Y16="Removed"),"CLOSED","OPEN — ON TRACK"))))))))))))</x:f>
        <x:v>OVERDUE</x:v>
      </x:c>
      <x:c r="AL16" s="1244" t="str">
        <x:f>IF($AK16="","",IFERROR(INDEX('97 RCC Lists'!$AM$5:$AM$16,MATCH($AK16,'97 RCC Lists'!$AL$5:$AL$16,0)),"Review candidate exception"))</x:f>
        <x:v>Complete or formally extend the overdue review</x:v>
      </x:c>
      <x:c r="AM16" s="1242" t="str">
        <x:v>Grid picks-and-shovels candidate tied to data-center load interconnection and utility investment.</x:v>
      </x:c>
      <x:c r="AN16" s="1242" t="str">
        <x:v>Barron's Aug. 21, 2026 manufacturing roundtable | https://www.barrons.com/articles/manufacturing-stocks-picks-roundtable-7c264514 | Source establishes consideration only; no Manifest validation or portfolio action.</x:v>
      </x:c>
      <x:c r="AO16" s="1242"/>
      <x:c r="AP16" s="1242"/>
      <x:c r="AQ16" s="1251"/>
    </x:row>
    <x:row r="17" ht="32" customHeight="1">
      <x:c r="A17" s="1242" t="str">
        <x:v>MCP-20260824-004</x:v>
      </x:c>
      <x:c r="B17" s="1297" t="n">
        <x:v>46258</x:v>
      </x:c>
      <x:c r="C17" s="1242" t="str">
        <x:v>RRX</x:v>
      </x:c>
      <x:c r="D17" s="1252" t="str">
        <x:f>IF($C17="","",IFERROR(INDEX('23 RCC-004 MASR Registry'!$C$14:$C$163,MATCH($C17,'23 RCC-004 MASR Registry'!$B$14:$B$163,0)),""))</x:f>
        <x:v>Regal Rexnord Corporation</x:v>
      </x:c>
      <x:c r="E17" s="1242" t="str">
        <x:v>Research Candidate</x:v>
      </x:c>
      <x:c r="F17" s="1242" t="str">
        <x:v>Manufacturing Revival — Barron's Roundtable</x:v>
      </x:c>
      <x:c r="G17" s="1242"/>
      <x:c r="H17" s="1242" t="str">
        <x:v>Advisor Observation</x:v>
      </x:c>
      <x:c r="I17" s="1252" t="str">
        <x:f>IF($C17="","",IFERROR(INDEX('23 RCC-004 MASR Registry'!$G$14:$G$163,MATCH($C17,'23 RCC-004 MASR Registry'!$B$14:$B$163,0)),""))</x:f>
        <x:v>Industrials &amp; Infrastructure</x:v>
      </x:c>
      <x:c r="J17" s="1252" t="str">
        <x:f>IF($C17="","",IFERROR(INDEX('23 RCC-004 MASR Registry'!$H$14:$H$163,MATCH($C17,'23 RCC-004 MASR Registry'!$B$14:$B$163,0)),""))</x:f>
        <x:v>Industrial power-transmission and automation candidate</x:v>
      </x:c>
      <x:c r="K17" s="1252" t="str">
        <x:f>IF($C17="","",IFERROR(INDEX('23 RCC-004 MASR Registry'!$D$14:$D$163,MATCH($C17,'23 RCC-004 MASR Registry'!$B$14:$B$163,0)),""))</x:f>
        <x:v>Research Candidate</x:v>
      </x:c>
      <x:c r="L17" s="1252" t="str">
        <x:f>IF($C17="","",IFERROR(INDEX('23 RCC-004 MASR Registry'!$E$14:$E$163,MATCH($C17,'23 RCC-004 MASR Registry'!$B$14:$B$163,0)),""))</x:f>
        <x:v>Candidate — Under Research</x:v>
      </x:c>
      <x:c r="M17" s="1252" t="str">
        <x:f>IF($C17="","",IFERROR(INDEX('23 RCC-004 MASR Registry'!$X$14:$X$163,MATCH($C17,'23 RCC-004 MASR Registry'!$B$14:$B$163,0)),""))</x:f>
        <x:v>NOT ASSESSED</x:v>
      </x:c>
      <x:c r="N17" s="1252" t="str">
        <x:f>IF($C17="","",IFERROR(INDEX('23 RCC-004 MASR Registry'!$Y$14:$Y$163,MATCH($C17,'23 RCC-004 MASR Registry'!$B$14:$B$163,0)),""))</x:f>
        <x:v>Canonical MASR ID required</x:v>
      </x:c>
      <x:c r="O17" s="1252" t="str">
        <x:f>IF($C17="","",IFERROR(INDEX('23 RCC-004 MASR Registry'!$L$14:$L$163,MATCH($C17,'23 RCC-004 MASR Registry'!$B$14:$B$163,0)),""))</x:f>
      </x:c>
      <x:c r="P17" s="1252" t="str">
        <x:f>IF($C17="","",IFERROR(INDEX('23 RCC-004 MASR Registry'!$M$14:$M$163,MATCH($C17,'23 RCC-004 MASR Registry'!$B$14:$B$163,0)),""))</x:f>
      </x:c>
      <x:c r="Q17" s="1255" t="str">
        <x:f>IF($C17="","",IFERROR(INDEX('23 RCC-004 MASR Registry'!$N$14:$N$163,MATCH($C17,'23 RCC-004 MASR Registry'!$B$14:$B$163,0)),""))</x:f>
      </x:c>
      <x:c r="R17" s="1255" t="str">
        <x:f>IF($C17="","",IFERROR(INDEX('23 RCC-004 MASR Registry'!$O$14:$O$163,MATCH($C17,'23 RCC-004 MASR Registry'!$B$14:$B$163,0)),""))</x:f>
      </x:c>
      <x:c r="S17" s="1255" t="str">
        <x:f>IF($C17="","",IFERROR(INDEX('23 RCC-004 MASR Registry'!$W$14:$W$163,MATCH($C17,'23 RCC-004 MASR Registry'!$B$14:$B$163,0)),""))</x:f>
      </x:c>
      <x:c r="T17" s="1255" t="str">
        <x:f>IF($C17="","",IFERROR(INDEX('23 RCC-004 MASR Registry'!$T$14:$T$163,MATCH($C17,'23 RCC-004 MASR Registry'!$B$14:$B$163,0)),""))</x:f>
      </x:c>
      <x:c r="U17" s="1256" t="str">
        <x:f>IF($C17="","",IFERROR(INDEX('23 RCC-004 MASR Registry'!$U$14:$U$163,MATCH($C17,'23 RCC-004 MASR Registry'!$B$14:$B$163,0)),""))</x:f>
      </x:c>
      <x:c r="V17" s="1252" t="str">
        <x:f>IF($C17="","",IFERROR(INDEX('23 RCC-004 MASR Registry'!$V$14:$V$163,MATCH($C17,'23 RCC-004 MASR Registry'!$B$14:$B$163,0)),""))</x:f>
      </x:c>
      <x:c r="W17" s="1242"/>
      <x:c r="X17" s="1256" t="n">
        <x:f>IF($C17="","",COUNTIF('18 RCC-002 Evidence Ledger'!$E$14:$E$213,$C17))</x:f>
        <x:v>0</x:v>
      </x:c>
      <x:c r="Y17" s="1242" t="str">
        <x:v>Intake</x:v>
      </x:c>
      <x:c r="Z17" s="1253" t="str">
        <x:f>IF($A17="","",IF(COUNTIF($A$14:$A$213,$A17)&gt;1,"FAIL — DUPLICATE ID",IF(OR($B17="",$C17="",$E17="",$H17="",$Y17="",$AA17="",$AB17=""),"FAIL — INCOMPLETE",IF(AND(OR($Y17="MIAR Review",$Y17="Eligibility Review",$Y17="Candidate Comparison",$Y17="Committee Review",$Y17="Approved for MASR",$Y17="Referred to PEW-004",$Y17="On Watch",$Y17="Rejected",$Y17="Closed",$Y17="Removed"),$K17=""),"FAIL — MASR RECORD REQUIRED",IF(AND(OR($Y17="Eligibility Review",$Y17="Candidate Comparison",$Y17="Committee Review",$Y17="Approved for MASR",$Y17="Referred to PEW-004",$Y17="On Watch"),NOT(OR($M17="ELIGIBLE",$M17="ELIGIBLE WITH EXCEPTION",$M17="CERTIFIED HOLDING"))),"FAIL — ELIGIBILITY",IF(AND(OR($Y17="Candidate Comparison",$Y17="Committee Review",$Y17="Approved for MASR",$Y17="Referred to PEW-004",$Y17="On Watch"),$X17=0),"FAIL — EVIDENCE",IF(AND(OR($Y17="Candidate Comparison",$Y17="Committee Review",$Y17="Approved for MASR",$Y17="Referred to PEW-004",$Y17="On Watch"),OR($O17&lt;&gt;"Active",$P17&lt;&gt;"CURRENT")),"FAIL — MIAR GATE",IF(AND(OR($Y17="Approved for MASR",$Y17="Referred to PEW-004",$Y17="On Watch",$Y17="Rejected",$Y17="Closed",$Y17="Removed"),OR($AD17="",$AD17="Pending")),"FAIL — COMMITTEE DISPOSITION",IF(AND($Y17="Referred to PEW-004",OR($AF17&lt;&gt;"Yes — Refer to PEW-004",$AG17="",$AJ17="")),"FAIL — PEW REFERRAL","PASS — STAGE GATE")))))))))</x:f>
        <x:v>PASS — STAGE GATE</x:v>
      </x:c>
      <x:c r="AA17" s="1242" t="str">
        <x:v>Research Committee</x:v>
      </x:c>
      <x:c r="AB17" s="1297" t="n">
        <x:v>46288</x:v>
      </x:c>
      <x:c r="AC17" s="1257" t="n">
        <x:f>IF($B17="","",IF($AQ17&lt;&gt;"",$AQ17-$B17,TODAY()-$B17))</x:f>
        <x:v>36</x:v>
      </x:c>
      <x:c r="AD17" s="1242"/>
      <x:c r="AE17" s="1251"/>
      <x:c r="AF17" s="1242"/>
      <x:c r="AG17" s="1242"/>
      <x:c r="AH17" s="1255" t="str">
        <x:f>IF($AG17="","",IFERROR(INDEX('10 Candidate Comparison'!$T$14:$T$33,MATCH($AG17,'10 Candidate Comparison'!$A$14:$A$33,0)),""))</x:f>
      </x:c>
      <x:c r="AI17" s="1252" t="str">
        <x:f>IF($AG17="","",IFERROR(INDEX('10 Candidate Comparison'!$U$14:$U$33,MATCH($AG17,'10 Candidate Comparison'!$A$14:$A$33,0)),""))</x:f>
      </x:c>
      <x:c r="AJ17" s="1252" t="str">
        <x:f>IF($AG17="","",IFERROR(INDEX('10 Candidate Comparison'!$Y$14:$Y$33,MATCH($AG17,'10 Candidate Comparison'!$A$14:$A$33,0)),""))</x:f>
      </x:c>
      <x:c r="AK17" s="1253" t="str">
        <x:f>IF($A17="","",IF($Z17="FAIL — DUPLICATE ID","DUPLICATE CANDIDATE ID",IF($Z17="FAIL — INCOMPLETE","INCOMPLETE",IF($Z17="FAIL — MASR RECORD REQUIRED","MASR RECORD REQUIRED",IF($Z17="FAIL — ELIGIBILITY","ELIGIBILITY BLOCK",IF($Z17="FAIL — EVIDENCE","EVIDENCE REQUIRED",IF($Z17="FAIL — MIAR GATE","MIAR GATE BLOCK",IF($Z17="FAIL — COMMITTEE DISPOSITION","COMMITTEE DECISION REQUIRED",IF($Z17="FAIL — PEW REFERRAL","PEW REFERRAL INCOMPLETE",IF(AND(OR($Y17="Rejected",$Y17="Closed",$Y17="Removed"),OR($AO17="",$AP17="",$AQ17="")),"CLOSURE REQUIRED",IF(AND($AB17&lt;TODAY(),NOT(OR($Y17="Rejected",$Y17="Closed",$Y17="Removed"))),"OVERDUE",IF(OR($Y17="Rejected",$Y17="Closed",$Y17="Removed"),"CLOSED","OPEN — ON TRACK"))))))))))))</x:f>
        <x:v>OVERDUE</x:v>
      </x:c>
      <x:c r="AL17" s="1253" t="str">
        <x:f>IF($AK17="","",IFERROR(INDEX('97 RCC Lists'!$AM$5:$AM$16,MATCH($AK17,'97 RCC Lists'!$AL$5:$AL$16,0)),"Review candidate exception"))</x:f>
        <x:v>Complete or formally extend the overdue review</x:v>
      </x:c>
      <x:c r="AM17" s="1242" t="str">
        <x:v>Specialist industrial and data-center infrastructure candidate requiring full quality and valuation review.</x:v>
      </x:c>
      <x:c r="AN17" s="1242" t="str">
        <x:v>Barron's Aug. 21, 2026 manufacturing roundtable | https://www.barrons.com/articles/manufacturing-stocks-picks-roundtable-7c264514 | Source establishes consideration only; no Manifest validation or portfolio action.</x:v>
      </x:c>
      <x:c r="AO17" s="1242"/>
      <x:c r="AP17" s="1242"/>
      <x:c r="AQ17" s="1251"/>
    </x:row>
    <x:row r="18" ht="32" customHeight="1">
      <x:c r="A18" s="1242" t="str">
        <x:v>MCP-20260824-005</x:v>
      </x:c>
      <x:c r="B18" s="1297" t="n">
        <x:v>46258</x:v>
      </x:c>
      <x:c r="C18" s="1242" t="str">
        <x:v>XYL</x:v>
      </x:c>
      <x:c r="D18" s="1243" t="str">
        <x:f>IF($C18="","",IFERROR(INDEX('23 RCC-004 MASR Registry'!$C$14:$C$163,MATCH($C18,'23 RCC-004 MASR Registry'!$B$14:$B$163,0)),""))</x:f>
        <x:v>Xylem Inc.</x:v>
      </x:c>
      <x:c r="E18" s="1242" t="str">
        <x:v>Research Candidate</x:v>
      </x:c>
      <x:c r="F18" s="1242" t="str">
        <x:v>Manufacturing Revival — Barron's Roundtable</x:v>
      </x:c>
      <x:c r="G18" s="1242"/>
      <x:c r="H18" s="1242" t="str">
        <x:v>Advisor Observation</x:v>
      </x:c>
      <x:c r="I18" s="1243" t="str">
        <x:f>IF($C18="","",IFERROR(INDEX('23 RCC-004 MASR Registry'!$G$14:$G$163,MATCH($C18,'23 RCC-004 MASR Registry'!$B$14:$B$163,0)),""))</x:f>
        <x:v>Industrials &amp; Infrastructure</x:v>
      </x:c>
      <x:c r="J18" s="1243" t="str">
        <x:f>IF($C18="","",IFERROR(INDEX('23 RCC-004 MASR Registry'!$H$14:$H$163,MATCH($C18,'23 RCC-004 MASR Registry'!$B$14:$B$163,0)),""))</x:f>
        <x:v>Water infrastructure and scarcity-management candidate</x:v>
      </x:c>
      <x:c r="K18" s="1243" t="str">
        <x:f>IF($C18="","",IFERROR(INDEX('23 RCC-004 MASR Registry'!$D$14:$D$163,MATCH($C18,'23 RCC-004 MASR Registry'!$B$14:$B$163,0)),""))</x:f>
        <x:v>Research Candidate</x:v>
      </x:c>
      <x:c r="L18" s="1243" t="str">
        <x:f>IF($C18="","",IFERROR(INDEX('23 RCC-004 MASR Registry'!$E$14:$E$163,MATCH($C18,'23 RCC-004 MASR Registry'!$B$14:$B$163,0)),""))</x:f>
        <x:v>Candidate — Under Research</x:v>
      </x:c>
      <x:c r="M18" s="1243" t="str">
        <x:f>IF($C18="","",IFERROR(INDEX('23 RCC-004 MASR Registry'!$X$14:$X$163,MATCH($C18,'23 RCC-004 MASR Registry'!$B$14:$B$163,0)),""))</x:f>
        <x:v>NOT ASSESSED</x:v>
      </x:c>
      <x:c r="N18" s="1243" t="str">
        <x:f>IF($C18="","",IFERROR(INDEX('23 RCC-004 MASR Registry'!$Y$14:$Y$163,MATCH($C18,'23 RCC-004 MASR Registry'!$B$14:$B$163,0)),""))</x:f>
        <x:v>Canonical MASR ID required</x:v>
      </x:c>
      <x:c r="O18" s="1243" t="str">
        <x:f>IF($C18="","",IFERROR(INDEX('23 RCC-004 MASR Registry'!$L$14:$L$163,MATCH($C18,'23 RCC-004 MASR Registry'!$B$14:$B$163,0)),""))</x:f>
      </x:c>
      <x:c r="P18" s="1243" t="str">
        <x:f>IF($C18="","",IFERROR(INDEX('23 RCC-004 MASR Registry'!$M$14:$M$163,MATCH($C18,'23 RCC-004 MASR Registry'!$B$14:$B$163,0)),""))</x:f>
      </x:c>
      <x:c r="Q18" s="1246" t="str">
        <x:f>IF($C18="","",IFERROR(INDEX('23 RCC-004 MASR Registry'!$N$14:$N$163,MATCH($C18,'23 RCC-004 MASR Registry'!$B$14:$B$163,0)),""))</x:f>
      </x:c>
      <x:c r="R18" s="1246" t="str">
        <x:f>IF($C18="","",IFERROR(INDEX('23 RCC-004 MASR Registry'!$O$14:$O$163,MATCH($C18,'23 RCC-004 MASR Registry'!$B$14:$B$163,0)),""))</x:f>
      </x:c>
      <x:c r="S18" s="1246" t="str">
        <x:f>IF($C18="","",IFERROR(INDEX('23 RCC-004 MASR Registry'!$W$14:$W$163,MATCH($C18,'23 RCC-004 MASR Registry'!$B$14:$B$163,0)),""))</x:f>
      </x:c>
      <x:c r="T18" s="1246" t="str">
        <x:f>IF($C18="","",IFERROR(INDEX('23 RCC-004 MASR Registry'!$T$14:$T$163,MATCH($C18,'23 RCC-004 MASR Registry'!$B$14:$B$163,0)),""))</x:f>
      </x:c>
      <x:c r="U18" s="1247" t="str">
        <x:f>IF($C18="","",IFERROR(INDEX('23 RCC-004 MASR Registry'!$U$14:$U$163,MATCH($C18,'23 RCC-004 MASR Registry'!$B$14:$B$163,0)),""))</x:f>
      </x:c>
      <x:c r="V18" s="1243" t="str">
        <x:f>IF($C18="","",IFERROR(INDEX('23 RCC-004 MASR Registry'!$V$14:$V$163,MATCH($C18,'23 RCC-004 MASR Registry'!$B$14:$B$163,0)),""))</x:f>
      </x:c>
      <x:c r="W18" s="1242"/>
      <x:c r="X18" s="1247" t="n">
        <x:f>IF($C18="","",COUNTIF('18 RCC-002 Evidence Ledger'!$E$14:$E$213,$C18))</x:f>
        <x:v>0</x:v>
      </x:c>
      <x:c r="Y18" s="1242" t="str">
        <x:v>Intake</x:v>
      </x:c>
      <x:c r="Z18" s="1244" t="str">
        <x:f>IF($A18="","",IF(COUNTIF($A$14:$A$213,$A18)&gt;1,"FAIL — DUPLICATE ID",IF(OR($B18="",$C18="",$E18="",$H18="",$Y18="",$AA18="",$AB18=""),"FAIL — INCOMPLETE",IF(AND(OR($Y18="MIAR Review",$Y18="Eligibility Review",$Y18="Candidate Comparison",$Y18="Committee Review",$Y18="Approved for MASR",$Y18="Referred to PEW-004",$Y18="On Watch",$Y18="Rejected",$Y18="Closed",$Y18="Removed"),$K18=""),"FAIL — MASR RECORD REQUIRED",IF(AND(OR($Y18="Eligibility Review",$Y18="Candidate Comparison",$Y18="Committee Review",$Y18="Approved for MASR",$Y18="Referred to PEW-004",$Y18="On Watch"),NOT(OR($M18="ELIGIBLE",$M18="ELIGIBLE WITH EXCEPTION",$M18="CERTIFIED HOLDING"))),"FAIL — ELIGIBILITY",IF(AND(OR($Y18="Candidate Comparison",$Y18="Committee Review",$Y18="Approved for MASR",$Y18="Referred to PEW-004",$Y18="On Watch"),$X18=0),"FAIL — EVIDENCE",IF(AND(OR($Y18="Candidate Comparison",$Y18="Committee Review",$Y18="Approved for MASR",$Y18="Referred to PEW-004",$Y18="On Watch"),OR($O18&lt;&gt;"Active",$P18&lt;&gt;"CURRENT")),"FAIL — MIAR GATE",IF(AND(OR($Y18="Approved for MASR",$Y18="Referred to PEW-004",$Y18="On Watch",$Y18="Rejected",$Y18="Closed",$Y18="Removed"),OR($AD18="",$AD18="Pending")),"FAIL — COMMITTEE DISPOSITION",IF(AND($Y18="Referred to PEW-004",OR($AF18&lt;&gt;"Yes — Refer to PEW-004",$AG18="",$AJ18="")),"FAIL — PEW REFERRAL","PASS — STAGE GATE")))))))))</x:f>
        <x:v>PASS — STAGE GATE</x:v>
      </x:c>
      <x:c r="AA18" s="1242" t="str">
        <x:v>Research Committee</x:v>
      </x:c>
      <x:c r="AB18" s="1297" t="n">
        <x:v>46288</x:v>
      </x:c>
      <x:c r="AC18" s="1250" t="n">
        <x:f>IF($B18="","",IF($AQ18&lt;&gt;"",$AQ18-$B18,TODAY()-$B18))</x:f>
        <x:v>36</x:v>
      </x:c>
      <x:c r="AD18" s="1242"/>
      <x:c r="AE18" s="1251"/>
      <x:c r="AF18" s="1242"/>
      <x:c r="AG18" s="1242"/>
      <x:c r="AH18" s="1246" t="str">
        <x:f>IF($AG18="","",IFERROR(INDEX('10 Candidate Comparison'!$T$14:$T$33,MATCH($AG18,'10 Candidate Comparison'!$A$14:$A$33,0)),""))</x:f>
      </x:c>
      <x:c r="AI18" s="1243" t="str">
        <x:f>IF($AG18="","",IFERROR(INDEX('10 Candidate Comparison'!$U$14:$U$33,MATCH($AG18,'10 Candidate Comparison'!$A$14:$A$33,0)),""))</x:f>
      </x:c>
      <x:c r="AJ18" s="1243" t="str">
        <x:f>IF($AG18="","",IFERROR(INDEX('10 Candidate Comparison'!$Y$14:$Y$33,MATCH($AG18,'10 Candidate Comparison'!$A$14:$A$33,0)),""))</x:f>
      </x:c>
      <x:c r="AK18" s="1244" t="str">
        <x:f>IF($A18="","",IF($Z18="FAIL — DUPLICATE ID","DUPLICATE CANDIDATE ID",IF($Z18="FAIL — INCOMPLETE","INCOMPLETE",IF($Z18="FAIL — MASR RECORD REQUIRED","MASR RECORD REQUIRED",IF($Z18="FAIL — ELIGIBILITY","ELIGIBILITY BLOCK",IF($Z18="FAIL — EVIDENCE","EVIDENCE REQUIRED",IF($Z18="FAIL — MIAR GATE","MIAR GATE BLOCK",IF($Z18="FAIL — COMMITTEE DISPOSITION","COMMITTEE DECISION REQUIRED",IF($Z18="FAIL — PEW REFERRAL","PEW REFERRAL INCOMPLETE",IF(AND(OR($Y18="Rejected",$Y18="Closed",$Y18="Removed"),OR($AO18="",$AP18="",$AQ18="")),"CLOSURE REQUIRED",IF(AND($AB18&lt;TODAY(),NOT(OR($Y18="Rejected",$Y18="Closed",$Y18="Removed"))),"OVERDUE",IF(OR($Y18="Rejected",$Y18="Closed",$Y18="Removed"),"CLOSED","OPEN — ON TRACK"))))))))))))</x:f>
        <x:v>OVERDUE</x:v>
      </x:c>
      <x:c r="AL18" s="1244" t="str">
        <x:f>IF($AK18="","",IFERROR(INDEX('97 RCC Lists'!$AM$5:$AM$16,MATCH($AK18,'97 RCC Lists'!$AL$5:$AL$16,0)),"Review candidate exception"))</x:f>
        <x:v>Complete or formally extend the overdue review</x:v>
      </x:c>
      <x:c r="AM18" s="1242" t="str">
        <x:v>Water infrastructure candidate; Merrill coverage/status exception must be resolved before eligibility.</x:v>
      </x:c>
      <x:c r="AN18" s="1242" t="str">
        <x:v>Barron's Aug. 21, 2026 manufacturing roundtable | https://www.barrons.com/articles/manufacturing-stocks-picks-roundtable-7c264514 | Source establishes consideration only; no Manifest validation or portfolio action.</x:v>
      </x:c>
      <x:c r="AO18" s="1242"/>
      <x:c r="AP18" s="1242"/>
      <x:c r="AQ18" s="1251"/>
    </x:row>
    <x:row r="19" ht="32" customHeight="1">
      <x:c r="A19" s="1242" t="str">
        <x:v>MCP-20260824-006</x:v>
      </x:c>
      <x:c r="B19" s="1297" t="n">
        <x:v>46258</x:v>
      </x:c>
      <x:c r="C19" s="1242" t="str">
        <x:v>BKR</x:v>
      </x:c>
      <x:c r="D19" s="1252" t="str">
        <x:f>IF($C19="","",IFERROR(INDEX('23 RCC-004 MASR Registry'!$C$14:$C$163,MATCH($C19,'23 RCC-004 MASR Registry'!$B$14:$B$163,0)),""))</x:f>
        <x:v>Baker Hughes Company</x:v>
      </x:c>
      <x:c r="E19" s="1242" t="str">
        <x:v>Research Candidate</x:v>
      </x:c>
      <x:c r="F19" s="1242" t="str">
        <x:v>Manufacturing Revival — Barron's Roundtable</x:v>
      </x:c>
      <x:c r="G19" s="1242"/>
      <x:c r="H19" s="1242" t="str">
        <x:v>Advisor Observation</x:v>
      </x:c>
      <x:c r="I19" s="1252" t="str">
        <x:f>IF($C19="","",IFERROR(INDEX('23 RCC-004 MASR Registry'!$G$14:$G$163,MATCH($C19,'23 RCC-004 MASR Registry'!$B$14:$B$163,0)),""))</x:f>
        <x:v>Energy &amp; Natural Resources</x:v>
      </x:c>
      <x:c r="J19" s="1252" t="str">
        <x:f>IF($C19="","",IFERROR(INDEX('23 RCC-004 MASR Registry'!$H$14:$H$163,MATCH($C19,'23 RCC-004 MASR Registry'!$B$14:$B$163,0)),""))</x:f>
        <x:v>Energy infrastructure and power-demand enabler candidate</x:v>
      </x:c>
      <x:c r="K19" s="1252" t="str">
        <x:f>IF($C19="","",IFERROR(INDEX('23 RCC-004 MASR Registry'!$D$14:$D$163,MATCH($C19,'23 RCC-004 MASR Registry'!$B$14:$B$163,0)),""))</x:f>
        <x:v>Research Candidate</x:v>
      </x:c>
      <x:c r="L19" s="1252" t="str">
        <x:f>IF($C19="","",IFERROR(INDEX('23 RCC-004 MASR Registry'!$E$14:$E$163,MATCH($C19,'23 RCC-004 MASR Registry'!$B$14:$B$163,0)),""))</x:f>
        <x:v>Candidate — Under Research</x:v>
      </x:c>
      <x:c r="M19" s="1252" t="str">
        <x:f>IF($C19="","",IFERROR(INDEX('23 RCC-004 MASR Registry'!$X$14:$X$163,MATCH($C19,'23 RCC-004 MASR Registry'!$B$14:$B$163,0)),""))</x:f>
        <x:v>NOT ASSESSED</x:v>
      </x:c>
      <x:c r="N19" s="1252" t="str">
        <x:f>IF($C19="","",IFERROR(INDEX('23 RCC-004 MASR Registry'!$Y$14:$Y$163,MATCH($C19,'23 RCC-004 MASR Registry'!$B$14:$B$163,0)),""))</x:f>
        <x:v>Canonical MASR ID required</x:v>
      </x:c>
      <x:c r="O19" s="1252" t="str">
        <x:f>IF($C19="","",IFERROR(INDEX('23 RCC-004 MASR Registry'!$L$14:$L$163,MATCH($C19,'23 RCC-004 MASR Registry'!$B$14:$B$163,0)),""))</x:f>
      </x:c>
      <x:c r="P19" s="1252" t="str">
        <x:f>IF($C19="","",IFERROR(INDEX('23 RCC-004 MASR Registry'!$M$14:$M$163,MATCH($C19,'23 RCC-004 MASR Registry'!$B$14:$B$163,0)),""))</x:f>
      </x:c>
      <x:c r="Q19" s="1255" t="str">
        <x:f>IF($C19="","",IFERROR(INDEX('23 RCC-004 MASR Registry'!$N$14:$N$163,MATCH($C19,'23 RCC-004 MASR Registry'!$B$14:$B$163,0)),""))</x:f>
      </x:c>
      <x:c r="R19" s="1255" t="str">
        <x:f>IF($C19="","",IFERROR(INDEX('23 RCC-004 MASR Registry'!$O$14:$O$163,MATCH($C19,'23 RCC-004 MASR Registry'!$B$14:$B$163,0)),""))</x:f>
      </x:c>
      <x:c r="S19" s="1255" t="str">
        <x:f>IF($C19="","",IFERROR(INDEX('23 RCC-004 MASR Registry'!$W$14:$W$163,MATCH($C19,'23 RCC-004 MASR Registry'!$B$14:$B$163,0)),""))</x:f>
      </x:c>
      <x:c r="T19" s="1255" t="str">
        <x:f>IF($C19="","",IFERROR(INDEX('23 RCC-004 MASR Registry'!$T$14:$T$163,MATCH($C19,'23 RCC-004 MASR Registry'!$B$14:$B$163,0)),""))</x:f>
      </x:c>
      <x:c r="U19" s="1256" t="str">
        <x:f>IF($C19="","",IFERROR(INDEX('23 RCC-004 MASR Registry'!$U$14:$U$163,MATCH($C19,'23 RCC-004 MASR Registry'!$B$14:$B$163,0)),""))</x:f>
      </x:c>
      <x:c r="V19" s="1252" t="str">
        <x:f>IF($C19="","",IFERROR(INDEX('23 RCC-004 MASR Registry'!$V$14:$V$163,MATCH($C19,'23 RCC-004 MASR Registry'!$B$14:$B$163,0)),""))</x:f>
      </x:c>
      <x:c r="W19" s="1242"/>
      <x:c r="X19" s="1256" t="n">
        <x:f>IF($C19="","",COUNTIF('18 RCC-002 Evidence Ledger'!$E$14:$E$213,$C19))</x:f>
        <x:v>0</x:v>
      </x:c>
      <x:c r="Y19" s="1242" t="str">
        <x:v>Intake</x:v>
      </x:c>
      <x:c r="Z19" s="1253" t="str">
        <x:f>IF($A19="","",IF(COUNTIF($A$14:$A$213,$A19)&gt;1,"FAIL — DUPLICATE ID",IF(OR($B19="",$C19="",$E19="",$H19="",$Y19="",$AA19="",$AB19=""),"FAIL — INCOMPLETE",IF(AND(OR($Y19="MIAR Review",$Y19="Eligibility Review",$Y19="Candidate Comparison",$Y19="Committee Review",$Y19="Approved for MASR",$Y19="Referred to PEW-004",$Y19="On Watch",$Y19="Rejected",$Y19="Closed",$Y19="Removed"),$K19=""),"FAIL — MASR RECORD REQUIRED",IF(AND(OR($Y19="Eligibility Review",$Y19="Candidate Comparison",$Y19="Committee Review",$Y19="Approved for MASR",$Y19="Referred to PEW-004",$Y19="On Watch"),NOT(OR($M19="ELIGIBLE",$M19="ELIGIBLE WITH EXCEPTION",$M19="CERTIFIED HOLDING"))),"FAIL — ELIGIBILITY",IF(AND(OR($Y19="Candidate Comparison",$Y19="Committee Review",$Y19="Approved for MASR",$Y19="Referred to PEW-004",$Y19="On Watch"),$X19=0),"FAIL — EVIDENCE",IF(AND(OR($Y19="Candidate Comparison",$Y19="Committee Review",$Y19="Approved for MASR",$Y19="Referred to PEW-004",$Y19="On Watch"),OR($O19&lt;&gt;"Active",$P19&lt;&gt;"CURRENT")),"FAIL — MIAR GATE",IF(AND(OR($Y19="Approved for MASR",$Y19="Referred to PEW-004",$Y19="On Watch",$Y19="Rejected",$Y19="Closed",$Y19="Removed"),OR($AD19="",$AD19="Pending")),"FAIL — COMMITTEE DISPOSITION",IF(AND($Y19="Referred to PEW-004",OR($AF19&lt;&gt;"Yes — Refer to PEW-004",$AG19="",$AJ19="")),"FAIL — PEW REFERRAL","PASS — STAGE GATE")))))))))</x:f>
        <x:v>PASS — STAGE GATE</x:v>
      </x:c>
      <x:c r="AA19" s="1242" t="str">
        <x:v>Research Committee</x:v>
      </x:c>
      <x:c r="AB19" s="1297" t="n">
        <x:v>46288</x:v>
      </x:c>
      <x:c r="AC19" s="1257" t="n">
        <x:f>IF($B19="","",IF($AQ19&lt;&gt;"",$AQ19-$B19,TODAY()-$B19))</x:f>
        <x:v>36</x:v>
      </x:c>
      <x:c r="AD19" s="1242"/>
      <x:c r="AE19" s="1251"/>
      <x:c r="AF19" s="1242"/>
      <x:c r="AG19" s="1242"/>
      <x:c r="AH19" s="1255" t="str">
        <x:f>IF($AG19="","",IFERROR(INDEX('10 Candidate Comparison'!$T$14:$T$33,MATCH($AG19,'10 Candidate Comparison'!$A$14:$A$33,0)),""))</x:f>
      </x:c>
      <x:c r="AI19" s="1252" t="str">
        <x:f>IF($AG19="","",IFERROR(INDEX('10 Candidate Comparison'!$U$14:$U$33,MATCH($AG19,'10 Candidate Comparison'!$A$14:$A$33,0)),""))</x:f>
      </x:c>
      <x:c r="AJ19" s="1252" t="str">
        <x:f>IF($AG19="","",IFERROR(INDEX('10 Candidate Comparison'!$Y$14:$Y$33,MATCH($AG19,'10 Candidate Comparison'!$A$14:$A$33,0)),""))</x:f>
      </x:c>
      <x:c r="AK19" s="1253" t="str">
        <x:f>IF($A19="","",IF($Z19="FAIL — DUPLICATE ID","DUPLICATE CANDIDATE ID",IF($Z19="FAIL — INCOMPLETE","INCOMPLETE",IF($Z19="FAIL — MASR RECORD REQUIRED","MASR RECORD REQUIRED",IF($Z19="FAIL — ELIGIBILITY","ELIGIBILITY BLOCK",IF($Z19="FAIL — EVIDENCE","EVIDENCE REQUIRED",IF($Z19="FAIL — MIAR GATE","MIAR GATE BLOCK",IF($Z19="FAIL — COMMITTEE DISPOSITION","COMMITTEE DECISION REQUIRED",IF($Z19="FAIL — PEW REFERRAL","PEW REFERRAL INCOMPLETE",IF(AND(OR($Y19="Rejected",$Y19="Closed",$Y19="Removed"),OR($AO19="",$AP19="",$AQ19="")),"CLOSURE REQUIRED",IF(AND($AB19&lt;TODAY(),NOT(OR($Y19="Rejected",$Y19="Closed",$Y19="Removed"))),"OVERDUE",IF(OR($Y19="Rejected",$Y19="Closed",$Y19="Removed"),"CLOSED","OPEN — ON TRACK"))))))))))))</x:f>
        <x:v>OVERDUE</x:v>
      </x:c>
      <x:c r="AL19" s="1253" t="str">
        <x:f>IF($AK19="","",IFERROR(INDEX('97 RCC Lists'!$AM$5:$AM$16,MATCH($AK19,'97 RCC Lists'!$AL$5:$AL$16,0)),"Review candidate exception"))</x:f>
        <x:v>Complete or formally extend the overdue review</x:v>
      </x:c>
      <x:c r="AM19" s="1242" t="str">
        <x:v>Energy infrastructure candidate linked to power demand and energy-security capital spending.</x:v>
      </x:c>
      <x:c r="AN19" s="1242" t="str">
        <x:v>Barron's Aug. 21, 2026 manufacturing roundtable | https://www.barrons.com/articles/manufacturing-stocks-picks-roundtable-7c264514 | Source establishes consideration only; no Manifest validation or portfolio action.</x:v>
      </x:c>
      <x:c r="AO19" s="1242"/>
      <x:c r="AP19" s="1242"/>
      <x:c r="AQ19" s="1251"/>
    </x:row>
    <x:row r="20" ht="32" customHeight="1">
      <x:c r="A20" s="1242" t="str">
        <x:v>MCP-20260824-007</x:v>
      </x:c>
      <x:c r="B20" s="1297" t="n">
        <x:v>46258</x:v>
      </x:c>
      <x:c r="C20" s="1242" t="str">
        <x:v>LMT</x:v>
      </x:c>
      <x:c r="D20" s="1243" t="str">
        <x:f>IF($C20="","",IFERROR(INDEX('23 RCC-004 MASR Registry'!$C$14:$C$163,MATCH($C20,'23 RCC-004 MASR Registry'!$B$14:$B$163,0)),""))</x:f>
        <x:v>Lockheed Martin Corporation</x:v>
      </x:c>
      <x:c r="E20" s="1242" t="str">
        <x:v>Research Candidate</x:v>
      </x:c>
      <x:c r="F20" s="1242" t="str">
        <x:v>Manufacturing Revival — Barron's Roundtable</x:v>
      </x:c>
      <x:c r="G20" s="1242"/>
      <x:c r="H20" s="1242" t="str">
        <x:v>Advisor Observation</x:v>
      </x:c>
      <x:c r="I20" s="1243" t="str">
        <x:f>IF($C20="","",IFERROR(INDEX('23 RCC-004 MASR Registry'!$G$14:$G$163,MATCH($C20,'23 RCC-004 MASR Registry'!$B$14:$B$163,0)),""))</x:f>
        <x:v>Industrials &amp; Infrastructure</x:v>
      </x:c>
      <x:c r="J20" s="1243" t="str">
        <x:f>IF($C20="","",IFERROR(INDEX('23 RCC-004 MASR Registry'!$H$14:$H$163,MATCH($C20,'23 RCC-004 MASR Registry'!$B$14:$B$163,0)),""))</x:f>
        <x:v>Defense manufacturing scarcity and backlog candidate</x:v>
      </x:c>
      <x:c r="K20" s="1243" t="str">
        <x:f>IF($C20="","",IFERROR(INDEX('23 RCC-004 MASR Registry'!$D$14:$D$163,MATCH($C20,'23 RCC-004 MASR Registry'!$B$14:$B$163,0)),""))</x:f>
        <x:v>Research Candidate</x:v>
      </x:c>
      <x:c r="L20" s="1243" t="str">
        <x:f>IF($C20="","",IFERROR(INDEX('23 RCC-004 MASR Registry'!$E$14:$E$163,MATCH($C20,'23 RCC-004 MASR Registry'!$B$14:$B$163,0)),""))</x:f>
        <x:v>Candidate — Under Research</x:v>
      </x:c>
      <x:c r="M20" s="1243" t="str">
        <x:f>IF($C20="","",IFERROR(INDEX('23 RCC-004 MASR Registry'!$X$14:$X$163,MATCH($C20,'23 RCC-004 MASR Registry'!$B$14:$B$163,0)),""))</x:f>
        <x:v>NOT ASSESSED</x:v>
      </x:c>
      <x:c r="N20" s="1243" t="str">
        <x:f>IF($C20="","",IFERROR(INDEX('23 RCC-004 MASR Registry'!$Y$14:$Y$163,MATCH($C20,'23 RCC-004 MASR Registry'!$B$14:$B$163,0)),""))</x:f>
        <x:v>Canonical MASR ID required</x:v>
      </x:c>
      <x:c r="O20" s="1243" t="str">
        <x:f>IF($C20="","",IFERROR(INDEX('23 RCC-004 MASR Registry'!$L$14:$L$163,MATCH($C20,'23 RCC-004 MASR Registry'!$B$14:$B$163,0)),""))</x:f>
      </x:c>
      <x:c r="P20" s="1243" t="str">
        <x:f>IF($C20="","",IFERROR(INDEX('23 RCC-004 MASR Registry'!$M$14:$M$163,MATCH($C20,'23 RCC-004 MASR Registry'!$B$14:$B$163,0)),""))</x:f>
      </x:c>
      <x:c r="Q20" s="1246" t="str">
        <x:f>IF($C20="","",IFERROR(INDEX('23 RCC-004 MASR Registry'!$N$14:$N$163,MATCH($C20,'23 RCC-004 MASR Registry'!$B$14:$B$163,0)),""))</x:f>
      </x:c>
      <x:c r="R20" s="1246" t="str">
        <x:f>IF($C20="","",IFERROR(INDEX('23 RCC-004 MASR Registry'!$O$14:$O$163,MATCH($C20,'23 RCC-004 MASR Registry'!$B$14:$B$163,0)),""))</x:f>
      </x:c>
      <x:c r="S20" s="1246" t="str">
        <x:f>IF($C20="","",IFERROR(INDEX('23 RCC-004 MASR Registry'!$W$14:$W$163,MATCH($C20,'23 RCC-004 MASR Registry'!$B$14:$B$163,0)),""))</x:f>
      </x:c>
      <x:c r="T20" s="1246" t="str">
        <x:f>IF($C20="","",IFERROR(INDEX('23 RCC-004 MASR Registry'!$T$14:$T$163,MATCH($C20,'23 RCC-004 MASR Registry'!$B$14:$B$163,0)),""))</x:f>
      </x:c>
      <x:c r="U20" s="1247" t="str">
        <x:f>IF($C20="","",IFERROR(INDEX('23 RCC-004 MASR Registry'!$U$14:$U$163,MATCH($C20,'23 RCC-004 MASR Registry'!$B$14:$B$163,0)),""))</x:f>
      </x:c>
      <x:c r="V20" s="1243" t="str">
        <x:f>IF($C20="","",IFERROR(INDEX('23 RCC-004 MASR Registry'!$V$14:$V$163,MATCH($C20,'23 RCC-004 MASR Registry'!$B$14:$B$163,0)),""))</x:f>
      </x:c>
      <x:c r="W20" s="1242"/>
      <x:c r="X20" s="1247" t="n">
        <x:f>IF($C20="","",COUNTIF('18 RCC-002 Evidence Ledger'!$E$14:$E$213,$C20))</x:f>
        <x:v>0</x:v>
      </x:c>
      <x:c r="Y20" s="1242" t="str">
        <x:v>Intake</x:v>
      </x:c>
      <x:c r="Z20" s="1244" t="str">
        <x:f>IF($A20="","",IF(COUNTIF($A$14:$A$213,$A20)&gt;1,"FAIL — DUPLICATE ID",IF(OR($B20="",$C20="",$E20="",$H20="",$Y20="",$AA20="",$AB20=""),"FAIL — INCOMPLETE",IF(AND(OR($Y20="MIAR Review",$Y20="Eligibility Review",$Y20="Candidate Comparison",$Y20="Committee Review",$Y20="Approved for MASR",$Y20="Referred to PEW-004",$Y20="On Watch",$Y20="Rejected",$Y20="Closed",$Y20="Removed"),$K20=""),"FAIL — MASR RECORD REQUIRED",IF(AND(OR($Y20="Eligibility Review",$Y20="Candidate Comparison",$Y20="Committee Review",$Y20="Approved for MASR",$Y20="Referred to PEW-004",$Y20="On Watch"),NOT(OR($M20="ELIGIBLE",$M20="ELIGIBLE WITH EXCEPTION",$M20="CERTIFIED HOLDING"))),"FAIL — ELIGIBILITY",IF(AND(OR($Y20="Candidate Comparison",$Y20="Committee Review",$Y20="Approved for MASR",$Y20="Referred to PEW-004",$Y20="On Watch"),$X20=0),"FAIL — EVIDENCE",IF(AND(OR($Y20="Candidate Comparison",$Y20="Committee Review",$Y20="Approved for MASR",$Y20="Referred to PEW-004",$Y20="On Watch"),OR($O20&lt;&gt;"Active",$P20&lt;&gt;"CURRENT")),"FAIL — MIAR GATE",IF(AND(OR($Y20="Approved for MASR",$Y20="Referred to PEW-004",$Y20="On Watch",$Y20="Rejected",$Y20="Closed",$Y20="Removed"),OR($AD20="",$AD20="Pending")),"FAIL — COMMITTEE DISPOSITION",IF(AND($Y20="Referred to PEW-004",OR($AF20&lt;&gt;"Yes — Refer to PEW-004",$AG20="",$AJ20="")),"FAIL — PEW REFERRAL","PASS — STAGE GATE")))))))))</x:f>
        <x:v>PASS — STAGE GATE</x:v>
      </x:c>
      <x:c r="AA20" s="1242" t="str">
        <x:v>Research Committee</x:v>
      </x:c>
      <x:c r="AB20" s="1297" t="n">
        <x:v>46288</x:v>
      </x:c>
      <x:c r="AC20" s="1250" t="n">
        <x:f>IF($B20="","",IF($AQ20&lt;&gt;"",$AQ20-$B20,TODAY()-$B20))</x:f>
        <x:v>36</x:v>
      </x:c>
      <x:c r="AD20" s="1242"/>
      <x:c r="AE20" s="1251"/>
      <x:c r="AF20" s="1242"/>
      <x:c r="AG20" s="1242"/>
      <x:c r="AH20" s="1246" t="str">
        <x:f>IF($AG20="","",IFERROR(INDEX('10 Candidate Comparison'!$T$14:$T$33,MATCH($AG20,'10 Candidate Comparison'!$A$14:$A$33,0)),""))</x:f>
      </x:c>
      <x:c r="AI20" s="1243" t="str">
        <x:f>IF($AG20="","",IFERROR(INDEX('10 Candidate Comparison'!$U$14:$U$33,MATCH($AG20,'10 Candidate Comparison'!$A$14:$A$33,0)),""))</x:f>
      </x:c>
      <x:c r="AJ20" s="1243" t="str">
        <x:f>IF($AG20="","",IFERROR(INDEX('10 Candidate Comparison'!$Y$14:$Y$33,MATCH($AG20,'10 Candidate Comparison'!$A$14:$A$33,0)),""))</x:f>
      </x:c>
      <x:c r="AK20" s="1244" t="str">
        <x:f>IF($A20="","",IF($Z20="FAIL — DUPLICATE ID","DUPLICATE CANDIDATE ID",IF($Z20="FAIL — INCOMPLETE","INCOMPLETE",IF($Z20="FAIL — MASR RECORD REQUIRED","MASR RECORD REQUIRED",IF($Z20="FAIL — ELIGIBILITY","ELIGIBILITY BLOCK",IF($Z20="FAIL — EVIDENCE","EVIDENCE REQUIRED",IF($Z20="FAIL — MIAR GATE","MIAR GATE BLOCK",IF($Z20="FAIL — COMMITTEE DISPOSITION","COMMITTEE DECISION REQUIRED",IF($Z20="FAIL — PEW REFERRAL","PEW REFERRAL INCOMPLETE",IF(AND(OR($Y20="Rejected",$Y20="Closed",$Y20="Removed"),OR($AO20="",$AP20="",$AQ20="")),"CLOSURE REQUIRED",IF(AND($AB20&lt;TODAY(),NOT(OR($Y20="Rejected",$Y20="Closed",$Y20="Removed"))),"OVERDUE",IF(OR($Y20="Rejected",$Y20="Closed",$Y20="Removed"),"CLOSED","OPEN — ON TRACK"))))))))))))</x:f>
        <x:v>OVERDUE</x:v>
      </x:c>
      <x:c r="AL20" s="1244" t="str">
        <x:f>IF($AK20="","",IFERROR(INDEX('97 RCC Lists'!$AM$5:$AM$16,MATCH($AK20,'97 RCC Lists'!$AL$5:$AL$16,0)),"Review candidate exception"))</x:f>
        <x:v>Complete or formally extend the overdue review</x:v>
      </x:c>
      <x:c r="AM20" s="1242" t="str">
        <x:v>Defense manufacturing scarcity and long-duration backlog thesis; assess valuation and program concentration.</x:v>
      </x:c>
      <x:c r="AN20" s="1242" t="str">
        <x:v>Barron's Aug. 21, 2026 manufacturing roundtable | https://www.barrons.com/articles/manufacturing-stocks-picks-roundtable-7c264514 | Source establishes consideration only; no Manifest validation or portfolio action.</x:v>
      </x:c>
      <x:c r="AO20" s="1242"/>
      <x:c r="AP20" s="1242"/>
      <x:c r="AQ20" s="1251"/>
    </x:row>
    <x:row r="21" ht="32" customHeight="1">
      <x:c r="A21" s="1242" t="str">
        <x:v>MCP-20260824-008</x:v>
      </x:c>
      <x:c r="B21" s="1297" t="n">
        <x:v>46258</x:v>
      </x:c>
      <x:c r="C21" s="1242" t="str">
        <x:v>BA</x:v>
      </x:c>
      <x:c r="D21" s="1252" t="str">
        <x:f>IF($C21="","",IFERROR(INDEX('23 RCC-004 MASR Registry'!$C$14:$C$163,MATCH($C21,'23 RCC-004 MASR Registry'!$B$14:$B$163,0)),""))</x:f>
        <x:v>The Boeing Company</x:v>
      </x:c>
      <x:c r="E21" s="1242" t="str">
        <x:v>Research Candidate</x:v>
      </x:c>
      <x:c r="F21" s="1242" t="str">
        <x:v>Manufacturing Revival — Barron's Roundtable</x:v>
      </x:c>
      <x:c r="G21" s="1242"/>
      <x:c r="H21" s="1242" t="str">
        <x:v>Advisor Observation</x:v>
      </x:c>
      <x:c r="I21" s="1252" t="str">
        <x:f>IF($C21="","",IFERROR(INDEX('23 RCC-004 MASR Registry'!$G$14:$G$163,MATCH($C21,'23 RCC-004 MASR Registry'!$B$14:$B$163,0)),""))</x:f>
        <x:v>Industrials &amp; Infrastructure</x:v>
      </x:c>
      <x:c r="J21" s="1252" t="str">
        <x:f>IF($C21="","",IFERROR(INDEX('23 RCC-004 MASR Registry'!$H$14:$H$163,MATCH($C21,'23 RCC-004 MASR Registry'!$B$14:$B$163,0)),""))</x:f>
        <x:v>Commercial aerospace manufacturing recovery candidate</x:v>
      </x:c>
      <x:c r="K21" s="1252" t="str">
        <x:f>IF($C21="","",IFERROR(INDEX('23 RCC-004 MASR Registry'!$D$14:$D$163,MATCH($C21,'23 RCC-004 MASR Registry'!$B$14:$B$163,0)),""))</x:f>
        <x:v>Research Candidate</x:v>
      </x:c>
      <x:c r="L21" s="1252" t="str">
        <x:f>IF($C21="","",IFERROR(INDEX('23 RCC-004 MASR Registry'!$E$14:$E$163,MATCH($C21,'23 RCC-004 MASR Registry'!$B$14:$B$163,0)),""))</x:f>
        <x:v>Candidate — Under Research</x:v>
      </x:c>
      <x:c r="M21" s="1252" t="str">
        <x:f>IF($C21="","",IFERROR(INDEX('23 RCC-004 MASR Registry'!$X$14:$X$163,MATCH($C21,'23 RCC-004 MASR Registry'!$B$14:$B$163,0)),""))</x:f>
        <x:v>NOT ASSESSED</x:v>
      </x:c>
      <x:c r="N21" s="1252" t="str">
        <x:f>IF($C21="","",IFERROR(INDEX('23 RCC-004 MASR Registry'!$Y$14:$Y$163,MATCH($C21,'23 RCC-004 MASR Registry'!$B$14:$B$163,0)),""))</x:f>
        <x:v>Canonical MASR ID required</x:v>
      </x:c>
      <x:c r="O21" s="1252" t="str">
        <x:f>IF($C21="","",IFERROR(INDEX('23 RCC-004 MASR Registry'!$L$14:$L$163,MATCH($C21,'23 RCC-004 MASR Registry'!$B$14:$B$163,0)),""))</x:f>
      </x:c>
      <x:c r="P21" s="1252" t="str">
        <x:f>IF($C21="","",IFERROR(INDEX('23 RCC-004 MASR Registry'!$M$14:$M$163,MATCH($C21,'23 RCC-004 MASR Registry'!$B$14:$B$163,0)),""))</x:f>
      </x:c>
      <x:c r="Q21" s="1255" t="str">
        <x:f>IF($C21="","",IFERROR(INDEX('23 RCC-004 MASR Registry'!$N$14:$N$163,MATCH($C21,'23 RCC-004 MASR Registry'!$B$14:$B$163,0)),""))</x:f>
      </x:c>
      <x:c r="R21" s="1255" t="str">
        <x:f>IF($C21="","",IFERROR(INDEX('23 RCC-004 MASR Registry'!$O$14:$O$163,MATCH($C21,'23 RCC-004 MASR Registry'!$B$14:$B$163,0)),""))</x:f>
      </x:c>
      <x:c r="S21" s="1255" t="str">
        <x:f>IF($C21="","",IFERROR(INDEX('23 RCC-004 MASR Registry'!$W$14:$W$163,MATCH($C21,'23 RCC-004 MASR Registry'!$B$14:$B$163,0)),""))</x:f>
      </x:c>
      <x:c r="T21" s="1255" t="str">
        <x:f>IF($C21="","",IFERROR(INDEX('23 RCC-004 MASR Registry'!$T$14:$T$163,MATCH($C21,'23 RCC-004 MASR Registry'!$B$14:$B$163,0)),""))</x:f>
      </x:c>
      <x:c r="U21" s="1256" t="str">
        <x:f>IF($C21="","",IFERROR(INDEX('23 RCC-004 MASR Registry'!$U$14:$U$163,MATCH($C21,'23 RCC-004 MASR Registry'!$B$14:$B$163,0)),""))</x:f>
      </x:c>
      <x:c r="V21" s="1252" t="str">
        <x:f>IF($C21="","",IFERROR(INDEX('23 RCC-004 MASR Registry'!$V$14:$V$163,MATCH($C21,'23 RCC-004 MASR Registry'!$B$14:$B$163,0)),""))</x:f>
      </x:c>
      <x:c r="W21" s="1242"/>
      <x:c r="X21" s="1256" t="n">
        <x:f>IF($C21="","",COUNTIF('18 RCC-002 Evidence Ledger'!$E$14:$E$213,$C21))</x:f>
        <x:v>0</x:v>
      </x:c>
      <x:c r="Y21" s="1242" t="str">
        <x:v>Intake</x:v>
      </x:c>
      <x:c r="Z21" s="1253" t="str">
        <x:f>IF($A21="","",IF(COUNTIF($A$14:$A$213,$A21)&gt;1,"FAIL — DUPLICATE ID",IF(OR($B21="",$C21="",$E21="",$H21="",$Y21="",$AA21="",$AB21=""),"FAIL — INCOMPLETE",IF(AND(OR($Y21="MIAR Review",$Y21="Eligibility Review",$Y21="Candidate Comparison",$Y21="Committee Review",$Y21="Approved for MASR",$Y21="Referred to PEW-004",$Y21="On Watch",$Y21="Rejected",$Y21="Closed",$Y21="Removed"),$K21=""),"FAIL — MASR RECORD REQUIRED",IF(AND(OR($Y21="Eligibility Review",$Y21="Candidate Comparison",$Y21="Committee Review",$Y21="Approved for MASR",$Y21="Referred to PEW-004",$Y21="On Watch"),NOT(OR($M21="ELIGIBLE",$M21="ELIGIBLE WITH EXCEPTION",$M21="CERTIFIED HOLDING"))),"FAIL — ELIGIBILITY",IF(AND(OR($Y21="Candidate Comparison",$Y21="Committee Review",$Y21="Approved for MASR",$Y21="Referred to PEW-004",$Y21="On Watch"),$X21=0),"FAIL — EVIDENCE",IF(AND(OR($Y21="Candidate Comparison",$Y21="Committee Review",$Y21="Approved for MASR",$Y21="Referred to PEW-004",$Y21="On Watch"),OR($O21&lt;&gt;"Active",$P21&lt;&gt;"CURRENT")),"FAIL — MIAR GATE",IF(AND(OR($Y21="Approved for MASR",$Y21="Referred to PEW-004",$Y21="On Watch",$Y21="Rejected",$Y21="Closed",$Y21="Removed"),OR($AD21="",$AD21="Pending")),"FAIL — COMMITTEE DISPOSITION",IF(AND($Y21="Referred to PEW-004",OR($AF21&lt;&gt;"Yes — Refer to PEW-004",$AG21="",$AJ21="")),"FAIL — PEW REFERRAL","PASS — STAGE GATE")))))))))</x:f>
        <x:v>PASS — STAGE GATE</x:v>
      </x:c>
      <x:c r="AA21" s="1242" t="str">
        <x:v>Research Committee</x:v>
      </x:c>
      <x:c r="AB21" s="1297" t="n">
        <x:v>46288</x:v>
      </x:c>
      <x:c r="AC21" s="1257" t="n">
        <x:f>IF($B21="","",IF($AQ21&lt;&gt;"",$AQ21-$B21,TODAY()-$B21))</x:f>
        <x:v>36</x:v>
      </x:c>
      <x:c r="AD21" s="1242"/>
      <x:c r="AE21" s="1251"/>
      <x:c r="AF21" s="1242"/>
      <x:c r="AG21" s="1242"/>
      <x:c r="AH21" s="1255" t="str">
        <x:f>IF($AG21="","",IFERROR(INDEX('10 Candidate Comparison'!$T$14:$T$33,MATCH($AG21,'10 Candidate Comparison'!$A$14:$A$33,0)),""))</x:f>
      </x:c>
      <x:c r="AI21" s="1252" t="str">
        <x:f>IF($AG21="","",IFERROR(INDEX('10 Candidate Comparison'!$U$14:$U$33,MATCH($AG21,'10 Candidate Comparison'!$A$14:$A$33,0)),""))</x:f>
      </x:c>
      <x:c r="AJ21" s="1252" t="str">
        <x:f>IF($AG21="","",IFERROR(INDEX('10 Candidate Comparison'!$Y$14:$Y$33,MATCH($AG21,'10 Candidate Comparison'!$A$14:$A$33,0)),""))</x:f>
      </x:c>
      <x:c r="AK21" s="1253" t="str">
        <x:f>IF($A21="","",IF($Z21="FAIL — DUPLICATE ID","DUPLICATE CANDIDATE ID",IF($Z21="FAIL — INCOMPLETE","INCOMPLETE",IF($Z21="FAIL — MASR RECORD REQUIRED","MASR RECORD REQUIRED",IF($Z21="FAIL — ELIGIBILITY","ELIGIBILITY BLOCK",IF($Z21="FAIL — EVIDENCE","EVIDENCE REQUIRED",IF($Z21="FAIL — MIAR GATE","MIAR GATE BLOCK",IF($Z21="FAIL — COMMITTEE DISPOSITION","COMMITTEE DECISION REQUIRED",IF($Z21="FAIL — PEW REFERRAL","PEW REFERRAL INCOMPLETE",IF(AND(OR($Y21="Rejected",$Y21="Closed",$Y21="Removed"),OR($AO21="",$AP21="",$AQ21="")),"CLOSURE REQUIRED",IF(AND($AB21&lt;TODAY(),NOT(OR($Y21="Rejected",$Y21="Closed",$Y21="Removed"))),"OVERDUE",IF(OR($Y21="Rejected",$Y21="Closed",$Y21="Removed"),"CLOSED","OPEN — ON TRACK"))))))))))))</x:f>
        <x:v>OVERDUE</x:v>
      </x:c>
      <x:c r="AL21" s="1253" t="str">
        <x:f>IF($AK21="","",IFERROR(INDEX('97 RCC Lists'!$AM$5:$AM$16,MATCH($AK21,'97 RCC Lists'!$AL$5:$AL$16,0)),"Review candidate exception"))</x:f>
        <x:v>Complete or formally extend the overdue review</x:v>
      </x:c>
      <x:c r="AM21" s="1242" t="str">
        <x:v>Commercial aerospace recovery candidate contingent on execution, certification, cash flow, and balance-sheet diligence.</x:v>
      </x:c>
      <x:c r="AN21" s="1242" t="str">
        <x:v>Barron's Aug. 21, 2026 manufacturing roundtable | https://www.barrons.com/articles/manufacturing-stocks-picks-roundtable-7c264514 | Source establishes consideration only; no Manifest validation or portfolio action.</x:v>
      </x:c>
      <x:c r="AO21" s="1242"/>
      <x:c r="AP21" s="1242"/>
      <x:c r="AQ21" s="1251"/>
    </x:row>
    <x:row r="22" ht="32" customHeight="1">
      <x:c r="A22" s="1242" t="str">
        <x:v>MCP-20260824-009</x:v>
      </x:c>
      <x:c r="B22" s="1297" t="n">
        <x:v>46258</x:v>
      </x:c>
      <x:c r="C22" s="1242" t="str">
        <x:v>HXL</x:v>
      </x:c>
      <x:c r="D22" s="1243" t="str">
        <x:f>IF($C22="","",IFERROR(INDEX('23 RCC-004 MASR Registry'!$C$14:$C$163,MATCH($C22,'23 RCC-004 MASR Registry'!$B$14:$B$163,0)),""))</x:f>
        <x:v>Hexcel Corporation</x:v>
      </x:c>
      <x:c r="E22" s="1242" t="str">
        <x:v>Research Candidate</x:v>
      </x:c>
      <x:c r="F22" s="1242" t="str">
        <x:v>Manufacturing Revival — Barron's Roundtable</x:v>
      </x:c>
      <x:c r="G22" s="1242"/>
      <x:c r="H22" s="1242" t="str">
        <x:v>Advisor Observation</x:v>
      </x:c>
      <x:c r="I22" s="1243" t="str">
        <x:f>IF($C22="","",IFERROR(INDEX('23 RCC-004 MASR Registry'!$G$14:$G$163,MATCH($C22,'23 RCC-004 MASR Registry'!$B$14:$B$163,0)),""))</x:f>
        <x:v>Industrials &amp; Infrastructure</x:v>
      </x:c>
      <x:c r="J22" s="1243" t="str">
        <x:f>IF($C22="","",IFERROR(INDEX('23 RCC-004 MASR Registry'!$H$14:$H$163,MATCH($C22,'23 RCC-004 MASR Registry'!$B$14:$B$163,0)),""))</x:f>
        <x:v>Advanced composites and widebody aerospace supplier candidate</x:v>
      </x:c>
      <x:c r="K22" s="1243" t="str">
        <x:f>IF($C22="","",IFERROR(INDEX('23 RCC-004 MASR Registry'!$D$14:$D$163,MATCH($C22,'23 RCC-004 MASR Registry'!$B$14:$B$163,0)),""))</x:f>
        <x:v>Research Candidate</x:v>
      </x:c>
      <x:c r="L22" s="1243" t="str">
        <x:f>IF($C22="","",IFERROR(INDEX('23 RCC-004 MASR Registry'!$E$14:$E$163,MATCH($C22,'23 RCC-004 MASR Registry'!$B$14:$B$163,0)),""))</x:f>
        <x:v>Candidate — Under Research</x:v>
      </x:c>
      <x:c r="M22" s="1243" t="str">
        <x:f>IF($C22="","",IFERROR(INDEX('23 RCC-004 MASR Registry'!$X$14:$X$163,MATCH($C22,'23 RCC-004 MASR Registry'!$B$14:$B$163,0)),""))</x:f>
        <x:v>NOT ASSESSED</x:v>
      </x:c>
      <x:c r="N22" s="1243" t="str">
        <x:f>IF($C22="","",IFERROR(INDEX('23 RCC-004 MASR Registry'!$Y$14:$Y$163,MATCH($C22,'23 RCC-004 MASR Registry'!$B$14:$B$163,0)),""))</x:f>
        <x:v>Canonical MASR ID required</x:v>
      </x:c>
      <x:c r="O22" s="1243" t="str">
        <x:f>IF($C22="","",IFERROR(INDEX('23 RCC-004 MASR Registry'!$L$14:$L$163,MATCH($C22,'23 RCC-004 MASR Registry'!$B$14:$B$163,0)),""))</x:f>
      </x:c>
      <x:c r="P22" s="1243" t="str">
        <x:f>IF($C22="","",IFERROR(INDEX('23 RCC-004 MASR Registry'!$M$14:$M$163,MATCH($C22,'23 RCC-004 MASR Registry'!$B$14:$B$163,0)),""))</x:f>
      </x:c>
      <x:c r="Q22" s="1246" t="str">
        <x:f>IF($C22="","",IFERROR(INDEX('23 RCC-004 MASR Registry'!$N$14:$N$163,MATCH($C22,'23 RCC-004 MASR Registry'!$B$14:$B$163,0)),""))</x:f>
      </x:c>
      <x:c r="R22" s="1246" t="str">
        <x:f>IF($C22="","",IFERROR(INDEX('23 RCC-004 MASR Registry'!$O$14:$O$163,MATCH($C22,'23 RCC-004 MASR Registry'!$B$14:$B$163,0)),""))</x:f>
      </x:c>
      <x:c r="S22" s="1246" t="str">
        <x:f>IF($C22="","",IFERROR(INDEX('23 RCC-004 MASR Registry'!$W$14:$W$163,MATCH($C22,'23 RCC-004 MASR Registry'!$B$14:$B$163,0)),""))</x:f>
      </x:c>
      <x:c r="T22" s="1246" t="str">
        <x:f>IF($C22="","",IFERROR(INDEX('23 RCC-004 MASR Registry'!$T$14:$T$163,MATCH($C22,'23 RCC-004 MASR Registry'!$B$14:$B$163,0)),""))</x:f>
      </x:c>
      <x:c r="U22" s="1247" t="str">
        <x:f>IF($C22="","",IFERROR(INDEX('23 RCC-004 MASR Registry'!$U$14:$U$163,MATCH($C22,'23 RCC-004 MASR Registry'!$B$14:$B$163,0)),""))</x:f>
      </x:c>
      <x:c r="V22" s="1243" t="str">
        <x:f>IF($C22="","",IFERROR(INDEX('23 RCC-004 MASR Registry'!$V$14:$V$163,MATCH($C22,'23 RCC-004 MASR Registry'!$B$14:$B$163,0)),""))</x:f>
      </x:c>
      <x:c r="W22" s="1242"/>
      <x:c r="X22" s="1247" t="n">
        <x:f>IF($C22="","",COUNTIF('18 RCC-002 Evidence Ledger'!$E$14:$E$213,$C22))</x:f>
        <x:v>0</x:v>
      </x:c>
      <x:c r="Y22" s="1242" t="str">
        <x:v>Intake</x:v>
      </x:c>
      <x:c r="Z22" s="1244" t="str">
        <x:f>IF($A22="","",IF(COUNTIF($A$14:$A$213,$A22)&gt;1,"FAIL — DUPLICATE ID",IF(OR($B22="",$C22="",$E22="",$H22="",$Y22="",$AA22="",$AB22=""),"FAIL — INCOMPLETE",IF(AND(OR($Y22="MIAR Review",$Y22="Eligibility Review",$Y22="Candidate Comparison",$Y22="Committee Review",$Y22="Approved for MASR",$Y22="Referred to PEW-004",$Y22="On Watch",$Y22="Rejected",$Y22="Closed",$Y22="Removed"),$K22=""),"FAIL — MASR RECORD REQUIRED",IF(AND(OR($Y22="Eligibility Review",$Y22="Candidate Comparison",$Y22="Committee Review",$Y22="Approved for MASR",$Y22="Referred to PEW-004",$Y22="On Watch"),NOT(OR($M22="ELIGIBLE",$M22="ELIGIBLE WITH EXCEPTION",$M22="CERTIFIED HOLDING"))),"FAIL — ELIGIBILITY",IF(AND(OR($Y22="Candidate Comparison",$Y22="Committee Review",$Y22="Approved for MASR",$Y22="Referred to PEW-004",$Y22="On Watch"),$X22=0),"FAIL — EVIDENCE",IF(AND(OR($Y22="Candidate Comparison",$Y22="Committee Review",$Y22="Approved for MASR",$Y22="Referred to PEW-004",$Y22="On Watch"),OR($O22&lt;&gt;"Active",$P22&lt;&gt;"CURRENT")),"FAIL — MIAR GATE",IF(AND(OR($Y22="Approved for MASR",$Y22="Referred to PEW-004",$Y22="On Watch",$Y22="Rejected",$Y22="Closed",$Y22="Removed"),OR($AD22="",$AD22="Pending")),"FAIL — COMMITTEE DISPOSITION",IF(AND($Y22="Referred to PEW-004",OR($AF22&lt;&gt;"Yes — Refer to PEW-004",$AG22="",$AJ22="")),"FAIL — PEW REFERRAL","PASS — STAGE GATE")))))))))</x:f>
        <x:v>PASS — STAGE GATE</x:v>
      </x:c>
      <x:c r="AA22" s="1242" t="str">
        <x:v>Research Committee</x:v>
      </x:c>
      <x:c r="AB22" s="1297" t="n">
        <x:v>46288</x:v>
      </x:c>
      <x:c r="AC22" s="1250" t="n">
        <x:f>IF($B22="","",IF($AQ22&lt;&gt;"",$AQ22-$B22,TODAY()-$B22))</x:f>
        <x:v>36</x:v>
      </x:c>
      <x:c r="AD22" s="1242"/>
      <x:c r="AE22" s="1251"/>
      <x:c r="AF22" s="1242"/>
      <x:c r="AG22" s="1242"/>
      <x:c r="AH22" s="1246" t="str">
        <x:f>IF($AG22="","",IFERROR(INDEX('10 Candidate Comparison'!$T$14:$T$33,MATCH($AG22,'10 Candidate Comparison'!$A$14:$A$33,0)),""))</x:f>
      </x:c>
      <x:c r="AI22" s="1243" t="str">
        <x:f>IF($AG22="","",IFERROR(INDEX('10 Candidate Comparison'!$U$14:$U$33,MATCH($AG22,'10 Candidate Comparison'!$A$14:$A$33,0)),""))</x:f>
      </x:c>
      <x:c r="AJ22" s="1243" t="str">
        <x:f>IF($AG22="","",IFERROR(INDEX('10 Candidate Comparison'!$Y$14:$Y$33,MATCH($AG22,'10 Candidate Comparison'!$A$14:$A$33,0)),""))</x:f>
      </x:c>
      <x:c r="AK22" s="1244" t="str">
        <x:f>IF($A22="","",IF($Z22="FAIL — DUPLICATE ID","DUPLICATE CANDIDATE ID",IF($Z22="FAIL — INCOMPLETE","INCOMPLETE",IF($Z22="FAIL — MASR RECORD REQUIRED","MASR RECORD REQUIRED",IF($Z22="FAIL — ELIGIBILITY","ELIGIBILITY BLOCK",IF($Z22="FAIL — EVIDENCE","EVIDENCE REQUIRED",IF($Z22="FAIL — MIAR GATE","MIAR GATE BLOCK",IF($Z22="FAIL — COMMITTEE DISPOSITION","COMMITTEE DECISION REQUIRED",IF($Z22="FAIL — PEW REFERRAL","PEW REFERRAL INCOMPLETE",IF(AND(OR($Y22="Rejected",$Y22="Closed",$Y22="Removed"),OR($AO22="",$AP22="",$AQ22="")),"CLOSURE REQUIRED",IF(AND($AB22&lt;TODAY(),NOT(OR($Y22="Rejected",$Y22="Closed",$Y22="Removed"))),"OVERDUE",IF(OR($Y22="Rejected",$Y22="Closed",$Y22="Removed"),"CLOSED","OPEN — ON TRACK"))))))))))))</x:f>
        <x:v>OVERDUE</x:v>
      </x:c>
      <x:c r="AL22" s="1244" t="str">
        <x:f>IF($AK22="","",IFERROR(INDEX('97 RCC Lists'!$AM$5:$AM$16,MATCH($AK22,'97 RCC Lists'!$AL$5:$AL$16,0)),"Review candidate exception"))</x:f>
        <x:v>Complete or formally extend the overdue review</x:v>
      </x:c>
      <x:c r="AM22" s="1242" t="str">
        <x:v>Widebody production-ramp supplier candidate; requires size, cyclicality, customer concentration, and Merrill review.</x:v>
      </x:c>
      <x:c r="AN22" s="1242" t="str">
        <x:v>Barron's Aug. 21, 2026 manufacturing roundtable | https://www.barrons.com/articles/manufacturing-stocks-picks-roundtable-7c264514 | Source establishes consideration only; no Manifest validation or portfolio action.</x:v>
      </x:c>
      <x:c r="AO22" s="1242"/>
      <x:c r="AP22" s="1242"/>
      <x:c r="AQ22" s="1251"/>
    </x:row>
    <x:row r="23" ht="32" customHeight="1">
      <x:c r="A23" s="1242" t="str">
        <x:v>MCP-20260824-010</x:v>
      </x:c>
      <x:c r="B23" s="1297" t="n">
        <x:v>46258</x:v>
      </x:c>
      <x:c r="C23" s="1242" t="str">
        <x:v>SWK</x:v>
      </x:c>
      <x:c r="D23" s="1252" t="str">
        <x:f>IF($C23="","",IFERROR(INDEX('23 RCC-004 MASR Registry'!$C$14:$C$163,MATCH($C23,'23 RCC-004 MASR Registry'!$B$14:$B$163,0)),""))</x:f>
        <x:v>Stanley Black &amp; Decker, Inc.</x:v>
      </x:c>
      <x:c r="E23" s="1242" t="str">
        <x:v>Research Candidate</x:v>
      </x:c>
      <x:c r="F23" s="1242" t="str">
        <x:v>Manufacturing Revival — Barron's Roundtable</x:v>
      </x:c>
      <x:c r="G23" s="1242"/>
      <x:c r="H23" s="1242" t="str">
        <x:v>Advisor Observation</x:v>
      </x:c>
      <x:c r="I23" s="1252" t="str">
        <x:f>IF($C23="","",IFERROR(INDEX('23 RCC-004 MASR Registry'!$G$14:$G$163,MATCH($C23,'23 RCC-004 MASR Registry'!$B$14:$B$163,0)),""))</x:f>
        <x:v>Industrials &amp; Infrastructure</x:v>
      </x:c>
      <x:c r="J23" s="1252" t="str">
        <x:f>IF($C23="","",IFERROR(INDEX('23 RCC-004 MASR Registry'!$H$14:$H$163,MATCH($C23,'23 RCC-004 MASR Registry'!$B$14:$B$163,0)),""))</x:f>
        <x:v>Manufacturing recovery and tools-cycle candidate</x:v>
      </x:c>
      <x:c r="K23" s="1252" t="str">
        <x:f>IF($C23="","",IFERROR(INDEX('23 RCC-004 MASR Registry'!$D$14:$D$163,MATCH($C23,'23 RCC-004 MASR Registry'!$B$14:$B$163,0)),""))</x:f>
        <x:v>Research Candidate</x:v>
      </x:c>
      <x:c r="L23" s="1252" t="str">
        <x:f>IF($C23="","",IFERROR(INDEX('23 RCC-004 MASR Registry'!$E$14:$E$163,MATCH($C23,'23 RCC-004 MASR Registry'!$B$14:$B$163,0)),""))</x:f>
        <x:v>Candidate — Under Research</x:v>
      </x:c>
      <x:c r="M23" s="1252" t="str">
        <x:f>IF($C23="","",IFERROR(INDEX('23 RCC-004 MASR Registry'!$X$14:$X$163,MATCH($C23,'23 RCC-004 MASR Registry'!$B$14:$B$163,0)),""))</x:f>
        <x:v>NOT ASSESSED</x:v>
      </x:c>
      <x:c r="N23" s="1252" t="str">
        <x:f>IF($C23="","",IFERROR(INDEX('23 RCC-004 MASR Registry'!$Y$14:$Y$163,MATCH($C23,'23 RCC-004 MASR Registry'!$B$14:$B$163,0)),""))</x:f>
        <x:v>Canonical MASR ID required</x:v>
      </x:c>
      <x:c r="O23" s="1252" t="str">
        <x:f>IF($C23="","",IFERROR(INDEX('23 RCC-004 MASR Registry'!$L$14:$L$163,MATCH($C23,'23 RCC-004 MASR Registry'!$B$14:$B$163,0)),""))</x:f>
      </x:c>
      <x:c r="P23" s="1252" t="str">
        <x:f>IF($C23="","",IFERROR(INDEX('23 RCC-004 MASR Registry'!$M$14:$M$163,MATCH($C23,'23 RCC-004 MASR Registry'!$B$14:$B$163,0)),""))</x:f>
      </x:c>
      <x:c r="Q23" s="1255" t="str">
        <x:f>IF($C23="","",IFERROR(INDEX('23 RCC-004 MASR Registry'!$N$14:$N$163,MATCH($C23,'23 RCC-004 MASR Registry'!$B$14:$B$163,0)),""))</x:f>
      </x:c>
      <x:c r="R23" s="1255" t="str">
        <x:f>IF($C23="","",IFERROR(INDEX('23 RCC-004 MASR Registry'!$O$14:$O$163,MATCH($C23,'23 RCC-004 MASR Registry'!$B$14:$B$163,0)),""))</x:f>
      </x:c>
      <x:c r="S23" s="1255" t="str">
        <x:f>IF($C23="","",IFERROR(INDEX('23 RCC-004 MASR Registry'!$W$14:$W$163,MATCH($C23,'23 RCC-004 MASR Registry'!$B$14:$B$163,0)),""))</x:f>
      </x:c>
      <x:c r="T23" s="1255" t="str">
        <x:f>IF($C23="","",IFERROR(INDEX('23 RCC-004 MASR Registry'!$T$14:$T$163,MATCH($C23,'23 RCC-004 MASR Registry'!$B$14:$B$163,0)),""))</x:f>
      </x:c>
      <x:c r="U23" s="1256" t="str">
        <x:f>IF($C23="","",IFERROR(INDEX('23 RCC-004 MASR Registry'!$U$14:$U$163,MATCH($C23,'23 RCC-004 MASR Registry'!$B$14:$B$163,0)),""))</x:f>
      </x:c>
      <x:c r="V23" s="1252" t="str">
        <x:f>IF($C23="","",IFERROR(INDEX('23 RCC-004 MASR Registry'!$V$14:$V$163,MATCH($C23,'23 RCC-004 MASR Registry'!$B$14:$B$163,0)),""))</x:f>
      </x:c>
      <x:c r="W23" s="1242"/>
      <x:c r="X23" s="1256" t="n">
        <x:f>IF($C23="","",COUNTIF('18 RCC-002 Evidence Ledger'!$E$14:$E$213,$C23))</x:f>
        <x:v>0</x:v>
      </x:c>
      <x:c r="Y23" s="1242" t="str">
        <x:v>Intake</x:v>
      </x:c>
      <x:c r="Z23" s="1253" t="str">
        <x:f>IF($A23="","",IF(COUNTIF($A$14:$A$213,$A23)&gt;1,"FAIL — DUPLICATE ID",IF(OR($B23="",$C23="",$E23="",$H23="",$Y23="",$AA23="",$AB23=""),"FAIL — INCOMPLETE",IF(AND(OR($Y23="MIAR Review",$Y23="Eligibility Review",$Y23="Candidate Comparison",$Y23="Committee Review",$Y23="Approved for MASR",$Y23="Referred to PEW-004",$Y23="On Watch",$Y23="Rejected",$Y23="Closed",$Y23="Removed"),$K23=""),"FAIL — MASR RECORD REQUIRED",IF(AND(OR($Y23="Eligibility Review",$Y23="Candidate Comparison",$Y23="Committee Review",$Y23="Approved for MASR",$Y23="Referred to PEW-004",$Y23="On Watch"),NOT(OR($M23="ELIGIBLE",$M23="ELIGIBLE WITH EXCEPTION",$M23="CERTIFIED HOLDING"))),"FAIL — ELIGIBILITY",IF(AND(OR($Y23="Candidate Comparison",$Y23="Committee Review",$Y23="Approved for MASR",$Y23="Referred to PEW-004",$Y23="On Watch"),$X23=0),"FAIL — EVIDENCE",IF(AND(OR($Y23="Candidate Comparison",$Y23="Committee Review",$Y23="Approved for MASR",$Y23="Referred to PEW-004",$Y23="On Watch"),OR($O23&lt;&gt;"Active",$P23&lt;&gt;"CURRENT")),"FAIL — MIAR GATE",IF(AND(OR($Y23="Approved for MASR",$Y23="Referred to PEW-004",$Y23="On Watch",$Y23="Rejected",$Y23="Closed",$Y23="Removed"),OR($AD23="",$AD23="Pending")),"FAIL — COMMITTEE DISPOSITION",IF(AND($Y23="Referred to PEW-004",OR($AF23&lt;&gt;"Yes — Refer to PEW-004",$AG23="",$AJ23="")),"FAIL — PEW REFERRAL","PASS — STAGE GATE")))))))))</x:f>
        <x:v>PASS — STAGE GATE</x:v>
      </x:c>
      <x:c r="AA23" s="1242" t="str">
        <x:v>Research Committee</x:v>
      </x:c>
      <x:c r="AB23" s="1297" t="n">
        <x:v>46288</x:v>
      </x:c>
      <x:c r="AC23" s="1257" t="n">
        <x:f>IF($B23="","",IF($AQ23&lt;&gt;"",$AQ23-$B23,TODAY()-$B23))</x:f>
        <x:v>36</x:v>
      </x:c>
      <x:c r="AD23" s="1242"/>
      <x:c r="AE23" s="1251"/>
      <x:c r="AF23" s="1242"/>
      <x:c r="AG23" s="1242"/>
      <x:c r="AH23" s="1255" t="str">
        <x:f>IF($AG23="","",IFERROR(INDEX('10 Candidate Comparison'!$T$14:$T$33,MATCH($AG23,'10 Candidate Comparison'!$A$14:$A$33,0)),""))</x:f>
      </x:c>
      <x:c r="AI23" s="1252" t="str">
        <x:f>IF($AG23="","",IFERROR(INDEX('10 Candidate Comparison'!$U$14:$U$33,MATCH($AG23,'10 Candidate Comparison'!$A$14:$A$33,0)),""))</x:f>
      </x:c>
      <x:c r="AJ23" s="1252" t="str">
        <x:f>IF($AG23="","",IFERROR(INDEX('10 Candidate Comparison'!$Y$14:$Y$33,MATCH($AG23,'10 Candidate Comparison'!$A$14:$A$33,0)),""))</x:f>
      </x:c>
      <x:c r="AK23" s="1253" t="str">
        <x:f>IF($A23="","",IF($Z23="FAIL — DUPLICATE ID","DUPLICATE CANDIDATE ID",IF($Z23="FAIL — INCOMPLETE","INCOMPLETE",IF($Z23="FAIL — MASR RECORD REQUIRED","MASR RECORD REQUIRED",IF($Z23="FAIL — ELIGIBILITY","ELIGIBILITY BLOCK",IF($Z23="FAIL — EVIDENCE","EVIDENCE REQUIRED",IF($Z23="FAIL — MIAR GATE","MIAR GATE BLOCK",IF($Z23="FAIL — COMMITTEE DISPOSITION","COMMITTEE DECISION REQUIRED",IF($Z23="FAIL — PEW REFERRAL","PEW REFERRAL INCOMPLETE",IF(AND(OR($Y23="Rejected",$Y23="Closed",$Y23="Removed"),OR($AO23="",$AP23="",$AQ23="")),"CLOSURE REQUIRED",IF(AND($AB23&lt;TODAY(),NOT(OR($Y23="Rejected",$Y23="Closed",$Y23="Removed"))),"OVERDUE",IF(OR($Y23="Rejected",$Y23="Closed",$Y23="Removed"),"CLOSED","OPEN — ON TRACK"))))))))))))</x:f>
        <x:v>OVERDUE</x:v>
      </x:c>
      <x:c r="AL23" s="1253" t="str">
        <x:f>IF($AK23="","",IFERROR(INDEX('97 RCC Lists'!$AM$5:$AM$16,MATCH($AK23,'97 RCC Lists'!$AL$5:$AL$16,0)),"Review candidate exception"))</x:f>
        <x:v>Complete or formally extend the overdue review</x:v>
      </x:c>
      <x:c r="AM23" s="1242" t="str">
        <x:v>Manufacturing-cycle recovery candidate requiring evidence on margins, balance sheet, demand, and competitive position.</x:v>
      </x:c>
      <x:c r="AN23" s="1242" t="str">
        <x:v>Barron's Aug. 21, 2026 manufacturing roundtable | https://www.barrons.com/articles/manufacturing-stocks-picks-roundtable-7c264514 | Source establishes consideration only; no Manifest validation or portfolio action.</x:v>
      </x:c>
      <x:c r="AO23" s="1242"/>
      <x:c r="AP23" s="1242"/>
      <x:c r="AQ23" s="1251"/>
    </x:row>
    <x:row r="24" ht="32" customHeight="1">
      <x:c r="A24" s="1242"/>
      <x:c r="B24" s="1251"/>
      <x:c r="C24" s="1242"/>
      <x:c r="D24" s="1243" t="str">
        <x:f>IF($C24="","",IFERROR(INDEX('23 RCC-004 MASR Registry'!$C$14:$C$163,MATCH($C24,'23 RCC-004 MASR Registry'!$B$14:$B$163,0)),""))</x:f>
      </x:c>
      <x:c r="E24" s="1242"/>
      <x:c r="F24" s="1242"/>
      <x:c r="G24" s="1242"/>
      <x:c r="H24" s="1242"/>
      <x:c r="I24" s="1243" t="str">
        <x:f>IF($C24="","",IFERROR(INDEX('23 RCC-004 MASR Registry'!$G$14:$G$163,MATCH($C24,'23 RCC-004 MASR Registry'!$B$14:$B$163,0)),""))</x:f>
      </x:c>
      <x:c r="J24" s="1243" t="str">
        <x:f>IF($C24="","",IFERROR(INDEX('23 RCC-004 MASR Registry'!$H$14:$H$163,MATCH($C24,'23 RCC-004 MASR Registry'!$B$14:$B$163,0)),""))</x:f>
      </x:c>
      <x:c r="K24" s="1243" t="str">
        <x:f>IF($C24="","",IFERROR(INDEX('23 RCC-004 MASR Registry'!$D$14:$D$163,MATCH($C24,'23 RCC-004 MASR Registry'!$B$14:$B$163,0)),""))</x:f>
      </x:c>
      <x:c r="L24" s="1243" t="str">
        <x:f>IF($C24="","",IFERROR(INDEX('23 RCC-004 MASR Registry'!$E$14:$E$163,MATCH($C24,'23 RCC-004 MASR Registry'!$B$14:$B$163,0)),""))</x:f>
      </x:c>
      <x:c r="M24" s="1243" t="str">
        <x:f>IF($C24="","",IFERROR(INDEX('23 RCC-004 MASR Registry'!$X$14:$X$163,MATCH($C24,'23 RCC-004 MASR Registry'!$B$14:$B$163,0)),""))</x:f>
      </x:c>
      <x:c r="N24" s="1243" t="str">
        <x:f>IF($C24="","",IFERROR(INDEX('23 RCC-004 MASR Registry'!$Y$14:$Y$163,MATCH($C24,'23 RCC-004 MASR Registry'!$B$14:$B$163,0)),""))</x:f>
      </x:c>
      <x:c r="O24" s="1243" t="str">
        <x:f>IF($C24="","",IFERROR(INDEX('23 RCC-004 MASR Registry'!$L$14:$L$163,MATCH($C24,'23 RCC-004 MASR Registry'!$B$14:$B$163,0)),""))</x:f>
      </x:c>
      <x:c r="P24" s="1243" t="str">
        <x:f>IF($C24="","",IFERROR(INDEX('23 RCC-004 MASR Registry'!$M$14:$M$163,MATCH($C24,'23 RCC-004 MASR Registry'!$B$14:$B$163,0)),""))</x:f>
      </x:c>
      <x:c r="Q24" s="1246" t="str">
        <x:f>IF($C24="","",IFERROR(INDEX('23 RCC-004 MASR Registry'!$N$14:$N$163,MATCH($C24,'23 RCC-004 MASR Registry'!$B$14:$B$163,0)),""))</x:f>
      </x:c>
      <x:c r="R24" s="1246" t="str">
        <x:f>IF($C24="","",IFERROR(INDEX('23 RCC-004 MASR Registry'!$O$14:$O$163,MATCH($C24,'23 RCC-004 MASR Registry'!$B$14:$B$163,0)),""))</x:f>
      </x:c>
      <x:c r="S24" s="1246" t="str">
        <x:f>IF($C24="","",IFERROR(INDEX('23 RCC-004 MASR Registry'!$W$14:$W$163,MATCH($C24,'23 RCC-004 MASR Registry'!$B$14:$B$163,0)),""))</x:f>
      </x:c>
      <x:c r="T24" s="1246" t="str">
        <x:f>IF($C24="","",IFERROR(INDEX('23 RCC-004 MASR Registry'!$T$14:$T$163,MATCH($C24,'23 RCC-004 MASR Registry'!$B$14:$B$163,0)),""))</x:f>
      </x:c>
      <x:c r="U24" s="1247" t="str">
        <x:f>IF($C24="","",IFERROR(INDEX('23 RCC-004 MASR Registry'!$U$14:$U$163,MATCH($C24,'23 RCC-004 MASR Registry'!$B$14:$B$163,0)),""))</x:f>
      </x:c>
      <x:c r="V24" s="1243" t="str">
        <x:f>IF($C24="","",IFERROR(INDEX('23 RCC-004 MASR Registry'!$V$14:$V$163,MATCH($C24,'23 RCC-004 MASR Registry'!$B$14:$B$163,0)),""))</x:f>
      </x:c>
      <x:c r="W24" s="1242"/>
      <x:c r="X24" s="1247" t="str">
        <x:f>IF($C24="","",COUNTIF('18 RCC-002 Evidence Ledger'!$E$14:$E$213,$C24))</x:f>
      </x:c>
      <x:c r="Y24" s="1242"/>
      <x:c r="Z24" s="1244" t="str">
        <x:f>IF($A24="","",IF(COUNTIF($A$14:$A$213,$A24)&gt;1,"FAIL — DUPLICATE ID",IF(OR($B24="",$C24="",$E24="",$H24="",$Y24="",$AA24="",$AB24=""),"FAIL — INCOMPLETE",IF(AND(OR($Y24="MIAR Review",$Y24="Eligibility Review",$Y24="Candidate Comparison",$Y24="Committee Review",$Y24="Approved for MASR",$Y24="Referred to PEW-004",$Y24="On Watch",$Y24="Rejected",$Y24="Closed",$Y24="Removed"),$K24=""),"FAIL — MASR RECORD REQUIRED",IF(AND(OR($Y24="Eligibility Review",$Y24="Candidate Comparison",$Y24="Committee Review",$Y24="Approved for MASR",$Y24="Referred to PEW-004",$Y24="On Watch"),NOT(OR($M24="ELIGIBLE",$M24="ELIGIBLE WITH EXCEPTION",$M24="CERTIFIED HOLDING"))),"FAIL — ELIGIBILITY",IF(AND(OR($Y24="Candidate Comparison",$Y24="Committee Review",$Y24="Approved for MASR",$Y24="Referred to PEW-004",$Y24="On Watch"),$X24=0),"FAIL — EVIDENCE",IF(AND(OR($Y24="Candidate Comparison",$Y24="Committee Review",$Y24="Approved for MASR",$Y24="Referred to PEW-004",$Y24="On Watch"),OR($O24&lt;&gt;"Active",$P24&lt;&gt;"CURRENT")),"FAIL — MIAR GATE",IF(AND(OR($Y24="Approved for MASR",$Y24="Referred to PEW-004",$Y24="On Watch",$Y24="Rejected",$Y24="Closed",$Y24="Removed"),OR($AD24="",$AD24="Pending")),"FAIL — COMMITTEE DISPOSITION",IF(AND($Y24="Referred to PEW-004",OR($AF24&lt;&gt;"Yes — Refer to PEW-004",$AG24="",$AJ24="")),"FAIL — PEW REFERRAL","PASS — STAGE GATE")))))))))</x:f>
      </x:c>
      <x:c r="AA24" s="1242"/>
      <x:c r="AB24" s="1251"/>
      <x:c r="AC24" s="1250" t="str">
        <x:f>IF($B24="","",IF($AQ24&lt;&gt;"",$AQ24-$B24,TODAY()-$B24))</x:f>
      </x:c>
      <x:c r="AD24" s="1242"/>
      <x:c r="AE24" s="1251"/>
      <x:c r="AF24" s="1242"/>
      <x:c r="AG24" s="1242"/>
      <x:c r="AH24" s="1246" t="str">
        <x:f>IF($AG24="","",IFERROR(INDEX('10 Candidate Comparison'!$T$14:$T$33,MATCH($AG24,'10 Candidate Comparison'!$A$14:$A$33,0)),""))</x:f>
      </x:c>
      <x:c r="AI24" s="1243" t="str">
        <x:f>IF($AG24="","",IFERROR(INDEX('10 Candidate Comparison'!$U$14:$U$33,MATCH($AG24,'10 Candidate Comparison'!$A$14:$A$33,0)),""))</x:f>
      </x:c>
      <x:c r="AJ24" s="1243" t="str">
        <x:f>IF($AG24="","",IFERROR(INDEX('10 Candidate Comparison'!$Y$14:$Y$33,MATCH($AG24,'10 Candidate Comparison'!$A$14:$A$33,0)),""))</x:f>
      </x:c>
      <x:c r="AK24" s="1244" t="str">
        <x:f>IF($A24="","",IF($Z24="FAIL — DUPLICATE ID","DUPLICATE CANDIDATE ID",IF($Z24="FAIL — INCOMPLETE","INCOMPLETE",IF($Z24="FAIL — MASR RECORD REQUIRED","MASR RECORD REQUIRED",IF($Z24="FAIL — ELIGIBILITY","ELIGIBILITY BLOCK",IF($Z24="FAIL — EVIDENCE","EVIDENCE REQUIRED",IF($Z24="FAIL — MIAR GATE","MIAR GATE BLOCK",IF($Z24="FAIL — COMMITTEE DISPOSITION","COMMITTEE DECISION REQUIRED",IF($Z24="FAIL — PEW REFERRAL","PEW REFERRAL INCOMPLETE",IF(AND(OR($Y24="Rejected",$Y24="Closed",$Y24="Removed"),OR($AO24="",$AP24="",$AQ24="")),"CLOSURE REQUIRED",IF(AND($AB24&lt;TODAY(),NOT(OR($Y24="Rejected",$Y24="Closed",$Y24="Removed"))),"OVERDUE",IF(OR($Y24="Rejected",$Y24="Closed",$Y24="Removed"),"CLOSED","OPEN — ON TRACK"))))))))))))</x:f>
      </x:c>
      <x:c r="AL24" s="1244" t="str">
        <x:f>IF($AK24="","",IFERROR(INDEX('97 RCC Lists'!$AM$5:$AM$16,MATCH($AK24,'97 RCC Lists'!$AL$5:$AL$16,0)),"Review candidate exception"))</x:f>
      </x:c>
      <x:c r="AM24" s="1242"/>
      <x:c r="AN24" s="1242"/>
      <x:c r="AO24" s="1242"/>
      <x:c r="AP24" s="1242"/>
      <x:c r="AQ24" s="1251"/>
    </x:row>
    <x:row r="25" ht="32" customHeight="1">
      <x:c r="A25" s="1242"/>
      <x:c r="B25" s="1251"/>
      <x:c r="C25" s="1242"/>
      <x:c r="D25" s="1252" t="str">
        <x:f>IF($C25="","",IFERROR(INDEX('23 RCC-004 MASR Registry'!$C$14:$C$163,MATCH($C25,'23 RCC-004 MASR Registry'!$B$14:$B$163,0)),""))</x:f>
      </x:c>
      <x:c r="E25" s="1242"/>
      <x:c r="F25" s="1242"/>
      <x:c r="G25" s="1242"/>
      <x:c r="H25" s="1242"/>
      <x:c r="I25" s="1252" t="str">
        <x:f>IF($C25="","",IFERROR(INDEX('23 RCC-004 MASR Registry'!$G$14:$G$163,MATCH($C25,'23 RCC-004 MASR Registry'!$B$14:$B$163,0)),""))</x:f>
      </x:c>
      <x:c r="J25" s="1252" t="str">
        <x:f>IF($C25="","",IFERROR(INDEX('23 RCC-004 MASR Registry'!$H$14:$H$163,MATCH($C25,'23 RCC-004 MASR Registry'!$B$14:$B$163,0)),""))</x:f>
      </x:c>
      <x:c r="K25" s="1252" t="str">
        <x:f>IF($C25="","",IFERROR(INDEX('23 RCC-004 MASR Registry'!$D$14:$D$163,MATCH($C25,'23 RCC-004 MASR Registry'!$B$14:$B$163,0)),""))</x:f>
      </x:c>
      <x:c r="L25" s="1252" t="str">
        <x:f>IF($C25="","",IFERROR(INDEX('23 RCC-004 MASR Registry'!$E$14:$E$163,MATCH($C25,'23 RCC-004 MASR Registry'!$B$14:$B$163,0)),""))</x:f>
      </x:c>
      <x:c r="M25" s="1252" t="str">
        <x:f>IF($C25="","",IFERROR(INDEX('23 RCC-004 MASR Registry'!$X$14:$X$163,MATCH($C25,'23 RCC-004 MASR Registry'!$B$14:$B$163,0)),""))</x:f>
      </x:c>
      <x:c r="N25" s="1252" t="str">
        <x:f>IF($C25="","",IFERROR(INDEX('23 RCC-004 MASR Registry'!$Y$14:$Y$163,MATCH($C25,'23 RCC-004 MASR Registry'!$B$14:$B$163,0)),""))</x:f>
      </x:c>
      <x:c r="O25" s="1252" t="str">
        <x:f>IF($C25="","",IFERROR(INDEX('23 RCC-004 MASR Registry'!$L$14:$L$163,MATCH($C25,'23 RCC-004 MASR Registry'!$B$14:$B$163,0)),""))</x:f>
      </x:c>
      <x:c r="P25" s="1252" t="str">
        <x:f>IF($C25="","",IFERROR(INDEX('23 RCC-004 MASR Registry'!$M$14:$M$163,MATCH($C25,'23 RCC-004 MASR Registry'!$B$14:$B$163,0)),""))</x:f>
      </x:c>
      <x:c r="Q25" s="1255" t="str">
        <x:f>IF($C25="","",IFERROR(INDEX('23 RCC-004 MASR Registry'!$N$14:$N$163,MATCH($C25,'23 RCC-004 MASR Registry'!$B$14:$B$163,0)),""))</x:f>
      </x:c>
      <x:c r="R25" s="1255" t="str">
        <x:f>IF($C25="","",IFERROR(INDEX('23 RCC-004 MASR Registry'!$O$14:$O$163,MATCH($C25,'23 RCC-004 MASR Registry'!$B$14:$B$163,0)),""))</x:f>
      </x:c>
      <x:c r="S25" s="1255" t="str">
        <x:f>IF($C25="","",IFERROR(INDEX('23 RCC-004 MASR Registry'!$W$14:$W$163,MATCH($C25,'23 RCC-004 MASR Registry'!$B$14:$B$163,0)),""))</x:f>
      </x:c>
      <x:c r="T25" s="1255" t="str">
        <x:f>IF($C25="","",IFERROR(INDEX('23 RCC-004 MASR Registry'!$T$14:$T$163,MATCH($C25,'23 RCC-004 MASR Registry'!$B$14:$B$163,0)),""))</x:f>
      </x:c>
      <x:c r="U25" s="1256" t="str">
        <x:f>IF($C25="","",IFERROR(INDEX('23 RCC-004 MASR Registry'!$U$14:$U$163,MATCH($C25,'23 RCC-004 MASR Registry'!$B$14:$B$163,0)),""))</x:f>
      </x:c>
      <x:c r="V25" s="1252" t="str">
        <x:f>IF($C25="","",IFERROR(INDEX('23 RCC-004 MASR Registry'!$V$14:$V$163,MATCH($C25,'23 RCC-004 MASR Registry'!$B$14:$B$163,0)),""))</x:f>
      </x:c>
      <x:c r="W25" s="1242"/>
      <x:c r="X25" s="1256" t="str">
        <x:f>IF($C25="","",COUNTIF('18 RCC-002 Evidence Ledger'!$E$14:$E$213,$C25))</x:f>
      </x:c>
      <x:c r="Y25" s="1242"/>
      <x:c r="Z25" s="1253" t="str">
        <x:f>IF($A25="","",IF(COUNTIF($A$14:$A$213,$A25)&gt;1,"FAIL — DUPLICATE ID",IF(OR($B25="",$C25="",$E25="",$H25="",$Y25="",$AA25="",$AB25=""),"FAIL — INCOMPLETE",IF(AND(OR($Y25="MIAR Review",$Y25="Eligibility Review",$Y25="Candidate Comparison",$Y25="Committee Review",$Y25="Approved for MASR",$Y25="Referred to PEW-004",$Y25="On Watch",$Y25="Rejected",$Y25="Closed",$Y25="Removed"),$K25=""),"FAIL — MASR RECORD REQUIRED",IF(AND(OR($Y25="Eligibility Review",$Y25="Candidate Comparison",$Y25="Committee Review",$Y25="Approved for MASR",$Y25="Referred to PEW-004",$Y25="On Watch"),NOT(OR($M25="ELIGIBLE",$M25="ELIGIBLE WITH EXCEPTION",$M25="CERTIFIED HOLDING"))),"FAIL — ELIGIBILITY",IF(AND(OR($Y25="Candidate Comparison",$Y25="Committee Review",$Y25="Approved for MASR",$Y25="Referred to PEW-004",$Y25="On Watch"),$X25=0),"FAIL — EVIDENCE",IF(AND(OR($Y25="Candidate Comparison",$Y25="Committee Review",$Y25="Approved for MASR",$Y25="Referred to PEW-004",$Y25="On Watch"),OR($O25&lt;&gt;"Active",$P25&lt;&gt;"CURRENT")),"FAIL — MIAR GATE",IF(AND(OR($Y25="Approved for MASR",$Y25="Referred to PEW-004",$Y25="On Watch",$Y25="Rejected",$Y25="Closed",$Y25="Removed"),OR($AD25="",$AD25="Pending")),"FAIL — COMMITTEE DISPOSITION",IF(AND($Y25="Referred to PEW-004",OR($AF25&lt;&gt;"Yes — Refer to PEW-004",$AG25="",$AJ25="")),"FAIL — PEW REFERRAL","PASS — STAGE GATE")))))))))</x:f>
      </x:c>
      <x:c r="AA25" s="1242"/>
      <x:c r="AB25" s="1251"/>
      <x:c r="AC25" s="1257" t="str">
        <x:f>IF($B25="","",IF($AQ25&lt;&gt;"",$AQ25-$B25,TODAY()-$B25))</x:f>
      </x:c>
      <x:c r="AD25" s="1242"/>
      <x:c r="AE25" s="1251"/>
      <x:c r="AF25" s="1242"/>
      <x:c r="AG25" s="1242"/>
      <x:c r="AH25" s="1255" t="str">
        <x:f>IF($AG25="","",IFERROR(INDEX('10 Candidate Comparison'!$T$14:$T$33,MATCH($AG25,'10 Candidate Comparison'!$A$14:$A$33,0)),""))</x:f>
      </x:c>
      <x:c r="AI25" s="1252" t="str">
        <x:f>IF($AG25="","",IFERROR(INDEX('10 Candidate Comparison'!$U$14:$U$33,MATCH($AG25,'10 Candidate Comparison'!$A$14:$A$33,0)),""))</x:f>
      </x:c>
      <x:c r="AJ25" s="1252" t="str">
        <x:f>IF($AG25="","",IFERROR(INDEX('10 Candidate Comparison'!$Y$14:$Y$33,MATCH($AG25,'10 Candidate Comparison'!$A$14:$A$33,0)),""))</x:f>
      </x:c>
      <x:c r="AK25" s="1253" t="str">
        <x:f>IF($A25="","",IF($Z25="FAIL — DUPLICATE ID","DUPLICATE CANDIDATE ID",IF($Z25="FAIL — INCOMPLETE","INCOMPLETE",IF($Z25="FAIL — MASR RECORD REQUIRED","MASR RECORD REQUIRED",IF($Z25="FAIL — ELIGIBILITY","ELIGIBILITY BLOCK",IF($Z25="FAIL — EVIDENCE","EVIDENCE REQUIRED",IF($Z25="FAIL — MIAR GATE","MIAR GATE BLOCK",IF($Z25="FAIL — COMMITTEE DISPOSITION","COMMITTEE DECISION REQUIRED",IF($Z25="FAIL — PEW REFERRAL","PEW REFERRAL INCOMPLETE",IF(AND(OR($Y25="Rejected",$Y25="Closed",$Y25="Removed"),OR($AO25="",$AP25="",$AQ25="")),"CLOSURE REQUIRED",IF(AND($AB25&lt;TODAY(),NOT(OR($Y25="Rejected",$Y25="Closed",$Y25="Removed"))),"OVERDUE",IF(OR($Y25="Rejected",$Y25="Closed",$Y25="Removed"),"CLOSED","OPEN — ON TRACK"))))))))))))</x:f>
      </x:c>
      <x:c r="AL25" s="1253" t="str">
        <x:f>IF($AK25="","",IFERROR(INDEX('97 RCC Lists'!$AM$5:$AM$16,MATCH($AK25,'97 RCC Lists'!$AL$5:$AL$16,0)),"Review candidate exception"))</x:f>
      </x:c>
      <x:c r="AM25" s="1242"/>
      <x:c r="AN25" s="1242"/>
      <x:c r="AO25" s="1242"/>
      <x:c r="AP25" s="1242"/>
      <x:c r="AQ25" s="1251"/>
    </x:row>
    <x:row r="26" ht="32" customHeight="1">
      <x:c r="A26" s="1242"/>
      <x:c r="B26" s="1251"/>
      <x:c r="C26" s="1242"/>
      <x:c r="D26" s="1243" t="str">
        <x:f>IF($C26="","",IFERROR(INDEX('23 RCC-004 MASR Registry'!$C$14:$C$163,MATCH($C26,'23 RCC-004 MASR Registry'!$B$14:$B$163,0)),""))</x:f>
      </x:c>
      <x:c r="E26" s="1242"/>
      <x:c r="F26" s="1242"/>
      <x:c r="G26" s="1242"/>
      <x:c r="H26" s="1242"/>
      <x:c r="I26" s="1243" t="str">
        <x:f>IF($C26="","",IFERROR(INDEX('23 RCC-004 MASR Registry'!$G$14:$G$163,MATCH($C26,'23 RCC-004 MASR Registry'!$B$14:$B$163,0)),""))</x:f>
      </x:c>
      <x:c r="J26" s="1243" t="str">
        <x:f>IF($C26="","",IFERROR(INDEX('23 RCC-004 MASR Registry'!$H$14:$H$163,MATCH($C26,'23 RCC-004 MASR Registry'!$B$14:$B$163,0)),""))</x:f>
      </x:c>
      <x:c r="K26" s="1243" t="str">
        <x:f>IF($C26="","",IFERROR(INDEX('23 RCC-004 MASR Registry'!$D$14:$D$163,MATCH($C26,'23 RCC-004 MASR Registry'!$B$14:$B$163,0)),""))</x:f>
      </x:c>
      <x:c r="L26" s="1243" t="str">
        <x:f>IF($C26="","",IFERROR(INDEX('23 RCC-004 MASR Registry'!$E$14:$E$163,MATCH($C26,'23 RCC-004 MASR Registry'!$B$14:$B$163,0)),""))</x:f>
      </x:c>
      <x:c r="M26" s="1243" t="str">
        <x:f>IF($C26="","",IFERROR(INDEX('23 RCC-004 MASR Registry'!$X$14:$X$163,MATCH($C26,'23 RCC-004 MASR Registry'!$B$14:$B$163,0)),""))</x:f>
      </x:c>
      <x:c r="N26" s="1243" t="str">
        <x:f>IF($C26="","",IFERROR(INDEX('23 RCC-004 MASR Registry'!$Y$14:$Y$163,MATCH($C26,'23 RCC-004 MASR Registry'!$B$14:$B$163,0)),""))</x:f>
      </x:c>
      <x:c r="O26" s="1243" t="str">
        <x:f>IF($C26="","",IFERROR(INDEX('23 RCC-004 MASR Registry'!$L$14:$L$163,MATCH($C26,'23 RCC-004 MASR Registry'!$B$14:$B$163,0)),""))</x:f>
      </x:c>
      <x:c r="P26" s="1243" t="str">
        <x:f>IF($C26="","",IFERROR(INDEX('23 RCC-004 MASR Registry'!$M$14:$M$163,MATCH($C26,'23 RCC-004 MASR Registry'!$B$14:$B$163,0)),""))</x:f>
      </x:c>
      <x:c r="Q26" s="1246" t="str">
        <x:f>IF($C26="","",IFERROR(INDEX('23 RCC-004 MASR Registry'!$N$14:$N$163,MATCH($C26,'23 RCC-004 MASR Registry'!$B$14:$B$163,0)),""))</x:f>
      </x:c>
      <x:c r="R26" s="1246" t="str">
        <x:f>IF($C26="","",IFERROR(INDEX('23 RCC-004 MASR Registry'!$O$14:$O$163,MATCH($C26,'23 RCC-004 MASR Registry'!$B$14:$B$163,0)),""))</x:f>
      </x:c>
      <x:c r="S26" s="1246" t="str">
        <x:f>IF($C26="","",IFERROR(INDEX('23 RCC-004 MASR Registry'!$W$14:$W$163,MATCH($C26,'23 RCC-004 MASR Registry'!$B$14:$B$163,0)),""))</x:f>
      </x:c>
      <x:c r="T26" s="1246" t="str">
        <x:f>IF($C26="","",IFERROR(INDEX('23 RCC-004 MASR Registry'!$T$14:$T$163,MATCH($C26,'23 RCC-004 MASR Registry'!$B$14:$B$163,0)),""))</x:f>
      </x:c>
      <x:c r="U26" s="1247" t="str">
        <x:f>IF($C26="","",IFERROR(INDEX('23 RCC-004 MASR Registry'!$U$14:$U$163,MATCH($C26,'23 RCC-004 MASR Registry'!$B$14:$B$163,0)),""))</x:f>
      </x:c>
      <x:c r="V26" s="1243" t="str">
        <x:f>IF($C26="","",IFERROR(INDEX('23 RCC-004 MASR Registry'!$V$14:$V$163,MATCH($C26,'23 RCC-004 MASR Registry'!$B$14:$B$163,0)),""))</x:f>
      </x:c>
      <x:c r="W26" s="1242"/>
      <x:c r="X26" s="1247" t="str">
        <x:f>IF($C26="","",COUNTIF('18 RCC-002 Evidence Ledger'!$E$14:$E$213,$C26))</x:f>
      </x:c>
      <x:c r="Y26" s="1242"/>
      <x:c r="Z26" s="1244" t="str">
        <x:f>IF($A26="","",IF(COUNTIF($A$14:$A$213,$A26)&gt;1,"FAIL — DUPLICATE ID",IF(OR($B26="",$C26="",$E26="",$H26="",$Y26="",$AA26="",$AB26=""),"FAIL — INCOMPLETE",IF(AND(OR($Y26="MIAR Review",$Y26="Eligibility Review",$Y26="Candidate Comparison",$Y26="Committee Review",$Y26="Approved for MASR",$Y26="Referred to PEW-004",$Y26="On Watch",$Y26="Rejected",$Y26="Closed",$Y26="Removed"),$K26=""),"FAIL — MASR RECORD REQUIRED",IF(AND(OR($Y26="Eligibility Review",$Y26="Candidate Comparison",$Y26="Committee Review",$Y26="Approved for MASR",$Y26="Referred to PEW-004",$Y26="On Watch"),NOT(OR($M26="ELIGIBLE",$M26="ELIGIBLE WITH EXCEPTION",$M26="CERTIFIED HOLDING"))),"FAIL — ELIGIBILITY",IF(AND(OR($Y26="Candidate Comparison",$Y26="Committee Review",$Y26="Approved for MASR",$Y26="Referred to PEW-004",$Y26="On Watch"),$X26=0),"FAIL — EVIDENCE",IF(AND(OR($Y26="Candidate Comparison",$Y26="Committee Review",$Y26="Approved for MASR",$Y26="Referred to PEW-004",$Y26="On Watch"),OR($O26&lt;&gt;"Active",$P26&lt;&gt;"CURRENT")),"FAIL — MIAR GATE",IF(AND(OR($Y26="Approved for MASR",$Y26="Referred to PEW-004",$Y26="On Watch",$Y26="Rejected",$Y26="Closed",$Y26="Removed"),OR($AD26="",$AD26="Pending")),"FAIL — COMMITTEE DISPOSITION",IF(AND($Y26="Referred to PEW-004",OR($AF26&lt;&gt;"Yes — Refer to PEW-004",$AG26="",$AJ26="")),"FAIL — PEW REFERRAL","PASS — STAGE GATE")))))))))</x:f>
      </x:c>
      <x:c r="AA26" s="1242"/>
      <x:c r="AB26" s="1251"/>
      <x:c r="AC26" s="1250" t="str">
        <x:f>IF($B26="","",IF($AQ26&lt;&gt;"",$AQ26-$B26,TODAY()-$B26))</x:f>
      </x:c>
      <x:c r="AD26" s="1242"/>
      <x:c r="AE26" s="1251"/>
      <x:c r="AF26" s="1242"/>
      <x:c r="AG26" s="1242"/>
      <x:c r="AH26" s="1246" t="str">
        <x:f>IF($AG26="","",IFERROR(INDEX('10 Candidate Comparison'!$T$14:$T$33,MATCH($AG26,'10 Candidate Comparison'!$A$14:$A$33,0)),""))</x:f>
      </x:c>
      <x:c r="AI26" s="1243" t="str">
        <x:f>IF($AG26="","",IFERROR(INDEX('10 Candidate Comparison'!$U$14:$U$33,MATCH($AG26,'10 Candidate Comparison'!$A$14:$A$33,0)),""))</x:f>
      </x:c>
      <x:c r="AJ26" s="1243" t="str">
        <x:f>IF($AG26="","",IFERROR(INDEX('10 Candidate Comparison'!$Y$14:$Y$33,MATCH($AG26,'10 Candidate Comparison'!$A$14:$A$33,0)),""))</x:f>
      </x:c>
      <x:c r="AK26" s="1244" t="str">
        <x:f>IF($A26="","",IF($Z26="FAIL — DUPLICATE ID","DUPLICATE CANDIDATE ID",IF($Z26="FAIL — INCOMPLETE","INCOMPLETE",IF($Z26="FAIL — MASR RECORD REQUIRED","MASR RECORD REQUIRED",IF($Z26="FAIL — ELIGIBILITY","ELIGIBILITY BLOCK",IF($Z26="FAIL — EVIDENCE","EVIDENCE REQUIRED",IF($Z26="FAIL — MIAR GATE","MIAR GATE BLOCK",IF($Z26="FAIL — COMMITTEE DISPOSITION","COMMITTEE DECISION REQUIRED",IF($Z26="FAIL — PEW REFERRAL","PEW REFERRAL INCOMPLETE",IF(AND(OR($Y26="Rejected",$Y26="Closed",$Y26="Removed"),OR($AO26="",$AP26="",$AQ26="")),"CLOSURE REQUIRED",IF(AND($AB26&lt;TODAY(),NOT(OR($Y26="Rejected",$Y26="Closed",$Y26="Removed"))),"OVERDUE",IF(OR($Y26="Rejected",$Y26="Closed",$Y26="Removed"),"CLOSED","OPEN — ON TRACK"))))))))))))</x:f>
      </x:c>
      <x:c r="AL26" s="1244" t="str">
        <x:f>IF($AK26="","",IFERROR(INDEX('97 RCC Lists'!$AM$5:$AM$16,MATCH($AK26,'97 RCC Lists'!$AL$5:$AL$16,0)),"Review candidate exception"))</x:f>
      </x:c>
      <x:c r="AM26" s="1242"/>
      <x:c r="AN26" s="1242"/>
      <x:c r="AO26" s="1242"/>
      <x:c r="AP26" s="1242"/>
      <x:c r="AQ26" s="1251"/>
    </x:row>
    <x:row r="27" ht="32" customHeight="1">
      <x:c r="A27" s="1242"/>
      <x:c r="B27" s="1251"/>
      <x:c r="C27" s="1242"/>
      <x:c r="D27" s="1252" t="str">
        <x:f>IF($C27="","",IFERROR(INDEX('23 RCC-004 MASR Registry'!$C$14:$C$163,MATCH($C27,'23 RCC-004 MASR Registry'!$B$14:$B$163,0)),""))</x:f>
      </x:c>
      <x:c r="E27" s="1242"/>
      <x:c r="F27" s="1242"/>
      <x:c r="G27" s="1242"/>
      <x:c r="H27" s="1242"/>
      <x:c r="I27" s="1252" t="str">
        <x:f>IF($C27="","",IFERROR(INDEX('23 RCC-004 MASR Registry'!$G$14:$G$163,MATCH($C27,'23 RCC-004 MASR Registry'!$B$14:$B$163,0)),""))</x:f>
      </x:c>
      <x:c r="J27" s="1252" t="str">
        <x:f>IF($C27="","",IFERROR(INDEX('23 RCC-004 MASR Registry'!$H$14:$H$163,MATCH($C27,'23 RCC-004 MASR Registry'!$B$14:$B$163,0)),""))</x:f>
      </x:c>
      <x:c r="K27" s="1252" t="str">
        <x:f>IF($C27="","",IFERROR(INDEX('23 RCC-004 MASR Registry'!$D$14:$D$163,MATCH($C27,'23 RCC-004 MASR Registry'!$B$14:$B$163,0)),""))</x:f>
      </x:c>
      <x:c r="L27" s="1252" t="str">
        <x:f>IF($C27="","",IFERROR(INDEX('23 RCC-004 MASR Registry'!$E$14:$E$163,MATCH($C27,'23 RCC-004 MASR Registry'!$B$14:$B$163,0)),""))</x:f>
      </x:c>
      <x:c r="M27" s="1252" t="str">
        <x:f>IF($C27="","",IFERROR(INDEX('23 RCC-004 MASR Registry'!$X$14:$X$163,MATCH($C27,'23 RCC-004 MASR Registry'!$B$14:$B$163,0)),""))</x:f>
      </x:c>
      <x:c r="N27" s="1252" t="str">
        <x:f>IF($C27="","",IFERROR(INDEX('23 RCC-004 MASR Registry'!$Y$14:$Y$163,MATCH($C27,'23 RCC-004 MASR Registry'!$B$14:$B$163,0)),""))</x:f>
      </x:c>
      <x:c r="O27" s="1252" t="str">
        <x:f>IF($C27="","",IFERROR(INDEX('23 RCC-004 MASR Registry'!$L$14:$L$163,MATCH($C27,'23 RCC-004 MASR Registry'!$B$14:$B$163,0)),""))</x:f>
      </x:c>
      <x:c r="P27" s="1252" t="str">
        <x:f>IF($C27="","",IFERROR(INDEX('23 RCC-004 MASR Registry'!$M$14:$M$163,MATCH($C27,'23 RCC-004 MASR Registry'!$B$14:$B$163,0)),""))</x:f>
      </x:c>
      <x:c r="Q27" s="1255" t="str">
        <x:f>IF($C27="","",IFERROR(INDEX('23 RCC-004 MASR Registry'!$N$14:$N$163,MATCH($C27,'23 RCC-004 MASR Registry'!$B$14:$B$163,0)),""))</x:f>
      </x:c>
      <x:c r="R27" s="1255" t="str">
        <x:f>IF($C27="","",IFERROR(INDEX('23 RCC-004 MASR Registry'!$O$14:$O$163,MATCH($C27,'23 RCC-004 MASR Registry'!$B$14:$B$163,0)),""))</x:f>
      </x:c>
      <x:c r="S27" s="1255" t="str">
        <x:f>IF($C27="","",IFERROR(INDEX('23 RCC-004 MASR Registry'!$W$14:$W$163,MATCH($C27,'23 RCC-004 MASR Registry'!$B$14:$B$163,0)),""))</x:f>
      </x:c>
      <x:c r="T27" s="1255" t="str">
        <x:f>IF($C27="","",IFERROR(INDEX('23 RCC-004 MASR Registry'!$T$14:$T$163,MATCH($C27,'23 RCC-004 MASR Registry'!$B$14:$B$163,0)),""))</x:f>
      </x:c>
      <x:c r="U27" s="1256" t="str">
        <x:f>IF($C27="","",IFERROR(INDEX('23 RCC-004 MASR Registry'!$U$14:$U$163,MATCH($C27,'23 RCC-004 MASR Registry'!$B$14:$B$163,0)),""))</x:f>
      </x:c>
      <x:c r="V27" s="1252" t="str">
        <x:f>IF($C27="","",IFERROR(INDEX('23 RCC-004 MASR Registry'!$V$14:$V$163,MATCH($C27,'23 RCC-004 MASR Registry'!$B$14:$B$163,0)),""))</x:f>
      </x:c>
      <x:c r="W27" s="1242"/>
      <x:c r="X27" s="1256" t="str">
        <x:f>IF($C27="","",COUNTIF('18 RCC-002 Evidence Ledger'!$E$14:$E$213,$C27))</x:f>
      </x:c>
      <x:c r="Y27" s="1242"/>
      <x:c r="Z27" s="1253" t="str">
        <x:f>IF($A27="","",IF(COUNTIF($A$14:$A$213,$A27)&gt;1,"FAIL — DUPLICATE ID",IF(OR($B27="",$C27="",$E27="",$H27="",$Y27="",$AA27="",$AB27=""),"FAIL — INCOMPLETE",IF(AND(OR($Y27="MIAR Review",$Y27="Eligibility Review",$Y27="Candidate Comparison",$Y27="Committee Review",$Y27="Approved for MASR",$Y27="Referred to PEW-004",$Y27="On Watch",$Y27="Rejected",$Y27="Closed",$Y27="Removed"),$K27=""),"FAIL — MASR RECORD REQUIRED",IF(AND(OR($Y27="Eligibility Review",$Y27="Candidate Comparison",$Y27="Committee Review",$Y27="Approved for MASR",$Y27="Referred to PEW-004",$Y27="On Watch"),NOT(OR($M27="ELIGIBLE",$M27="ELIGIBLE WITH EXCEPTION",$M27="CERTIFIED HOLDING"))),"FAIL — ELIGIBILITY",IF(AND(OR($Y27="Candidate Comparison",$Y27="Committee Review",$Y27="Approved for MASR",$Y27="Referred to PEW-004",$Y27="On Watch"),$X27=0),"FAIL — EVIDENCE",IF(AND(OR($Y27="Candidate Comparison",$Y27="Committee Review",$Y27="Approved for MASR",$Y27="Referred to PEW-004",$Y27="On Watch"),OR($O27&lt;&gt;"Active",$P27&lt;&gt;"CURRENT")),"FAIL — MIAR GATE",IF(AND(OR($Y27="Approved for MASR",$Y27="Referred to PEW-004",$Y27="On Watch",$Y27="Rejected",$Y27="Closed",$Y27="Removed"),OR($AD27="",$AD27="Pending")),"FAIL — COMMITTEE DISPOSITION",IF(AND($Y27="Referred to PEW-004",OR($AF27&lt;&gt;"Yes — Refer to PEW-004",$AG27="",$AJ27="")),"FAIL — PEW REFERRAL","PASS — STAGE GATE")))))))))</x:f>
      </x:c>
      <x:c r="AA27" s="1242"/>
      <x:c r="AB27" s="1251"/>
      <x:c r="AC27" s="1257" t="str">
        <x:f>IF($B27="","",IF($AQ27&lt;&gt;"",$AQ27-$B27,TODAY()-$B27))</x:f>
      </x:c>
      <x:c r="AD27" s="1242"/>
      <x:c r="AE27" s="1251"/>
      <x:c r="AF27" s="1242"/>
      <x:c r="AG27" s="1242"/>
      <x:c r="AH27" s="1255" t="str">
        <x:f>IF($AG27="","",IFERROR(INDEX('10 Candidate Comparison'!$T$14:$T$33,MATCH($AG27,'10 Candidate Comparison'!$A$14:$A$33,0)),""))</x:f>
      </x:c>
      <x:c r="AI27" s="1252" t="str">
        <x:f>IF($AG27="","",IFERROR(INDEX('10 Candidate Comparison'!$U$14:$U$33,MATCH($AG27,'10 Candidate Comparison'!$A$14:$A$33,0)),""))</x:f>
      </x:c>
      <x:c r="AJ27" s="1252" t="str">
        <x:f>IF($AG27="","",IFERROR(INDEX('10 Candidate Comparison'!$Y$14:$Y$33,MATCH($AG27,'10 Candidate Comparison'!$A$14:$A$33,0)),""))</x:f>
      </x:c>
      <x:c r="AK27" s="1253" t="str">
        <x:f>IF($A27="","",IF($Z27="FAIL — DUPLICATE ID","DUPLICATE CANDIDATE ID",IF($Z27="FAIL — INCOMPLETE","INCOMPLETE",IF($Z27="FAIL — MASR RECORD REQUIRED","MASR RECORD REQUIRED",IF($Z27="FAIL — ELIGIBILITY","ELIGIBILITY BLOCK",IF($Z27="FAIL — EVIDENCE","EVIDENCE REQUIRED",IF($Z27="FAIL — MIAR GATE","MIAR GATE BLOCK",IF($Z27="FAIL — COMMITTEE DISPOSITION","COMMITTEE DECISION REQUIRED",IF($Z27="FAIL — PEW REFERRAL","PEW REFERRAL INCOMPLETE",IF(AND(OR($Y27="Rejected",$Y27="Closed",$Y27="Removed"),OR($AO27="",$AP27="",$AQ27="")),"CLOSURE REQUIRED",IF(AND($AB27&lt;TODAY(),NOT(OR($Y27="Rejected",$Y27="Closed",$Y27="Removed"))),"OVERDUE",IF(OR($Y27="Rejected",$Y27="Closed",$Y27="Removed"),"CLOSED","OPEN — ON TRACK"))))))))))))</x:f>
      </x:c>
      <x:c r="AL27" s="1253" t="str">
        <x:f>IF($AK27="","",IFERROR(INDEX('97 RCC Lists'!$AM$5:$AM$16,MATCH($AK27,'97 RCC Lists'!$AL$5:$AL$16,0)),"Review candidate exception"))</x:f>
      </x:c>
      <x:c r="AM27" s="1242"/>
      <x:c r="AN27" s="1242"/>
      <x:c r="AO27" s="1242"/>
      <x:c r="AP27" s="1242"/>
      <x:c r="AQ27" s="1251"/>
    </x:row>
    <x:row r="28" ht="32" customHeight="1">
      <x:c r="A28" s="1242"/>
      <x:c r="B28" s="1251"/>
      <x:c r="C28" s="1242"/>
      <x:c r="D28" s="1243" t="str">
        <x:f>IF($C28="","",IFERROR(INDEX('23 RCC-004 MASR Registry'!$C$14:$C$163,MATCH($C28,'23 RCC-004 MASR Registry'!$B$14:$B$163,0)),""))</x:f>
      </x:c>
      <x:c r="E28" s="1242"/>
      <x:c r="F28" s="1242"/>
      <x:c r="G28" s="1242"/>
      <x:c r="H28" s="1242"/>
      <x:c r="I28" s="1243" t="str">
        <x:f>IF($C28="","",IFERROR(INDEX('23 RCC-004 MASR Registry'!$G$14:$G$163,MATCH($C28,'23 RCC-004 MASR Registry'!$B$14:$B$163,0)),""))</x:f>
      </x:c>
      <x:c r="J28" s="1243" t="str">
        <x:f>IF($C28="","",IFERROR(INDEX('23 RCC-004 MASR Registry'!$H$14:$H$163,MATCH($C28,'23 RCC-004 MASR Registry'!$B$14:$B$163,0)),""))</x:f>
      </x:c>
      <x:c r="K28" s="1243" t="str">
        <x:f>IF($C28="","",IFERROR(INDEX('23 RCC-004 MASR Registry'!$D$14:$D$163,MATCH($C28,'23 RCC-004 MASR Registry'!$B$14:$B$163,0)),""))</x:f>
      </x:c>
      <x:c r="L28" s="1243" t="str">
        <x:f>IF($C28="","",IFERROR(INDEX('23 RCC-004 MASR Registry'!$E$14:$E$163,MATCH($C28,'23 RCC-004 MASR Registry'!$B$14:$B$163,0)),""))</x:f>
      </x:c>
      <x:c r="M28" s="1243" t="str">
        <x:f>IF($C28="","",IFERROR(INDEX('23 RCC-004 MASR Registry'!$X$14:$X$163,MATCH($C28,'23 RCC-004 MASR Registry'!$B$14:$B$163,0)),""))</x:f>
      </x:c>
      <x:c r="N28" s="1243" t="str">
        <x:f>IF($C28="","",IFERROR(INDEX('23 RCC-004 MASR Registry'!$Y$14:$Y$163,MATCH($C28,'23 RCC-004 MASR Registry'!$B$14:$B$163,0)),""))</x:f>
      </x:c>
      <x:c r="O28" s="1243" t="str">
        <x:f>IF($C28="","",IFERROR(INDEX('23 RCC-004 MASR Registry'!$L$14:$L$163,MATCH($C28,'23 RCC-004 MASR Registry'!$B$14:$B$163,0)),""))</x:f>
      </x:c>
      <x:c r="P28" s="1243" t="str">
        <x:f>IF($C28="","",IFERROR(INDEX('23 RCC-004 MASR Registry'!$M$14:$M$163,MATCH($C28,'23 RCC-004 MASR Registry'!$B$14:$B$163,0)),""))</x:f>
      </x:c>
      <x:c r="Q28" s="1246" t="str">
        <x:f>IF($C28="","",IFERROR(INDEX('23 RCC-004 MASR Registry'!$N$14:$N$163,MATCH($C28,'23 RCC-004 MASR Registry'!$B$14:$B$163,0)),""))</x:f>
      </x:c>
      <x:c r="R28" s="1246" t="str">
        <x:f>IF($C28="","",IFERROR(INDEX('23 RCC-004 MASR Registry'!$O$14:$O$163,MATCH($C28,'23 RCC-004 MASR Registry'!$B$14:$B$163,0)),""))</x:f>
      </x:c>
      <x:c r="S28" s="1246" t="str">
        <x:f>IF($C28="","",IFERROR(INDEX('23 RCC-004 MASR Registry'!$W$14:$W$163,MATCH($C28,'23 RCC-004 MASR Registry'!$B$14:$B$163,0)),""))</x:f>
      </x:c>
      <x:c r="T28" s="1246" t="str">
        <x:f>IF($C28="","",IFERROR(INDEX('23 RCC-004 MASR Registry'!$T$14:$T$163,MATCH($C28,'23 RCC-004 MASR Registry'!$B$14:$B$163,0)),""))</x:f>
      </x:c>
      <x:c r="U28" s="1247" t="str">
        <x:f>IF($C28="","",IFERROR(INDEX('23 RCC-004 MASR Registry'!$U$14:$U$163,MATCH($C28,'23 RCC-004 MASR Registry'!$B$14:$B$163,0)),""))</x:f>
      </x:c>
      <x:c r="V28" s="1243" t="str">
        <x:f>IF($C28="","",IFERROR(INDEX('23 RCC-004 MASR Registry'!$V$14:$V$163,MATCH($C28,'23 RCC-004 MASR Registry'!$B$14:$B$163,0)),""))</x:f>
      </x:c>
      <x:c r="W28" s="1242"/>
      <x:c r="X28" s="1247" t="str">
        <x:f>IF($C28="","",COUNTIF('18 RCC-002 Evidence Ledger'!$E$14:$E$213,$C28))</x:f>
      </x:c>
      <x:c r="Y28" s="1242"/>
      <x:c r="Z28" s="1244" t="str">
        <x:f>IF($A28="","",IF(COUNTIF($A$14:$A$213,$A28)&gt;1,"FAIL — DUPLICATE ID",IF(OR($B28="",$C28="",$E28="",$H28="",$Y28="",$AA28="",$AB28=""),"FAIL — INCOMPLETE",IF(AND(OR($Y28="MIAR Review",$Y28="Eligibility Review",$Y28="Candidate Comparison",$Y28="Committee Review",$Y28="Approved for MASR",$Y28="Referred to PEW-004",$Y28="On Watch",$Y28="Rejected",$Y28="Closed",$Y28="Removed"),$K28=""),"FAIL — MASR RECORD REQUIRED",IF(AND(OR($Y28="Eligibility Review",$Y28="Candidate Comparison",$Y28="Committee Review",$Y28="Approved for MASR",$Y28="Referred to PEW-004",$Y28="On Watch"),NOT(OR($M28="ELIGIBLE",$M28="ELIGIBLE WITH EXCEPTION",$M28="CERTIFIED HOLDING"))),"FAIL — ELIGIBILITY",IF(AND(OR($Y28="Candidate Comparison",$Y28="Committee Review",$Y28="Approved for MASR",$Y28="Referred to PEW-004",$Y28="On Watch"),$X28=0),"FAIL — EVIDENCE",IF(AND(OR($Y28="Candidate Comparison",$Y28="Committee Review",$Y28="Approved for MASR",$Y28="Referred to PEW-004",$Y28="On Watch"),OR($O28&lt;&gt;"Active",$P28&lt;&gt;"CURRENT")),"FAIL — MIAR GATE",IF(AND(OR($Y28="Approved for MASR",$Y28="Referred to PEW-004",$Y28="On Watch",$Y28="Rejected",$Y28="Closed",$Y28="Removed"),OR($AD28="",$AD28="Pending")),"FAIL — COMMITTEE DISPOSITION",IF(AND($Y28="Referred to PEW-004",OR($AF28&lt;&gt;"Yes — Refer to PEW-004",$AG28="",$AJ28="")),"FAIL — PEW REFERRAL","PASS — STAGE GATE")))))))))</x:f>
      </x:c>
      <x:c r="AA28" s="1242"/>
      <x:c r="AB28" s="1251"/>
      <x:c r="AC28" s="1250" t="str">
        <x:f>IF($B28="","",IF($AQ28&lt;&gt;"",$AQ28-$B28,TODAY()-$B28))</x:f>
      </x:c>
      <x:c r="AD28" s="1242"/>
      <x:c r="AE28" s="1251"/>
      <x:c r="AF28" s="1242"/>
      <x:c r="AG28" s="1242"/>
      <x:c r="AH28" s="1246" t="str">
        <x:f>IF($AG28="","",IFERROR(INDEX('10 Candidate Comparison'!$T$14:$T$33,MATCH($AG28,'10 Candidate Comparison'!$A$14:$A$33,0)),""))</x:f>
      </x:c>
      <x:c r="AI28" s="1243" t="str">
        <x:f>IF($AG28="","",IFERROR(INDEX('10 Candidate Comparison'!$U$14:$U$33,MATCH($AG28,'10 Candidate Comparison'!$A$14:$A$33,0)),""))</x:f>
      </x:c>
      <x:c r="AJ28" s="1243" t="str">
        <x:f>IF($AG28="","",IFERROR(INDEX('10 Candidate Comparison'!$Y$14:$Y$33,MATCH($AG28,'10 Candidate Comparison'!$A$14:$A$33,0)),""))</x:f>
      </x:c>
      <x:c r="AK28" s="1244" t="str">
        <x:f>IF($A28="","",IF($Z28="FAIL — DUPLICATE ID","DUPLICATE CANDIDATE ID",IF($Z28="FAIL — INCOMPLETE","INCOMPLETE",IF($Z28="FAIL — MASR RECORD REQUIRED","MASR RECORD REQUIRED",IF($Z28="FAIL — ELIGIBILITY","ELIGIBILITY BLOCK",IF($Z28="FAIL — EVIDENCE","EVIDENCE REQUIRED",IF($Z28="FAIL — MIAR GATE","MIAR GATE BLOCK",IF($Z28="FAIL — COMMITTEE DISPOSITION","COMMITTEE DECISION REQUIRED",IF($Z28="FAIL — PEW REFERRAL","PEW REFERRAL INCOMPLETE",IF(AND(OR($Y28="Rejected",$Y28="Closed",$Y28="Removed"),OR($AO28="",$AP28="",$AQ28="")),"CLOSURE REQUIRED",IF(AND($AB28&lt;TODAY(),NOT(OR($Y28="Rejected",$Y28="Closed",$Y28="Removed"))),"OVERDUE",IF(OR($Y28="Rejected",$Y28="Closed",$Y28="Removed"),"CLOSED","OPEN — ON TRACK"))))))))))))</x:f>
      </x:c>
      <x:c r="AL28" s="1244" t="str">
        <x:f>IF($AK28="","",IFERROR(INDEX('97 RCC Lists'!$AM$5:$AM$16,MATCH($AK28,'97 RCC Lists'!$AL$5:$AL$16,0)),"Review candidate exception"))</x:f>
      </x:c>
      <x:c r="AM28" s="1242"/>
      <x:c r="AN28" s="1242"/>
      <x:c r="AO28" s="1242"/>
      <x:c r="AP28" s="1242"/>
      <x:c r="AQ28" s="1251"/>
    </x:row>
    <x:row r="29" ht="32" customHeight="1">
      <x:c r="A29" s="1242"/>
      <x:c r="B29" s="1251"/>
      <x:c r="C29" s="1242"/>
      <x:c r="D29" s="1252" t="str">
        <x:f>IF($C29="","",IFERROR(INDEX('23 RCC-004 MASR Registry'!$C$14:$C$163,MATCH($C29,'23 RCC-004 MASR Registry'!$B$14:$B$163,0)),""))</x:f>
      </x:c>
      <x:c r="E29" s="1242"/>
      <x:c r="F29" s="1242"/>
      <x:c r="G29" s="1242"/>
      <x:c r="H29" s="1242"/>
      <x:c r="I29" s="1252" t="str">
        <x:f>IF($C29="","",IFERROR(INDEX('23 RCC-004 MASR Registry'!$G$14:$G$163,MATCH($C29,'23 RCC-004 MASR Registry'!$B$14:$B$163,0)),""))</x:f>
      </x:c>
      <x:c r="J29" s="1252" t="str">
        <x:f>IF($C29="","",IFERROR(INDEX('23 RCC-004 MASR Registry'!$H$14:$H$163,MATCH($C29,'23 RCC-004 MASR Registry'!$B$14:$B$163,0)),""))</x:f>
      </x:c>
      <x:c r="K29" s="1252" t="str">
        <x:f>IF($C29="","",IFERROR(INDEX('23 RCC-004 MASR Registry'!$D$14:$D$163,MATCH($C29,'23 RCC-004 MASR Registry'!$B$14:$B$163,0)),""))</x:f>
      </x:c>
      <x:c r="L29" s="1252" t="str">
        <x:f>IF($C29="","",IFERROR(INDEX('23 RCC-004 MASR Registry'!$E$14:$E$163,MATCH($C29,'23 RCC-004 MASR Registry'!$B$14:$B$163,0)),""))</x:f>
      </x:c>
      <x:c r="M29" s="1252" t="str">
        <x:f>IF($C29="","",IFERROR(INDEX('23 RCC-004 MASR Registry'!$X$14:$X$163,MATCH($C29,'23 RCC-004 MASR Registry'!$B$14:$B$163,0)),""))</x:f>
      </x:c>
      <x:c r="N29" s="1252" t="str">
        <x:f>IF($C29="","",IFERROR(INDEX('23 RCC-004 MASR Registry'!$Y$14:$Y$163,MATCH($C29,'23 RCC-004 MASR Registry'!$B$14:$B$163,0)),""))</x:f>
      </x:c>
      <x:c r="O29" s="1252" t="str">
        <x:f>IF($C29="","",IFERROR(INDEX('23 RCC-004 MASR Registry'!$L$14:$L$163,MATCH($C29,'23 RCC-004 MASR Registry'!$B$14:$B$163,0)),""))</x:f>
      </x:c>
      <x:c r="P29" s="1252" t="str">
        <x:f>IF($C29="","",IFERROR(INDEX('23 RCC-004 MASR Registry'!$M$14:$M$163,MATCH($C29,'23 RCC-004 MASR Registry'!$B$14:$B$163,0)),""))</x:f>
      </x:c>
      <x:c r="Q29" s="1255" t="str">
        <x:f>IF($C29="","",IFERROR(INDEX('23 RCC-004 MASR Registry'!$N$14:$N$163,MATCH($C29,'23 RCC-004 MASR Registry'!$B$14:$B$163,0)),""))</x:f>
      </x:c>
      <x:c r="R29" s="1255" t="str">
        <x:f>IF($C29="","",IFERROR(INDEX('23 RCC-004 MASR Registry'!$O$14:$O$163,MATCH($C29,'23 RCC-004 MASR Registry'!$B$14:$B$163,0)),""))</x:f>
      </x:c>
      <x:c r="S29" s="1255" t="str">
        <x:f>IF($C29="","",IFERROR(INDEX('23 RCC-004 MASR Registry'!$W$14:$W$163,MATCH($C29,'23 RCC-004 MASR Registry'!$B$14:$B$163,0)),""))</x:f>
      </x:c>
      <x:c r="T29" s="1255" t="str">
        <x:f>IF($C29="","",IFERROR(INDEX('23 RCC-004 MASR Registry'!$T$14:$T$163,MATCH($C29,'23 RCC-004 MASR Registry'!$B$14:$B$163,0)),""))</x:f>
      </x:c>
      <x:c r="U29" s="1256" t="str">
        <x:f>IF($C29="","",IFERROR(INDEX('23 RCC-004 MASR Registry'!$U$14:$U$163,MATCH($C29,'23 RCC-004 MASR Registry'!$B$14:$B$163,0)),""))</x:f>
      </x:c>
      <x:c r="V29" s="1252" t="str">
        <x:f>IF($C29="","",IFERROR(INDEX('23 RCC-004 MASR Registry'!$V$14:$V$163,MATCH($C29,'23 RCC-004 MASR Registry'!$B$14:$B$163,0)),""))</x:f>
      </x:c>
      <x:c r="W29" s="1242"/>
      <x:c r="X29" s="1256" t="str">
        <x:f>IF($C29="","",COUNTIF('18 RCC-002 Evidence Ledger'!$E$14:$E$213,$C29))</x:f>
      </x:c>
      <x:c r="Y29" s="1242"/>
      <x:c r="Z29" s="1253" t="str">
        <x:f>IF($A29="","",IF(COUNTIF($A$14:$A$213,$A29)&gt;1,"FAIL — DUPLICATE ID",IF(OR($B29="",$C29="",$E29="",$H29="",$Y29="",$AA29="",$AB29=""),"FAIL — INCOMPLETE",IF(AND(OR($Y29="MIAR Review",$Y29="Eligibility Review",$Y29="Candidate Comparison",$Y29="Committee Review",$Y29="Approved for MASR",$Y29="Referred to PEW-004",$Y29="On Watch",$Y29="Rejected",$Y29="Closed",$Y29="Removed"),$K29=""),"FAIL — MASR RECORD REQUIRED",IF(AND(OR($Y29="Eligibility Review",$Y29="Candidate Comparison",$Y29="Committee Review",$Y29="Approved for MASR",$Y29="Referred to PEW-004",$Y29="On Watch"),NOT(OR($M29="ELIGIBLE",$M29="ELIGIBLE WITH EXCEPTION",$M29="CERTIFIED HOLDING"))),"FAIL — ELIGIBILITY",IF(AND(OR($Y29="Candidate Comparison",$Y29="Committee Review",$Y29="Approved for MASR",$Y29="Referred to PEW-004",$Y29="On Watch"),$X29=0),"FAIL — EVIDENCE",IF(AND(OR($Y29="Candidate Comparison",$Y29="Committee Review",$Y29="Approved for MASR",$Y29="Referred to PEW-004",$Y29="On Watch"),OR($O29&lt;&gt;"Active",$P29&lt;&gt;"CURRENT")),"FAIL — MIAR GATE",IF(AND(OR($Y29="Approved for MASR",$Y29="Referred to PEW-004",$Y29="On Watch",$Y29="Rejected",$Y29="Closed",$Y29="Removed"),OR($AD29="",$AD29="Pending")),"FAIL — COMMITTEE DISPOSITION",IF(AND($Y29="Referred to PEW-004",OR($AF29&lt;&gt;"Yes — Refer to PEW-004",$AG29="",$AJ29="")),"FAIL — PEW REFERRAL","PASS — STAGE GATE")))))))))</x:f>
      </x:c>
      <x:c r="AA29" s="1242"/>
      <x:c r="AB29" s="1251"/>
      <x:c r="AC29" s="1257" t="str">
        <x:f>IF($B29="","",IF($AQ29&lt;&gt;"",$AQ29-$B29,TODAY()-$B29))</x:f>
      </x:c>
      <x:c r="AD29" s="1242"/>
      <x:c r="AE29" s="1251"/>
      <x:c r="AF29" s="1242"/>
      <x:c r="AG29" s="1242"/>
      <x:c r="AH29" s="1255" t="str">
        <x:f>IF($AG29="","",IFERROR(INDEX('10 Candidate Comparison'!$T$14:$T$33,MATCH($AG29,'10 Candidate Comparison'!$A$14:$A$33,0)),""))</x:f>
      </x:c>
      <x:c r="AI29" s="1252" t="str">
        <x:f>IF($AG29="","",IFERROR(INDEX('10 Candidate Comparison'!$U$14:$U$33,MATCH($AG29,'10 Candidate Comparison'!$A$14:$A$33,0)),""))</x:f>
      </x:c>
      <x:c r="AJ29" s="1252" t="str">
        <x:f>IF($AG29="","",IFERROR(INDEX('10 Candidate Comparison'!$Y$14:$Y$33,MATCH($AG29,'10 Candidate Comparison'!$A$14:$A$33,0)),""))</x:f>
      </x:c>
      <x:c r="AK29" s="1253" t="str">
        <x:f>IF($A29="","",IF($Z29="FAIL — DUPLICATE ID","DUPLICATE CANDIDATE ID",IF($Z29="FAIL — INCOMPLETE","INCOMPLETE",IF($Z29="FAIL — MASR RECORD REQUIRED","MASR RECORD REQUIRED",IF($Z29="FAIL — ELIGIBILITY","ELIGIBILITY BLOCK",IF($Z29="FAIL — EVIDENCE","EVIDENCE REQUIRED",IF($Z29="FAIL — MIAR GATE","MIAR GATE BLOCK",IF($Z29="FAIL — COMMITTEE DISPOSITION","COMMITTEE DECISION REQUIRED",IF($Z29="FAIL — PEW REFERRAL","PEW REFERRAL INCOMPLETE",IF(AND(OR($Y29="Rejected",$Y29="Closed",$Y29="Removed"),OR($AO29="",$AP29="",$AQ29="")),"CLOSURE REQUIRED",IF(AND($AB29&lt;TODAY(),NOT(OR($Y29="Rejected",$Y29="Closed",$Y29="Removed"))),"OVERDUE",IF(OR($Y29="Rejected",$Y29="Closed",$Y29="Removed"),"CLOSED","OPEN — ON TRACK"))))))))))))</x:f>
      </x:c>
      <x:c r="AL29" s="1253" t="str">
        <x:f>IF($AK29="","",IFERROR(INDEX('97 RCC Lists'!$AM$5:$AM$16,MATCH($AK29,'97 RCC Lists'!$AL$5:$AL$16,0)),"Review candidate exception"))</x:f>
      </x:c>
      <x:c r="AM29" s="1242"/>
      <x:c r="AN29" s="1242"/>
      <x:c r="AO29" s="1242"/>
      <x:c r="AP29" s="1242"/>
      <x:c r="AQ29" s="1251"/>
    </x:row>
    <x:row r="30" ht="32" customHeight="1">
      <x:c r="A30" s="1242"/>
      <x:c r="B30" s="1251"/>
      <x:c r="C30" s="1242"/>
      <x:c r="D30" s="1243" t="str">
        <x:f>IF($C30="","",IFERROR(INDEX('23 RCC-004 MASR Registry'!$C$14:$C$163,MATCH($C30,'23 RCC-004 MASR Registry'!$B$14:$B$163,0)),""))</x:f>
      </x:c>
      <x:c r="E30" s="1242"/>
      <x:c r="F30" s="1242"/>
      <x:c r="G30" s="1242"/>
      <x:c r="H30" s="1242"/>
      <x:c r="I30" s="1243" t="str">
        <x:f>IF($C30="","",IFERROR(INDEX('23 RCC-004 MASR Registry'!$G$14:$G$163,MATCH($C30,'23 RCC-004 MASR Registry'!$B$14:$B$163,0)),""))</x:f>
      </x:c>
      <x:c r="J30" s="1243" t="str">
        <x:f>IF($C30="","",IFERROR(INDEX('23 RCC-004 MASR Registry'!$H$14:$H$163,MATCH($C30,'23 RCC-004 MASR Registry'!$B$14:$B$163,0)),""))</x:f>
      </x:c>
      <x:c r="K30" s="1243" t="str">
        <x:f>IF($C30="","",IFERROR(INDEX('23 RCC-004 MASR Registry'!$D$14:$D$163,MATCH($C30,'23 RCC-004 MASR Registry'!$B$14:$B$163,0)),""))</x:f>
      </x:c>
      <x:c r="L30" s="1243" t="str">
        <x:f>IF($C30="","",IFERROR(INDEX('23 RCC-004 MASR Registry'!$E$14:$E$163,MATCH($C30,'23 RCC-004 MASR Registry'!$B$14:$B$163,0)),""))</x:f>
      </x:c>
      <x:c r="M30" s="1243" t="str">
        <x:f>IF($C30="","",IFERROR(INDEX('23 RCC-004 MASR Registry'!$X$14:$X$163,MATCH($C30,'23 RCC-004 MASR Registry'!$B$14:$B$163,0)),""))</x:f>
      </x:c>
      <x:c r="N30" s="1243" t="str">
        <x:f>IF($C30="","",IFERROR(INDEX('23 RCC-004 MASR Registry'!$Y$14:$Y$163,MATCH($C30,'23 RCC-004 MASR Registry'!$B$14:$B$163,0)),""))</x:f>
      </x:c>
      <x:c r="O30" s="1243" t="str">
        <x:f>IF($C30="","",IFERROR(INDEX('23 RCC-004 MASR Registry'!$L$14:$L$163,MATCH($C30,'23 RCC-004 MASR Registry'!$B$14:$B$163,0)),""))</x:f>
      </x:c>
      <x:c r="P30" s="1243" t="str">
        <x:f>IF($C30="","",IFERROR(INDEX('23 RCC-004 MASR Registry'!$M$14:$M$163,MATCH($C30,'23 RCC-004 MASR Registry'!$B$14:$B$163,0)),""))</x:f>
      </x:c>
      <x:c r="Q30" s="1246" t="str">
        <x:f>IF($C30="","",IFERROR(INDEX('23 RCC-004 MASR Registry'!$N$14:$N$163,MATCH($C30,'23 RCC-004 MASR Registry'!$B$14:$B$163,0)),""))</x:f>
      </x:c>
      <x:c r="R30" s="1246" t="str">
        <x:f>IF($C30="","",IFERROR(INDEX('23 RCC-004 MASR Registry'!$O$14:$O$163,MATCH($C30,'23 RCC-004 MASR Registry'!$B$14:$B$163,0)),""))</x:f>
      </x:c>
      <x:c r="S30" s="1246" t="str">
        <x:f>IF($C30="","",IFERROR(INDEX('23 RCC-004 MASR Registry'!$W$14:$W$163,MATCH($C30,'23 RCC-004 MASR Registry'!$B$14:$B$163,0)),""))</x:f>
      </x:c>
      <x:c r="T30" s="1246" t="str">
        <x:f>IF($C30="","",IFERROR(INDEX('23 RCC-004 MASR Registry'!$T$14:$T$163,MATCH($C30,'23 RCC-004 MASR Registry'!$B$14:$B$163,0)),""))</x:f>
      </x:c>
      <x:c r="U30" s="1247" t="str">
        <x:f>IF($C30="","",IFERROR(INDEX('23 RCC-004 MASR Registry'!$U$14:$U$163,MATCH($C30,'23 RCC-004 MASR Registry'!$B$14:$B$163,0)),""))</x:f>
      </x:c>
      <x:c r="V30" s="1243" t="str">
        <x:f>IF($C30="","",IFERROR(INDEX('23 RCC-004 MASR Registry'!$V$14:$V$163,MATCH($C30,'23 RCC-004 MASR Registry'!$B$14:$B$163,0)),""))</x:f>
      </x:c>
      <x:c r="W30" s="1242"/>
      <x:c r="X30" s="1247" t="str">
        <x:f>IF($C30="","",COUNTIF('18 RCC-002 Evidence Ledger'!$E$14:$E$213,$C30))</x:f>
      </x:c>
      <x:c r="Y30" s="1242"/>
      <x:c r="Z30" s="1244" t="str">
        <x:f>IF($A30="","",IF(COUNTIF($A$14:$A$213,$A30)&gt;1,"FAIL — DUPLICATE ID",IF(OR($B30="",$C30="",$E30="",$H30="",$Y30="",$AA30="",$AB30=""),"FAIL — INCOMPLETE",IF(AND(OR($Y30="MIAR Review",$Y30="Eligibility Review",$Y30="Candidate Comparison",$Y30="Committee Review",$Y30="Approved for MASR",$Y30="Referred to PEW-004",$Y30="On Watch",$Y30="Rejected",$Y30="Closed",$Y30="Removed"),$K30=""),"FAIL — MASR RECORD REQUIRED",IF(AND(OR($Y30="Eligibility Review",$Y30="Candidate Comparison",$Y30="Committee Review",$Y30="Approved for MASR",$Y30="Referred to PEW-004",$Y30="On Watch"),NOT(OR($M30="ELIGIBLE",$M30="ELIGIBLE WITH EXCEPTION",$M30="CERTIFIED HOLDING"))),"FAIL — ELIGIBILITY",IF(AND(OR($Y30="Candidate Comparison",$Y30="Committee Review",$Y30="Approved for MASR",$Y30="Referred to PEW-004",$Y30="On Watch"),$X30=0),"FAIL — EVIDENCE",IF(AND(OR($Y30="Candidate Comparison",$Y30="Committee Review",$Y30="Approved for MASR",$Y30="Referred to PEW-004",$Y30="On Watch"),OR($O30&lt;&gt;"Active",$P30&lt;&gt;"CURRENT")),"FAIL — MIAR GATE",IF(AND(OR($Y30="Approved for MASR",$Y30="Referred to PEW-004",$Y30="On Watch",$Y30="Rejected",$Y30="Closed",$Y30="Removed"),OR($AD30="",$AD30="Pending")),"FAIL — COMMITTEE DISPOSITION",IF(AND($Y30="Referred to PEW-004",OR($AF30&lt;&gt;"Yes — Refer to PEW-004",$AG30="",$AJ30="")),"FAIL — PEW REFERRAL","PASS — STAGE GATE")))))))))</x:f>
      </x:c>
      <x:c r="AA30" s="1242"/>
      <x:c r="AB30" s="1251"/>
      <x:c r="AC30" s="1250" t="str">
        <x:f>IF($B30="","",IF($AQ30&lt;&gt;"",$AQ30-$B30,TODAY()-$B30))</x:f>
      </x:c>
      <x:c r="AD30" s="1242"/>
      <x:c r="AE30" s="1251"/>
      <x:c r="AF30" s="1242"/>
      <x:c r="AG30" s="1242"/>
      <x:c r="AH30" s="1246" t="str">
        <x:f>IF($AG30="","",IFERROR(INDEX('10 Candidate Comparison'!$T$14:$T$33,MATCH($AG30,'10 Candidate Comparison'!$A$14:$A$33,0)),""))</x:f>
      </x:c>
      <x:c r="AI30" s="1243" t="str">
        <x:f>IF($AG30="","",IFERROR(INDEX('10 Candidate Comparison'!$U$14:$U$33,MATCH($AG30,'10 Candidate Comparison'!$A$14:$A$33,0)),""))</x:f>
      </x:c>
      <x:c r="AJ30" s="1243" t="str">
        <x:f>IF($AG30="","",IFERROR(INDEX('10 Candidate Comparison'!$Y$14:$Y$33,MATCH($AG30,'10 Candidate Comparison'!$A$14:$A$33,0)),""))</x:f>
      </x:c>
      <x:c r="AK30" s="1244" t="str">
        <x:f>IF($A30="","",IF($Z30="FAIL — DUPLICATE ID","DUPLICATE CANDIDATE ID",IF($Z30="FAIL — INCOMPLETE","INCOMPLETE",IF($Z30="FAIL — MASR RECORD REQUIRED","MASR RECORD REQUIRED",IF($Z30="FAIL — ELIGIBILITY","ELIGIBILITY BLOCK",IF($Z30="FAIL — EVIDENCE","EVIDENCE REQUIRED",IF($Z30="FAIL — MIAR GATE","MIAR GATE BLOCK",IF($Z30="FAIL — COMMITTEE DISPOSITION","COMMITTEE DECISION REQUIRED",IF($Z30="FAIL — PEW REFERRAL","PEW REFERRAL INCOMPLETE",IF(AND(OR($Y30="Rejected",$Y30="Closed",$Y30="Removed"),OR($AO30="",$AP30="",$AQ30="")),"CLOSURE REQUIRED",IF(AND($AB30&lt;TODAY(),NOT(OR($Y30="Rejected",$Y30="Closed",$Y30="Removed"))),"OVERDUE",IF(OR($Y30="Rejected",$Y30="Closed",$Y30="Removed"),"CLOSED","OPEN — ON TRACK"))))))))))))</x:f>
      </x:c>
      <x:c r="AL30" s="1244" t="str">
        <x:f>IF($AK30="","",IFERROR(INDEX('97 RCC Lists'!$AM$5:$AM$16,MATCH($AK30,'97 RCC Lists'!$AL$5:$AL$16,0)),"Review candidate exception"))</x:f>
      </x:c>
      <x:c r="AM30" s="1242"/>
      <x:c r="AN30" s="1242"/>
      <x:c r="AO30" s="1242"/>
      <x:c r="AP30" s="1242"/>
      <x:c r="AQ30" s="1251"/>
    </x:row>
    <x:row r="31" ht="32" customHeight="1">
      <x:c r="A31" s="1242"/>
      <x:c r="B31" s="1251"/>
      <x:c r="C31" s="1242"/>
      <x:c r="D31" s="1252" t="str">
        <x:f>IF($C31="","",IFERROR(INDEX('23 RCC-004 MASR Registry'!$C$14:$C$163,MATCH($C31,'23 RCC-004 MASR Registry'!$B$14:$B$163,0)),""))</x:f>
      </x:c>
      <x:c r="E31" s="1242"/>
      <x:c r="F31" s="1242"/>
      <x:c r="G31" s="1242"/>
      <x:c r="H31" s="1242"/>
      <x:c r="I31" s="1252" t="str">
        <x:f>IF($C31="","",IFERROR(INDEX('23 RCC-004 MASR Registry'!$G$14:$G$163,MATCH($C31,'23 RCC-004 MASR Registry'!$B$14:$B$163,0)),""))</x:f>
      </x:c>
      <x:c r="J31" s="1252" t="str">
        <x:f>IF($C31="","",IFERROR(INDEX('23 RCC-004 MASR Registry'!$H$14:$H$163,MATCH($C31,'23 RCC-004 MASR Registry'!$B$14:$B$163,0)),""))</x:f>
      </x:c>
      <x:c r="K31" s="1252" t="str">
        <x:f>IF($C31="","",IFERROR(INDEX('23 RCC-004 MASR Registry'!$D$14:$D$163,MATCH($C31,'23 RCC-004 MASR Registry'!$B$14:$B$163,0)),""))</x:f>
      </x:c>
      <x:c r="L31" s="1252" t="str">
        <x:f>IF($C31="","",IFERROR(INDEX('23 RCC-004 MASR Registry'!$E$14:$E$163,MATCH($C31,'23 RCC-004 MASR Registry'!$B$14:$B$163,0)),""))</x:f>
      </x:c>
      <x:c r="M31" s="1252" t="str">
        <x:f>IF($C31="","",IFERROR(INDEX('23 RCC-004 MASR Registry'!$X$14:$X$163,MATCH($C31,'23 RCC-004 MASR Registry'!$B$14:$B$163,0)),""))</x:f>
      </x:c>
      <x:c r="N31" s="1252" t="str">
        <x:f>IF($C31="","",IFERROR(INDEX('23 RCC-004 MASR Registry'!$Y$14:$Y$163,MATCH($C31,'23 RCC-004 MASR Registry'!$B$14:$B$163,0)),""))</x:f>
      </x:c>
      <x:c r="O31" s="1252" t="str">
        <x:f>IF($C31="","",IFERROR(INDEX('23 RCC-004 MASR Registry'!$L$14:$L$163,MATCH($C31,'23 RCC-004 MASR Registry'!$B$14:$B$163,0)),""))</x:f>
      </x:c>
      <x:c r="P31" s="1252" t="str">
        <x:f>IF($C31="","",IFERROR(INDEX('23 RCC-004 MASR Registry'!$M$14:$M$163,MATCH($C31,'23 RCC-004 MASR Registry'!$B$14:$B$163,0)),""))</x:f>
      </x:c>
      <x:c r="Q31" s="1255" t="str">
        <x:f>IF($C31="","",IFERROR(INDEX('23 RCC-004 MASR Registry'!$N$14:$N$163,MATCH($C31,'23 RCC-004 MASR Registry'!$B$14:$B$163,0)),""))</x:f>
      </x:c>
      <x:c r="R31" s="1255" t="str">
        <x:f>IF($C31="","",IFERROR(INDEX('23 RCC-004 MASR Registry'!$O$14:$O$163,MATCH($C31,'23 RCC-004 MASR Registry'!$B$14:$B$163,0)),""))</x:f>
      </x:c>
      <x:c r="S31" s="1255" t="str">
        <x:f>IF($C31="","",IFERROR(INDEX('23 RCC-004 MASR Registry'!$W$14:$W$163,MATCH($C31,'23 RCC-004 MASR Registry'!$B$14:$B$163,0)),""))</x:f>
      </x:c>
      <x:c r="T31" s="1255" t="str">
        <x:f>IF($C31="","",IFERROR(INDEX('23 RCC-004 MASR Registry'!$T$14:$T$163,MATCH($C31,'23 RCC-004 MASR Registry'!$B$14:$B$163,0)),""))</x:f>
      </x:c>
      <x:c r="U31" s="1256" t="str">
        <x:f>IF($C31="","",IFERROR(INDEX('23 RCC-004 MASR Registry'!$U$14:$U$163,MATCH($C31,'23 RCC-004 MASR Registry'!$B$14:$B$163,0)),""))</x:f>
      </x:c>
      <x:c r="V31" s="1252" t="str">
        <x:f>IF($C31="","",IFERROR(INDEX('23 RCC-004 MASR Registry'!$V$14:$V$163,MATCH($C31,'23 RCC-004 MASR Registry'!$B$14:$B$163,0)),""))</x:f>
      </x:c>
      <x:c r="W31" s="1242"/>
      <x:c r="X31" s="1256" t="str">
        <x:f>IF($C31="","",COUNTIF('18 RCC-002 Evidence Ledger'!$E$14:$E$213,$C31))</x:f>
      </x:c>
      <x:c r="Y31" s="1242"/>
      <x:c r="Z31" s="1253" t="str">
        <x:f>IF($A31="","",IF(COUNTIF($A$14:$A$213,$A31)&gt;1,"FAIL — DUPLICATE ID",IF(OR($B31="",$C31="",$E31="",$H31="",$Y31="",$AA31="",$AB31=""),"FAIL — INCOMPLETE",IF(AND(OR($Y31="MIAR Review",$Y31="Eligibility Review",$Y31="Candidate Comparison",$Y31="Committee Review",$Y31="Approved for MASR",$Y31="Referred to PEW-004",$Y31="On Watch",$Y31="Rejected",$Y31="Closed",$Y31="Removed"),$K31=""),"FAIL — MASR RECORD REQUIRED",IF(AND(OR($Y31="Eligibility Review",$Y31="Candidate Comparison",$Y31="Committee Review",$Y31="Approved for MASR",$Y31="Referred to PEW-004",$Y31="On Watch"),NOT(OR($M31="ELIGIBLE",$M31="ELIGIBLE WITH EXCEPTION",$M31="CERTIFIED HOLDING"))),"FAIL — ELIGIBILITY",IF(AND(OR($Y31="Candidate Comparison",$Y31="Committee Review",$Y31="Approved for MASR",$Y31="Referred to PEW-004",$Y31="On Watch"),$X31=0),"FAIL — EVIDENCE",IF(AND(OR($Y31="Candidate Comparison",$Y31="Committee Review",$Y31="Approved for MASR",$Y31="Referred to PEW-004",$Y31="On Watch"),OR($O31&lt;&gt;"Active",$P31&lt;&gt;"CURRENT")),"FAIL — MIAR GATE",IF(AND(OR($Y31="Approved for MASR",$Y31="Referred to PEW-004",$Y31="On Watch",$Y31="Rejected",$Y31="Closed",$Y31="Removed"),OR($AD31="",$AD31="Pending")),"FAIL — COMMITTEE DISPOSITION",IF(AND($Y31="Referred to PEW-004",OR($AF31&lt;&gt;"Yes — Refer to PEW-004",$AG31="",$AJ31="")),"FAIL — PEW REFERRAL","PASS — STAGE GATE")))))))))</x:f>
      </x:c>
      <x:c r="AA31" s="1242"/>
      <x:c r="AB31" s="1251"/>
      <x:c r="AC31" s="1257" t="str">
        <x:f>IF($B31="","",IF($AQ31&lt;&gt;"",$AQ31-$B31,TODAY()-$B31))</x:f>
      </x:c>
      <x:c r="AD31" s="1242"/>
      <x:c r="AE31" s="1251"/>
      <x:c r="AF31" s="1242"/>
      <x:c r="AG31" s="1242"/>
      <x:c r="AH31" s="1255" t="str">
        <x:f>IF($AG31="","",IFERROR(INDEX('10 Candidate Comparison'!$T$14:$T$33,MATCH($AG31,'10 Candidate Comparison'!$A$14:$A$33,0)),""))</x:f>
      </x:c>
      <x:c r="AI31" s="1252" t="str">
        <x:f>IF($AG31="","",IFERROR(INDEX('10 Candidate Comparison'!$U$14:$U$33,MATCH($AG31,'10 Candidate Comparison'!$A$14:$A$33,0)),""))</x:f>
      </x:c>
      <x:c r="AJ31" s="1252" t="str">
        <x:f>IF($AG31="","",IFERROR(INDEX('10 Candidate Comparison'!$Y$14:$Y$33,MATCH($AG31,'10 Candidate Comparison'!$A$14:$A$33,0)),""))</x:f>
      </x:c>
      <x:c r="AK31" s="1253" t="str">
        <x:f>IF($A31="","",IF($Z31="FAIL — DUPLICATE ID","DUPLICATE CANDIDATE ID",IF($Z31="FAIL — INCOMPLETE","INCOMPLETE",IF($Z31="FAIL — MASR RECORD REQUIRED","MASR RECORD REQUIRED",IF($Z31="FAIL — ELIGIBILITY","ELIGIBILITY BLOCK",IF($Z31="FAIL — EVIDENCE","EVIDENCE REQUIRED",IF($Z31="FAIL — MIAR GATE","MIAR GATE BLOCK",IF($Z31="FAIL — COMMITTEE DISPOSITION","COMMITTEE DECISION REQUIRED",IF($Z31="FAIL — PEW REFERRAL","PEW REFERRAL INCOMPLETE",IF(AND(OR($Y31="Rejected",$Y31="Closed",$Y31="Removed"),OR($AO31="",$AP31="",$AQ31="")),"CLOSURE REQUIRED",IF(AND($AB31&lt;TODAY(),NOT(OR($Y31="Rejected",$Y31="Closed",$Y31="Removed"))),"OVERDUE",IF(OR($Y31="Rejected",$Y31="Closed",$Y31="Removed"),"CLOSED","OPEN — ON TRACK"))))))))))))</x:f>
      </x:c>
      <x:c r="AL31" s="1253" t="str">
        <x:f>IF($AK31="","",IFERROR(INDEX('97 RCC Lists'!$AM$5:$AM$16,MATCH($AK31,'97 RCC Lists'!$AL$5:$AL$16,0)),"Review candidate exception"))</x:f>
      </x:c>
      <x:c r="AM31" s="1242"/>
      <x:c r="AN31" s="1242"/>
      <x:c r="AO31" s="1242"/>
      <x:c r="AP31" s="1242"/>
      <x:c r="AQ31" s="1251"/>
    </x:row>
    <x:row r="32" ht="32" customHeight="1">
      <x:c r="A32" s="1242"/>
      <x:c r="B32" s="1251"/>
      <x:c r="C32" s="1242"/>
      <x:c r="D32" s="1243" t="str">
        <x:f>IF($C32="","",IFERROR(INDEX('23 RCC-004 MASR Registry'!$C$14:$C$163,MATCH($C32,'23 RCC-004 MASR Registry'!$B$14:$B$163,0)),""))</x:f>
      </x:c>
      <x:c r="E32" s="1242"/>
      <x:c r="F32" s="1242"/>
      <x:c r="G32" s="1242"/>
      <x:c r="H32" s="1242"/>
      <x:c r="I32" s="1243" t="str">
        <x:f>IF($C32="","",IFERROR(INDEX('23 RCC-004 MASR Registry'!$G$14:$G$163,MATCH($C32,'23 RCC-004 MASR Registry'!$B$14:$B$163,0)),""))</x:f>
      </x:c>
      <x:c r="J32" s="1243" t="str">
        <x:f>IF($C32="","",IFERROR(INDEX('23 RCC-004 MASR Registry'!$H$14:$H$163,MATCH($C32,'23 RCC-004 MASR Registry'!$B$14:$B$163,0)),""))</x:f>
      </x:c>
      <x:c r="K32" s="1243" t="str">
        <x:f>IF($C32="","",IFERROR(INDEX('23 RCC-004 MASR Registry'!$D$14:$D$163,MATCH($C32,'23 RCC-004 MASR Registry'!$B$14:$B$163,0)),""))</x:f>
      </x:c>
      <x:c r="L32" s="1243" t="str">
        <x:f>IF($C32="","",IFERROR(INDEX('23 RCC-004 MASR Registry'!$E$14:$E$163,MATCH($C32,'23 RCC-004 MASR Registry'!$B$14:$B$163,0)),""))</x:f>
      </x:c>
      <x:c r="M32" s="1243" t="str">
        <x:f>IF($C32="","",IFERROR(INDEX('23 RCC-004 MASR Registry'!$X$14:$X$163,MATCH($C32,'23 RCC-004 MASR Registry'!$B$14:$B$163,0)),""))</x:f>
      </x:c>
      <x:c r="N32" s="1243" t="str">
        <x:f>IF($C32="","",IFERROR(INDEX('23 RCC-004 MASR Registry'!$Y$14:$Y$163,MATCH($C32,'23 RCC-004 MASR Registry'!$B$14:$B$163,0)),""))</x:f>
      </x:c>
      <x:c r="O32" s="1243" t="str">
        <x:f>IF($C32="","",IFERROR(INDEX('23 RCC-004 MASR Registry'!$L$14:$L$163,MATCH($C32,'23 RCC-004 MASR Registry'!$B$14:$B$163,0)),""))</x:f>
      </x:c>
      <x:c r="P32" s="1243" t="str">
        <x:f>IF($C32="","",IFERROR(INDEX('23 RCC-004 MASR Registry'!$M$14:$M$163,MATCH($C32,'23 RCC-004 MASR Registry'!$B$14:$B$163,0)),""))</x:f>
      </x:c>
      <x:c r="Q32" s="1246" t="str">
        <x:f>IF($C32="","",IFERROR(INDEX('23 RCC-004 MASR Registry'!$N$14:$N$163,MATCH($C32,'23 RCC-004 MASR Registry'!$B$14:$B$163,0)),""))</x:f>
      </x:c>
      <x:c r="R32" s="1246" t="str">
        <x:f>IF($C32="","",IFERROR(INDEX('23 RCC-004 MASR Registry'!$O$14:$O$163,MATCH($C32,'23 RCC-004 MASR Registry'!$B$14:$B$163,0)),""))</x:f>
      </x:c>
      <x:c r="S32" s="1246" t="str">
        <x:f>IF($C32="","",IFERROR(INDEX('23 RCC-004 MASR Registry'!$W$14:$W$163,MATCH($C32,'23 RCC-004 MASR Registry'!$B$14:$B$163,0)),""))</x:f>
      </x:c>
      <x:c r="T32" s="1246" t="str">
        <x:f>IF($C32="","",IFERROR(INDEX('23 RCC-004 MASR Registry'!$T$14:$T$163,MATCH($C32,'23 RCC-004 MASR Registry'!$B$14:$B$163,0)),""))</x:f>
      </x:c>
      <x:c r="U32" s="1247" t="str">
        <x:f>IF($C32="","",IFERROR(INDEX('23 RCC-004 MASR Registry'!$U$14:$U$163,MATCH($C32,'23 RCC-004 MASR Registry'!$B$14:$B$163,0)),""))</x:f>
      </x:c>
      <x:c r="V32" s="1243" t="str">
        <x:f>IF($C32="","",IFERROR(INDEX('23 RCC-004 MASR Registry'!$V$14:$V$163,MATCH($C32,'23 RCC-004 MASR Registry'!$B$14:$B$163,0)),""))</x:f>
      </x:c>
      <x:c r="W32" s="1242"/>
      <x:c r="X32" s="1247" t="str">
        <x:f>IF($C32="","",COUNTIF('18 RCC-002 Evidence Ledger'!$E$14:$E$213,$C32))</x:f>
      </x:c>
      <x:c r="Y32" s="1242"/>
      <x:c r="Z32" s="1244" t="str">
        <x:f>IF($A32="","",IF(COUNTIF($A$14:$A$213,$A32)&gt;1,"FAIL — DUPLICATE ID",IF(OR($B32="",$C32="",$E32="",$H32="",$Y32="",$AA32="",$AB32=""),"FAIL — INCOMPLETE",IF(AND(OR($Y32="MIAR Review",$Y32="Eligibility Review",$Y32="Candidate Comparison",$Y32="Committee Review",$Y32="Approved for MASR",$Y32="Referred to PEW-004",$Y32="On Watch",$Y32="Rejected",$Y32="Closed",$Y32="Removed"),$K32=""),"FAIL — MASR RECORD REQUIRED",IF(AND(OR($Y32="Eligibility Review",$Y32="Candidate Comparison",$Y32="Committee Review",$Y32="Approved for MASR",$Y32="Referred to PEW-004",$Y32="On Watch"),NOT(OR($M32="ELIGIBLE",$M32="ELIGIBLE WITH EXCEPTION",$M32="CERTIFIED HOLDING"))),"FAIL — ELIGIBILITY",IF(AND(OR($Y32="Candidate Comparison",$Y32="Committee Review",$Y32="Approved for MASR",$Y32="Referred to PEW-004",$Y32="On Watch"),$X32=0),"FAIL — EVIDENCE",IF(AND(OR($Y32="Candidate Comparison",$Y32="Committee Review",$Y32="Approved for MASR",$Y32="Referred to PEW-004",$Y32="On Watch"),OR($O32&lt;&gt;"Active",$P32&lt;&gt;"CURRENT")),"FAIL — MIAR GATE",IF(AND(OR($Y32="Approved for MASR",$Y32="Referred to PEW-004",$Y32="On Watch",$Y32="Rejected",$Y32="Closed",$Y32="Removed"),OR($AD32="",$AD32="Pending")),"FAIL — COMMITTEE DISPOSITION",IF(AND($Y32="Referred to PEW-004",OR($AF32&lt;&gt;"Yes — Refer to PEW-004",$AG32="",$AJ32="")),"FAIL — PEW REFERRAL","PASS — STAGE GATE")))))))))</x:f>
      </x:c>
      <x:c r="AA32" s="1242"/>
      <x:c r="AB32" s="1251"/>
      <x:c r="AC32" s="1250" t="str">
        <x:f>IF($B32="","",IF($AQ32&lt;&gt;"",$AQ32-$B32,TODAY()-$B32))</x:f>
      </x:c>
      <x:c r="AD32" s="1242"/>
      <x:c r="AE32" s="1251"/>
      <x:c r="AF32" s="1242"/>
      <x:c r="AG32" s="1242"/>
      <x:c r="AH32" s="1246" t="str">
        <x:f>IF($AG32="","",IFERROR(INDEX('10 Candidate Comparison'!$T$14:$T$33,MATCH($AG32,'10 Candidate Comparison'!$A$14:$A$33,0)),""))</x:f>
      </x:c>
      <x:c r="AI32" s="1243" t="str">
        <x:f>IF($AG32="","",IFERROR(INDEX('10 Candidate Comparison'!$U$14:$U$33,MATCH($AG32,'10 Candidate Comparison'!$A$14:$A$33,0)),""))</x:f>
      </x:c>
      <x:c r="AJ32" s="1243" t="str">
        <x:f>IF($AG32="","",IFERROR(INDEX('10 Candidate Comparison'!$Y$14:$Y$33,MATCH($AG32,'10 Candidate Comparison'!$A$14:$A$33,0)),""))</x:f>
      </x:c>
      <x:c r="AK32" s="1244" t="str">
        <x:f>IF($A32="","",IF($Z32="FAIL — DUPLICATE ID","DUPLICATE CANDIDATE ID",IF($Z32="FAIL — INCOMPLETE","INCOMPLETE",IF($Z32="FAIL — MASR RECORD REQUIRED","MASR RECORD REQUIRED",IF($Z32="FAIL — ELIGIBILITY","ELIGIBILITY BLOCK",IF($Z32="FAIL — EVIDENCE","EVIDENCE REQUIRED",IF($Z32="FAIL — MIAR GATE","MIAR GATE BLOCK",IF($Z32="FAIL — COMMITTEE DISPOSITION","COMMITTEE DECISION REQUIRED",IF($Z32="FAIL — PEW REFERRAL","PEW REFERRAL INCOMPLETE",IF(AND(OR($Y32="Rejected",$Y32="Closed",$Y32="Removed"),OR($AO32="",$AP32="",$AQ32="")),"CLOSURE REQUIRED",IF(AND($AB32&lt;TODAY(),NOT(OR($Y32="Rejected",$Y32="Closed",$Y32="Removed"))),"OVERDUE",IF(OR($Y32="Rejected",$Y32="Closed",$Y32="Removed"),"CLOSED","OPEN — ON TRACK"))))))))))))</x:f>
      </x:c>
      <x:c r="AL32" s="1244" t="str">
        <x:f>IF($AK32="","",IFERROR(INDEX('97 RCC Lists'!$AM$5:$AM$16,MATCH($AK32,'97 RCC Lists'!$AL$5:$AL$16,0)),"Review candidate exception"))</x:f>
      </x:c>
      <x:c r="AM32" s="1242"/>
      <x:c r="AN32" s="1242"/>
      <x:c r="AO32" s="1242"/>
      <x:c r="AP32" s="1242"/>
      <x:c r="AQ32" s="1251"/>
    </x:row>
    <x:row r="33" ht="32" customHeight="1">
      <x:c r="A33" s="1242"/>
      <x:c r="B33" s="1251"/>
      <x:c r="C33" s="1242"/>
      <x:c r="D33" s="1252" t="str">
        <x:f>IF($C33="","",IFERROR(INDEX('23 RCC-004 MASR Registry'!$C$14:$C$163,MATCH($C33,'23 RCC-004 MASR Registry'!$B$14:$B$163,0)),""))</x:f>
      </x:c>
      <x:c r="E33" s="1242"/>
      <x:c r="F33" s="1242"/>
      <x:c r="G33" s="1242"/>
      <x:c r="H33" s="1242"/>
      <x:c r="I33" s="1252" t="str">
        <x:f>IF($C33="","",IFERROR(INDEX('23 RCC-004 MASR Registry'!$G$14:$G$163,MATCH($C33,'23 RCC-004 MASR Registry'!$B$14:$B$163,0)),""))</x:f>
      </x:c>
      <x:c r="J33" s="1252" t="str">
        <x:f>IF($C33="","",IFERROR(INDEX('23 RCC-004 MASR Registry'!$H$14:$H$163,MATCH($C33,'23 RCC-004 MASR Registry'!$B$14:$B$163,0)),""))</x:f>
      </x:c>
      <x:c r="K33" s="1252" t="str">
        <x:f>IF($C33="","",IFERROR(INDEX('23 RCC-004 MASR Registry'!$D$14:$D$163,MATCH($C33,'23 RCC-004 MASR Registry'!$B$14:$B$163,0)),""))</x:f>
      </x:c>
      <x:c r="L33" s="1252" t="str">
        <x:f>IF($C33="","",IFERROR(INDEX('23 RCC-004 MASR Registry'!$E$14:$E$163,MATCH($C33,'23 RCC-004 MASR Registry'!$B$14:$B$163,0)),""))</x:f>
      </x:c>
      <x:c r="M33" s="1252" t="str">
        <x:f>IF($C33="","",IFERROR(INDEX('23 RCC-004 MASR Registry'!$X$14:$X$163,MATCH($C33,'23 RCC-004 MASR Registry'!$B$14:$B$163,0)),""))</x:f>
      </x:c>
      <x:c r="N33" s="1252" t="str">
        <x:f>IF($C33="","",IFERROR(INDEX('23 RCC-004 MASR Registry'!$Y$14:$Y$163,MATCH($C33,'23 RCC-004 MASR Registry'!$B$14:$B$163,0)),""))</x:f>
      </x:c>
      <x:c r="O33" s="1252" t="str">
        <x:f>IF($C33="","",IFERROR(INDEX('23 RCC-004 MASR Registry'!$L$14:$L$163,MATCH($C33,'23 RCC-004 MASR Registry'!$B$14:$B$163,0)),""))</x:f>
      </x:c>
      <x:c r="P33" s="1252" t="str">
        <x:f>IF($C33="","",IFERROR(INDEX('23 RCC-004 MASR Registry'!$M$14:$M$163,MATCH($C33,'23 RCC-004 MASR Registry'!$B$14:$B$163,0)),""))</x:f>
      </x:c>
      <x:c r="Q33" s="1255" t="str">
        <x:f>IF($C33="","",IFERROR(INDEX('23 RCC-004 MASR Registry'!$N$14:$N$163,MATCH($C33,'23 RCC-004 MASR Registry'!$B$14:$B$163,0)),""))</x:f>
      </x:c>
      <x:c r="R33" s="1255" t="str">
        <x:f>IF($C33="","",IFERROR(INDEX('23 RCC-004 MASR Registry'!$O$14:$O$163,MATCH($C33,'23 RCC-004 MASR Registry'!$B$14:$B$163,0)),""))</x:f>
      </x:c>
      <x:c r="S33" s="1255" t="str">
        <x:f>IF($C33="","",IFERROR(INDEX('23 RCC-004 MASR Registry'!$W$14:$W$163,MATCH($C33,'23 RCC-004 MASR Registry'!$B$14:$B$163,0)),""))</x:f>
      </x:c>
      <x:c r="T33" s="1255" t="str">
        <x:f>IF($C33="","",IFERROR(INDEX('23 RCC-004 MASR Registry'!$T$14:$T$163,MATCH($C33,'23 RCC-004 MASR Registry'!$B$14:$B$163,0)),""))</x:f>
      </x:c>
      <x:c r="U33" s="1256" t="str">
        <x:f>IF($C33="","",IFERROR(INDEX('23 RCC-004 MASR Registry'!$U$14:$U$163,MATCH($C33,'23 RCC-004 MASR Registry'!$B$14:$B$163,0)),""))</x:f>
      </x:c>
      <x:c r="V33" s="1252" t="str">
        <x:f>IF($C33="","",IFERROR(INDEX('23 RCC-004 MASR Registry'!$V$14:$V$163,MATCH($C33,'23 RCC-004 MASR Registry'!$B$14:$B$163,0)),""))</x:f>
      </x:c>
      <x:c r="W33" s="1242"/>
      <x:c r="X33" s="1256" t="str">
        <x:f>IF($C33="","",COUNTIF('18 RCC-002 Evidence Ledger'!$E$14:$E$213,$C33))</x:f>
      </x:c>
      <x:c r="Y33" s="1242"/>
      <x:c r="Z33" s="1253" t="str">
        <x:f>IF($A33="","",IF(COUNTIF($A$14:$A$213,$A33)&gt;1,"FAIL — DUPLICATE ID",IF(OR($B33="",$C33="",$E33="",$H33="",$Y33="",$AA33="",$AB33=""),"FAIL — INCOMPLETE",IF(AND(OR($Y33="MIAR Review",$Y33="Eligibility Review",$Y33="Candidate Comparison",$Y33="Committee Review",$Y33="Approved for MASR",$Y33="Referred to PEW-004",$Y33="On Watch",$Y33="Rejected",$Y33="Closed",$Y33="Removed"),$K33=""),"FAIL — MASR RECORD REQUIRED",IF(AND(OR($Y33="Eligibility Review",$Y33="Candidate Comparison",$Y33="Committee Review",$Y33="Approved for MASR",$Y33="Referred to PEW-004",$Y33="On Watch"),NOT(OR($M33="ELIGIBLE",$M33="ELIGIBLE WITH EXCEPTION",$M33="CERTIFIED HOLDING"))),"FAIL — ELIGIBILITY",IF(AND(OR($Y33="Candidate Comparison",$Y33="Committee Review",$Y33="Approved for MASR",$Y33="Referred to PEW-004",$Y33="On Watch"),$X33=0),"FAIL — EVIDENCE",IF(AND(OR($Y33="Candidate Comparison",$Y33="Committee Review",$Y33="Approved for MASR",$Y33="Referred to PEW-004",$Y33="On Watch"),OR($O33&lt;&gt;"Active",$P33&lt;&gt;"CURRENT")),"FAIL — MIAR GATE",IF(AND(OR($Y33="Approved for MASR",$Y33="Referred to PEW-004",$Y33="On Watch",$Y33="Rejected",$Y33="Closed",$Y33="Removed"),OR($AD33="",$AD33="Pending")),"FAIL — COMMITTEE DISPOSITION",IF(AND($Y33="Referred to PEW-004",OR($AF33&lt;&gt;"Yes — Refer to PEW-004",$AG33="",$AJ33="")),"FAIL — PEW REFERRAL","PASS — STAGE GATE")))))))))</x:f>
      </x:c>
      <x:c r="AA33" s="1242"/>
      <x:c r="AB33" s="1251"/>
      <x:c r="AC33" s="1257" t="str">
        <x:f>IF($B33="","",IF($AQ33&lt;&gt;"",$AQ33-$B33,TODAY()-$B33))</x:f>
      </x:c>
      <x:c r="AD33" s="1242"/>
      <x:c r="AE33" s="1251"/>
      <x:c r="AF33" s="1242"/>
      <x:c r="AG33" s="1242"/>
      <x:c r="AH33" s="1255" t="str">
        <x:f>IF($AG33="","",IFERROR(INDEX('10 Candidate Comparison'!$T$14:$T$33,MATCH($AG33,'10 Candidate Comparison'!$A$14:$A$33,0)),""))</x:f>
      </x:c>
      <x:c r="AI33" s="1252" t="str">
        <x:f>IF($AG33="","",IFERROR(INDEX('10 Candidate Comparison'!$U$14:$U$33,MATCH($AG33,'10 Candidate Comparison'!$A$14:$A$33,0)),""))</x:f>
      </x:c>
      <x:c r="AJ33" s="1252" t="str">
        <x:f>IF($AG33="","",IFERROR(INDEX('10 Candidate Comparison'!$Y$14:$Y$33,MATCH($AG33,'10 Candidate Comparison'!$A$14:$A$33,0)),""))</x:f>
      </x:c>
      <x:c r="AK33" s="1253" t="str">
        <x:f>IF($A33="","",IF($Z33="FAIL — DUPLICATE ID","DUPLICATE CANDIDATE ID",IF($Z33="FAIL — INCOMPLETE","INCOMPLETE",IF($Z33="FAIL — MASR RECORD REQUIRED","MASR RECORD REQUIRED",IF($Z33="FAIL — ELIGIBILITY","ELIGIBILITY BLOCK",IF($Z33="FAIL — EVIDENCE","EVIDENCE REQUIRED",IF($Z33="FAIL — MIAR GATE","MIAR GATE BLOCK",IF($Z33="FAIL — COMMITTEE DISPOSITION","COMMITTEE DECISION REQUIRED",IF($Z33="FAIL — PEW REFERRAL","PEW REFERRAL INCOMPLETE",IF(AND(OR($Y33="Rejected",$Y33="Closed",$Y33="Removed"),OR($AO33="",$AP33="",$AQ33="")),"CLOSURE REQUIRED",IF(AND($AB33&lt;TODAY(),NOT(OR($Y33="Rejected",$Y33="Closed",$Y33="Removed"))),"OVERDUE",IF(OR($Y33="Rejected",$Y33="Closed",$Y33="Removed"),"CLOSED","OPEN — ON TRACK"))))))))))))</x:f>
      </x:c>
      <x:c r="AL33" s="1253" t="str">
        <x:f>IF($AK33="","",IFERROR(INDEX('97 RCC Lists'!$AM$5:$AM$16,MATCH($AK33,'97 RCC Lists'!$AL$5:$AL$16,0)),"Review candidate exception"))</x:f>
      </x:c>
      <x:c r="AM33" s="1242"/>
      <x:c r="AN33" s="1242"/>
      <x:c r="AO33" s="1242"/>
      <x:c r="AP33" s="1242"/>
      <x:c r="AQ33" s="1251"/>
    </x:row>
    <x:row r="34" ht="32" customHeight="1">
      <x:c r="A34" s="1242"/>
      <x:c r="B34" s="1251"/>
      <x:c r="C34" s="1242"/>
      <x:c r="D34" s="1243" t="str">
        <x:f>IF($C34="","",IFERROR(INDEX('23 RCC-004 MASR Registry'!$C$14:$C$163,MATCH($C34,'23 RCC-004 MASR Registry'!$B$14:$B$163,0)),""))</x:f>
      </x:c>
      <x:c r="E34" s="1242"/>
      <x:c r="F34" s="1242"/>
      <x:c r="G34" s="1242"/>
      <x:c r="H34" s="1242"/>
      <x:c r="I34" s="1243" t="str">
        <x:f>IF($C34="","",IFERROR(INDEX('23 RCC-004 MASR Registry'!$G$14:$G$163,MATCH($C34,'23 RCC-004 MASR Registry'!$B$14:$B$163,0)),""))</x:f>
      </x:c>
      <x:c r="J34" s="1243" t="str">
        <x:f>IF($C34="","",IFERROR(INDEX('23 RCC-004 MASR Registry'!$H$14:$H$163,MATCH($C34,'23 RCC-004 MASR Registry'!$B$14:$B$163,0)),""))</x:f>
      </x:c>
      <x:c r="K34" s="1243" t="str">
        <x:f>IF($C34="","",IFERROR(INDEX('23 RCC-004 MASR Registry'!$D$14:$D$163,MATCH($C34,'23 RCC-004 MASR Registry'!$B$14:$B$163,0)),""))</x:f>
      </x:c>
      <x:c r="L34" s="1243" t="str">
        <x:f>IF($C34="","",IFERROR(INDEX('23 RCC-004 MASR Registry'!$E$14:$E$163,MATCH($C34,'23 RCC-004 MASR Registry'!$B$14:$B$163,0)),""))</x:f>
      </x:c>
      <x:c r="M34" s="1243" t="str">
        <x:f>IF($C34="","",IFERROR(INDEX('23 RCC-004 MASR Registry'!$X$14:$X$163,MATCH($C34,'23 RCC-004 MASR Registry'!$B$14:$B$163,0)),""))</x:f>
      </x:c>
      <x:c r="N34" s="1243" t="str">
        <x:f>IF($C34="","",IFERROR(INDEX('23 RCC-004 MASR Registry'!$Y$14:$Y$163,MATCH($C34,'23 RCC-004 MASR Registry'!$B$14:$B$163,0)),""))</x:f>
      </x:c>
      <x:c r="O34" s="1243" t="str">
        <x:f>IF($C34="","",IFERROR(INDEX('23 RCC-004 MASR Registry'!$L$14:$L$163,MATCH($C34,'23 RCC-004 MASR Registry'!$B$14:$B$163,0)),""))</x:f>
      </x:c>
      <x:c r="P34" s="1243" t="str">
        <x:f>IF($C34="","",IFERROR(INDEX('23 RCC-004 MASR Registry'!$M$14:$M$163,MATCH($C34,'23 RCC-004 MASR Registry'!$B$14:$B$163,0)),""))</x:f>
      </x:c>
      <x:c r="Q34" s="1246" t="str">
        <x:f>IF($C34="","",IFERROR(INDEX('23 RCC-004 MASR Registry'!$N$14:$N$163,MATCH($C34,'23 RCC-004 MASR Registry'!$B$14:$B$163,0)),""))</x:f>
      </x:c>
      <x:c r="R34" s="1246" t="str">
        <x:f>IF($C34="","",IFERROR(INDEX('23 RCC-004 MASR Registry'!$O$14:$O$163,MATCH($C34,'23 RCC-004 MASR Registry'!$B$14:$B$163,0)),""))</x:f>
      </x:c>
      <x:c r="S34" s="1246" t="str">
        <x:f>IF($C34="","",IFERROR(INDEX('23 RCC-004 MASR Registry'!$W$14:$W$163,MATCH($C34,'23 RCC-004 MASR Registry'!$B$14:$B$163,0)),""))</x:f>
      </x:c>
      <x:c r="T34" s="1246" t="str">
        <x:f>IF($C34="","",IFERROR(INDEX('23 RCC-004 MASR Registry'!$T$14:$T$163,MATCH($C34,'23 RCC-004 MASR Registry'!$B$14:$B$163,0)),""))</x:f>
      </x:c>
      <x:c r="U34" s="1247" t="str">
        <x:f>IF($C34="","",IFERROR(INDEX('23 RCC-004 MASR Registry'!$U$14:$U$163,MATCH($C34,'23 RCC-004 MASR Registry'!$B$14:$B$163,0)),""))</x:f>
      </x:c>
      <x:c r="V34" s="1243" t="str">
        <x:f>IF($C34="","",IFERROR(INDEX('23 RCC-004 MASR Registry'!$V$14:$V$163,MATCH($C34,'23 RCC-004 MASR Registry'!$B$14:$B$163,0)),""))</x:f>
      </x:c>
      <x:c r="W34" s="1242"/>
      <x:c r="X34" s="1247" t="str">
        <x:f>IF($C34="","",COUNTIF('18 RCC-002 Evidence Ledger'!$E$14:$E$213,$C34))</x:f>
      </x:c>
      <x:c r="Y34" s="1242"/>
      <x:c r="Z34" s="1244" t="str">
        <x:f>IF($A34="","",IF(COUNTIF($A$14:$A$213,$A34)&gt;1,"FAIL — DUPLICATE ID",IF(OR($B34="",$C34="",$E34="",$H34="",$Y34="",$AA34="",$AB34=""),"FAIL — INCOMPLETE",IF(AND(OR($Y34="MIAR Review",$Y34="Eligibility Review",$Y34="Candidate Comparison",$Y34="Committee Review",$Y34="Approved for MASR",$Y34="Referred to PEW-004",$Y34="On Watch",$Y34="Rejected",$Y34="Closed",$Y34="Removed"),$K34=""),"FAIL — MASR RECORD REQUIRED",IF(AND(OR($Y34="Eligibility Review",$Y34="Candidate Comparison",$Y34="Committee Review",$Y34="Approved for MASR",$Y34="Referred to PEW-004",$Y34="On Watch"),NOT(OR($M34="ELIGIBLE",$M34="ELIGIBLE WITH EXCEPTION",$M34="CERTIFIED HOLDING"))),"FAIL — ELIGIBILITY",IF(AND(OR($Y34="Candidate Comparison",$Y34="Committee Review",$Y34="Approved for MASR",$Y34="Referred to PEW-004",$Y34="On Watch"),$X34=0),"FAIL — EVIDENCE",IF(AND(OR($Y34="Candidate Comparison",$Y34="Committee Review",$Y34="Approved for MASR",$Y34="Referred to PEW-004",$Y34="On Watch"),OR($O34&lt;&gt;"Active",$P34&lt;&gt;"CURRENT")),"FAIL — MIAR GATE",IF(AND(OR($Y34="Approved for MASR",$Y34="Referred to PEW-004",$Y34="On Watch",$Y34="Rejected",$Y34="Closed",$Y34="Removed"),OR($AD34="",$AD34="Pending")),"FAIL — COMMITTEE DISPOSITION",IF(AND($Y34="Referred to PEW-004",OR($AF34&lt;&gt;"Yes — Refer to PEW-004",$AG34="",$AJ34="")),"FAIL — PEW REFERRAL","PASS — STAGE GATE")))))))))</x:f>
      </x:c>
      <x:c r="AA34" s="1242"/>
      <x:c r="AB34" s="1251"/>
      <x:c r="AC34" s="1250" t="str">
        <x:f>IF($B34="","",IF($AQ34&lt;&gt;"",$AQ34-$B34,TODAY()-$B34))</x:f>
      </x:c>
      <x:c r="AD34" s="1242"/>
      <x:c r="AE34" s="1251"/>
      <x:c r="AF34" s="1242"/>
      <x:c r="AG34" s="1242"/>
      <x:c r="AH34" s="1246" t="str">
        <x:f>IF($AG34="","",IFERROR(INDEX('10 Candidate Comparison'!$T$14:$T$33,MATCH($AG34,'10 Candidate Comparison'!$A$14:$A$33,0)),""))</x:f>
      </x:c>
      <x:c r="AI34" s="1243" t="str">
        <x:f>IF($AG34="","",IFERROR(INDEX('10 Candidate Comparison'!$U$14:$U$33,MATCH($AG34,'10 Candidate Comparison'!$A$14:$A$33,0)),""))</x:f>
      </x:c>
      <x:c r="AJ34" s="1243" t="str">
        <x:f>IF($AG34="","",IFERROR(INDEX('10 Candidate Comparison'!$Y$14:$Y$33,MATCH($AG34,'10 Candidate Comparison'!$A$14:$A$33,0)),""))</x:f>
      </x:c>
      <x:c r="AK34" s="1244" t="str">
        <x:f>IF($A34="","",IF($Z34="FAIL — DUPLICATE ID","DUPLICATE CANDIDATE ID",IF($Z34="FAIL — INCOMPLETE","INCOMPLETE",IF($Z34="FAIL — MASR RECORD REQUIRED","MASR RECORD REQUIRED",IF($Z34="FAIL — ELIGIBILITY","ELIGIBILITY BLOCK",IF($Z34="FAIL — EVIDENCE","EVIDENCE REQUIRED",IF($Z34="FAIL — MIAR GATE","MIAR GATE BLOCK",IF($Z34="FAIL — COMMITTEE DISPOSITION","COMMITTEE DECISION REQUIRED",IF($Z34="FAIL — PEW REFERRAL","PEW REFERRAL INCOMPLETE",IF(AND(OR($Y34="Rejected",$Y34="Closed",$Y34="Removed"),OR($AO34="",$AP34="",$AQ34="")),"CLOSURE REQUIRED",IF(AND($AB34&lt;TODAY(),NOT(OR($Y34="Rejected",$Y34="Closed",$Y34="Removed"))),"OVERDUE",IF(OR($Y34="Rejected",$Y34="Closed",$Y34="Removed"),"CLOSED","OPEN — ON TRACK"))))))))))))</x:f>
      </x:c>
      <x:c r="AL34" s="1244" t="str">
        <x:f>IF($AK34="","",IFERROR(INDEX('97 RCC Lists'!$AM$5:$AM$16,MATCH($AK34,'97 RCC Lists'!$AL$5:$AL$16,0)),"Review candidate exception"))</x:f>
      </x:c>
      <x:c r="AM34" s="1242"/>
      <x:c r="AN34" s="1242"/>
      <x:c r="AO34" s="1242"/>
      <x:c r="AP34" s="1242"/>
      <x:c r="AQ34" s="1251"/>
    </x:row>
    <x:row r="35" ht="32" customHeight="1">
      <x:c r="A35" s="1242"/>
      <x:c r="B35" s="1251"/>
      <x:c r="C35" s="1242"/>
      <x:c r="D35" s="1252" t="str">
        <x:f>IF($C35="","",IFERROR(INDEX('23 RCC-004 MASR Registry'!$C$14:$C$163,MATCH($C35,'23 RCC-004 MASR Registry'!$B$14:$B$163,0)),""))</x:f>
      </x:c>
      <x:c r="E35" s="1242"/>
      <x:c r="F35" s="1242"/>
      <x:c r="G35" s="1242"/>
      <x:c r="H35" s="1242"/>
      <x:c r="I35" s="1252" t="str">
        <x:f>IF($C35="","",IFERROR(INDEX('23 RCC-004 MASR Registry'!$G$14:$G$163,MATCH($C35,'23 RCC-004 MASR Registry'!$B$14:$B$163,0)),""))</x:f>
      </x:c>
      <x:c r="J35" s="1252" t="str">
        <x:f>IF($C35="","",IFERROR(INDEX('23 RCC-004 MASR Registry'!$H$14:$H$163,MATCH($C35,'23 RCC-004 MASR Registry'!$B$14:$B$163,0)),""))</x:f>
      </x:c>
      <x:c r="K35" s="1252" t="str">
        <x:f>IF($C35="","",IFERROR(INDEX('23 RCC-004 MASR Registry'!$D$14:$D$163,MATCH($C35,'23 RCC-004 MASR Registry'!$B$14:$B$163,0)),""))</x:f>
      </x:c>
      <x:c r="L35" s="1252" t="str">
        <x:f>IF($C35="","",IFERROR(INDEX('23 RCC-004 MASR Registry'!$E$14:$E$163,MATCH($C35,'23 RCC-004 MASR Registry'!$B$14:$B$163,0)),""))</x:f>
      </x:c>
      <x:c r="M35" s="1252" t="str">
        <x:f>IF($C35="","",IFERROR(INDEX('23 RCC-004 MASR Registry'!$X$14:$X$163,MATCH($C35,'23 RCC-004 MASR Registry'!$B$14:$B$163,0)),""))</x:f>
      </x:c>
      <x:c r="N35" s="1252" t="str">
        <x:f>IF($C35="","",IFERROR(INDEX('23 RCC-004 MASR Registry'!$Y$14:$Y$163,MATCH($C35,'23 RCC-004 MASR Registry'!$B$14:$B$163,0)),""))</x:f>
      </x:c>
      <x:c r="O35" s="1252" t="str">
        <x:f>IF($C35="","",IFERROR(INDEX('23 RCC-004 MASR Registry'!$L$14:$L$163,MATCH($C35,'23 RCC-004 MASR Registry'!$B$14:$B$163,0)),""))</x:f>
      </x:c>
      <x:c r="P35" s="1252" t="str">
        <x:f>IF($C35="","",IFERROR(INDEX('23 RCC-004 MASR Registry'!$M$14:$M$163,MATCH($C35,'23 RCC-004 MASR Registry'!$B$14:$B$163,0)),""))</x:f>
      </x:c>
      <x:c r="Q35" s="1255" t="str">
        <x:f>IF($C35="","",IFERROR(INDEX('23 RCC-004 MASR Registry'!$N$14:$N$163,MATCH($C35,'23 RCC-004 MASR Registry'!$B$14:$B$163,0)),""))</x:f>
      </x:c>
      <x:c r="R35" s="1255" t="str">
        <x:f>IF($C35="","",IFERROR(INDEX('23 RCC-004 MASR Registry'!$O$14:$O$163,MATCH($C35,'23 RCC-004 MASR Registry'!$B$14:$B$163,0)),""))</x:f>
      </x:c>
      <x:c r="S35" s="1255" t="str">
        <x:f>IF($C35="","",IFERROR(INDEX('23 RCC-004 MASR Registry'!$W$14:$W$163,MATCH($C35,'23 RCC-004 MASR Registry'!$B$14:$B$163,0)),""))</x:f>
      </x:c>
      <x:c r="T35" s="1255" t="str">
        <x:f>IF($C35="","",IFERROR(INDEX('23 RCC-004 MASR Registry'!$T$14:$T$163,MATCH($C35,'23 RCC-004 MASR Registry'!$B$14:$B$163,0)),""))</x:f>
      </x:c>
      <x:c r="U35" s="1256" t="str">
        <x:f>IF($C35="","",IFERROR(INDEX('23 RCC-004 MASR Registry'!$U$14:$U$163,MATCH($C35,'23 RCC-004 MASR Registry'!$B$14:$B$163,0)),""))</x:f>
      </x:c>
      <x:c r="V35" s="1252" t="str">
        <x:f>IF($C35="","",IFERROR(INDEX('23 RCC-004 MASR Registry'!$V$14:$V$163,MATCH($C35,'23 RCC-004 MASR Registry'!$B$14:$B$163,0)),""))</x:f>
      </x:c>
      <x:c r="W35" s="1242"/>
      <x:c r="X35" s="1256" t="str">
        <x:f>IF($C35="","",COUNTIF('18 RCC-002 Evidence Ledger'!$E$14:$E$213,$C35))</x:f>
      </x:c>
      <x:c r="Y35" s="1242"/>
      <x:c r="Z35" s="1253" t="str">
        <x:f>IF($A35="","",IF(COUNTIF($A$14:$A$213,$A35)&gt;1,"FAIL — DUPLICATE ID",IF(OR($B35="",$C35="",$E35="",$H35="",$Y35="",$AA35="",$AB35=""),"FAIL — INCOMPLETE",IF(AND(OR($Y35="MIAR Review",$Y35="Eligibility Review",$Y35="Candidate Comparison",$Y35="Committee Review",$Y35="Approved for MASR",$Y35="Referred to PEW-004",$Y35="On Watch",$Y35="Rejected",$Y35="Closed",$Y35="Removed"),$K35=""),"FAIL — MASR RECORD REQUIRED",IF(AND(OR($Y35="Eligibility Review",$Y35="Candidate Comparison",$Y35="Committee Review",$Y35="Approved for MASR",$Y35="Referred to PEW-004",$Y35="On Watch"),NOT(OR($M35="ELIGIBLE",$M35="ELIGIBLE WITH EXCEPTION",$M35="CERTIFIED HOLDING"))),"FAIL — ELIGIBILITY",IF(AND(OR($Y35="Candidate Comparison",$Y35="Committee Review",$Y35="Approved for MASR",$Y35="Referred to PEW-004",$Y35="On Watch"),$X35=0),"FAIL — EVIDENCE",IF(AND(OR($Y35="Candidate Comparison",$Y35="Committee Review",$Y35="Approved for MASR",$Y35="Referred to PEW-004",$Y35="On Watch"),OR($O35&lt;&gt;"Active",$P35&lt;&gt;"CURRENT")),"FAIL — MIAR GATE",IF(AND(OR($Y35="Approved for MASR",$Y35="Referred to PEW-004",$Y35="On Watch",$Y35="Rejected",$Y35="Closed",$Y35="Removed"),OR($AD35="",$AD35="Pending")),"FAIL — COMMITTEE DISPOSITION",IF(AND($Y35="Referred to PEW-004",OR($AF35&lt;&gt;"Yes — Refer to PEW-004",$AG35="",$AJ35="")),"FAIL — PEW REFERRAL","PASS — STAGE GATE")))))))))</x:f>
      </x:c>
      <x:c r="AA35" s="1242"/>
      <x:c r="AB35" s="1251"/>
      <x:c r="AC35" s="1257" t="str">
        <x:f>IF($B35="","",IF($AQ35&lt;&gt;"",$AQ35-$B35,TODAY()-$B35))</x:f>
      </x:c>
      <x:c r="AD35" s="1242"/>
      <x:c r="AE35" s="1251"/>
      <x:c r="AF35" s="1242"/>
      <x:c r="AG35" s="1242"/>
      <x:c r="AH35" s="1255" t="str">
        <x:f>IF($AG35="","",IFERROR(INDEX('10 Candidate Comparison'!$T$14:$T$33,MATCH($AG35,'10 Candidate Comparison'!$A$14:$A$33,0)),""))</x:f>
      </x:c>
      <x:c r="AI35" s="1252" t="str">
        <x:f>IF($AG35="","",IFERROR(INDEX('10 Candidate Comparison'!$U$14:$U$33,MATCH($AG35,'10 Candidate Comparison'!$A$14:$A$33,0)),""))</x:f>
      </x:c>
      <x:c r="AJ35" s="1252" t="str">
        <x:f>IF($AG35="","",IFERROR(INDEX('10 Candidate Comparison'!$Y$14:$Y$33,MATCH($AG35,'10 Candidate Comparison'!$A$14:$A$33,0)),""))</x:f>
      </x:c>
      <x:c r="AK35" s="1253" t="str">
        <x:f>IF($A35="","",IF($Z35="FAIL — DUPLICATE ID","DUPLICATE CANDIDATE ID",IF($Z35="FAIL — INCOMPLETE","INCOMPLETE",IF($Z35="FAIL — MASR RECORD REQUIRED","MASR RECORD REQUIRED",IF($Z35="FAIL — ELIGIBILITY","ELIGIBILITY BLOCK",IF($Z35="FAIL — EVIDENCE","EVIDENCE REQUIRED",IF($Z35="FAIL — MIAR GATE","MIAR GATE BLOCK",IF($Z35="FAIL — COMMITTEE DISPOSITION","COMMITTEE DECISION REQUIRED",IF($Z35="FAIL — PEW REFERRAL","PEW REFERRAL INCOMPLETE",IF(AND(OR($Y35="Rejected",$Y35="Closed",$Y35="Removed"),OR($AO35="",$AP35="",$AQ35="")),"CLOSURE REQUIRED",IF(AND($AB35&lt;TODAY(),NOT(OR($Y35="Rejected",$Y35="Closed",$Y35="Removed"))),"OVERDUE",IF(OR($Y35="Rejected",$Y35="Closed",$Y35="Removed"),"CLOSED","OPEN — ON TRACK"))))))))))))</x:f>
      </x:c>
      <x:c r="AL35" s="1253" t="str">
        <x:f>IF($AK35="","",IFERROR(INDEX('97 RCC Lists'!$AM$5:$AM$16,MATCH($AK35,'97 RCC Lists'!$AL$5:$AL$16,0)),"Review candidate exception"))</x:f>
      </x:c>
      <x:c r="AM35" s="1242"/>
      <x:c r="AN35" s="1242"/>
      <x:c r="AO35" s="1242"/>
      <x:c r="AP35" s="1242"/>
      <x:c r="AQ35" s="1251"/>
    </x:row>
    <x:row r="36" ht="32" customHeight="1">
      <x:c r="A36" s="1242"/>
      <x:c r="B36" s="1251"/>
      <x:c r="C36" s="1242"/>
      <x:c r="D36" s="1243" t="str">
        <x:f>IF($C36="","",IFERROR(INDEX('23 RCC-004 MASR Registry'!$C$14:$C$163,MATCH($C36,'23 RCC-004 MASR Registry'!$B$14:$B$163,0)),""))</x:f>
      </x:c>
      <x:c r="E36" s="1242"/>
      <x:c r="F36" s="1242"/>
      <x:c r="G36" s="1242"/>
      <x:c r="H36" s="1242"/>
      <x:c r="I36" s="1243" t="str">
        <x:f>IF($C36="","",IFERROR(INDEX('23 RCC-004 MASR Registry'!$G$14:$G$163,MATCH($C36,'23 RCC-004 MASR Registry'!$B$14:$B$163,0)),""))</x:f>
      </x:c>
      <x:c r="J36" s="1243" t="str">
        <x:f>IF($C36="","",IFERROR(INDEX('23 RCC-004 MASR Registry'!$H$14:$H$163,MATCH($C36,'23 RCC-004 MASR Registry'!$B$14:$B$163,0)),""))</x:f>
      </x:c>
      <x:c r="K36" s="1243" t="str">
        <x:f>IF($C36="","",IFERROR(INDEX('23 RCC-004 MASR Registry'!$D$14:$D$163,MATCH($C36,'23 RCC-004 MASR Registry'!$B$14:$B$163,0)),""))</x:f>
      </x:c>
      <x:c r="L36" s="1243" t="str">
        <x:f>IF($C36="","",IFERROR(INDEX('23 RCC-004 MASR Registry'!$E$14:$E$163,MATCH($C36,'23 RCC-004 MASR Registry'!$B$14:$B$163,0)),""))</x:f>
      </x:c>
      <x:c r="M36" s="1243" t="str">
        <x:f>IF($C36="","",IFERROR(INDEX('23 RCC-004 MASR Registry'!$X$14:$X$163,MATCH($C36,'23 RCC-004 MASR Registry'!$B$14:$B$163,0)),""))</x:f>
      </x:c>
      <x:c r="N36" s="1243" t="str">
        <x:f>IF($C36="","",IFERROR(INDEX('23 RCC-004 MASR Registry'!$Y$14:$Y$163,MATCH($C36,'23 RCC-004 MASR Registry'!$B$14:$B$163,0)),""))</x:f>
      </x:c>
      <x:c r="O36" s="1243" t="str">
        <x:f>IF($C36="","",IFERROR(INDEX('23 RCC-004 MASR Registry'!$L$14:$L$163,MATCH($C36,'23 RCC-004 MASR Registry'!$B$14:$B$163,0)),""))</x:f>
      </x:c>
      <x:c r="P36" s="1243" t="str">
        <x:f>IF($C36="","",IFERROR(INDEX('23 RCC-004 MASR Registry'!$M$14:$M$163,MATCH($C36,'23 RCC-004 MASR Registry'!$B$14:$B$163,0)),""))</x:f>
      </x:c>
      <x:c r="Q36" s="1246" t="str">
        <x:f>IF($C36="","",IFERROR(INDEX('23 RCC-004 MASR Registry'!$N$14:$N$163,MATCH($C36,'23 RCC-004 MASR Registry'!$B$14:$B$163,0)),""))</x:f>
      </x:c>
      <x:c r="R36" s="1246" t="str">
        <x:f>IF($C36="","",IFERROR(INDEX('23 RCC-004 MASR Registry'!$O$14:$O$163,MATCH($C36,'23 RCC-004 MASR Registry'!$B$14:$B$163,0)),""))</x:f>
      </x:c>
      <x:c r="S36" s="1246" t="str">
        <x:f>IF($C36="","",IFERROR(INDEX('23 RCC-004 MASR Registry'!$W$14:$W$163,MATCH($C36,'23 RCC-004 MASR Registry'!$B$14:$B$163,0)),""))</x:f>
      </x:c>
      <x:c r="T36" s="1246" t="str">
        <x:f>IF($C36="","",IFERROR(INDEX('23 RCC-004 MASR Registry'!$T$14:$T$163,MATCH($C36,'23 RCC-004 MASR Registry'!$B$14:$B$163,0)),""))</x:f>
      </x:c>
      <x:c r="U36" s="1247" t="str">
        <x:f>IF($C36="","",IFERROR(INDEX('23 RCC-004 MASR Registry'!$U$14:$U$163,MATCH($C36,'23 RCC-004 MASR Registry'!$B$14:$B$163,0)),""))</x:f>
      </x:c>
      <x:c r="V36" s="1243" t="str">
        <x:f>IF($C36="","",IFERROR(INDEX('23 RCC-004 MASR Registry'!$V$14:$V$163,MATCH($C36,'23 RCC-004 MASR Registry'!$B$14:$B$163,0)),""))</x:f>
      </x:c>
      <x:c r="W36" s="1242"/>
      <x:c r="X36" s="1247" t="str">
        <x:f>IF($C36="","",COUNTIF('18 RCC-002 Evidence Ledger'!$E$14:$E$213,$C36))</x:f>
      </x:c>
      <x:c r="Y36" s="1242"/>
      <x:c r="Z36" s="1244" t="str">
        <x:f>IF($A36="","",IF(COUNTIF($A$14:$A$213,$A36)&gt;1,"FAIL — DUPLICATE ID",IF(OR($B36="",$C36="",$E36="",$H36="",$Y36="",$AA36="",$AB36=""),"FAIL — INCOMPLETE",IF(AND(OR($Y36="MIAR Review",$Y36="Eligibility Review",$Y36="Candidate Comparison",$Y36="Committee Review",$Y36="Approved for MASR",$Y36="Referred to PEW-004",$Y36="On Watch",$Y36="Rejected",$Y36="Closed",$Y36="Removed"),$K36=""),"FAIL — MASR RECORD REQUIRED",IF(AND(OR($Y36="Eligibility Review",$Y36="Candidate Comparison",$Y36="Committee Review",$Y36="Approved for MASR",$Y36="Referred to PEW-004",$Y36="On Watch"),NOT(OR($M36="ELIGIBLE",$M36="ELIGIBLE WITH EXCEPTION",$M36="CERTIFIED HOLDING"))),"FAIL — ELIGIBILITY",IF(AND(OR($Y36="Candidate Comparison",$Y36="Committee Review",$Y36="Approved for MASR",$Y36="Referred to PEW-004",$Y36="On Watch"),$X36=0),"FAIL — EVIDENCE",IF(AND(OR($Y36="Candidate Comparison",$Y36="Committee Review",$Y36="Approved for MASR",$Y36="Referred to PEW-004",$Y36="On Watch"),OR($O36&lt;&gt;"Active",$P36&lt;&gt;"CURRENT")),"FAIL — MIAR GATE",IF(AND(OR($Y36="Approved for MASR",$Y36="Referred to PEW-004",$Y36="On Watch",$Y36="Rejected",$Y36="Closed",$Y36="Removed"),OR($AD36="",$AD36="Pending")),"FAIL — COMMITTEE DISPOSITION",IF(AND($Y36="Referred to PEW-004",OR($AF36&lt;&gt;"Yes — Refer to PEW-004",$AG36="",$AJ36="")),"FAIL — PEW REFERRAL","PASS — STAGE GATE")))))))))</x:f>
      </x:c>
      <x:c r="AA36" s="1242"/>
      <x:c r="AB36" s="1251"/>
      <x:c r="AC36" s="1250" t="str">
        <x:f>IF($B36="","",IF($AQ36&lt;&gt;"",$AQ36-$B36,TODAY()-$B36))</x:f>
      </x:c>
      <x:c r="AD36" s="1242"/>
      <x:c r="AE36" s="1251"/>
      <x:c r="AF36" s="1242"/>
      <x:c r="AG36" s="1242"/>
      <x:c r="AH36" s="1246" t="str">
        <x:f>IF($AG36="","",IFERROR(INDEX('10 Candidate Comparison'!$T$14:$T$33,MATCH($AG36,'10 Candidate Comparison'!$A$14:$A$33,0)),""))</x:f>
      </x:c>
      <x:c r="AI36" s="1243" t="str">
        <x:f>IF($AG36="","",IFERROR(INDEX('10 Candidate Comparison'!$U$14:$U$33,MATCH($AG36,'10 Candidate Comparison'!$A$14:$A$33,0)),""))</x:f>
      </x:c>
      <x:c r="AJ36" s="1243" t="str">
        <x:f>IF($AG36="","",IFERROR(INDEX('10 Candidate Comparison'!$Y$14:$Y$33,MATCH($AG36,'10 Candidate Comparison'!$A$14:$A$33,0)),""))</x:f>
      </x:c>
      <x:c r="AK36" s="1244" t="str">
        <x:f>IF($A36="","",IF($Z36="FAIL — DUPLICATE ID","DUPLICATE CANDIDATE ID",IF($Z36="FAIL — INCOMPLETE","INCOMPLETE",IF($Z36="FAIL — MASR RECORD REQUIRED","MASR RECORD REQUIRED",IF($Z36="FAIL — ELIGIBILITY","ELIGIBILITY BLOCK",IF($Z36="FAIL — EVIDENCE","EVIDENCE REQUIRED",IF($Z36="FAIL — MIAR GATE","MIAR GATE BLOCK",IF($Z36="FAIL — COMMITTEE DISPOSITION","COMMITTEE DECISION REQUIRED",IF($Z36="FAIL — PEW REFERRAL","PEW REFERRAL INCOMPLETE",IF(AND(OR($Y36="Rejected",$Y36="Closed",$Y36="Removed"),OR($AO36="",$AP36="",$AQ36="")),"CLOSURE REQUIRED",IF(AND($AB36&lt;TODAY(),NOT(OR($Y36="Rejected",$Y36="Closed",$Y36="Removed"))),"OVERDUE",IF(OR($Y36="Rejected",$Y36="Closed",$Y36="Removed"),"CLOSED","OPEN — ON TRACK"))))))))))))</x:f>
      </x:c>
      <x:c r="AL36" s="1244" t="str">
        <x:f>IF($AK36="","",IFERROR(INDEX('97 RCC Lists'!$AM$5:$AM$16,MATCH($AK36,'97 RCC Lists'!$AL$5:$AL$16,0)),"Review candidate exception"))</x:f>
      </x:c>
      <x:c r="AM36" s="1242"/>
      <x:c r="AN36" s="1242"/>
      <x:c r="AO36" s="1242"/>
      <x:c r="AP36" s="1242"/>
      <x:c r="AQ36" s="1251"/>
    </x:row>
    <x:row r="37" ht="32" customHeight="1">
      <x:c r="A37" s="1242"/>
      <x:c r="B37" s="1251"/>
      <x:c r="C37" s="1242"/>
      <x:c r="D37" s="1252" t="str">
        <x:f>IF($C37="","",IFERROR(INDEX('23 RCC-004 MASR Registry'!$C$14:$C$163,MATCH($C37,'23 RCC-004 MASR Registry'!$B$14:$B$163,0)),""))</x:f>
      </x:c>
      <x:c r="E37" s="1242"/>
      <x:c r="F37" s="1242"/>
      <x:c r="G37" s="1242"/>
      <x:c r="H37" s="1242"/>
      <x:c r="I37" s="1252" t="str">
        <x:f>IF($C37="","",IFERROR(INDEX('23 RCC-004 MASR Registry'!$G$14:$G$163,MATCH($C37,'23 RCC-004 MASR Registry'!$B$14:$B$163,0)),""))</x:f>
      </x:c>
      <x:c r="J37" s="1252" t="str">
        <x:f>IF($C37="","",IFERROR(INDEX('23 RCC-004 MASR Registry'!$H$14:$H$163,MATCH($C37,'23 RCC-004 MASR Registry'!$B$14:$B$163,0)),""))</x:f>
      </x:c>
      <x:c r="K37" s="1252" t="str">
        <x:f>IF($C37="","",IFERROR(INDEX('23 RCC-004 MASR Registry'!$D$14:$D$163,MATCH($C37,'23 RCC-004 MASR Registry'!$B$14:$B$163,0)),""))</x:f>
      </x:c>
      <x:c r="L37" s="1252" t="str">
        <x:f>IF($C37="","",IFERROR(INDEX('23 RCC-004 MASR Registry'!$E$14:$E$163,MATCH($C37,'23 RCC-004 MASR Registry'!$B$14:$B$163,0)),""))</x:f>
      </x:c>
      <x:c r="M37" s="1252" t="str">
        <x:f>IF($C37="","",IFERROR(INDEX('23 RCC-004 MASR Registry'!$X$14:$X$163,MATCH($C37,'23 RCC-004 MASR Registry'!$B$14:$B$163,0)),""))</x:f>
      </x:c>
      <x:c r="N37" s="1252" t="str">
        <x:f>IF($C37="","",IFERROR(INDEX('23 RCC-004 MASR Registry'!$Y$14:$Y$163,MATCH($C37,'23 RCC-004 MASR Registry'!$B$14:$B$163,0)),""))</x:f>
      </x:c>
      <x:c r="O37" s="1252" t="str">
        <x:f>IF($C37="","",IFERROR(INDEX('23 RCC-004 MASR Registry'!$L$14:$L$163,MATCH($C37,'23 RCC-004 MASR Registry'!$B$14:$B$163,0)),""))</x:f>
      </x:c>
      <x:c r="P37" s="1252" t="str">
        <x:f>IF($C37="","",IFERROR(INDEX('23 RCC-004 MASR Registry'!$M$14:$M$163,MATCH($C37,'23 RCC-004 MASR Registry'!$B$14:$B$163,0)),""))</x:f>
      </x:c>
      <x:c r="Q37" s="1255" t="str">
        <x:f>IF($C37="","",IFERROR(INDEX('23 RCC-004 MASR Registry'!$N$14:$N$163,MATCH($C37,'23 RCC-004 MASR Registry'!$B$14:$B$163,0)),""))</x:f>
      </x:c>
      <x:c r="R37" s="1255" t="str">
        <x:f>IF($C37="","",IFERROR(INDEX('23 RCC-004 MASR Registry'!$O$14:$O$163,MATCH($C37,'23 RCC-004 MASR Registry'!$B$14:$B$163,0)),""))</x:f>
      </x:c>
      <x:c r="S37" s="1255" t="str">
        <x:f>IF($C37="","",IFERROR(INDEX('23 RCC-004 MASR Registry'!$W$14:$W$163,MATCH($C37,'23 RCC-004 MASR Registry'!$B$14:$B$163,0)),""))</x:f>
      </x:c>
      <x:c r="T37" s="1255" t="str">
        <x:f>IF($C37="","",IFERROR(INDEX('23 RCC-004 MASR Registry'!$T$14:$T$163,MATCH($C37,'23 RCC-004 MASR Registry'!$B$14:$B$163,0)),""))</x:f>
      </x:c>
      <x:c r="U37" s="1256" t="str">
        <x:f>IF($C37="","",IFERROR(INDEX('23 RCC-004 MASR Registry'!$U$14:$U$163,MATCH($C37,'23 RCC-004 MASR Registry'!$B$14:$B$163,0)),""))</x:f>
      </x:c>
      <x:c r="V37" s="1252" t="str">
        <x:f>IF($C37="","",IFERROR(INDEX('23 RCC-004 MASR Registry'!$V$14:$V$163,MATCH($C37,'23 RCC-004 MASR Registry'!$B$14:$B$163,0)),""))</x:f>
      </x:c>
      <x:c r="W37" s="1242"/>
      <x:c r="X37" s="1256" t="str">
        <x:f>IF($C37="","",COUNTIF('18 RCC-002 Evidence Ledger'!$E$14:$E$213,$C37))</x:f>
      </x:c>
      <x:c r="Y37" s="1242"/>
      <x:c r="Z37" s="1253" t="str">
        <x:f>IF($A37="","",IF(COUNTIF($A$14:$A$213,$A37)&gt;1,"FAIL — DUPLICATE ID",IF(OR($B37="",$C37="",$E37="",$H37="",$Y37="",$AA37="",$AB37=""),"FAIL — INCOMPLETE",IF(AND(OR($Y37="MIAR Review",$Y37="Eligibility Review",$Y37="Candidate Comparison",$Y37="Committee Review",$Y37="Approved for MASR",$Y37="Referred to PEW-004",$Y37="On Watch",$Y37="Rejected",$Y37="Closed",$Y37="Removed"),$K37=""),"FAIL — MASR RECORD REQUIRED",IF(AND(OR($Y37="Eligibility Review",$Y37="Candidate Comparison",$Y37="Committee Review",$Y37="Approved for MASR",$Y37="Referred to PEW-004",$Y37="On Watch"),NOT(OR($M37="ELIGIBLE",$M37="ELIGIBLE WITH EXCEPTION",$M37="CERTIFIED HOLDING"))),"FAIL — ELIGIBILITY",IF(AND(OR($Y37="Candidate Comparison",$Y37="Committee Review",$Y37="Approved for MASR",$Y37="Referred to PEW-004",$Y37="On Watch"),$X37=0),"FAIL — EVIDENCE",IF(AND(OR($Y37="Candidate Comparison",$Y37="Committee Review",$Y37="Approved for MASR",$Y37="Referred to PEW-004",$Y37="On Watch"),OR($O37&lt;&gt;"Active",$P37&lt;&gt;"CURRENT")),"FAIL — MIAR GATE",IF(AND(OR($Y37="Approved for MASR",$Y37="Referred to PEW-004",$Y37="On Watch",$Y37="Rejected",$Y37="Closed",$Y37="Removed"),OR($AD37="",$AD37="Pending")),"FAIL — COMMITTEE DISPOSITION",IF(AND($Y37="Referred to PEW-004",OR($AF37&lt;&gt;"Yes — Refer to PEW-004",$AG37="",$AJ37="")),"FAIL — PEW REFERRAL","PASS — STAGE GATE")))))))))</x:f>
      </x:c>
      <x:c r="AA37" s="1242"/>
      <x:c r="AB37" s="1251"/>
      <x:c r="AC37" s="1257" t="str">
        <x:f>IF($B37="","",IF($AQ37&lt;&gt;"",$AQ37-$B37,TODAY()-$B37))</x:f>
      </x:c>
      <x:c r="AD37" s="1242"/>
      <x:c r="AE37" s="1251"/>
      <x:c r="AF37" s="1242"/>
      <x:c r="AG37" s="1242"/>
      <x:c r="AH37" s="1255" t="str">
        <x:f>IF($AG37="","",IFERROR(INDEX('10 Candidate Comparison'!$T$14:$T$33,MATCH($AG37,'10 Candidate Comparison'!$A$14:$A$33,0)),""))</x:f>
      </x:c>
      <x:c r="AI37" s="1252" t="str">
        <x:f>IF($AG37="","",IFERROR(INDEX('10 Candidate Comparison'!$U$14:$U$33,MATCH($AG37,'10 Candidate Comparison'!$A$14:$A$33,0)),""))</x:f>
      </x:c>
      <x:c r="AJ37" s="1252" t="str">
        <x:f>IF($AG37="","",IFERROR(INDEX('10 Candidate Comparison'!$Y$14:$Y$33,MATCH($AG37,'10 Candidate Comparison'!$A$14:$A$33,0)),""))</x:f>
      </x:c>
      <x:c r="AK37" s="1253" t="str">
        <x:f>IF($A37="","",IF($Z37="FAIL — DUPLICATE ID","DUPLICATE CANDIDATE ID",IF($Z37="FAIL — INCOMPLETE","INCOMPLETE",IF($Z37="FAIL — MASR RECORD REQUIRED","MASR RECORD REQUIRED",IF($Z37="FAIL — ELIGIBILITY","ELIGIBILITY BLOCK",IF($Z37="FAIL — EVIDENCE","EVIDENCE REQUIRED",IF($Z37="FAIL — MIAR GATE","MIAR GATE BLOCK",IF($Z37="FAIL — COMMITTEE DISPOSITION","COMMITTEE DECISION REQUIRED",IF($Z37="FAIL — PEW REFERRAL","PEW REFERRAL INCOMPLETE",IF(AND(OR($Y37="Rejected",$Y37="Closed",$Y37="Removed"),OR($AO37="",$AP37="",$AQ37="")),"CLOSURE REQUIRED",IF(AND($AB37&lt;TODAY(),NOT(OR($Y37="Rejected",$Y37="Closed",$Y37="Removed"))),"OVERDUE",IF(OR($Y37="Rejected",$Y37="Closed",$Y37="Removed"),"CLOSED","OPEN — ON TRACK"))))))))))))</x:f>
      </x:c>
      <x:c r="AL37" s="1253" t="str">
        <x:f>IF($AK37="","",IFERROR(INDEX('97 RCC Lists'!$AM$5:$AM$16,MATCH($AK37,'97 RCC Lists'!$AL$5:$AL$16,0)),"Review candidate exception"))</x:f>
      </x:c>
      <x:c r="AM37" s="1242"/>
      <x:c r="AN37" s="1242"/>
      <x:c r="AO37" s="1242"/>
      <x:c r="AP37" s="1242"/>
      <x:c r="AQ37" s="1251"/>
    </x:row>
    <x:row r="38" ht="32" customHeight="1">
      <x:c r="A38" s="1242"/>
      <x:c r="B38" s="1251"/>
      <x:c r="C38" s="1242"/>
      <x:c r="D38" s="1243" t="str">
        <x:f>IF($C38="","",IFERROR(INDEX('23 RCC-004 MASR Registry'!$C$14:$C$163,MATCH($C38,'23 RCC-004 MASR Registry'!$B$14:$B$163,0)),""))</x:f>
      </x:c>
      <x:c r="E38" s="1242"/>
      <x:c r="F38" s="1242"/>
      <x:c r="G38" s="1242"/>
      <x:c r="H38" s="1242"/>
      <x:c r="I38" s="1243" t="str">
        <x:f>IF($C38="","",IFERROR(INDEX('23 RCC-004 MASR Registry'!$G$14:$G$163,MATCH($C38,'23 RCC-004 MASR Registry'!$B$14:$B$163,0)),""))</x:f>
      </x:c>
      <x:c r="J38" s="1243" t="str">
        <x:f>IF($C38="","",IFERROR(INDEX('23 RCC-004 MASR Registry'!$H$14:$H$163,MATCH($C38,'23 RCC-004 MASR Registry'!$B$14:$B$163,0)),""))</x:f>
      </x:c>
      <x:c r="K38" s="1243" t="str">
        <x:f>IF($C38="","",IFERROR(INDEX('23 RCC-004 MASR Registry'!$D$14:$D$163,MATCH($C38,'23 RCC-004 MASR Registry'!$B$14:$B$163,0)),""))</x:f>
      </x:c>
      <x:c r="L38" s="1243" t="str">
        <x:f>IF($C38="","",IFERROR(INDEX('23 RCC-004 MASR Registry'!$E$14:$E$163,MATCH($C38,'23 RCC-004 MASR Registry'!$B$14:$B$163,0)),""))</x:f>
      </x:c>
      <x:c r="M38" s="1243" t="str">
        <x:f>IF($C38="","",IFERROR(INDEX('23 RCC-004 MASR Registry'!$X$14:$X$163,MATCH($C38,'23 RCC-004 MASR Registry'!$B$14:$B$163,0)),""))</x:f>
      </x:c>
      <x:c r="N38" s="1243" t="str">
        <x:f>IF($C38="","",IFERROR(INDEX('23 RCC-004 MASR Registry'!$Y$14:$Y$163,MATCH($C38,'23 RCC-004 MASR Registry'!$B$14:$B$163,0)),""))</x:f>
      </x:c>
      <x:c r="O38" s="1243" t="str">
        <x:f>IF($C38="","",IFERROR(INDEX('23 RCC-004 MASR Registry'!$L$14:$L$163,MATCH($C38,'23 RCC-004 MASR Registry'!$B$14:$B$163,0)),""))</x:f>
      </x:c>
      <x:c r="P38" s="1243" t="str">
        <x:f>IF($C38="","",IFERROR(INDEX('23 RCC-004 MASR Registry'!$M$14:$M$163,MATCH($C38,'23 RCC-004 MASR Registry'!$B$14:$B$163,0)),""))</x:f>
      </x:c>
      <x:c r="Q38" s="1246" t="str">
        <x:f>IF($C38="","",IFERROR(INDEX('23 RCC-004 MASR Registry'!$N$14:$N$163,MATCH($C38,'23 RCC-004 MASR Registry'!$B$14:$B$163,0)),""))</x:f>
      </x:c>
      <x:c r="R38" s="1246" t="str">
        <x:f>IF($C38="","",IFERROR(INDEX('23 RCC-004 MASR Registry'!$O$14:$O$163,MATCH($C38,'23 RCC-004 MASR Registry'!$B$14:$B$163,0)),""))</x:f>
      </x:c>
      <x:c r="S38" s="1246" t="str">
        <x:f>IF($C38="","",IFERROR(INDEX('23 RCC-004 MASR Registry'!$W$14:$W$163,MATCH($C38,'23 RCC-004 MASR Registry'!$B$14:$B$163,0)),""))</x:f>
      </x:c>
      <x:c r="T38" s="1246" t="str">
        <x:f>IF($C38="","",IFERROR(INDEX('23 RCC-004 MASR Registry'!$T$14:$T$163,MATCH($C38,'23 RCC-004 MASR Registry'!$B$14:$B$163,0)),""))</x:f>
      </x:c>
      <x:c r="U38" s="1247" t="str">
        <x:f>IF($C38="","",IFERROR(INDEX('23 RCC-004 MASR Registry'!$U$14:$U$163,MATCH($C38,'23 RCC-004 MASR Registry'!$B$14:$B$163,0)),""))</x:f>
      </x:c>
      <x:c r="V38" s="1243" t="str">
        <x:f>IF($C38="","",IFERROR(INDEX('23 RCC-004 MASR Registry'!$V$14:$V$163,MATCH($C38,'23 RCC-004 MASR Registry'!$B$14:$B$163,0)),""))</x:f>
      </x:c>
      <x:c r="W38" s="1242"/>
      <x:c r="X38" s="1247" t="str">
        <x:f>IF($C38="","",COUNTIF('18 RCC-002 Evidence Ledger'!$E$14:$E$213,$C38))</x:f>
      </x:c>
      <x:c r="Y38" s="1242"/>
      <x:c r="Z38" s="1244" t="str">
        <x:f>IF($A38="","",IF(COUNTIF($A$14:$A$213,$A38)&gt;1,"FAIL — DUPLICATE ID",IF(OR($B38="",$C38="",$E38="",$H38="",$Y38="",$AA38="",$AB38=""),"FAIL — INCOMPLETE",IF(AND(OR($Y38="MIAR Review",$Y38="Eligibility Review",$Y38="Candidate Comparison",$Y38="Committee Review",$Y38="Approved for MASR",$Y38="Referred to PEW-004",$Y38="On Watch",$Y38="Rejected",$Y38="Closed",$Y38="Removed"),$K38=""),"FAIL — MASR RECORD REQUIRED",IF(AND(OR($Y38="Eligibility Review",$Y38="Candidate Comparison",$Y38="Committee Review",$Y38="Approved for MASR",$Y38="Referred to PEW-004",$Y38="On Watch"),NOT(OR($M38="ELIGIBLE",$M38="ELIGIBLE WITH EXCEPTION",$M38="CERTIFIED HOLDING"))),"FAIL — ELIGIBILITY",IF(AND(OR($Y38="Candidate Comparison",$Y38="Committee Review",$Y38="Approved for MASR",$Y38="Referred to PEW-004",$Y38="On Watch"),$X38=0),"FAIL — EVIDENCE",IF(AND(OR($Y38="Candidate Comparison",$Y38="Committee Review",$Y38="Approved for MASR",$Y38="Referred to PEW-004",$Y38="On Watch"),OR($O38&lt;&gt;"Active",$P38&lt;&gt;"CURRENT")),"FAIL — MIAR GATE",IF(AND(OR($Y38="Approved for MASR",$Y38="Referred to PEW-004",$Y38="On Watch",$Y38="Rejected",$Y38="Closed",$Y38="Removed"),OR($AD38="",$AD38="Pending")),"FAIL — COMMITTEE DISPOSITION",IF(AND($Y38="Referred to PEW-004",OR($AF38&lt;&gt;"Yes — Refer to PEW-004",$AG38="",$AJ38="")),"FAIL — PEW REFERRAL","PASS — STAGE GATE")))))))))</x:f>
      </x:c>
      <x:c r="AA38" s="1242"/>
      <x:c r="AB38" s="1251"/>
      <x:c r="AC38" s="1250" t="str">
        <x:f>IF($B38="","",IF($AQ38&lt;&gt;"",$AQ38-$B38,TODAY()-$B38))</x:f>
      </x:c>
      <x:c r="AD38" s="1242"/>
      <x:c r="AE38" s="1251"/>
      <x:c r="AF38" s="1242"/>
      <x:c r="AG38" s="1242"/>
      <x:c r="AH38" s="1246" t="str">
        <x:f>IF($AG38="","",IFERROR(INDEX('10 Candidate Comparison'!$T$14:$T$33,MATCH($AG38,'10 Candidate Comparison'!$A$14:$A$33,0)),""))</x:f>
      </x:c>
      <x:c r="AI38" s="1243" t="str">
        <x:f>IF($AG38="","",IFERROR(INDEX('10 Candidate Comparison'!$U$14:$U$33,MATCH($AG38,'10 Candidate Comparison'!$A$14:$A$33,0)),""))</x:f>
      </x:c>
      <x:c r="AJ38" s="1243" t="str">
        <x:f>IF($AG38="","",IFERROR(INDEX('10 Candidate Comparison'!$Y$14:$Y$33,MATCH($AG38,'10 Candidate Comparison'!$A$14:$A$33,0)),""))</x:f>
      </x:c>
      <x:c r="AK38" s="1244" t="str">
        <x:f>IF($A38="","",IF($Z38="FAIL — DUPLICATE ID","DUPLICATE CANDIDATE ID",IF($Z38="FAIL — INCOMPLETE","INCOMPLETE",IF($Z38="FAIL — MASR RECORD REQUIRED","MASR RECORD REQUIRED",IF($Z38="FAIL — ELIGIBILITY","ELIGIBILITY BLOCK",IF($Z38="FAIL — EVIDENCE","EVIDENCE REQUIRED",IF($Z38="FAIL — MIAR GATE","MIAR GATE BLOCK",IF($Z38="FAIL — COMMITTEE DISPOSITION","COMMITTEE DECISION REQUIRED",IF($Z38="FAIL — PEW REFERRAL","PEW REFERRAL INCOMPLETE",IF(AND(OR($Y38="Rejected",$Y38="Closed",$Y38="Removed"),OR($AO38="",$AP38="",$AQ38="")),"CLOSURE REQUIRED",IF(AND($AB38&lt;TODAY(),NOT(OR($Y38="Rejected",$Y38="Closed",$Y38="Removed"))),"OVERDUE",IF(OR($Y38="Rejected",$Y38="Closed",$Y38="Removed"),"CLOSED","OPEN — ON TRACK"))))))))))))</x:f>
      </x:c>
      <x:c r="AL38" s="1244" t="str">
        <x:f>IF($AK38="","",IFERROR(INDEX('97 RCC Lists'!$AM$5:$AM$16,MATCH($AK38,'97 RCC Lists'!$AL$5:$AL$16,0)),"Review candidate exception"))</x:f>
      </x:c>
      <x:c r="AM38" s="1242"/>
      <x:c r="AN38" s="1242"/>
      <x:c r="AO38" s="1242"/>
      <x:c r="AP38" s="1242"/>
      <x:c r="AQ38" s="1251"/>
    </x:row>
    <x:row r="39" ht="32" customHeight="1">
      <x:c r="A39" s="1242"/>
      <x:c r="B39" s="1251"/>
      <x:c r="C39" s="1242"/>
      <x:c r="D39" s="1252" t="str">
        <x:f>IF($C39="","",IFERROR(INDEX('23 RCC-004 MASR Registry'!$C$14:$C$163,MATCH($C39,'23 RCC-004 MASR Registry'!$B$14:$B$163,0)),""))</x:f>
      </x:c>
      <x:c r="E39" s="1242"/>
      <x:c r="F39" s="1242"/>
      <x:c r="G39" s="1242"/>
      <x:c r="H39" s="1242"/>
      <x:c r="I39" s="1252" t="str">
        <x:f>IF($C39="","",IFERROR(INDEX('23 RCC-004 MASR Registry'!$G$14:$G$163,MATCH($C39,'23 RCC-004 MASR Registry'!$B$14:$B$163,0)),""))</x:f>
      </x:c>
      <x:c r="J39" s="1252" t="str">
        <x:f>IF($C39="","",IFERROR(INDEX('23 RCC-004 MASR Registry'!$H$14:$H$163,MATCH($C39,'23 RCC-004 MASR Registry'!$B$14:$B$163,0)),""))</x:f>
      </x:c>
      <x:c r="K39" s="1252" t="str">
        <x:f>IF($C39="","",IFERROR(INDEX('23 RCC-004 MASR Registry'!$D$14:$D$163,MATCH($C39,'23 RCC-004 MASR Registry'!$B$14:$B$163,0)),""))</x:f>
      </x:c>
      <x:c r="L39" s="1252" t="str">
        <x:f>IF($C39="","",IFERROR(INDEX('23 RCC-004 MASR Registry'!$E$14:$E$163,MATCH($C39,'23 RCC-004 MASR Registry'!$B$14:$B$163,0)),""))</x:f>
      </x:c>
      <x:c r="M39" s="1252" t="str">
        <x:f>IF($C39="","",IFERROR(INDEX('23 RCC-004 MASR Registry'!$X$14:$X$163,MATCH($C39,'23 RCC-004 MASR Registry'!$B$14:$B$163,0)),""))</x:f>
      </x:c>
      <x:c r="N39" s="1252" t="str">
        <x:f>IF($C39="","",IFERROR(INDEX('23 RCC-004 MASR Registry'!$Y$14:$Y$163,MATCH($C39,'23 RCC-004 MASR Registry'!$B$14:$B$163,0)),""))</x:f>
      </x:c>
      <x:c r="O39" s="1252" t="str">
        <x:f>IF($C39="","",IFERROR(INDEX('23 RCC-004 MASR Registry'!$L$14:$L$163,MATCH($C39,'23 RCC-004 MASR Registry'!$B$14:$B$163,0)),""))</x:f>
      </x:c>
      <x:c r="P39" s="1252" t="str">
        <x:f>IF($C39="","",IFERROR(INDEX('23 RCC-004 MASR Registry'!$M$14:$M$163,MATCH($C39,'23 RCC-004 MASR Registry'!$B$14:$B$163,0)),""))</x:f>
      </x:c>
      <x:c r="Q39" s="1255" t="str">
        <x:f>IF($C39="","",IFERROR(INDEX('23 RCC-004 MASR Registry'!$N$14:$N$163,MATCH($C39,'23 RCC-004 MASR Registry'!$B$14:$B$163,0)),""))</x:f>
      </x:c>
      <x:c r="R39" s="1255" t="str">
        <x:f>IF($C39="","",IFERROR(INDEX('23 RCC-004 MASR Registry'!$O$14:$O$163,MATCH($C39,'23 RCC-004 MASR Registry'!$B$14:$B$163,0)),""))</x:f>
      </x:c>
      <x:c r="S39" s="1255" t="str">
        <x:f>IF($C39="","",IFERROR(INDEX('23 RCC-004 MASR Registry'!$W$14:$W$163,MATCH($C39,'23 RCC-004 MASR Registry'!$B$14:$B$163,0)),""))</x:f>
      </x:c>
      <x:c r="T39" s="1255" t="str">
        <x:f>IF($C39="","",IFERROR(INDEX('23 RCC-004 MASR Registry'!$T$14:$T$163,MATCH($C39,'23 RCC-004 MASR Registry'!$B$14:$B$163,0)),""))</x:f>
      </x:c>
      <x:c r="U39" s="1256" t="str">
        <x:f>IF($C39="","",IFERROR(INDEX('23 RCC-004 MASR Registry'!$U$14:$U$163,MATCH($C39,'23 RCC-004 MASR Registry'!$B$14:$B$163,0)),""))</x:f>
      </x:c>
      <x:c r="V39" s="1252" t="str">
        <x:f>IF($C39="","",IFERROR(INDEX('23 RCC-004 MASR Registry'!$V$14:$V$163,MATCH($C39,'23 RCC-004 MASR Registry'!$B$14:$B$163,0)),""))</x:f>
      </x:c>
      <x:c r="W39" s="1242"/>
      <x:c r="X39" s="1256" t="str">
        <x:f>IF($C39="","",COUNTIF('18 RCC-002 Evidence Ledger'!$E$14:$E$213,$C39))</x:f>
      </x:c>
      <x:c r="Y39" s="1242"/>
      <x:c r="Z39" s="1253" t="str">
        <x:f>IF($A39="","",IF(COUNTIF($A$14:$A$213,$A39)&gt;1,"FAIL — DUPLICATE ID",IF(OR($B39="",$C39="",$E39="",$H39="",$Y39="",$AA39="",$AB39=""),"FAIL — INCOMPLETE",IF(AND(OR($Y39="MIAR Review",$Y39="Eligibility Review",$Y39="Candidate Comparison",$Y39="Committee Review",$Y39="Approved for MASR",$Y39="Referred to PEW-004",$Y39="On Watch",$Y39="Rejected",$Y39="Closed",$Y39="Removed"),$K39=""),"FAIL — MASR RECORD REQUIRED",IF(AND(OR($Y39="Eligibility Review",$Y39="Candidate Comparison",$Y39="Committee Review",$Y39="Approved for MASR",$Y39="Referred to PEW-004",$Y39="On Watch"),NOT(OR($M39="ELIGIBLE",$M39="ELIGIBLE WITH EXCEPTION",$M39="CERTIFIED HOLDING"))),"FAIL — ELIGIBILITY",IF(AND(OR($Y39="Candidate Comparison",$Y39="Committee Review",$Y39="Approved for MASR",$Y39="Referred to PEW-004",$Y39="On Watch"),$X39=0),"FAIL — EVIDENCE",IF(AND(OR($Y39="Candidate Comparison",$Y39="Committee Review",$Y39="Approved for MASR",$Y39="Referred to PEW-004",$Y39="On Watch"),OR($O39&lt;&gt;"Active",$P39&lt;&gt;"CURRENT")),"FAIL — MIAR GATE",IF(AND(OR($Y39="Approved for MASR",$Y39="Referred to PEW-004",$Y39="On Watch",$Y39="Rejected",$Y39="Closed",$Y39="Removed"),OR($AD39="",$AD39="Pending")),"FAIL — COMMITTEE DISPOSITION",IF(AND($Y39="Referred to PEW-004",OR($AF39&lt;&gt;"Yes — Refer to PEW-004",$AG39="",$AJ39="")),"FAIL — PEW REFERRAL","PASS — STAGE GATE")))))))))</x:f>
      </x:c>
      <x:c r="AA39" s="1242"/>
      <x:c r="AB39" s="1251"/>
      <x:c r="AC39" s="1257" t="str">
        <x:f>IF($B39="","",IF($AQ39&lt;&gt;"",$AQ39-$B39,TODAY()-$B39))</x:f>
      </x:c>
      <x:c r="AD39" s="1242"/>
      <x:c r="AE39" s="1251"/>
      <x:c r="AF39" s="1242"/>
      <x:c r="AG39" s="1242"/>
      <x:c r="AH39" s="1255" t="str">
        <x:f>IF($AG39="","",IFERROR(INDEX('10 Candidate Comparison'!$T$14:$T$33,MATCH($AG39,'10 Candidate Comparison'!$A$14:$A$33,0)),""))</x:f>
      </x:c>
      <x:c r="AI39" s="1252" t="str">
        <x:f>IF($AG39="","",IFERROR(INDEX('10 Candidate Comparison'!$U$14:$U$33,MATCH($AG39,'10 Candidate Comparison'!$A$14:$A$33,0)),""))</x:f>
      </x:c>
      <x:c r="AJ39" s="1252" t="str">
        <x:f>IF($AG39="","",IFERROR(INDEX('10 Candidate Comparison'!$Y$14:$Y$33,MATCH($AG39,'10 Candidate Comparison'!$A$14:$A$33,0)),""))</x:f>
      </x:c>
      <x:c r="AK39" s="1253" t="str">
        <x:f>IF($A39="","",IF($Z39="FAIL — DUPLICATE ID","DUPLICATE CANDIDATE ID",IF($Z39="FAIL — INCOMPLETE","INCOMPLETE",IF($Z39="FAIL — MASR RECORD REQUIRED","MASR RECORD REQUIRED",IF($Z39="FAIL — ELIGIBILITY","ELIGIBILITY BLOCK",IF($Z39="FAIL — EVIDENCE","EVIDENCE REQUIRED",IF($Z39="FAIL — MIAR GATE","MIAR GATE BLOCK",IF($Z39="FAIL — COMMITTEE DISPOSITION","COMMITTEE DECISION REQUIRED",IF($Z39="FAIL — PEW REFERRAL","PEW REFERRAL INCOMPLETE",IF(AND(OR($Y39="Rejected",$Y39="Closed",$Y39="Removed"),OR($AO39="",$AP39="",$AQ39="")),"CLOSURE REQUIRED",IF(AND($AB39&lt;TODAY(),NOT(OR($Y39="Rejected",$Y39="Closed",$Y39="Removed"))),"OVERDUE",IF(OR($Y39="Rejected",$Y39="Closed",$Y39="Removed"),"CLOSED","OPEN — ON TRACK"))))))))))))</x:f>
      </x:c>
      <x:c r="AL39" s="1253" t="str">
        <x:f>IF($AK39="","",IFERROR(INDEX('97 RCC Lists'!$AM$5:$AM$16,MATCH($AK39,'97 RCC Lists'!$AL$5:$AL$16,0)),"Review candidate exception"))</x:f>
      </x:c>
      <x:c r="AM39" s="1242"/>
      <x:c r="AN39" s="1242"/>
      <x:c r="AO39" s="1242"/>
      <x:c r="AP39" s="1242"/>
      <x:c r="AQ39" s="1251"/>
    </x:row>
    <x:row r="40" ht="32" customHeight="1">
      <x:c r="A40" s="1242"/>
      <x:c r="B40" s="1251"/>
      <x:c r="C40" s="1242"/>
      <x:c r="D40" s="1243" t="str">
        <x:f>IF($C40="","",IFERROR(INDEX('23 RCC-004 MASR Registry'!$C$14:$C$163,MATCH($C40,'23 RCC-004 MASR Registry'!$B$14:$B$163,0)),""))</x:f>
      </x:c>
      <x:c r="E40" s="1242"/>
      <x:c r="F40" s="1242"/>
      <x:c r="G40" s="1242"/>
      <x:c r="H40" s="1242"/>
      <x:c r="I40" s="1243" t="str">
        <x:f>IF($C40="","",IFERROR(INDEX('23 RCC-004 MASR Registry'!$G$14:$G$163,MATCH($C40,'23 RCC-004 MASR Registry'!$B$14:$B$163,0)),""))</x:f>
      </x:c>
      <x:c r="J40" s="1243" t="str">
        <x:f>IF($C40="","",IFERROR(INDEX('23 RCC-004 MASR Registry'!$H$14:$H$163,MATCH($C40,'23 RCC-004 MASR Registry'!$B$14:$B$163,0)),""))</x:f>
      </x:c>
      <x:c r="K40" s="1243" t="str">
        <x:f>IF($C40="","",IFERROR(INDEX('23 RCC-004 MASR Registry'!$D$14:$D$163,MATCH($C40,'23 RCC-004 MASR Registry'!$B$14:$B$163,0)),""))</x:f>
      </x:c>
      <x:c r="L40" s="1243" t="str">
        <x:f>IF($C40="","",IFERROR(INDEX('23 RCC-004 MASR Registry'!$E$14:$E$163,MATCH($C40,'23 RCC-004 MASR Registry'!$B$14:$B$163,0)),""))</x:f>
      </x:c>
      <x:c r="M40" s="1243" t="str">
        <x:f>IF($C40="","",IFERROR(INDEX('23 RCC-004 MASR Registry'!$X$14:$X$163,MATCH($C40,'23 RCC-004 MASR Registry'!$B$14:$B$163,0)),""))</x:f>
      </x:c>
      <x:c r="N40" s="1243" t="str">
        <x:f>IF($C40="","",IFERROR(INDEX('23 RCC-004 MASR Registry'!$Y$14:$Y$163,MATCH($C40,'23 RCC-004 MASR Registry'!$B$14:$B$163,0)),""))</x:f>
      </x:c>
      <x:c r="O40" s="1243" t="str">
        <x:f>IF($C40="","",IFERROR(INDEX('23 RCC-004 MASR Registry'!$L$14:$L$163,MATCH($C40,'23 RCC-004 MASR Registry'!$B$14:$B$163,0)),""))</x:f>
      </x:c>
      <x:c r="P40" s="1243" t="str">
        <x:f>IF($C40="","",IFERROR(INDEX('23 RCC-004 MASR Registry'!$M$14:$M$163,MATCH($C40,'23 RCC-004 MASR Registry'!$B$14:$B$163,0)),""))</x:f>
      </x:c>
      <x:c r="Q40" s="1246" t="str">
        <x:f>IF($C40="","",IFERROR(INDEX('23 RCC-004 MASR Registry'!$N$14:$N$163,MATCH($C40,'23 RCC-004 MASR Registry'!$B$14:$B$163,0)),""))</x:f>
      </x:c>
      <x:c r="R40" s="1246" t="str">
        <x:f>IF($C40="","",IFERROR(INDEX('23 RCC-004 MASR Registry'!$O$14:$O$163,MATCH($C40,'23 RCC-004 MASR Registry'!$B$14:$B$163,0)),""))</x:f>
      </x:c>
      <x:c r="S40" s="1246" t="str">
        <x:f>IF($C40="","",IFERROR(INDEX('23 RCC-004 MASR Registry'!$W$14:$W$163,MATCH($C40,'23 RCC-004 MASR Registry'!$B$14:$B$163,0)),""))</x:f>
      </x:c>
      <x:c r="T40" s="1246" t="str">
        <x:f>IF($C40="","",IFERROR(INDEX('23 RCC-004 MASR Registry'!$T$14:$T$163,MATCH($C40,'23 RCC-004 MASR Registry'!$B$14:$B$163,0)),""))</x:f>
      </x:c>
      <x:c r="U40" s="1247" t="str">
        <x:f>IF($C40="","",IFERROR(INDEX('23 RCC-004 MASR Registry'!$U$14:$U$163,MATCH($C40,'23 RCC-004 MASR Registry'!$B$14:$B$163,0)),""))</x:f>
      </x:c>
      <x:c r="V40" s="1243" t="str">
        <x:f>IF($C40="","",IFERROR(INDEX('23 RCC-004 MASR Registry'!$V$14:$V$163,MATCH($C40,'23 RCC-004 MASR Registry'!$B$14:$B$163,0)),""))</x:f>
      </x:c>
      <x:c r="W40" s="1242"/>
      <x:c r="X40" s="1247" t="str">
        <x:f>IF($C40="","",COUNTIF('18 RCC-002 Evidence Ledger'!$E$14:$E$213,$C40))</x:f>
      </x:c>
      <x:c r="Y40" s="1242"/>
      <x:c r="Z40" s="1244" t="str">
        <x:f>IF($A40="","",IF(COUNTIF($A$14:$A$213,$A40)&gt;1,"FAIL — DUPLICATE ID",IF(OR($B40="",$C40="",$E40="",$H40="",$Y40="",$AA40="",$AB40=""),"FAIL — INCOMPLETE",IF(AND(OR($Y40="MIAR Review",$Y40="Eligibility Review",$Y40="Candidate Comparison",$Y40="Committee Review",$Y40="Approved for MASR",$Y40="Referred to PEW-004",$Y40="On Watch",$Y40="Rejected",$Y40="Closed",$Y40="Removed"),$K40=""),"FAIL — MASR RECORD REQUIRED",IF(AND(OR($Y40="Eligibility Review",$Y40="Candidate Comparison",$Y40="Committee Review",$Y40="Approved for MASR",$Y40="Referred to PEW-004",$Y40="On Watch"),NOT(OR($M40="ELIGIBLE",$M40="ELIGIBLE WITH EXCEPTION",$M40="CERTIFIED HOLDING"))),"FAIL — ELIGIBILITY",IF(AND(OR($Y40="Candidate Comparison",$Y40="Committee Review",$Y40="Approved for MASR",$Y40="Referred to PEW-004",$Y40="On Watch"),$X40=0),"FAIL — EVIDENCE",IF(AND(OR($Y40="Candidate Comparison",$Y40="Committee Review",$Y40="Approved for MASR",$Y40="Referred to PEW-004",$Y40="On Watch"),OR($O40&lt;&gt;"Active",$P40&lt;&gt;"CURRENT")),"FAIL — MIAR GATE",IF(AND(OR($Y40="Approved for MASR",$Y40="Referred to PEW-004",$Y40="On Watch",$Y40="Rejected",$Y40="Closed",$Y40="Removed"),OR($AD40="",$AD40="Pending")),"FAIL — COMMITTEE DISPOSITION",IF(AND($Y40="Referred to PEW-004",OR($AF40&lt;&gt;"Yes — Refer to PEW-004",$AG40="",$AJ40="")),"FAIL — PEW REFERRAL","PASS — STAGE GATE")))))))))</x:f>
      </x:c>
      <x:c r="AA40" s="1242"/>
      <x:c r="AB40" s="1251"/>
      <x:c r="AC40" s="1250" t="str">
        <x:f>IF($B40="","",IF($AQ40&lt;&gt;"",$AQ40-$B40,TODAY()-$B40))</x:f>
      </x:c>
      <x:c r="AD40" s="1242"/>
      <x:c r="AE40" s="1251"/>
      <x:c r="AF40" s="1242"/>
      <x:c r="AG40" s="1242"/>
      <x:c r="AH40" s="1246" t="str">
        <x:f>IF($AG40="","",IFERROR(INDEX('10 Candidate Comparison'!$T$14:$T$33,MATCH($AG40,'10 Candidate Comparison'!$A$14:$A$33,0)),""))</x:f>
      </x:c>
      <x:c r="AI40" s="1243" t="str">
        <x:f>IF($AG40="","",IFERROR(INDEX('10 Candidate Comparison'!$U$14:$U$33,MATCH($AG40,'10 Candidate Comparison'!$A$14:$A$33,0)),""))</x:f>
      </x:c>
      <x:c r="AJ40" s="1243" t="str">
        <x:f>IF($AG40="","",IFERROR(INDEX('10 Candidate Comparison'!$Y$14:$Y$33,MATCH($AG40,'10 Candidate Comparison'!$A$14:$A$33,0)),""))</x:f>
      </x:c>
      <x:c r="AK40" s="1244" t="str">
        <x:f>IF($A40="","",IF($Z40="FAIL — DUPLICATE ID","DUPLICATE CANDIDATE ID",IF($Z40="FAIL — INCOMPLETE","INCOMPLETE",IF($Z40="FAIL — MASR RECORD REQUIRED","MASR RECORD REQUIRED",IF($Z40="FAIL — ELIGIBILITY","ELIGIBILITY BLOCK",IF($Z40="FAIL — EVIDENCE","EVIDENCE REQUIRED",IF($Z40="FAIL — MIAR GATE","MIAR GATE BLOCK",IF($Z40="FAIL — COMMITTEE DISPOSITION","COMMITTEE DECISION REQUIRED",IF($Z40="FAIL — PEW REFERRAL","PEW REFERRAL INCOMPLETE",IF(AND(OR($Y40="Rejected",$Y40="Closed",$Y40="Removed"),OR($AO40="",$AP40="",$AQ40="")),"CLOSURE REQUIRED",IF(AND($AB40&lt;TODAY(),NOT(OR($Y40="Rejected",$Y40="Closed",$Y40="Removed"))),"OVERDUE",IF(OR($Y40="Rejected",$Y40="Closed",$Y40="Removed"),"CLOSED","OPEN — ON TRACK"))))))))))))</x:f>
      </x:c>
      <x:c r="AL40" s="1244" t="str">
        <x:f>IF($AK40="","",IFERROR(INDEX('97 RCC Lists'!$AM$5:$AM$16,MATCH($AK40,'97 RCC Lists'!$AL$5:$AL$16,0)),"Review candidate exception"))</x:f>
      </x:c>
      <x:c r="AM40" s="1242"/>
      <x:c r="AN40" s="1242"/>
      <x:c r="AO40" s="1242"/>
      <x:c r="AP40" s="1242"/>
      <x:c r="AQ40" s="1251"/>
    </x:row>
    <x:row r="41" ht="32" customHeight="1">
      <x:c r="A41" s="1242"/>
      <x:c r="B41" s="1251"/>
      <x:c r="C41" s="1242"/>
      <x:c r="D41" s="1252" t="str">
        <x:f>IF($C41="","",IFERROR(INDEX('23 RCC-004 MASR Registry'!$C$14:$C$163,MATCH($C41,'23 RCC-004 MASR Registry'!$B$14:$B$163,0)),""))</x:f>
      </x:c>
      <x:c r="E41" s="1242"/>
      <x:c r="F41" s="1242"/>
      <x:c r="G41" s="1242"/>
      <x:c r="H41" s="1242"/>
      <x:c r="I41" s="1252" t="str">
        <x:f>IF($C41="","",IFERROR(INDEX('23 RCC-004 MASR Registry'!$G$14:$G$163,MATCH($C41,'23 RCC-004 MASR Registry'!$B$14:$B$163,0)),""))</x:f>
      </x:c>
      <x:c r="J41" s="1252" t="str">
        <x:f>IF($C41="","",IFERROR(INDEX('23 RCC-004 MASR Registry'!$H$14:$H$163,MATCH($C41,'23 RCC-004 MASR Registry'!$B$14:$B$163,0)),""))</x:f>
      </x:c>
      <x:c r="K41" s="1252" t="str">
        <x:f>IF($C41="","",IFERROR(INDEX('23 RCC-004 MASR Registry'!$D$14:$D$163,MATCH($C41,'23 RCC-004 MASR Registry'!$B$14:$B$163,0)),""))</x:f>
      </x:c>
      <x:c r="L41" s="1252" t="str">
        <x:f>IF($C41="","",IFERROR(INDEX('23 RCC-004 MASR Registry'!$E$14:$E$163,MATCH($C41,'23 RCC-004 MASR Registry'!$B$14:$B$163,0)),""))</x:f>
      </x:c>
      <x:c r="M41" s="1252" t="str">
        <x:f>IF($C41="","",IFERROR(INDEX('23 RCC-004 MASR Registry'!$X$14:$X$163,MATCH($C41,'23 RCC-004 MASR Registry'!$B$14:$B$163,0)),""))</x:f>
      </x:c>
      <x:c r="N41" s="1252" t="str">
        <x:f>IF($C41="","",IFERROR(INDEX('23 RCC-004 MASR Registry'!$Y$14:$Y$163,MATCH($C41,'23 RCC-004 MASR Registry'!$B$14:$B$163,0)),""))</x:f>
      </x:c>
      <x:c r="O41" s="1252" t="str">
        <x:f>IF($C41="","",IFERROR(INDEX('23 RCC-004 MASR Registry'!$L$14:$L$163,MATCH($C41,'23 RCC-004 MASR Registry'!$B$14:$B$163,0)),""))</x:f>
      </x:c>
      <x:c r="P41" s="1252" t="str">
        <x:f>IF($C41="","",IFERROR(INDEX('23 RCC-004 MASR Registry'!$M$14:$M$163,MATCH($C41,'23 RCC-004 MASR Registry'!$B$14:$B$163,0)),""))</x:f>
      </x:c>
      <x:c r="Q41" s="1255" t="str">
        <x:f>IF($C41="","",IFERROR(INDEX('23 RCC-004 MASR Registry'!$N$14:$N$163,MATCH($C41,'23 RCC-004 MASR Registry'!$B$14:$B$163,0)),""))</x:f>
      </x:c>
      <x:c r="R41" s="1255" t="str">
        <x:f>IF($C41="","",IFERROR(INDEX('23 RCC-004 MASR Registry'!$O$14:$O$163,MATCH($C41,'23 RCC-004 MASR Registry'!$B$14:$B$163,0)),""))</x:f>
      </x:c>
      <x:c r="S41" s="1255" t="str">
        <x:f>IF($C41="","",IFERROR(INDEX('23 RCC-004 MASR Registry'!$W$14:$W$163,MATCH($C41,'23 RCC-004 MASR Registry'!$B$14:$B$163,0)),""))</x:f>
      </x:c>
      <x:c r="T41" s="1255" t="str">
        <x:f>IF($C41="","",IFERROR(INDEX('23 RCC-004 MASR Registry'!$T$14:$T$163,MATCH($C41,'23 RCC-004 MASR Registry'!$B$14:$B$163,0)),""))</x:f>
      </x:c>
      <x:c r="U41" s="1256" t="str">
        <x:f>IF($C41="","",IFERROR(INDEX('23 RCC-004 MASR Registry'!$U$14:$U$163,MATCH($C41,'23 RCC-004 MASR Registry'!$B$14:$B$163,0)),""))</x:f>
      </x:c>
      <x:c r="V41" s="1252" t="str">
        <x:f>IF($C41="","",IFERROR(INDEX('23 RCC-004 MASR Registry'!$V$14:$V$163,MATCH($C41,'23 RCC-004 MASR Registry'!$B$14:$B$163,0)),""))</x:f>
      </x:c>
      <x:c r="W41" s="1242"/>
      <x:c r="X41" s="1256" t="str">
        <x:f>IF($C41="","",COUNTIF('18 RCC-002 Evidence Ledger'!$E$14:$E$213,$C41))</x:f>
      </x:c>
      <x:c r="Y41" s="1242"/>
      <x:c r="Z41" s="1253" t="str">
        <x:f>IF($A41="","",IF(COUNTIF($A$14:$A$213,$A41)&gt;1,"FAIL — DUPLICATE ID",IF(OR($B41="",$C41="",$E41="",$H41="",$Y41="",$AA41="",$AB41=""),"FAIL — INCOMPLETE",IF(AND(OR($Y41="MIAR Review",$Y41="Eligibility Review",$Y41="Candidate Comparison",$Y41="Committee Review",$Y41="Approved for MASR",$Y41="Referred to PEW-004",$Y41="On Watch",$Y41="Rejected",$Y41="Closed",$Y41="Removed"),$K41=""),"FAIL — MASR RECORD REQUIRED",IF(AND(OR($Y41="Eligibility Review",$Y41="Candidate Comparison",$Y41="Committee Review",$Y41="Approved for MASR",$Y41="Referred to PEW-004",$Y41="On Watch"),NOT(OR($M41="ELIGIBLE",$M41="ELIGIBLE WITH EXCEPTION",$M41="CERTIFIED HOLDING"))),"FAIL — ELIGIBILITY",IF(AND(OR($Y41="Candidate Comparison",$Y41="Committee Review",$Y41="Approved for MASR",$Y41="Referred to PEW-004",$Y41="On Watch"),$X41=0),"FAIL — EVIDENCE",IF(AND(OR($Y41="Candidate Comparison",$Y41="Committee Review",$Y41="Approved for MASR",$Y41="Referred to PEW-004",$Y41="On Watch"),OR($O41&lt;&gt;"Active",$P41&lt;&gt;"CURRENT")),"FAIL — MIAR GATE",IF(AND(OR($Y41="Approved for MASR",$Y41="Referred to PEW-004",$Y41="On Watch",$Y41="Rejected",$Y41="Closed",$Y41="Removed"),OR($AD41="",$AD41="Pending")),"FAIL — COMMITTEE DISPOSITION",IF(AND($Y41="Referred to PEW-004",OR($AF41&lt;&gt;"Yes — Refer to PEW-004",$AG41="",$AJ41="")),"FAIL — PEW REFERRAL","PASS — STAGE GATE")))))))))</x:f>
      </x:c>
      <x:c r="AA41" s="1242"/>
      <x:c r="AB41" s="1251"/>
      <x:c r="AC41" s="1257" t="str">
        <x:f>IF($B41="","",IF($AQ41&lt;&gt;"",$AQ41-$B41,TODAY()-$B41))</x:f>
      </x:c>
      <x:c r="AD41" s="1242"/>
      <x:c r="AE41" s="1251"/>
      <x:c r="AF41" s="1242"/>
      <x:c r="AG41" s="1242"/>
      <x:c r="AH41" s="1255" t="str">
        <x:f>IF($AG41="","",IFERROR(INDEX('10 Candidate Comparison'!$T$14:$T$33,MATCH($AG41,'10 Candidate Comparison'!$A$14:$A$33,0)),""))</x:f>
      </x:c>
      <x:c r="AI41" s="1252" t="str">
        <x:f>IF($AG41="","",IFERROR(INDEX('10 Candidate Comparison'!$U$14:$U$33,MATCH($AG41,'10 Candidate Comparison'!$A$14:$A$33,0)),""))</x:f>
      </x:c>
      <x:c r="AJ41" s="1252" t="str">
        <x:f>IF($AG41="","",IFERROR(INDEX('10 Candidate Comparison'!$Y$14:$Y$33,MATCH($AG41,'10 Candidate Comparison'!$A$14:$A$33,0)),""))</x:f>
      </x:c>
      <x:c r="AK41" s="1253" t="str">
        <x:f>IF($A41="","",IF($Z41="FAIL — DUPLICATE ID","DUPLICATE CANDIDATE ID",IF($Z41="FAIL — INCOMPLETE","INCOMPLETE",IF($Z41="FAIL — MASR RECORD REQUIRED","MASR RECORD REQUIRED",IF($Z41="FAIL — ELIGIBILITY","ELIGIBILITY BLOCK",IF($Z41="FAIL — EVIDENCE","EVIDENCE REQUIRED",IF($Z41="FAIL — MIAR GATE","MIAR GATE BLOCK",IF($Z41="FAIL — COMMITTEE DISPOSITION","COMMITTEE DECISION REQUIRED",IF($Z41="FAIL — PEW REFERRAL","PEW REFERRAL INCOMPLETE",IF(AND(OR($Y41="Rejected",$Y41="Closed",$Y41="Removed"),OR($AO41="",$AP41="",$AQ41="")),"CLOSURE REQUIRED",IF(AND($AB41&lt;TODAY(),NOT(OR($Y41="Rejected",$Y41="Closed",$Y41="Removed"))),"OVERDUE",IF(OR($Y41="Rejected",$Y41="Closed",$Y41="Removed"),"CLOSED","OPEN — ON TRACK"))))))))))))</x:f>
      </x:c>
      <x:c r="AL41" s="1253" t="str">
        <x:f>IF($AK41="","",IFERROR(INDEX('97 RCC Lists'!$AM$5:$AM$16,MATCH($AK41,'97 RCC Lists'!$AL$5:$AL$16,0)),"Review candidate exception"))</x:f>
      </x:c>
      <x:c r="AM41" s="1242"/>
      <x:c r="AN41" s="1242"/>
      <x:c r="AO41" s="1242"/>
      <x:c r="AP41" s="1242"/>
      <x:c r="AQ41" s="1251"/>
    </x:row>
    <x:row r="42" ht="32" customHeight="1">
      <x:c r="A42" s="1242"/>
      <x:c r="B42" s="1251"/>
      <x:c r="C42" s="1242"/>
      <x:c r="D42" s="1243" t="str">
        <x:f>IF($C42="","",IFERROR(INDEX('23 RCC-004 MASR Registry'!$C$14:$C$163,MATCH($C42,'23 RCC-004 MASR Registry'!$B$14:$B$163,0)),""))</x:f>
      </x:c>
      <x:c r="E42" s="1242"/>
      <x:c r="F42" s="1242"/>
      <x:c r="G42" s="1242"/>
      <x:c r="H42" s="1242"/>
      <x:c r="I42" s="1243" t="str">
        <x:f>IF($C42="","",IFERROR(INDEX('23 RCC-004 MASR Registry'!$G$14:$G$163,MATCH($C42,'23 RCC-004 MASR Registry'!$B$14:$B$163,0)),""))</x:f>
      </x:c>
      <x:c r="J42" s="1243" t="str">
        <x:f>IF($C42="","",IFERROR(INDEX('23 RCC-004 MASR Registry'!$H$14:$H$163,MATCH($C42,'23 RCC-004 MASR Registry'!$B$14:$B$163,0)),""))</x:f>
      </x:c>
      <x:c r="K42" s="1243" t="str">
        <x:f>IF($C42="","",IFERROR(INDEX('23 RCC-004 MASR Registry'!$D$14:$D$163,MATCH($C42,'23 RCC-004 MASR Registry'!$B$14:$B$163,0)),""))</x:f>
      </x:c>
      <x:c r="L42" s="1243" t="str">
        <x:f>IF($C42="","",IFERROR(INDEX('23 RCC-004 MASR Registry'!$E$14:$E$163,MATCH($C42,'23 RCC-004 MASR Registry'!$B$14:$B$163,0)),""))</x:f>
      </x:c>
      <x:c r="M42" s="1243" t="str">
        <x:f>IF($C42="","",IFERROR(INDEX('23 RCC-004 MASR Registry'!$X$14:$X$163,MATCH($C42,'23 RCC-004 MASR Registry'!$B$14:$B$163,0)),""))</x:f>
      </x:c>
      <x:c r="N42" s="1243" t="str">
        <x:f>IF($C42="","",IFERROR(INDEX('23 RCC-004 MASR Registry'!$Y$14:$Y$163,MATCH($C42,'23 RCC-004 MASR Registry'!$B$14:$B$163,0)),""))</x:f>
      </x:c>
      <x:c r="O42" s="1243" t="str">
        <x:f>IF($C42="","",IFERROR(INDEX('23 RCC-004 MASR Registry'!$L$14:$L$163,MATCH($C42,'23 RCC-004 MASR Registry'!$B$14:$B$163,0)),""))</x:f>
      </x:c>
      <x:c r="P42" s="1243" t="str">
        <x:f>IF($C42="","",IFERROR(INDEX('23 RCC-004 MASR Registry'!$M$14:$M$163,MATCH($C42,'23 RCC-004 MASR Registry'!$B$14:$B$163,0)),""))</x:f>
      </x:c>
      <x:c r="Q42" s="1246" t="str">
        <x:f>IF($C42="","",IFERROR(INDEX('23 RCC-004 MASR Registry'!$N$14:$N$163,MATCH($C42,'23 RCC-004 MASR Registry'!$B$14:$B$163,0)),""))</x:f>
      </x:c>
      <x:c r="R42" s="1246" t="str">
        <x:f>IF($C42="","",IFERROR(INDEX('23 RCC-004 MASR Registry'!$O$14:$O$163,MATCH($C42,'23 RCC-004 MASR Registry'!$B$14:$B$163,0)),""))</x:f>
      </x:c>
      <x:c r="S42" s="1246" t="str">
        <x:f>IF($C42="","",IFERROR(INDEX('23 RCC-004 MASR Registry'!$W$14:$W$163,MATCH($C42,'23 RCC-004 MASR Registry'!$B$14:$B$163,0)),""))</x:f>
      </x:c>
      <x:c r="T42" s="1246" t="str">
        <x:f>IF($C42="","",IFERROR(INDEX('23 RCC-004 MASR Registry'!$T$14:$T$163,MATCH($C42,'23 RCC-004 MASR Registry'!$B$14:$B$163,0)),""))</x:f>
      </x:c>
      <x:c r="U42" s="1247" t="str">
        <x:f>IF($C42="","",IFERROR(INDEX('23 RCC-004 MASR Registry'!$U$14:$U$163,MATCH($C42,'23 RCC-004 MASR Registry'!$B$14:$B$163,0)),""))</x:f>
      </x:c>
      <x:c r="V42" s="1243" t="str">
        <x:f>IF($C42="","",IFERROR(INDEX('23 RCC-004 MASR Registry'!$V$14:$V$163,MATCH($C42,'23 RCC-004 MASR Registry'!$B$14:$B$163,0)),""))</x:f>
      </x:c>
      <x:c r="W42" s="1242"/>
      <x:c r="X42" s="1247" t="str">
        <x:f>IF($C42="","",COUNTIF('18 RCC-002 Evidence Ledger'!$E$14:$E$213,$C42))</x:f>
      </x:c>
      <x:c r="Y42" s="1242"/>
      <x:c r="Z42" s="1244" t="str">
        <x:f>IF($A42="","",IF(COUNTIF($A$14:$A$213,$A42)&gt;1,"FAIL — DUPLICATE ID",IF(OR($B42="",$C42="",$E42="",$H42="",$Y42="",$AA42="",$AB42=""),"FAIL — INCOMPLETE",IF(AND(OR($Y42="MIAR Review",$Y42="Eligibility Review",$Y42="Candidate Comparison",$Y42="Committee Review",$Y42="Approved for MASR",$Y42="Referred to PEW-004",$Y42="On Watch",$Y42="Rejected",$Y42="Closed",$Y42="Removed"),$K42=""),"FAIL — MASR RECORD REQUIRED",IF(AND(OR($Y42="Eligibility Review",$Y42="Candidate Comparison",$Y42="Committee Review",$Y42="Approved for MASR",$Y42="Referred to PEW-004",$Y42="On Watch"),NOT(OR($M42="ELIGIBLE",$M42="ELIGIBLE WITH EXCEPTION",$M42="CERTIFIED HOLDING"))),"FAIL — ELIGIBILITY",IF(AND(OR($Y42="Candidate Comparison",$Y42="Committee Review",$Y42="Approved for MASR",$Y42="Referred to PEW-004",$Y42="On Watch"),$X42=0),"FAIL — EVIDENCE",IF(AND(OR($Y42="Candidate Comparison",$Y42="Committee Review",$Y42="Approved for MASR",$Y42="Referred to PEW-004",$Y42="On Watch"),OR($O42&lt;&gt;"Active",$P42&lt;&gt;"CURRENT")),"FAIL — MIAR GATE",IF(AND(OR($Y42="Approved for MASR",$Y42="Referred to PEW-004",$Y42="On Watch",$Y42="Rejected",$Y42="Closed",$Y42="Removed"),OR($AD42="",$AD42="Pending")),"FAIL — COMMITTEE DISPOSITION",IF(AND($Y42="Referred to PEW-004",OR($AF42&lt;&gt;"Yes — Refer to PEW-004",$AG42="",$AJ42="")),"FAIL — PEW REFERRAL","PASS — STAGE GATE")))))))))</x:f>
      </x:c>
      <x:c r="AA42" s="1242"/>
      <x:c r="AB42" s="1251"/>
      <x:c r="AC42" s="1250" t="str">
        <x:f>IF($B42="","",IF($AQ42&lt;&gt;"",$AQ42-$B42,TODAY()-$B42))</x:f>
      </x:c>
      <x:c r="AD42" s="1242"/>
      <x:c r="AE42" s="1251"/>
      <x:c r="AF42" s="1242"/>
      <x:c r="AG42" s="1242"/>
      <x:c r="AH42" s="1246" t="str">
        <x:f>IF($AG42="","",IFERROR(INDEX('10 Candidate Comparison'!$T$14:$T$33,MATCH($AG42,'10 Candidate Comparison'!$A$14:$A$33,0)),""))</x:f>
      </x:c>
      <x:c r="AI42" s="1243" t="str">
        <x:f>IF($AG42="","",IFERROR(INDEX('10 Candidate Comparison'!$U$14:$U$33,MATCH($AG42,'10 Candidate Comparison'!$A$14:$A$33,0)),""))</x:f>
      </x:c>
      <x:c r="AJ42" s="1243" t="str">
        <x:f>IF($AG42="","",IFERROR(INDEX('10 Candidate Comparison'!$Y$14:$Y$33,MATCH($AG42,'10 Candidate Comparison'!$A$14:$A$33,0)),""))</x:f>
      </x:c>
      <x:c r="AK42" s="1244" t="str">
        <x:f>IF($A42="","",IF($Z42="FAIL — DUPLICATE ID","DUPLICATE CANDIDATE ID",IF($Z42="FAIL — INCOMPLETE","INCOMPLETE",IF($Z42="FAIL — MASR RECORD REQUIRED","MASR RECORD REQUIRED",IF($Z42="FAIL — ELIGIBILITY","ELIGIBILITY BLOCK",IF($Z42="FAIL — EVIDENCE","EVIDENCE REQUIRED",IF($Z42="FAIL — MIAR GATE","MIAR GATE BLOCK",IF($Z42="FAIL — COMMITTEE DISPOSITION","COMMITTEE DECISION REQUIRED",IF($Z42="FAIL — PEW REFERRAL","PEW REFERRAL INCOMPLETE",IF(AND(OR($Y42="Rejected",$Y42="Closed",$Y42="Removed"),OR($AO42="",$AP42="",$AQ42="")),"CLOSURE REQUIRED",IF(AND($AB42&lt;TODAY(),NOT(OR($Y42="Rejected",$Y42="Closed",$Y42="Removed"))),"OVERDUE",IF(OR($Y42="Rejected",$Y42="Closed",$Y42="Removed"),"CLOSED","OPEN — ON TRACK"))))))))))))</x:f>
      </x:c>
      <x:c r="AL42" s="1244" t="str">
        <x:f>IF($AK42="","",IFERROR(INDEX('97 RCC Lists'!$AM$5:$AM$16,MATCH($AK42,'97 RCC Lists'!$AL$5:$AL$16,0)),"Review candidate exception"))</x:f>
      </x:c>
      <x:c r="AM42" s="1242"/>
      <x:c r="AN42" s="1242"/>
      <x:c r="AO42" s="1242"/>
      <x:c r="AP42" s="1242"/>
      <x:c r="AQ42" s="1251"/>
    </x:row>
    <x:row r="43" ht="32" customHeight="1">
      <x:c r="A43" s="1242"/>
      <x:c r="B43" s="1251"/>
      <x:c r="C43" s="1242"/>
      <x:c r="D43" s="1252" t="str">
        <x:f>IF($C43="","",IFERROR(INDEX('23 RCC-004 MASR Registry'!$C$14:$C$163,MATCH($C43,'23 RCC-004 MASR Registry'!$B$14:$B$163,0)),""))</x:f>
      </x:c>
      <x:c r="E43" s="1242"/>
      <x:c r="F43" s="1242"/>
      <x:c r="G43" s="1242"/>
      <x:c r="H43" s="1242"/>
      <x:c r="I43" s="1252" t="str">
        <x:f>IF($C43="","",IFERROR(INDEX('23 RCC-004 MASR Registry'!$G$14:$G$163,MATCH($C43,'23 RCC-004 MASR Registry'!$B$14:$B$163,0)),""))</x:f>
      </x:c>
      <x:c r="J43" s="1252" t="str">
        <x:f>IF($C43="","",IFERROR(INDEX('23 RCC-004 MASR Registry'!$H$14:$H$163,MATCH($C43,'23 RCC-004 MASR Registry'!$B$14:$B$163,0)),""))</x:f>
      </x:c>
      <x:c r="K43" s="1252" t="str">
        <x:f>IF($C43="","",IFERROR(INDEX('23 RCC-004 MASR Registry'!$D$14:$D$163,MATCH($C43,'23 RCC-004 MASR Registry'!$B$14:$B$163,0)),""))</x:f>
      </x:c>
      <x:c r="L43" s="1252" t="str">
        <x:f>IF($C43="","",IFERROR(INDEX('23 RCC-004 MASR Registry'!$E$14:$E$163,MATCH($C43,'23 RCC-004 MASR Registry'!$B$14:$B$163,0)),""))</x:f>
      </x:c>
      <x:c r="M43" s="1252" t="str">
        <x:f>IF($C43="","",IFERROR(INDEX('23 RCC-004 MASR Registry'!$X$14:$X$163,MATCH($C43,'23 RCC-004 MASR Registry'!$B$14:$B$163,0)),""))</x:f>
      </x:c>
      <x:c r="N43" s="1252" t="str">
        <x:f>IF($C43="","",IFERROR(INDEX('23 RCC-004 MASR Registry'!$Y$14:$Y$163,MATCH($C43,'23 RCC-004 MASR Registry'!$B$14:$B$163,0)),""))</x:f>
      </x:c>
      <x:c r="O43" s="1252" t="str">
        <x:f>IF($C43="","",IFERROR(INDEX('23 RCC-004 MASR Registry'!$L$14:$L$163,MATCH($C43,'23 RCC-004 MASR Registry'!$B$14:$B$163,0)),""))</x:f>
      </x:c>
      <x:c r="P43" s="1252" t="str">
        <x:f>IF($C43="","",IFERROR(INDEX('23 RCC-004 MASR Registry'!$M$14:$M$163,MATCH($C43,'23 RCC-004 MASR Registry'!$B$14:$B$163,0)),""))</x:f>
      </x:c>
      <x:c r="Q43" s="1255" t="str">
        <x:f>IF($C43="","",IFERROR(INDEX('23 RCC-004 MASR Registry'!$N$14:$N$163,MATCH($C43,'23 RCC-004 MASR Registry'!$B$14:$B$163,0)),""))</x:f>
      </x:c>
      <x:c r="R43" s="1255" t="str">
        <x:f>IF($C43="","",IFERROR(INDEX('23 RCC-004 MASR Registry'!$O$14:$O$163,MATCH($C43,'23 RCC-004 MASR Registry'!$B$14:$B$163,0)),""))</x:f>
      </x:c>
      <x:c r="S43" s="1255" t="str">
        <x:f>IF($C43="","",IFERROR(INDEX('23 RCC-004 MASR Registry'!$W$14:$W$163,MATCH($C43,'23 RCC-004 MASR Registry'!$B$14:$B$163,0)),""))</x:f>
      </x:c>
      <x:c r="T43" s="1255" t="str">
        <x:f>IF($C43="","",IFERROR(INDEX('23 RCC-004 MASR Registry'!$T$14:$T$163,MATCH($C43,'23 RCC-004 MASR Registry'!$B$14:$B$163,0)),""))</x:f>
      </x:c>
      <x:c r="U43" s="1256" t="str">
        <x:f>IF($C43="","",IFERROR(INDEX('23 RCC-004 MASR Registry'!$U$14:$U$163,MATCH($C43,'23 RCC-004 MASR Registry'!$B$14:$B$163,0)),""))</x:f>
      </x:c>
      <x:c r="V43" s="1252" t="str">
        <x:f>IF($C43="","",IFERROR(INDEX('23 RCC-004 MASR Registry'!$V$14:$V$163,MATCH($C43,'23 RCC-004 MASR Registry'!$B$14:$B$163,0)),""))</x:f>
      </x:c>
      <x:c r="W43" s="1242"/>
      <x:c r="X43" s="1256" t="str">
        <x:f>IF($C43="","",COUNTIF('18 RCC-002 Evidence Ledger'!$E$14:$E$213,$C43))</x:f>
      </x:c>
      <x:c r="Y43" s="1242"/>
      <x:c r="Z43" s="1253" t="str">
        <x:f>IF($A43="","",IF(COUNTIF($A$14:$A$213,$A43)&gt;1,"FAIL — DUPLICATE ID",IF(OR($B43="",$C43="",$E43="",$H43="",$Y43="",$AA43="",$AB43=""),"FAIL — INCOMPLETE",IF(AND(OR($Y43="MIAR Review",$Y43="Eligibility Review",$Y43="Candidate Comparison",$Y43="Committee Review",$Y43="Approved for MASR",$Y43="Referred to PEW-004",$Y43="On Watch",$Y43="Rejected",$Y43="Closed",$Y43="Removed"),$K43=""),"FAIL — MASR RECORD REQUIRED",IF(AND(OR($Y43="Eligibility Review",$Y43="Candidate Comparison",$Y43="Committee Review",$Y43="Approved for MASR",$Y43="Referred to PEW-004",$Y43="On Watch"),NOT(OR($M43="ELIGIBLE",$M43="ELIGIBLE WITH EXCEPTION",$M43="CERTIFIED HOLDING"))),"FAIL — ELIGIBILITY",IF(AND(OR($Y43="Candidate Comparison",$Y43="Committee Review",$Y43="Approved for MASR",$Y43="Referred to PEW-004",$Y43="On Watch"),$X43=0),"FAIL — EVIDENCE",IF(AND(OR($Y43="Candidate Comparison",$Y43="Committee Review",$Y43="Approved for MASR",$Y43="Referred to PEW-004",$Y43="On Watch"),OR($O43&lt;&gt;"Active",$P43&lt;&gt;"CURRENT")),"FAIL — MIAR GATE",IF(AND(OR($Y43="Approved for MASR",$Y43="Referred to PEW-004",$Y43="On Watch",$Y43="Rejected",$Y43="Closed",$Y43="Removed"),OR($AD43="",$AD43="Pending")),"FAIL — COMMITTEE DISPOSITION",IF(AND($Y43="Referred to PEW-004",OR($AF43&lt;&gt;"Yes — Refer to PEW-004",$AG43="",$AJ43="")),"FAIL — PEW REFERRAL","PASS — STAGE GATE")))))))))</x:f>
      </x:c>
      <x:c r="AA43" s="1242"/>
      <x:c r="AB43" s="1251"/>
      <x:c r="AC43" s="1257" t="str">
        <x:f>IF($B43="","",IF($AQ43&lt;&gt;"",$AQ43-$B43,TODAY()-$B43))</x:f>
      </x:c>
      <x:c r="AD43" s="1242"/>
      <x:c r="AE43" s="1251"/>
      <x:c r="AF43" s="1242"/>
      <x:c r="AG43" s="1242"/>
      <x:c r="AH43" s="1255" t="str">
        <x:f>IF($AG43="","",IFERROR(INDEX('10 Candidate Comparison'!$T$14:$T$33,MATCH($AG43,'10 Candidate Comparison'!$A$14:$A$33,0)),""))</x:f>
      </x:c>
      <x:c r="AI43" s="1252" t="str">
        <x:f>IF($AG43="","",IFERROR(INDEX('10 Candidate Comparison'!$U$14:$U$33,MATCH($AG43,'10 Candidate Comparison'!$A$14:$A$33,0)),""))</x:f>
      </x:c>
      <x:c r="AJ43" s="1252" t="str">
        <x:f>IF($AG43="","",IFERROR(INDEX('10 Candidate Comparison'!$Y$14:$Y$33,MATCH($AG43,'10 Candidate Comparison'!$A$14:$A$33,0)),""))</x:f>
      </x:c>
      <x:c r="AK43" s="1253" t="str">
        <x:f>IF($A43="","",IF($Z43="FAIL — DUPLICATE ID","DUPLICATE CANDIDATE ID",IF($Z43="FAIL — INCOMPLETE","INCOMPLETE",IF($Z43="FAIL — MASR RECORD REQUIRED","MASR RECORD REQUIRED",IF($Z43="FAIL — ELIGIBILITY","ELIGIBILITY BLOCK",IF($Z43="FAIL — EVIDENCE","EVIDENCE REQUIRED",IF($Z43="FAIL — MIAR GATE","MIAR GATE BLOCK",IF($Z43="FAIL — COMMITTEE DISPOSITION","COMMITTEE DECISION REQUIRED",IF($Z43="FAIL — PEW REFERRAL","PEW REFERRAL INCOMPLETE",IF(AND(OR($Y43="Rejected",$Y43="Closed",$Y43="Removed"),OR($AO43="",$AP43="",$AQ43="")),"CLOSURE REQUIRED",IF(AND($AB43&lt;TODAY(),NOT(OR($Y43="Rejected",$Y43="Closed",$Y43="Removed"))),"OVERDUE",IF(OR($Y43="Rejected",$Y43="Closed",$Y43="Removed"),"CLOSED","OPEN — ON TRACK"))))))))))))</x:f>
      </x:c>
      <x:c r="AL43" s="1253" t="str">
        <x:f>IF($AK43="","",IFERROR(INDEX('97 RCC Lists'!$AM$5:$AM$16,MATCH($AK43,'97 RCC Lists'!$AL$5:$AL$16,0)),"Review candidate exception"))</x:f>
      </x:c>
      <x:c r="AM43" s="1242"/>
      <x:c r="AN43" s="1242"/>
      <x:c r="AO43" s="1242"/>
      <x:c r="AP43" s="1242"/>
      <x:c r="AQ43" s="1251"/>
    </x:row>
    <x:row r="44" ht="32" customHeight="1">
      <x:c r="A44" s="1242"/>
      <x:c r="B44" s="1251"/>
      <x:c r="C44" s="1242"/>
      <x:c r="D44" s="1243" t="str">
        <x:f>IF($C44="","",IFERROR(INDEX('23 RCC-004 MASR Registry'!$C$14:$C$163,MATCH($C44,'23 RCC-004 MASR Registry'!$B$14:$B$163,0)),""))</x:f>
      </x:c>
      <x:c r="E44" s="1242"/>
      <x:c r="F44" s="1242"/>
      <x:c r="G44" s="1242"/>
      <x:c r="H44" s="1242"/>
      <x:c r="I44" s="1243" t="str">
        <x:f>IF($C44="","",IFERROR(INDEX('23 RCC-004 MASR Registry'!$G$14:$G$163,MATCH($C44,'23 RCC-004 MASR Registry'!$B$14:$B$163,0)),""))</x:f>
      </x:c>
      <x:c r="J44" s="1243" t="str">
        <x:f>IF($C44="","",IFERROR(INDEX('23 RCC-004 MASR Registry'!$H$14:$H$163,MATCH($C44,'23 RCC-004 MASR Registry'!$B$14:$B$163,0)),""))</x:f>
      </x:c>
      <x:c r="K44" s="1243" t="str">
        <x:f>IF($C44="","",IFERROR(INDEX('23 RCC-004 MASR Registry'!$D$14:$D$163,MATCH($C44,'23 RCC-004 MASR Registry'!$B$14:$B$163,0)),""))</x:f>
      </x:c>
      <x:c r="L44" s="1243" t="str">
        <x:f>IF($C44="","",IFERROR(INDEX('23 RCC-004 MASR Registry'!$E$14:$E$163,MATCH($C44,'23 RCC-004 MASR Registry'!$B$14:$B$163,0)),""))</x:f>
      </x:c>
      <x:c r="M44" s="1243" t="str">
        <x:f>IF($C44="","",IFERROR(INDEX('23 RCC-004 MASR Registry'!$X$14:$X$163,MATCH($C44,'23 RCC-004 MASR Registry'!$B$14:$B$163,0)),""))</x:f>
      </x:c>
      <x:c r="N44" s="1243" t="str">
        <x:f>IF($C44="","",IFERROR(INDEX('23 RCC-004 MASR Registry'!$Y$14:$Y$163,MATCH($C44,'23 RCC-004 MASR Registry'!$B$14:$B$163,0)),""))</x:f>
      </x:c>
      <x:c r="O44" s="1243" t="str">
        <x:f>IF($C44="","",IFERROR(INDEX('23 RCC-004 MASR Registry'!$L$14:$L$163,MATCH($C44,'23 RCC-004 MASR Registry'!$B$14:$B$163,0)),""))</x:f>
      </x:c>
      <x:c r="P44" s="1243" t="str">
        <x:f>IF($C44="","",IFERROR(INDEX('23 RCC-004 MASR Registry'!$M$14:$M$163,MATCH($C44,'23 RCC-004 MASR Registry'!$B$14:$B$163,0)),""))</x:f>
      </x:c>
      <x:c r="Q44" s="1246" t="str">
        <x:f>IF($C44="","",IFERROR(INDEX('23 RCC-004 MASR Registry'!$N$14:$N$163,MATCH($C44,'23 RCC-004 MASR Registry'!$B$14:$B$163,0)),""))</x:f>
      </x:c>
      <x:c r="R44" s="1246" t="str">
        <x:f>IF($C44="","",IFERROR(INDEX('23 RCC-004 MASR Registry'!$O$14:$O$163,MATCH($C44,'23 RCC-004 MASR Registry'!$B$14:$B$163,0)),""))</x:f>
      </x:c>
      <x:c r="S44" s="1246" t="str">
        <x:f>IF($C44="","",IFERROR(INDEX('23 RCC-004 MASR Registry'!$W$14:$W$163,MATCH($C44,'23 RCC-004 MASR Registry'!$B$14:$B$163,0)),""))</x:f>
      </x:c>
      <x:c r="T44" s="1246" t="str">
        <x:f>IF($C44="","",IFERROR(INDEX('23 RCC-004 MASR Registry'!$T$14:$T$163,MATCH($C44,'23 RCC-004 MASR Registry'!$B$14:$B$163,0)),""))</x:f>
      </x:c>
      <x:c r="U44" s="1247" t="str">
        <x:f>IF($C44="","",IFERROR(INDEX('23 RCC-004 MASR Registry'!$U$14:$U$163,MATCH($C44,'23 RCC-004 MASR Registry'!$B$14:$B$163,0)),""))</x:f>
      </x:c>
      <x:c r="V44" s="1243" t="str">
        <x:f>IF($C44="","",IFERROR(INDEX('23 RCC-004 MASR Registry'!$V$14:$V$163,MATCH($C44,'23 RCC-004 MASR Registry'!$B$14:$B$163,0)),""))</x:f>
      </x:c>
      <x:c r="W44" s="1242"/>
      <x:c r="X44" s="1247" t="str">
        <x:f>IF($C44="","",COUNTIF('18 RCC-002 Evidence Ledger'!$E$14:$E$213,$C44))</x:f>
      </x:c>
      <x:c r="Y44" s="1242"/>
      <x:c r="Z44" s="1244" t="str">
        <x:f>IF($A44="","",IF(COUNTIF($A$14:$A$213,$A44)&gt;1,"FAIL — DUPLICATE ID",IF(OR($B44="",$C44="",$E44="",$H44="",$Y44="",$AA44="",$AB44=""),"FAIL — INCOMPLETE",IF(AND(OR($Y44="MIAR Review",$Y44="Eligibility Review",$Y44="Candidate Comparison",$Y44="Committee Review",$Y44="Approved for MASR",$Y44="Referred to PEW-004",$Y44="On Watch",$Y44="Rejected",$Y44="Closed",$Y44="Removed"),$K44=""),"FAIL — MASR RECORD REQUIRED",IF(AND(OR($Y44="Eligibility Review",$Y44="Candidate Comparison",$Y44="Committee Review",$Y44="Approved for MASR",$Y44="Referred to PEW-004",$Y44="On Watch"),NOT(OR($M44="ELIGIBLE",$M44="ELIGIBLE WITH EXCEPTION",$M44="CERTIFIED HOLDING"))),"FAIL — ELIGIBILITY",IF(AND(OR($Y44="Candidate Comparison",$Y44="Committee Review",$Y44="Approved for MASR",$Y44="Referred to PEW-004",$Y44="On Watch"),$X44=0),"FAIL — EVIDENCE",IF(AND(OR($Y44="Candidate Comparison",$Y44="Committee Review",$Y44="Approved for MASR",$Y44="Referred to PEW-004",$Y44="On Watch"),OR($O44&lt;&gt;"Active",$P44&lt;&gt;"CURRENT")),"FAIL — MIAR GATE",IF(AND(OR($Y44="Approved for MASR",$Y44="Referred to PEW-004",$Y44="On Watch",$Y44="Rejected",$Y44="Closed",$Y44="Removed"),OR($AD44="",$AD44="Pending")),"FAIL — COMMITTEE DISPOSITION",IF(AND($Y44="Referred to PEW-004",OR($AF44&lt;&gt;"Yes — Refer to PEW-004",$AG44="",$AJ44="")),"FAIL — PEW REFERRAL","PASS — STAGE GATE")))))))))</x:f>
      </x:c>
      <x:c r="AA44" s="1242"/>
      <x:c r="AB44" s="1251"/>
      <x:c r="AC44" s="1250" t="str">
        <x:f>IF($B44="","",IF($AQ44&lt;&gt;"",$AQ44-$B44,TODAY()-$B44))</x:f>
      </x:c>
      <x:c r="AD44" s="1242"/>
      <x:c r="AE44" s="1251"/>
      <x:c r="AF44" s="1242"/>
      <x:c r="AG44" s="1242"/>
      <x:c r="AH44" s="1246" t="str">
        <x:f>IF($AG44="","",IFERROR(INDEX('10 Candidate Comparison'!$T$14:$T$33,MATCH($AG44,'10 Candidate Comparison'!$A$14:$A$33,0)),""))</x:f>
      </x:c>
      <x:c r="AI44" s="1243" t="str">
        <x:f>IF($AG44="","",IFERROR(INDEX('10 Candidate Comparison'!$U$14:$U$33,MATCH($AG44,'10 Candidate Comparison'!$A$14:$A$33,0)),""))</x:f>
      </x:c>
      <x:c r="AJ44" s="1243" t="str">
        <x:f>IF($AG44="","",IFERROR(INDEX('10 Candidate Comparison'!$Y$14:$Y$33,MATCH($AG44,'10 Candidate Comparison'!$A$14:$A$33,0)),""))</x:f>
      </x:c>
      <x:c r="AK44" s="1244" t="str">
        <x:f>IF($A44="","",IF($Z44="FAIL — DUPLICATE ID","DUPLICATE CANDIDATE ID",IF($Z44="FAIL — INCOMPLETE","INCOMPLETE",IF($Z44="FAIL — MASR RECORD REQUIRED","MASR RECORD REQUIRED",IF($Z44="FAIL — ELIGIBILITY","ELIGIBILITY BLOCK",IF($Z44="FAIL — EVIDENCE","EVIDENCE REQUIRED",IF($Z44="FAIL — MIAR GATE","MIAR GATE BLOCK",IF($Z44="FAIL — COMMITTEE DISPOSITION","COMMITTEE DECISION REQUIRED",IF($Z44="FAIL — PEW REFERRAL","PEW REFERRAL INCOMPLETE",IF(AND(OR($Y44="Rejected",$Y44="Closed",$Y44="Removed"),OR($AO44="",$AP44="",$AQ44="")),"CLOSURE REQUIRED",IF(AND($AB44&lt;TODAY(),NOT(OR($Y44="Rejected",$Y44="Closed",$Y44="Removed"))),"OVERDUE",IF(OR($Y44="Rejected",$Y44="Closed",$Y44="Removed"),"CLOSED","OPEN — ON TRACK"))))))))))))</x:f>
      </x:c>
      <x:c r="AL44" s="1244" t="str">
        <x:f>IF($AK44="","",IFERROR(INDEX('97 RCC Lists'!$AM$5:$AM$16,MATCH($AK44,'97 RCC Lists'!$AL$5:$AL$16,0)),"Review candidate exception"))</x:f>
      </x:c>
      <x:c r="AM44" s="1242"/>
      <x:c r="AN44" s="1242"/>
      <x:c r="AO44" s="1242"/>
      <x:c r="AP44" s="1242"/>
      <x:c r="AQ44" s="1251"/>
    </x:row>
    <x:row r="45" ht="32" customHeight="1">
      <x:c r="A45" s="1242"/>
      <x:c r="B45" s="1251"/>
      <x:c r="C45" s="1242"/>
      <x:c r="D45" s="1252" t="str">
        <x:f>IF($C45="","",IFERROR(INDEX('23 RCC-004 MASR Registry'!$C$14:$C$163,MATCH($C45,'23 RCC-004 MASR Registry'!$B$14:$B$163,0)),""))</x:f>
      </x:c>
      <x:c r="E45" s="1242"/>
      <x:c r="F45" s="1242"/>
      <x:c r="G45" s="1242"/>
      <x:c r="H45" s="1242"/>
      <x:c r="I45" s="1252" t="str">
        <x:f>IF($C45="","",IFERROR(INDEX('23 RCC-004 MASR Registry'!$G$14:$G$163,MATCH($C45,'23 RCC-004 MASR Registry'!$B$14:$B$163,0)),""))</x:f>
      </x:c>
      <x:c r="J45" s="1252" t="str">
        <x:f>IF($C45="","",IFERROR(INDEX('23 RCC-004 MASR Registry'!$H$14:$H$163,MATCH($C45,'23 RCC-004 MASR Registry'!$B$14:$B$163,0)),""))</x:f>
      </x:c>
      <x:c r="K45" s="1252" t="str">
        <x:f>IF($C45="","",IFERROR(INDEX('23 RCC-004 MASR Registry'!$D$14:$D$163,MATCH($C45,'23 RCC-004 MASR Registry'!$B$14:$B$163,0)),""))</x:f>
      </x:c>
      <x:c r="L45" s="1252" t="str">
        <x:f>IF($C45="","",IFERROR(INDEX('23 RCC-004 MASR Registry'!$E$14:$E$163,MATCH($C45,'23 RCC-004 MASR Registry'!$B$14:$B$163,0)),""))</x:f>
      </x:c>
      <x:c r="M45" s="1252" t="str">
        <x:f>IF($C45="","",IFERROR(INDEX('23 RCC-004 MASR Registry'!$X$14:$X$163,MATCH($C45,'23 RCC-004 MASR Registry'!$B$14:$B$163,0)),""))</x:f>
      </x:c>
      <x:c r="N45" s="1252" t="str">
        <x:f>IF($C45="","",IFERROR(INDEX('23 RCC-004 MASR Registry'!$Y$14:$Y$163,MATCH($C45,'23 RCC-004 MASR Registry'!$B$14:$B$163,0)),""))</x:f>
      </x:c>
      <x:c r="O45" s="1252" t="str">
        <x:f>IF($C45="","",IFERROR(INDEX('23 RCC-004 MASR Registry'!$L$14:$L$163,MATCH($C45,'23 RCC-004 MASR Registry'!$B$14:$B$163,0)),""))</x:f>
      </x:c>
      <x:c r="P45" s="1252" t="str">
        <x:f>IF($C45="","",IFERROR(INDEX('23 RCC-004 MASR Registry'!$M$14:$M$163,MATCH($C45,'23 RCC-004 MASR Registry'!$B$14:$B$163,0)),""))</x:f>
      </x:c>
      <x:c r="Q45" s="1255" t="str">
        <x:f>IF($C45="","",IFERROR(INDEX('23 RCC-004 MASR Registry'!$N$14:$N$163,MATCH($C45,'23 RCC-004 MASR Registry'!$B$14:$B$163,0)),""))</x:f>
      </x:c>
      <x:c r="R45" s="1255" t="str">
        <x:f>IF($C45="","",IFERROR(INDEX('23 RCC-004 MASR Registry'!$O$14:$O$163,MATCH($C45,'23 RCC-004 MASR Registry'!$B$14:$B$163,0)),""))</x:f>
      </x:c>
      <x:c r="S45" s="1255" t="str">
        <x:f>IF($C45="","",IFERROR(INDEX('23 RCC-004 MASR Registry'!$W$14:$W$163,MATCH($C45,'23 RCC-004 MASR Registry'!$B$14:$B$163,0)),""))</x:f>
      </x:c>
      <x:c r="T45" s="1255" t="str">
        <x:f>IF($C45="","",IFERROR(INDEX('23 RCC-004 MASR Registry'!$T$14:$T$163,MATCH($C45,'23 RCC-004 MASR Registry'!$B$14:$B$163,0)),""))</x:f>
      </x:c>
      <x:c r="U45" s="1256" t="str">
        <x:f>IF($C45="","",IFERROR(INDEX('23 RCC-004 MASR Registry'!$U$14:$U$163,MATCH($C45,'23 RCC-004 MASR Registry'!$B$14:$B$163,0)),""))</x:f>
      </x:c>
      <x:c r="V45" s="1252" t="str">
        <x:f>IF($C45="","",IFERROR(INDEX('23 RCC-004 MASR Registry'!$V$14:$V$163,MATCH($C45,'23 RCC-004 MASR Registry'!$B$14:$B$163,0)),""))</x:f>
      </x:c>
      <x:c r="W45" s="1242"/>
      <x:c r="X45" s="1256" t="str">
        <x:f>IF($C45="","",COUNTIF('18 RCC-002 Evidence Ledger'!$E$14:$E$213,$C45))</x:f>
      </x:c>
      <x:c r="Y45" s="1242"/>
      <x:c r="Z45" s="1253" t="str">
        <x:f>IF($A45="","",IF(COUNTIF($A$14:$A$213,$A45)&gt;1,"FAIL — DUPLICATE ID",IF(OR($B45="",$C45="",$E45="",$H45="",$Y45="",$AA45="",$AB45=""),"FAIL — INCOMPLETE",IF(AND(OR($Y45="MIAR Review",$Y45="Eligibility Review",$Y45="Candidate Comparison",$Y45="Committee Review",$Y45="Approved for MASR",$Y45="Referred to PEW-004",$Y45="On Watch",$Y45="Rejected",$Y45="Closed",$Y45="Removed"),$K45=""),"FAIL — MASR RECORD REQUIRED",IF(AND(OR($Y45="Eligibility Review",$Y45="Candidate Comparison",$Y45="Committee Review",$Y45="Approved for MASR",$Y45="Referred to PEW-004",$Y45="On Watch"),NOT(OR($M45="ELIGIBLE",$M45="ELIGIBLE WITH EXCEPTION",$M45="CERTIFIED HOLDING"))),"FAIL — ELIGIBILITY",IF(AND(OR($Y45="Candidate Comparison",$Y45="Committee Review",$Y45="Approved for MASR",$Y45="Referred to PEW-004",$Y45="On Watch"),$X45=0),"FAIL — EVIDENCE",IF(AND(OR($Y45="Candidate Comparison",$Y45="Committee Review",$Y45="Approved for MASR",$Y45="Referred to PEW-004",$Y45="On Watch"),OR($O45&lt;&gt;"Active",$P45&lt;&gt;"CURRENT")),"FAIL — MIAR GATE",IF(AND(OR($Y45="Approved for MASR",$Y45="Referred to PEW-004",$Y45="On Watch",$Y45="Rejected",$Y45="Closed",$Y45="Removed"),OR($AD45="",$AD45="Pending")),"FAIL — COMMITTEE DISPOSITION",IF(AND($Y45="Referred to PEW-004",OR($AF45&lt;&gt;"Yes — Refer to PEW-004",$AG45="",$AJ45="")),"FAIL — PEW REFERRAL","PASS — STAGE GATE")))))))))</x:f>
      </x:c>
      <x:c r="AA45" s="1242"/>
      <x:c r="AB45" s="1251"/>
      <x:c r="AC45" s="1257" t="str">
        <x:f>IF($B45="","",IF($AQ45&lt;&gt;"",$AQ45-$B45,TODAY()-$B45))</x:f>
      </x:c>
      <x:c r="AD45" s="1242"/>
      <x:c r="AE45" s="1251"/>
      <x:c r="AF45" s="1242"/>
      <x:c r="AG45" s="1242"/>
      <x:c r="AH45" s="1255" t="str">
        <x:f>IF($AG45="","",IFERROR(INDEX('10 Candidate Comparison'!$T$14:$T$33,MATCH($AG45,'10 Candidate Comparison'!$A$14:$A$33,0)),""))</x:f>
      </x:c>
      <x:c r="AI45" s="1252" t="str">
        <x:f>IF($AG45="","",IFERROR(INDEX('10 Candidate Comparison'!$U$14:$U$33,MATCH($AG45,'10 Candidate Comparison'!$A$14:$A$33,0)),""))</x:f>
      </x:c>
      <x:c r="AJ45" s="1252" t="str">
        <x:f>IF($AG45="","",IFERROR(INDEX('10 Candidate Comparison'!$Y$14:$Y$33,MATCH($AG45,'10 Candidate Comparison'!$A$14:$A$33,0)),""))</x:f>
      </x:c>
      <x:c r="AK45" s="1253" t="str">
        <x:f>IF($A45="","",IF($Z45="FAIL — DUPLICATE ID","DUPLICATE CANDIDATE ID",IF($Z45="FAIL — INCOMPLETE","INCOMPLETE",IF($Z45="FAIL — MASR RECORD REQUIRED","MASR RECORD REQUIRED",IF($Z45="FAIL — ELIGIBILITY","ELIGIBILITY BLOCK",IF($Z45="FAIL — EVIDENCE","EVIDENCE REQUIRED",IF($Z45="FAIL — MIAR GATE","MIAR GATE BLOCK",IF($Z45="FAIL — COMMITTEE DISPOSITION","COMMITTEE DECISION REQUIRED",IF($Z45="FAIL — PEW REFERRAL","PEW REFERRAL INCOMPLETE",IF(AND(OR($Y45="Rejected",$Y45="Closed",$Y45="Removed"),OR($AO45="",$AP45="",$AQ45="")),"CLOSURE REQUIRED",IF(AND($AB45&lt;TODAY(),NOT(OR($Y45="Rejected",$Y45="Closed",$Y45="Removed"))),"OVERDUE",IF(OR($Y45="Rejected",$Y45="Closed",$Y45="Removed"),"CLOSED","OPEN — ON TRACK"))))))))))))</x:f>
      </x:c>
      <x:c r="AL45" s="1253" t="str">
        <x:f>IF($AK45="","",IFERROR(INDEX('97 RCC Lists'!$AM$5:$AM$16,MATCH($AK45,'97 RCC Lists'!$AL$5:$AL$16,0)),"Review candidate exception"))</x:f>
      </x:c>
      <x:c r="AM45" s="1242"/>
      <x:c r="AN45" s="1242"/>
      <x:c r="AO45" s="1242"/>
      <x:c r="AP45" s="1242"/>
      <x:c r="AQ45" s="1251"/>
    </x:row>
    <x:row r="46" ht="32" customHeight="1">
      <x:c r="A46" s="1242"/>
      <x:c r="B46" s="1251"/>
      <x:c r="C46" s="1242"/>
      <x:c r="D46" s="1243" t="str">
        <x:f>IF($C46="","",IFERROR(INDEX('23 RCC-004 MASR Registry'!$C$14:$C$163,MATCH($C46,'23 RCC-004 MASR Registry'!$B$14:$B$163,0)),""))</x:f>
      </x:c>
      <x:c r="E46" s="1242"/>
      <x:c r="F46" s="1242"/>
      <x:c r="G46" s="1242"/>
      <x:c r="H46" s="1242"/>
      <x:c r="I46" s="1243" t="str">
        <x:f>IF($C46="","",IFERROR(INDEX('23 RCC-004 MASR Registry'!$G$14:$G$163,MATCH($C46,'23 RCC-004 MASR Registry'!$B$14:$B$163,0)),""))</x:f>
      </x:c>
      <x:c r="J46" s="1243" t="str">
        <x:f>IF($C46="","",IFERROR(INDEX('23 RCC-004 MASR Registry'!$H$14:$H$163,MATCH($C46,'23 RCC-004 MASR Registry'!$B$14:$B$163,0)),""))</x:f>
      </x:c>
      <x:c r="K46" s="1243" t="str">
        <x:f>IF($C46="","",IFERROR(INDEX('23 RCC-004 MASR Registry'!$D$14:$D$163,MATCH($C46,'23 RCC-004 MASR Registry'!$B$14:$B$163,0)),""))</x:f>
      </x:c>
      <x:c r="L46" s="1243" t="str">
        <x:f>IF($C46="","",IFERROR(INDEX('23 RCC-004 MASR Registry'!$E$14:$E$163,MATCH($C46,'23 RCC-004 MASR Registry'!$B$14:$B$163,0)),""))</x:f>
      </x:c>
      <x:c r="M46" s="1243" t="str">
        <x:f>IF($C46="","",IFERROR(INDEX('23 RCC-004 MASR Registry'!$X$14:$X$163,MATCH($C46,'23 RCC-004 MASR Registry'!$B$14:$B$163,0)),""))</x:f>
      </x:c>
      <x:c r="N46" s="1243" t="str">
        <x:f>IF($C46="","",IFERROR(INDEX('23 RCC-004 MASR Registry'!$Y$14:$Y$163,MATCH($C46,'23 RCC-004 MASR Registry'!$B$14:$B$163,0)),""))</x:f>
      </x:c>
      <x:c r="O46" s="1243" t="str">
        <x:f>IF($C46="","",IFERROR(INDEX('23 RCC-004 MASR Registry'!$L$14:$L$163,MATCH($C46,'23 RCC-004 MASR Registry'!$B$14:$B$163,0)),""))</x:f>
      </x:c>
      <x:c r="P46" s="1243" t="str">
        <x:f>IF($C46="","",IFERROR(INDEX('23 RCC-004 MASR Registry'!$M$14:$M$163,MATCH($C46,'23 RCC-004 MASR Registry'!$B$14:$B$163,0)),""))</x:f>
      </x:c>
      <x:c r="Q46" s="1246" t="str">
        <x:f>IF($C46="","",IFERROR(INDEX('23 RCC-004 MASR Registry'!$N$14:$N$163,MATCH($C46,'23 RCC-004 MASR Registry'!$B$14:$B$163,0)),""))</x:f>
      </x:c>
      <x:c r="R46" s="1246" t="str">
        <x:f>IF($C46="","",IFERROR(INDEX('23 RCC-004 MASR Registry'!$O$14:$O$163,MATCH($C46,'23 RCC-004 MASR Registry'!$B$14:$B$163,0)),""))</x:f>
      </x:c>
      <x:c r="S46" s="1246" t="str">
        <x:f>IF($C46="","",IFERROR(INDEX('23 RCC-004 MASR Registry'!$W$14:$W$163,MATCH($C46,'23 RCC-004 MASR Registry'!$B$14:$B$163,0)),""))</x:f>
      </x:c>
      <x:c r="T46" s="1246" t="str">
        <x:f>IF($C46="","",IFERROR(INDEX('23 RCC-004 MASR Registry'!$T$14:$T$163,MATCH($C46,'23 RCC-004 MASR Registry'!$B$14:$B$163,0)),""))</x:f>
      </x:c>
      <x:c r="U46" s="1247" t="str">
        <x:f>IF($C46="","",IFERROR(INDEX('23 RCC-004 MASR Registry'!$U$14:$U$163,MATCH($C46,'23 RCC-004 MASR Registry'!$B$14:$B$163,0)),""))</x:f>
      </x:c>
      <x:c r="V46" s="1243" t="str">
        <x:f>IF($C46="","",IFERROR(INDEX('23 RCC-004 MASR Registry'!$V$14:$V$163,MATCH($C46,'23 RCC-004 MASR Registry'!$B$14:$B$163,0)),""))</x:f>
      </x:c>
      <x:c r="W46" s="1242"/>
      <x:c r="X46" s="1247" t="str">
        <x:f>IF($C46="","",COUNTIF('18 RCC-002 Evidence Ledger'!$E$14:$E$213,$C46))</x:f>
      </x:c>
      <x:c r="Y46" s="1242"/>
      <x:c r="Z46" s="1244" t="str">
        <x:f>IF($A46="","",IF(COUNTIF($A$14:$A$213,$A46)&gt;1,"FAIL — DUPLICATE ID",IF(OR($B46="",$C46="",$E46="",$H46="",$Y46="",$AA46="",$AB46=""),"FAIL — INCOMPLETE",IF(AND(OR($Y46="MIAR Review",$Y46="Eligibility Review",$Y46="Candidate Comparison",$Y46="Committee Review",$Y46="Approved for MASR",$Y46="Referred to PEW-004",$Y46="On Watch",$Y46="Rejected",$Y46="Closed",$Y46="Removed"),$K46=""),"FAIL — MASR RECORD REQUIRED",IF(AND(OR($Y46="Eligibility Review",$Y46="Candidate Comparison",$Y46="Committee Review",$Y46="Approved for MASR",$Y46="Referred to PEW-004",$Y46="On Watch"),NOT(OR($M46="ELIGIBLE",$M46="ELIGIBLE WITH EXCEPTION",$M46="CERTIFIED HOLDING"))),"FAIL — ELIGIBILITY",IF(AND(OR($Y46="Candidate Comparison",$Y46="Committee Review",$Y46="Approved for MASR",$Y46="Referred to PEW-004",$Y46="On Watch"),$X46=0),"FAIL — EVIDENCE",IF(AND(OR($Y46="Candidate Comparison",$Y46="Committee Review",$Y46="Approved for MASR",$Y46="Referred to PEW-004",$Y46="On Watch"),OR($O46&lt;&gt;"Active",$P46&lt;&gt;"CURRENT")),"FAIL — MIAR GATE",IF(AND(OR($Y46="Approved for MASR",$Y46="Referred to PEW-004",$Y46="On Watch",$Y46="Rejected",$Y46="Closed",$Y46="Removed"),OR($AD46="",$AD46="Pending")),"FAIL — COMMITTEE DISPOSITION",IF(AND($Y46="Referred to PEW-004",OR($AF46&lt;&gt;"Yes — Refer to PEW-004",$AG46="",$AJ46="")),"FAIL — PEW REFERRAL","PASS — STAGE GATE")))))))))</x:f>
      </x:c>
      <x:c r="AA46" s="1242"/>
      <x:c r="AB46" s="1251"/>
      <x:c r="AC46" s="1250" t="str">
        <x:f>IF($B46="","",IF($AQ46&lt;&gt;"",$AQ46-$B46,TODAY()-$B46))</x:f>
      </x:c>
      <x:c r="AD46" s="1242"/>
      <x:c r="AE46" s="1251"/>
      <x:c r="AF46" s="1242"/>
      <x:c r="AG46" s="1242"/>
      <x:c r="AH46" s="1246" t="str">
        <x:f>IF($AG46="","",IFERROR(INDEX('10 Candidate Comparison'!$T$14:$T$33,MATCH($AG46,'10 Candidate Comparison'!$A$14:$A$33,0)),""))</x:f>
      </x:c>
      <x:c r="AI46" s="1243" t="str">
        <x:f>IF($AG46="","",IFERROR(INDEX('10 Candidate Comparison'!$U$14:$U$33,MATCH($AG46,'10 Candidate Comparison'!$A$14:$A$33,0)),""))</x:f>
      </x:c>
      <x:c r="AJ46" s="1243" t="str">
        <x:f>IF($AG46="","",IFERROR(INDEX('10 Candidate Comparison'!$Y$14:$Y$33,MATCH($AG46,'10 Candidate Comparison'!$A$14:$A$33,0)),""))</x:f>
      </x:c>
      <x:c r="AK46" s="1244" t="str">
        <x:f>IF($A46="","",IF($Z46="FAIL — DUPLICATE ID","DUPLICATE CANDIDATE ID",IF($Z46="FAIL — INCOMPLETE","INCOMPLETE",IF($Z46="FAIL — MASR RECORD REQUIRED","MASR RECORD REQUIRED",IF($Z46="FAIL — ELIGIBILITY","ELIGIBILITY BLOCK",IF($Z46="FAIL — EVIDENCE","EVIDENCE REQUIRED",IF($Z46="FAIL — MIAR GATE","MIAR GATE BLOCK",IF($Z46="FAIL — COMMITTEE DISPOSITION","COMMITTEE DECISION REQUIRED",IF($Z46="FAIL — PEW REFERRAL","PEW REFERRAL INCOMPLETE",IF(AND(OR($Y46="Rejected",$Y46="Closed",$Y46="Removed"),OR($AO46="",$AP46="",$AQ46="")),"CLOSURE REQUIRED",IF(AND($AB46&lt;TODAY(),NOT(OR($Y46="Rejected",$Y46="Closed",$Y46="Removed"))),"OVERDUE",IF(OR($Y46="Rejected",$Y46="Closed",$Y46="Removed"),"CLOSED","OPEN — ON TRACK"))))))))))))</x:f>
      </x:c>
      <x:c r="AL46" s="1244" t="str">
        <x:f>IF($AK46="","",IFERROR(INDEX('97 RCC Lists'!$AM$5:$AM$16,MATCH($AK46,'97 RCC Lists'!$AL$5:$AL$16,0)),"Review candidate exception"))</x:f>
      </x:c>
      <x:c r="AM46" s="1242"/>
      <x:c r="AN46" s="1242"/>
      <x:c r="AO46" s="1242"/>
      <x:c r="AP46" s="1242"/>
      <x:c r="AQ46" s="1251"/>
    </x:row>
    <x:row r="47" ht="32" customHeight="1">
      <x:c r="A47" s="1242"/>
      <x:c r="B47" s="1251"/>
      <x:c r="C47" s="1242"/>
      <x:c r="D47" s="1252" t="str">
        <x:f>IF($C47="","",IFERROR(INDEX('23 RCC-004 MASR Registry'!$C$14:$C$163,MATCH($C47,'23 RCC-004 MASR Registry'!$B$14:$B$163,0)),""))</x:f>
      </x:c>
      <x:c r="E47" s="1242"/>
      <x:c r="F47" s="1242"/>
      <x:c r="G47" s="1242"/>
      <x:c r="H47" s="1242"/>
      <x:c r="I47" s="1252" t="str">
        <x:f>IF($C47="","",IFERROR(INDEX('23 RCC-004 MASR Registry'!$G$14:$G$163,MATCH($C47,'23 RCC-004 MASR Registry'!$B$14:$B$163,0)),""))</x:f>
      </x:c>
      <x:c r="J47" s="1252" t="str">
        <x:f>IF($C47="","",IFERROR(INDEX('23 RCC-004 MASR Registry'!$H$14:$H$163,MATCH($C47,'23 RCC-004 MASR Registry'!$B$14:$B$163,0)),""))</x:f>
      </x:c>
      <x:c r="K47" s="1252" t="str">
        <x:f>IF($C47="","",IFERROR(INDEX('23 RCC-004 MASR Registry'!$D$14:$D$163,MATCH($C47,'23 RCC-004 MASR Registry'!$B$14:$B$163,0)),""))</x:f>
      </x:c>
      <x:c r="L47" s="1252" t="str">
        <x:f>IF($C47="","",IFERROR(INDEX('23 RCC-004 MASR Registry'!$E$14:$E$163,MATCH($C47,'23 RCC-004 MASR Registry'!$B$14:$B$163,0)),""))</x:f>
      </x:c>
      <x:c r="M47" s="1252" t="str">
        <x:f>IF($C47="","",IFERROR(INDEX('23 RCC-004 MASR Registry'!$X$14:$X$163,MATCH($C47,'23 RCC-004 MASR Registry'!$B$14:$B$163,0)),""))</x:f>
      </x:c>
      <x:c r="N47" s="1252" t="str">
        <x:f>IF($C47="","",IFERROR(INDEX('23 RCC-004 MASR Registry'!$Y$14:$Y$163,MATCH($C47,'23 RCC-004 MASR Registry'!$B$14:$B$163,0)),""))</x:f>
      </x:c>
      <x:c r="O47" s="1252" t="str">
        <x:f>IF($C47="","",IFERROR(INDEX('23 RCC-004 MASR Registry'!$L$14:$L$163,MATCH($C47,'23 RCC-004 MASR Registry'!$B$14:$B$163,0)),""))</x:f>
      </x:c>
      <x:c r="P47" s="1252" t="str">
        <x:f>IF($C47="","",IFERROR(INDEX('23 RCC-004 MASR Registry'!$M$14:$M$163,MATCH($C47,'23 RCC-004 MASR Registry'!$B$14:$B$163,0)),""))</x:f>
      </x:c>
      <x:c r="Q47" s="1255" t="str">
        <x:f>IF($C47="","",IFERROR(INDEX('23 RCC-004 MASR Registry'!$N$14:$N$163,MATCH($C47,'23 RCC-004 MASR Registry'!$B$14:$B$163,0)),""))</x:f>
      </x:c>
      <x:c r="R47" s="1255" t="str">
        <x:f>IF($C47="","",IFERROR(INDEX('23 RCC-004 MASR Registry'!$O$14:$O$163,MATCH($C47,'23 RCC-004 MASR Registry'!$B$14:$B$163,0)),""))</x:f>
      </x:c>
      <x:c r="S47" s="1255" t="str">
        <x:f>IF($C47="","",IFERROR(INDEX('23 RCC-004 MASR Registry'!$W$14:$W$163,MATCH($C47,'23 RCC-004 MASR Registry'!$B$14:$B$163,0)),""))</x:f>
      </x:c>
      <x:c r="T47" s="1255" t="str">
        <x:f>IF($C47="","",IFERROR(INDEX('23 RCC-004 MASR Registry'!$T$14:$T$163,MATCH($C47,'23 RCC-004 MASR Registry'!$B$14:$B$163,0)),""))</x:f>
      </x:c>
      <x:c r="U47" s="1256" t="str">
        <x:f>IF($C47="","",IFERROR(INDEX('23 RCC-004 MASR Registry'!$U$14:$U$163,MATCH($C47,'23 RCC-004 MASR Registry'!$B$14:$B$163,0)),""))</x:f>
      </x:c>
      <x:c r="V47" s="1252" t="str">
        <x:f>IF($C47="","",IFERROR(INDEX('23 RCC-004 MASR Registry'!$V$14:$V$163,MATCH($C47,'23 RCC-004 MASR Registry'!$B$14:$B$163,0)),""))</x:f>
      </x:c>
      <x:c r="W47" s="1242"/>
      <x:c r="X47" s="1256" t="str">
        <x:f>IF($C47="","",COUNTIF('18 RCC-002 Evidence Ledger'!$E$14:$E$213,$C47))</x:f>
      </x:c>
      <x:c r="Y47" s="1242"/>
      <x:c r="Z47" s="1253" t="str">
        <x:f>IF($A47="","",IF(COUNTIF($A$14:$A$213,$A47)&gt;1,"FAIL — DUPLICATE ID",IF(OR($B47="",$C47="",$E47="",$H47="",$Y47="",$AA47="",$AB47=""),"FAIL — INCOMPLETE",IF(AND(OR($Y47="MIAR Review",$Y47="Eligibility Review",$Y47="Candidate Comparison",$Y47="Committee Review",$Y47="Approved for MASR",$Y47="Referred to PEW-004",$Y47="On Watch",$Y47="Rejected",$Y47="Closed",$Y47="Removed"),$K47=""),"FAIL — MASR RECORD REQUIRED",IF(AND(OR($Y47="Eligibility Review",$Y47="Candidate Comparison",$Y47="Committee Review",$Y47="Approved for MASR",$Y47="Referred to PEW-004",$Y47="On Watch"),NOT(OR($M47="ELIGIBLE",$M47="ELIGIBLE WITH EXCEPTION",$M47="CERTIFIED HOLDING"))),"FAIL — ELIGIBILITY",IF(AND(OR($Y47="Candidate Comparison",$Y47="Committee Review",$Y47="Approved for MASR",$Y47="Referred to PEW-004",$Y47="On Watch"),$X47=0),"FAIL — EVIDENCE",IF(AND(OR($Y47="Candidate Comparison",$Y47="Committee Review",$Y47="Approved for MASR",$Y47="Referred to PEW-004",$Y47="On Watch"),OR($O47&lt;&gt;"Active",$P47&lt;&gt;"CURRENT")),"FAIL — MIAR GATE",IF(AND(OR($Y47="Approved for MASR",$Y47="Referred to PEW-004",$Y47="On Watch",$Y47="Rejected",$Y47="Closed",$Y47="Removed"),OR($AD47="",$AD47="Pending")),"FAIL — COMMITTEE DISPOSITION",IF(AND($Y47="Referred to PEW-004",OR($AF47&lt;&gt;"Yes — Refer to PEW-004",$AG47="",$AJ47="")),"FAIL — PEW REFERRAL","PASS — STAGE GATE")))))))))</x:f>
      </x:c>
      <x:c r="AA47" s="1242"/>
      <x:c r="AB47" s="1251"/>
      <x:c r="AC47" s="1257" t="str">
        <x:f>IF($B47="","",IF($AQ47&lt;&gt;"",$AQ47-$B47,TODAY()-$B47))</x:f>
      </x:c>
      <x:c r="AD47" s="1242"/>
      <x:c r="AE47" s="1251"/>
      <x:c r="AF47" s="1242"/>
      <x:c r="AG47" s="1242"/>
      <x:c r="AH47" s="1255" t="str">
        <x:f>IF($AG47="","",IFERROR(INDEX('10 Candidate Comparison'!$T$14:$T$33,MATCH($AG47,'10 Candidate Comparison'!$A$14:$A$33,0)),""))</x:f>
      </x:c>
      <x:c r="AI47" s="1252" t="str">
        <x:f>IF($AG47="","",IFERROR(INDEX('10 Candidate Comparison'!$U$14:$U$33,MATCH($AG47,'10 Candidate Comparison'!$A$14:$A$33,0)),""))</x:f>
      </x:c>
      <x:c r="AJ47" s="1252" t="str">
        <x:f>IF($AG47="","",IFERROR(INDEX('10 Candidate Comparison'!$Y$14:$Y$33,MATCH($AG47,'10 Candidate Comparison'!$A$14:$A$33,0)),""))</x:f>
      </x:c>
      <x:c r="AK47" s="1253" t="str">
        <x:f>IF($A47="","",IF($Z47="FAIL — DUPLICATE ID","DUPLICATE CANDIDATE ID",IF($Z47="FAIL — INCOMPLETE","INCOMPLETE",IF($Z47="FAIL — MASR RECORD REQUIRED","MASR RECORD REQUIRED",IF($Z47="FAIL — ELIGIBILITY","ELIGIBILITY BLOCK",IF($Z47="FAIL — EVIDENCE","EVIDENCE REQUIRED",IF($Z47="FAIL — MIAR GATE","MIAR GATE BLOCK",IF($Z47="FAIL — COMMITTEE DISPOSITION","COMMITTEE DECISION REQUIRED",IF($Z47="FAIL — PEW REFERRAL","PEW REFERRAL INCOMPLETE",IF(AND(OR($Y47="Rejected",$Y47="Closed",$Y47="Removed"),OR($AO47="",$AP47="",$AQ47="")),"CLOSURE REQUIRED",IF(AND($AB47&lt;TODAY(),NOT(OR($Y47="Rejected",$Y47="Closed",$Y47="Removed"))),"OVERDUE",IF(OR($Y47="Rejected",$Y47="Closed",$Y47="Removed"),"CLOSED","OPEN — ON TRACK"))))))))))))</x:f>
      </x:c>
      <x:c r="AL47" s="1253" t="str">
        <x:f>IF($AK47="","",IFERROR(INDEX('97 RCC Lists'!$AM$5:$AM$16,MATCH($AK47,'97 RCC Lists'!$AL$5:$AL$16,0)),"Review candidate exception"))</x:f>
      </x:c>
      <x:c r="AM47" s="1242"/>
      <x:c r="AN47" s="1242"/>
      <x:c r="AO47" s="1242"/>
      <x:c r="AP47" s="1242"/>
      <x:c r="AQ47" s="1251"/>
    </x:row>
    <x:row r="48" ht="32" customHeight="1">
      <x:c r="A48" s="1242"/>
      <x:c r="B48" s="1251"/>
      <x:c r="C48" s="1242"/>
      <x:c r="D48" s="1243" t="str">
        <x:f>IF($C48="","",IFERROR(INDEX('23 RCC-004 MASR Registry'!$C$14:$C$163,MATCH($C48,'23 RCC-004 MASR Registry'!$B$14:$B$163,0)),""))</x:f>
      </x:c>
      <x:c r="E48" s="1242"/>
      <x:c r="F48" s="1242"/>
      <x:c r="G48" s="1242"/>
      <x:c r="H48" s="1242"/>
      <x:c r="I48" s="1243" t="str">
        <x:f>IF($C48="","",IFERROR(INDEX('23 RCC-004 MASR Registry'!$G$14:$G$163,MATCH($C48,'23 RCC-004 MASR Registry'!$B$14:$B$163,0)),""))</x:f>
      </x:c>
      <x:c r="J48" s="1243" t="str">
        <x:f>IF($C48="","",IFERROR(INDEX('23 RCC-004 MASR Registry'!$H$14:$H$163,MATCH($C48,'23 RCC-004 MASR Registry'!$B$14:$B$163,0)),""))</x:f>
      </x:c>
      <x:c r="K48" s="1243" t="str">
        <x:f>IF($C48="","",IFERROR(INDEX('23 RCC-004 MASR Registry'!$D$14:$D$163,MATCH($C48,'23 RCC-004 MASR Registry'!$B$14:$B$163,0)),""))</x:f>
      </x:c>
      <x:c r="L48" s="1243" t="str">
        <x:f>IF($C48="","",IFERROR(INDEX('23 RCC-004 MASR Registry'!$E$14:$E$163,MATCH($C48,'23 RCC-004 MASR Registry'!$B$14:$B$163,0)),""))</x:f>
      </x:c>
      <x:c r="M48" s="1243" t="str">
        <x:f>IF($C48="","",IFERROR(INDEX('23 RCC-004 MASR Registry'!$X$14:$X$163,MATCH($C48,'23 RCC-004 MASR Registry'!$B$14:$B$163,0)),""))</x:f>
      </x:c>
      <x:c r="N48" s="1243" t="str">
        <x:f>IF($C48="","",IFERROR(INDEX('23 RCC-004 MASR Registry'!$Y$14:$Y$163,MATCH($C48,'23 RCC-004 MASR Registry'!$B$14:$B$163,0)),""))</x:f>
      </x:c>
      <x:c r="O48" s="1243" t="str">
        <x:f>IF($C48="","",IFERROR(INDEX('23 RCC-004 MASR Registry'!$L$14:$L$163,MATCH($C48,'23 RCC-004 MASR Registry'!$B$14:$B$163,0)),""))</x:f>
      </x:c>
      <x:c r="P48" s="1243" t="str">
        <x:f>IF($C48="","",IFERROR(INDEX('23 RCC-004 MASR Registry'!$M$14:$M$163,MATCH($C48,'23 RCC-004 MASR Registry'!$B$14:$B$163,0)),""))</x:f>
      </x:c>
      <x:c r="Q48" s="1246" t="str">
        <x:f>IF($C48="","",IFERROR(INDEX('23 RCC-004 MASR Registry'!$N$14:$N$163,MATCH($C48,'23 RCC-004 MASR Registry'!$B$14:$B$163,0)),""))</x:f>
      </x:c>
      <x:c r="R48" s="1246" t="str">
        <x:f>IF($C48="","",IFERROR(INDEX('23 RCC-004 MASR Registry'!$O$14:$O$163,MATCH($C48,'23 RCC-004 MASR Registry'!$B$14:$B$163,0)),""))</x:f>
      </x:c>
      <x:c r="S48" s="1246" t="str">
        <x:f>IF($C48="","",IFERROR(INDEX('23 RCC-004 MASR Registry'!$W$14:$W$163,MATCH($C48,'23 RCC-004 MASR Registry'!$B$14:$B$163,0)),""))</x:f>
      </x:c>
      <x:c r="T48" s="1246" t="str">
        <x:f>IF($C48="","",IFERROR(INDEX('23 RCC-004 MASR Registry'!$T$14:$T$163,MATCH($C48,'23 RCC-004 MASR Registry'!$B$14:$B$163,0)),""))</x:f>
      </x:c>
      <x:c r="U48" s="1247" t="str">
        <x:f>IF($C48="","",IFERROR(INDEX('23 RCC-004 MASR Registry'!$U$14:$U$163,MATCH($C48,'23 RCC-004 MASR Registry'!$B$14:$B$163,0)),""))</x:f>
      </x:c>
      <x:c r="V48" s="1243" t="str">
        <x:f>IF($C48="","",IFERROR(INDEX('23 RCC-004 MASR Registry'!$V$14:$V$163,MATCH($C48,'23 RCC-004 MASR Registry'!$B$14:$B$163,0)),""))</x:f>
      </x:c>
      <x:c r="W48" s="1242"/>
      <x:c r="X48" s="1247" t="str">
        <x:f>IF($C48="","",COUNTIF('18 RCC-002 Evidence Ledger'!$E$14:$E$213,$C48))</x:f>
      </x:c>
      <x:c r="Y48" s="1242"/>
      <x:c r="Z48" s="1244" t="str">
        <x:f>IF($A48="","",IF(COUNTIF($A$14:$A$213,$A48)&gt;1,"FAIL — DUPLICATE ID",IF(OR($B48="",$C48="",$E48="",$H48="",$Y48="",$AA48="",$AB48=""),"FAIL — INCOMPLETE",IF(AND(OR($Y48="MIAR Review",$Y48="Eligibility Review",$Y48="Candidate Comparison",$Y48="Committee Review",$Y48="Approved for MASR",$Y48="Referred to PEW-004",$Y48="On Watch",$Y48="Rejected",$Y48="Closed",$Y48="Removed"),$K48=""),"FAIL — MASR RECORD REQUIRED",IF(AND(OR($Y48="Eligibility Review",$Y48="Candidate Comparison",$Y48="Committee Review",$Y48="Approved for MASR",$Y48="Referred to PEW-004",$Y48="On Watch"),NOT(OR($M48="ELIGIBLE",$M48="ELIGIBLE WITH EXCEPTION",$M48="CERTIFIED HOLDING"))),"FAIL — ELIGIBILITY",IF(AND(OR($Y48="Candidate Comparison",$Y48="Committee Review",$Y48="Approved for MASR",$Y48="Referred to PEW-004",$Y48="On Watch"),$X48=0),"FAIL — EVIDENCE",IF(AND(OR($Y48="Candidate Comparison",$Y48="Committee Review",$Y48="Approved for MASR",$Y48="Referred to PEW-004",$Y48="On Watch"),OR($O48&lt;&gt;"Active",$P48&lt;&gt;"CURRENT")),"FAIL — MIAR GATE",IF(AND(OR($Y48="Approved for MASR",$Y48="Referred to PEW-004",$Y48="On Watch",$Y48="Rejected",$Y48="Closed",$Y48="Removed"),OR($AD48="",$AD48="Pending")),"FAIL — COMMITTEE DISPOSITION",IF(AND($Y48="Referred to PEW-004",OR($AF48&lt;&gt;"Yes — Refer to PEW-004",$AG48="",$AJ48="")),"FAIL — PEW REFERRAL","PASS — STAGE GATE")))))))))</x:f>
      </x:c>
      <x:c r="AA48" s="1242"/>
      <x:c r="AB48" s="1251"/>
      <x:c r="AC48" s="1250" t="str">
        <x:f>IF($B48="","",IF($AQ48&lt;&gt;"",$AQ48-$B48,TODAY()-$B48))</x:f>
      </x:c>
      <x:c r="AD48" s="1242"/>
      <x:c r="AE48" s="1251"/>
      <x:c r="AF48" s="1242"/>
      <x:c r="AG48" s="1242"/>
      <x:c r="AH48" s="1246" t="str">
        <x:f>IF($AG48="","",IFERROR(INDEX('10 Candidate Comparison'!$T$14:$T$33,MATCH($AG48,'10 Candidate Comparison'!$A$14:$A$33,0)),""))</x:f>
      </x:c>
      <x:c r="AI48" s="1243" t="str">
        <x:f>IF($AG48="","",IFERROR(INDEX('10 Candidate Comparison'!$U$14:$U$33,MATCH($AG48,'10 Candidate Comparison'!$A$14:$A$33,0)),""))</x:f>
      </x:c>
      <x:c r="AJ48" s="1243" t="str">
        <x:f>IF($AG48="","",IFERROR(INDEX('10 Candidate Comparison'!$Y$14:$Y$33,MATCH($AG48,'10 Candidate Comparison'!$A$14:$A$33,0)),""))</x:f>
      </x:c>
      <x:c r="AK48" s="1244" t="str">
        <x:f>IF($A48="","",IF($Z48="FAIL — DUPLICATE ID","DUPLICATE CANDIDATE ID",IF($Z48="FAIL — INCOMPLETE","INCOMPLETE",IF($Z48="FAIL — MASR RECORD REQUIRED","MASR RECORD REQUIRED",IF($Z48="FAIL — ELIGIBILITY","ELIGIBILITY BLOCK",IF($Z48="FAIL — EVIDENCE","EVIDENCE REQUIRED",IF($Z48="FAIL — MIAR GATE","MIAR GATE BLOCK",IF($Z48="FAIL — COMMITTEE DISPOSITION","COMMITTEE DECISION REQUIRED",IF($Z48="FAIL — PEW REFERRAL","PEW REFERRAL INCOMPLETE",IF(AND(OR($Y48="Rejected",$Y48="Closed",$Y48="Removed"),OR($AO48="",$AP48="",$AQ48="")),"CLOSURE REQUIRED",IF(AND($AB48&lt;TODAY(),NOT(OR($Y48="Rejected",$Y48="Closed",$Y48="Removed"))),"OVERDUE",IF(OR($Y48="Rejected",$Y48="Closed",$Y48="Removed"),"CLOSED","OPEN — ON TRACK"))))))))))))</x:f>
      </x:c>
      <x:c r="AL48" s="1244" t="str">
        <x:f>IF($AK48="","",IFERROR(INDEX('97 RCC Lists'!$AM$5:$AM$16,MATCH($AK48,'97 RCC Lists'!$AL$5:$AL$16,0)),"Review candidate exception"))</x:f>
      </x:c>
      <x:c r="AM48" s="1242"/>
      <x:c r="AN48" s="1242"/>
      <x:c r="AO48" s="1242"/>
      <x:c r="AP48" s="1242"/>
      <x:c r="AQ48" s="1251"/>
    </x:row>
    <x:row r="49" ht="32" customHeight="1">
      <x:c r="A49" s="1242"/>
      <x:c r="B49" s="1251"/>
      <x:c r="C49" s="1242"/>
      <x:c r="D49" s="1252" t="str">
        <x:f>IF($C49="","",IFERROR(INDEX('23 RCC-004 MASR Registry'!$C$14:$C$163,MATCH($C49,'23 RCC-004 MASR Registry'!$B$14:$B$163,0)),""))</x:f>
      </x:c>
      <x:c r="E49" s="1242"/>
      <x:c r="F49" s="1242"/>
      <x:c r="G49" s="1242"/>
      <x:c r="H49" s="1242"/>
      <x:c r="I49" s="1252" t="str">
        <x:f>IF($C49="","",IFERROR(INDEX('23 RCC-004 MASR Registry'!$G$14:$G$163,MATCH($C49,'23 RCC-004 MASR Registry'!$B$14:$B$163,0)),""))</x:f>
      </x:c>
      <x:c r="J49" s="1252" t="str">
        <x:f>IF($C49="","",IFERROR(INDEX('23 RCC-004 MASR Registry'!$H$14:$H$163,MATCH($C49,'23 RCC-004 MASR Registry'!$B$14:$B$163,0)),""))</x:f>
      </x:c>
      <x:c r="K49" s="1252" t="str">
        <x:f>IF($C49="","",IFERROR(INDEX('23 RCC-004 MASR Registry'!$D$14:$D$163,MATCH($C49,'23 RCC-004 MASR Registry'!$B$14:$B$163,0)),""))</x:f>
      </x:c>
      <x:c r="L49" s="1252" t="str">
        <x:f>IF($C49="","",IFERROR(INDEX('23 RCC-004 MASR Registry'!$E$14:$E$163,MATCH($C49,'23 RCC-004 MASR Registry'!$B$14:$B$163,0)),""))</x:f>
      </x:c>
      <x:c r="M49" s="1252" t="str">
        <x:f>IF($C49="","",IFERROR(INDEX('23 RCC-004 MASR Registry'!$X$14:$X$163,MATCH($C49,'23 RCC-004 MASR Registry'!$B$14:$B$163,0)),""))</x:f>
      </x:c>
      <x:c r="N49" s="1252" t="str">
        <x:f>IF($C49="","",IFERROR(INDEX('23 RCC-004 MASR Registry'!$Y$14:$Y$163,MATCH($C49,'23 RCC-004 MASR Registry'!$B$14:$B$163,0)),""))</x:f>
      </x:c>
      <x:c r="O49" s="1252" t="str">
        <x:f>IF($C49="","",IFERROR(INDEX('23 RCC-004 MASR Registry'!$L$14:$L$163,MATCH($C49,'23 RCC-004 MASR Registry'!$B$14:$B$163,0)),""))</x:f>
      </x:c>
      <x:c r="P49" s="1252" t="str">
        <x:f>IF($C49="","",IFERROR(INDEX('23 RCC-004 MASR Registry'!$M$14:$M$163,MATCH($C49,'23 RCC-004 MASR Registry'!$B$14:$B$163,0)),""))</x:f>
      </x:c>
      <x:c r="Q49" s="1255" t="str">
        <x:f>IF($C49="","",IFERROR(INDEX('23 RCC-004 MASR Registry'!$N$14:$N$163,MATCH($C49,'23 RCC-004 MASR Registry'!$B$14:$B$163,0)),""))</x:f>
      </x:c>
      <x:c r="R49" s="1255" t="str">
        <x:f>IF($C49="","",IFERROR(INDEX('23 RCC-004 MASR Registry'!$O$14:$O$163,MATCH($C49,'23 RCC-004 MASR Registry'!$B$14:$B$163,0)),""))</x:f>
      </x:c>
      <x:c r="S49" s="1255" t="str">
        <x:f>IF($C49="","",IFERROR(INDEX('23 RCC-004 MASR Registry'!$W$14:$W$163,MATCH($C49,'23 RCC-004 MASR Registry'!$B$14:$B$163,0)),""))</x:f>
      </x:c>
      <x:c r="T49" s="1255" t="str">
        <x:f>IF($C49="","",IFERROR(INDEX('23 RCC-004 MASR Registry'!$T$14:$T$163,MATCH($C49,'23 RCC-004 MASR Registry'!$B$14:$B$163,0)),""))</x:f>
      </x:c>
      <x:c r="U49" s="1256" t="str">
        <x:f>IF($C49="","",IFERROR(INDEX('23 RCC-004 MASR Registry'!$U$14:$U$163,MATCH($C49,'23 RCC-004 MASR Registry'!$B$14:$B$163,0)),""))</x:f>
      </x:c>
      <x:c r="V49" s="1252" t="str">
        <x:f>IF($C49="","",IFERROR(INDEX('23 RCC-004 MASR Registry'!$V$14:$V$163,MATCH($C49,'23 RCC-004 MASR Registry'!$B$14:$B$163,0)),""))</x:f>
      </x:c>
      <x:c r="W49" s="1242"/>
      <x:c r="X49" s="1256" t="str">
        <x:f>IF($C49="","",COUNTIF('18 RCC-002 Evidence Ledger'!$E$14:$E$213,$C49))</x:f>
      </x:c>
      <x:c r="Y49" s="1242"/>
      <x:c r="Z49" s="1253" t="str">
        <x:f>IF($A49="","",IF(COUNTIF($A$14:$A$213,$A49)&gt;1,"FAIL — DUPLICATE ID",IF(OR($B49="",$C49="",$E49="",$H49="",$Y49="",$AA49="",$AB49=""),"FAIL — INCOMPLETE",IF(AND(OR($Y49="MIAR Review",$Y49="Eligibility Review",$Y49="Candidate Comparison",$Y49="Committee Review",$Y49="Approved for MASR",$Y49="Referred to PEW-004",$Y49="On Watch",$Y49="Rejected",$Y49="Closed",$Y49="Removed"),$K49=""),"FAIL — MASR RECORD REQUIRED",IF(AND(OR($Y49="Eligibility Review",$Y49="Candidate Comparison",$Y49="Committee Review",$Y49="Approved for MASR",$Y49="Referred to PEW-004",$Y49="On Watch"),NOT(OR($M49="ELIGIBLE",$M49="ELIGIBLE WITH EXCEPTION",$M49="CERTIFIED HOLDING"))),"FAIL — ELIGIBILITY",IF(AND(OR($Y49="Candidate Comparison",$Y49="Committee Review",$Y49="Approved for MASR",$Y49="Referred to PEW-004",$Y49="On Watch"),$X49=0),"FAIL — EVIDENCE",IF(AND(OR($Y49="Candidate Comparison",$Y49="Committee Review",$Y49="Approved for MASR",$Y49="Referred to PEW-004",$Y49="On Watch"),OR($O49&lt;&gt;"Active",$P49&lt;&gt;"CURRENT")),"FAIL — MIAR GATE",IF(AND(OR($Y49="Approved for MASR",$Y49="Referred to PEW-004",$Y49="On Watch",$Y49="Rejected",$Y49="Closed",$Y49="Removed"),OR($AD49="",$AD49="Pending")),"FAIL — COMMITTEE DISPOSITION",IF(AND($Y49="Referred to PEW-004",OR($AF49&lt;&gt;"Yes — Refer to PEW-004",$AG49="",$AJ49="")),"FAIL — PEW REFERRAL","PASS — STAGE GATE")))))))))</x:f>
      </x:c>
      <x:c r="AA49" s="1242"/>
      <x:c r="AB49" s="1251"/>
      <x:c r="AC49" s="1257" t="str">
        <x:f>IF($B49="","",IF($AQ49&lt;&gt;"",$AQ49-$B49,TODAY()-$B49))</x:f>
      </x:c>
      <x:c r="AD49" s="1242"/>
      <x:c r="AE49" s="1251"/>
      <x:c r="AF49" s="1242"/>
      <x:c r="AG49" s="1242"/>
      <x:c r="AH49" s="1255" t="str">
        <x:f>IF($AG49="","",IFERROR(INDEX('10 Candidate Comparison'!$T$14:$T$33,MATCH($AG49,'10 Candidate Comparison'!$A$14:$A$33,0)),""))</x:f>
      </x:c>
      <x:c r="AI49" s="1252" t="str">
        <x:f>IF($AG49="","",IFERROR(INDEX('10 Candidate Comparison'!$U$14:$U$33,MATCH($AG49,'10 Candidate Comparison'!$A$14:$A$33,0)),""))</x:f>
      </x:c>
      <x:c r="AJ49" s="1252" t="str">
        <x:f>IF($AG49="","",IFERROR(INDEX('10 Candidate Comparison'!$Y$14:$Y$33,MATCH($AG49,'10 Candidate Comparison'!$A$14:$A$33,0)),""))</x:f>
      </x:c>
      <x:c r="AK49" s="1253" t="str">
        <x:f>IF($A49="","",IF($Z49="FAIL — DUPLICATE ID","DUPLICATE CANDIDATE ID",IF($Z49="FAIL — INCOMPLETE","INCOMPLETE",IF($Z49="FAIL — MASR RECORD REQUIRED","MASR RECORD REQUIRED",IF($Z49="FAIL — ELIGIBILITY","ELIGIBILITY BLOCK",IF($Z49="FAIL — EVIDENCE","EVIDENCE REQUIRED",IF($Z49="FAIL — MIAR GATE","MIAR GATE BLOCK",IF($Z49="FAIL — COMMITTEE DISPOSITION","COMMITTEE DECISION REQUIRED",IF($Z49="FAIL — PEW REFERRAL","PEW REFERRAL INCOMPLETE",IF(AND(OR($Y49="Rejected",$Y49="Closed",$Y49="Removed"),OR($AO49="",$AP49="",$AQ49="")),"CLOSURE REQUIRED",IF(AND($AB49&lt;TODAY(),NOT(OR($Y49="Rejected",$Y49="Closed",$Y49="Removed"))),"OVERDUE",IF(OR($Y49="Rejected",$Y49="Closed",$Y49="Removed"),"CLOSED","OPEN — ON TRACK"))))))))))))</x:f>
      </x:c>
      <x:c r="AL49" s="1253" t="str">
        <x:f>IF($AK49="","",IFERROR(INDEX('97 RCC Lists'!$AM$5:$AM$16,MATCH($AK49,'97 RCC Lists'!$AL$5:$AL$16,0)),"Review candidate exception"))</x:f>
      </x:c>
      <x:c r="AM49" s="1242"/>
      <x:c r="AN49" s="1242"/>
      <x:c r="AO49" s="1242"/>
      <x:c r="AP49" s="1242"/>
      <x:c r="AQ49" s="1251"/>
    </x:row>
    <x:row r="50" ht="32" customHeight="1">
      <x:c r="A50" s="1242"/>
      <x:c r="B50" s="1251"/>
      <x:c r="C50" s="1242"/>
      <x:c r="D50" s="1243" t="str">
        <x:f>IF($C50="","",IFERROR(INDEX('23 RCC-004 MASR Registry'!$C$14:$C$163,MATCH($C50,'23 RCC-004 MASR Registry'!$B$14:$B$163,0)),""))</x:f>
      </x:c>
      <x:c r="E50" s="1242"/>
      <x:c r="F50" s="1242"/>
      <x:c r="G50" s="1242"/>
      <x:c r="H50" s="1242"/>
      <x:c r="I50" s="1243" t="str">
        <x:f>IF($C50="","",IFERROR(INDEX('23 RCC-004 MASR Registry'!$G$14:$G$163,MATCH($C50,'23 RCC-004 MASR Registry'!$B$14:$B$163,0)),""))</x:f>
      </x:c>
      <x:c r="J50" s="1243" t="str">
        <x:f>IF($C50="","",IFERROR(INDEX('23 RCC-004 MASR Registry'!$H$14:$H$163,MATCH($C50,'23 RCC-004 MASR Registry'!$B$14:$B$163,0)),""))</x:f>
      </x:c>
      <x:c r="K50" s="1243" t="str">
        <x:f>IF($C50="","",IFERROR(INDEX('23 RCC-004 MASR Registry'!$D$14:$D$163,MATCH($C50,'23 RCC-004 MASR Registry'!$B$14:$B$163,0)),""))</x:f>
      </x:c>
      <x:c r="L50" s="1243" t="str">
        <x:f>IF($C50="","",IFERROR(INDEX('23 RCC-004 MASR Registry'!$E$14:$E$163,MATCH($C50,'23 RCC-004 MASR Registry'!$B$14:$B$163,0)),""))</x:f>
      </x:c>
      <x:c r="M50" s="1243" t="str">
        <x:f>IF($C50="","",IFERROR(INDEX('23 RCC-004 MASR Registry'!$X$14:$X$163,MATCH($C50,'23 RCC-004 MASR Registry'!$B$14:$B$163,0)),""))</x:f>
      </x:c>
      <x:c r="N50" s="1243" t="str">
        <x:f>IF($C50="","",IFERROR(INDEX('23 RCC-004 MASR Registry'!$Y$14:$Y$163,MATCH($C50,'23 RCC-004 MASR Registry'!$B$14:$B$163,0)),""))</x:f>
      </x:c>
      <x:c r="O50" s="1243" t="str">
        <x:f>IF($C50="","",IFERROR(INDEX('23 RCC-004 MASR Registry'!$L$14:$L$163,MATCH($C50,'23 RCC-004 MASR Registry'!$B$14:$B$163,0)),""))</x:f>
      </x:c>
      <x:c r="P50" s="1243" t="str">
        <x:f>IF($C50="","",IFERROR(INDEX('23 RCC-004 MASR Registry'!$M$14:$M$163,MATCH($C50,'23 RCC-004 MASR Registry'!$B$14:$B$163,0)),""))</x:f>
      </x:c>
      <x:c r="Q50" s="1246" t="str">
        <x:f>IF($C50="","",IFERROR(INDEX('23 RCC-004 MASR Registry'!$N$14:$N$163,MATCH($C50,'23 RCC-004 MASR Registry'!$B$14:$B$163,0)),""))</x:f>
      </x:c>
      <x:c r="R50" s="1246" t="str">
        <x:f>IF($C50="","",IFERROR(INDEX('23 RCC-004 MASR Registry'!$O$14:$O$163,MATCH($C50,'23 RCC-004 MASR Registry'!$B$14:$B$163,0)),""))</x:f>
      </x:c>
      <x:c r="S50" s="1246" t="str">
        <x:f>IF($C50="","",IFERROR(INDEX('23 RCC-004 MASR Registry'!$W$14:$W$163,MATCH($C50,'23 RCC-004 MASR Registry'!$B$14:$B$163,0)),""))</x:f>
      </x:c>
      <x:c r="T50" s="1246" t="str">
        <x:f>IF($C50="","",IFERROR(INDEX('23 RCC-004 MASR Registry'!$T$14:$T$163,MATCH($C50,'23 RCC-004 MASR Registry'!$B$14:$B$163,0)),""))</x:f>
      </x:c>
      <x:c r="U50" s="1247" t="str">
        <x:f>IF($C50="","",IFERROR(INDEX('23 RCC-004 MASR Registry'!$U$14:$U$163,MATCH($C50,'23 RCC-004 MASR Registry'!$B$14:$B$163,0)),""))</x:f>
      </x:c>
      <x:c r="V50" s="1243" t="str">
        <x:f>IF($C50="","",IFERROR(INDEX('23 RCC-004 MASR Registry'!$V$14:$V$163,MATCH($C50,'23 RCC-004 MASR Registry'!$B$14:$B$163,0)),""))</x:f>
      </x:c>
      <x:c r="W50" s="1242"/>
      <x:c r="X50" s="1247" t="str">
        <x:f>IF($C50="","",COUNTIF('18 RCC-002 Evidence Ledger'!$E$14:$E$213,$C50))</x:f>
      </x:c>
      <x:c r="Y50" s="1242"/>
      <x:c r="Z50" s="1244" t="str">
        <x:f>IF($A50="","",IF(COUNTIF($A$14:$A$213,$A50)&gt;1,"FAIL — DUPLICATE ID",IF(OR($B50="",$C50="",$E50="",$H50="",$Y50="",$AA50="",$AB50=""),"FAIL — INCOMPLETE",IF(AND(OR($Y50="MIAR Review",$Y50="Eligibility Review",$Y50="Candidate Comparison",$Y50="Committee Review",$Y50="Approved for MASR",$Y50="Referred to PEW-004",$Y50="On Watch",$Y50="Rejected",$Y50="Closed",$Y50="Removed"),$K50=""),"FAIL — MASR RECORD REQUIRED",IF(AND(OR($Y50="Eligibility Review",$Y50="Candidate Comparison",$Y50="Committee Review",$Y50="Approved for MASR",$Y50="Referred to PEW-004",$Y50="On Watch"),NOT(OR($M50="ELIGIBLE",$M50="ELIGIBLE WITH EXCEPTION",$M50="CERTIFIED HOLDING"))),"FAIL — ELIGIBILITY",IF(AND(OR($Y50="Candidate Comparison",$Y50="Committee Review",$Y50="Approved for MASR",$Y50="Referred to PEW-004",$Y50="On Watch"),$X50=0),"FAIL — EVIDENCE",IF(AND(OR($Y50="Candidate Comparison",$Y50="Committee Review",$Y50="Approved for MASR",$Y50="Referred to PEW-004",$Y50="On Watch"),OR($O50&lt;&gt;"Active",$P50&lt;&gt;"CURRENT")),"FAIL — MIAR GATE",IF(AND(OR($Y50="Approved for MASR",$Y50="Referred to PEW-004",$Y50="On Watch",$Y50="Rejected",$Y50="Closed",$Y50="Removed"),OR($AD50="",$AD50="Pending")),"FAIL — COMMITTEE DISPOSITION",IF(AND($Y50="Referred to PEW-004",OR($AF50&lt;&gt;"Yes — Refer to PEW-004",$AG50="",$AJ50="")),"FAIL — PEW REFERRAL","PASS — STAGE GATE")))))))))</x:f>
      </x:c>
      <x:c r="AA50" s="1242"/>
      <x:c r="AB50" s="1251"/>
      <x:c r="AC50" s="1250" t="str">
        <x:f>IF($B50="","",IF($AQ50&lt;&gt;"",$AQ50-$B50,TODAY()-$B50))</x:f>
      </x:c>
      <x:c r="AD50" s="1242"/>
      <x:c r="AE50" s="1251"/>
      <x:c r="AF50" s="1242"/>
      <x:c r="AG50" s="1242"/>
      <x:c r="AH50" s="1246" t="str">
        <x:f>IF($AG50="","",IFERROR(INDEX('10 Candidate Comparison'!$T$14:$T$33,MATCH($AG50,'10 Candidate Comparison'!$A$14:$A$33,0)),""))</x:f>
      </x:c>
      <x:c r="AI50" s="1243" t="str">
        <x:f>IF($AG50="","",IFERROR(INDEX('10 Candidate Comparison'!$U$14:$U$33,MATCH($AG50,'10 Candidate Comparison'!$A$14:$A$33,0)),""))</x:f>
      </x:c>
      <x:c r="AJ50" s="1243" t="str">
        <x:f>IF($AG50="","",IFERROR(INDEX('10 Candidate Comparison'!$Y$14:$Y$33,MATCH($AG50,'10 Candidate Comparison'!$A$14:$A$33,0)),""))</x:f>
      </x:c>
      <x:c r="AK50" s="1244" t="str">
        <x:f>IF($A50="","",IF($Z50="FAIL — DUPLICATE ID","DUPLICATE CANDIDATE ID",IF($Z50="FAIL — INCOMPLETE","INCOMPLETE",IF($Z50="FAIL — MASR RECORD REQUIRED","MASR RECORD REQUIRED",IF($Z50="FAIL — ELIGIBILITY","ELIGIBILITY BLOCK",IF($Z50="FAIL — EVIDENCE","EVIDENCE REQUIRED",IF($Z50="FAIL — MIAR GATE","MIAR GATE BLOCK",IF($Z50="FAIL — COMMITTEE DISPOSITION","COMMITTEE DECISION REQUIRED",IF($Z50="FAIL — PEW REFERRAL","PEW REFERRAL INCOMPLETE",IF(AND(OR($Y50="Rejected",$Y50="Closed",$Y50="Removed"),OR($AO50="",$AP50="",$AQ50="")),"CLOSURE REQUIRED",IF(AND($AB50&lt;TODAY(),NOT(OR($Y50="Rejected",$Y50="Closed",$Y50="Removed"))),"OVERDUE",IF(OR($Y50="Rejected",$Y50="Closed",$Y50="Removed"),"CLOSED","OPEN — ON TRACK"))))))))))))</x:f>
      </x:c>
      <x:c r="AL50" s="1244" t="str">
        <x:f>IF($AK50="","",IFERROR(INDEX('97 RCC Lists'!$AM$5:$AM$16,MATCH($AK50,'97 RCC Lists'!$AL$5:$AL$16,0)),"Review candidate exception"))</x:f>
      </x:c>
      <x:c r="AM50" s="1242"/>
      <x:c r="AN50" s="1242"/>
      <x:c r="AO50" s="1242"/>
      <x:c r="AP50" s="1242"/>
      <x:c r="AQ50" s="1251"/>
    </x:row>
    <x:row r="51" ht="32" customHeight="1">
      <x:c r="A51" s="1242"/>
      <x:c r="B51" s="1251"/>
      <x:c r="C51" s="1242"/>
      <x:c r="D51" s="1252" t="str">
        <x:f>IF($C51="","",IFERROR(INDEX('23 RCC-004 MASR Registry'!$C$14:$C$163,MATCH($C51,'23 RCC-004 MASR Registry'!$B$14:$B$163,0)),""))</x:f>
      </x:c>
      <x:c r="E51" s="1242"/>
      <x:c r="F51" s="1242"/>
      <x:c r="G51" s="1242"/>
      <x:c r="H51" s="1242"/>
      <x:c r="I51" s="1252" t="str">
        <x:f>IF($C51="","",IFERROR(INDEX('23 RCC-004 MASR Registry'!$G$14:$G$163,MATCH($C51,'23 RCC-004 MASR Registry'!$B$14:$B$163,0)),""))</x:f>
      </x:c>
      <x:c r="J51" s="1252" t="str">
        <x:f>IF($C51="","",IFERROR(INDEX('23 RCC-004 MASR Registry'!$H$14:$H$163,MATCH($C51,'23 RCC-004 MASR Registry'!$B$14:$B$163,0)),""))</x:f>
      </x:c>
      <x:c r="K51" s="1252" t="str">
        <x:f>IF($C51="","",IFERROR(INDEX('23 RCC-004 MASR Registry'!$D$14:$D$163,MATCH($C51,'23 RCC-004 MASR Registry'!$B$14:$B$163,0)),""))</x:f>
      </x:c>
      <x:c r="L51" s="1252" t="str">
        <x:f>IF($C51="","",IFERROR(INDEX('23 RCC-004 MASR Registry'!$E$14:$E$163,MATCH($C51,'23 RCC-004 MASR Registry'!$B$14:$B$163,0)),""))</x:f>
      </x:c>
      <x:c r="M51" s="1252" t="str">
        <x:f>IF($C51="","",IFERROR(INDEX('23 RCC-004 MASR Registry'!$X$14:$X$163,MATCH($C51,'23 RCC-004 MASR Registry'!$B$14:$B$163,0)),""))</x:f>
      </x:c>
      <x:c r="N51" s="1252" t="str">
        <x:f>IF($C51="","",IFERROR(INDEX('23 RCC-004 MASR Registry'!$Y$14:$Y$163,MATCH($C51,'23 RCC-004 MASR Registry'!$B$14:$B$163,0)),""))</x:f>
      </x:c>
      <x:c r="O51" s="1252" t="str">
        <x:f>IF($C51="","",IFERROR(INDEX('23 RCC-004 MASR Registry'!$L$14:$L$163,MATCH($C51,'23 RCC-004 MASR Registry'!$B$14:$B$163,0)),""))</x:f>
      </x:c>
      <x:c r="P51" s="1252" t="str">
        <x:f>IF($C51="","",IFERROR(INDEX('23 RCC-004 MASR Registry'!$M$14:$M$163,MATCH($C51,'23 RCC-004 MASR Registry'!$B$14:$B$163,0)),""))</x:f>
      </x:c>
      <x:c r="Q51" s="1255" t="str">
        <x:f>IF($C51="","",IFERROR(INDEX('23 RCC-004 MASR Registry'!$N$14:$N$163,MATCH($C51,'23 RCC-004 MASR Registry'!$B$14:$B$163,0)),""))</x:f>
      </x:c>
      <x:c r="R51" s="1255" t="str">
        <x:f>IF($C51="","",IFERROR(INDEX('23 RCC-004 MASR Registry'!$O$14:$O$163,MATCH($C51,'23 RCC-004 MASR Registry'!$B$14:$B$163,0)),""))</x:f>
      </x:c>
      <x:c r="S51" s="1255" t="str">
        <x:f>IF($C51="","",IFERROR(INDEX('23 RCC-004 MASR Registry'!$W$14:$W$163,MATCH($C51,'23 RCC-004 MASR Registry'!$B$14:$B$163,0)),""))</x:f>
      </x:c>
      <x:c r="T51" s="1255" t="str">
        <x:f>IF($C51="","",IFERROR(INDEX('23 RCC-004 MASR Registry'!$T$14:$T$163,MATCH($C51,'23 RCC-004 MASR Registry'!$B$14:$B$163,0)),""))</x:f>
      </x:c>
      <x:c r="U51" s="1256" t="str">
        <x:f>IF($C51="","",IFERROR(INDEX('23 RCC-004 MASR Registry'!$U$14:$U$163,MATCH($C51,'23 RCC-004 MASR Registry'!$B$14:$B$163,0)),""))</x:f>
      </x:c>
      <x:c r="V51" s="1252" t="str">
        <x:f>IF($C51="","",IFERROR(INDEX('23 RCC-004 MASR Registry'!$V$14:$V$163,MATCH($C51,'23 RCC-004 MASR Registry'!$B$14:$B$163,0)),""))</x:f>
      </x:c>
      <x:c r="W51" s="1242"/>
      <x:c r="X51" s="1256" t="str">
        <x:f>IF($C51="","",COUNTIF('18 RCC-002 Evidence Ledger'!$E$14:$E$213,$C51))</x:f>
      </x:c>
      <x:c r="Y51" s="1242"/>
      <x:c r="Z51" s="1253" t="str">
        <x:f>IF($A51="","",IF(COUNTIF($A$14:$A$213,$A51)&gt;1,"FAIL — DUPLICATE ID",IF(OR($B51="",$C51="",$E51="",$H51="",$Y51="",$AA51="",$AB51=""),"FAIL — INCOMPLETE",IF(AND(OR($Y51="MIAR Review",$Y51="Eligibility Review",$Y51="Candidate Comparison",$Y51="Committee Review",$Y51="Approved for MASR",$Y51="Referred to PEW-004",$Y51="On Watch",$Y51="Rejected",$Y51="Closed",$Y51="Removed"),$K51=""),"FAIL — MASR RECORD REQUIRED",IF(AND(OR($Y51="Eligibility Review",$Y51="Candidate Comparison",$Y51="Committee Review",$Y51="Approved for MASR",$Y51="Referred to PEW-004",$Y51="On Watch"),NOT(OR($M51="ELIGIBLE",$M51="ELIGIBLE WITH EXCEPTION",$M51="CERTIFIED HOLDING"))),"FAIL — ELIGIBILITY",IF(AND(OR($Y51="Candidate Comparison",$Y51="Committee Review",$Y51="Approved for MASR",$Y51="Referred to PEW-004",$Y51="On Watch"),$X51=0),"FAIL — EVIDENCE",IF(AND(OR($Y51="Candidate Comparison",$Y51="Committee Review",$Y51="Approved for MASR",$Y51="Referred to PEW-004",$Y51="On Watch"),OR($O51&lt;&gt;"Active",$P51&lt;&gt;"CURRENT")),"FAIL — MIAR GATE",IF(AND(OR($Y51="Approved for MASR",$Y51="Referred to PEW-004",$Y51="On Watch",$Y51="Rejected",$Y51="Closed",$Y51="Removed"),OR($AD51="",$AD51="Pending")),"FAIL — COMMITTEE DISPOSITION",IF(AND($Y51="Referred to PEW-004",OR($AF51&lt;&gt;"Yes — Refer to PEW-004",$AG51="",$AJ51="")),"FAIL — PEW REFERRAL","PASS — STAGE GATE")))))))))</x:f>
      </x:c>
      <x:c r="AA51" s="1242"/>
      <x:c r="AB51" s="1251"/>
      <x:c r="AC51" s="1257" t="str">
        <x:f>IF($B51="","",IF($AQ51&lt;&gt;"",$AQ51-$B51,TODAY()-$B51))</x:f>
      </x:c>
      <x:c r="AD51" s="1242"/>
      <x:c r="AE51" s="1251"/>
      <x:c r="AF51" s="1242"/>
      <x:c r="AG51" s="1242"/>
      <x:c r="AH51" s="1255" t="str">
        <x:f>IF($AG51="","",IFERROR(INDEX('10 Candidate Comparison'!$T$14:$T$33,MATCH($AG51,'10 Candidate Comparison'!$A$14:$A$33,0)),""))</x:f>
      </x:c>
      <x:c r="AI51" s="1252" t="str">
        <x:f>IF($AG51="","",IFERROR(INDEX('10 Candidate Comparison'!$U$14:$U$33,MATCH($AG51,'10 Candidate Comparison'!$A$14:$A$33,0)),""))</x:f>
      </x:c>
      <x:c r="AJ51" s="1252" t="str">
        <x:f>IF($AG51="","",IFERROR(INDEX('10 Candidate Comparison'!$Y$14:$Y$33,MATCH($AG51,'10 Candidate Comparison'!$A$14:$A$33,0)),""))</x:f>
      </x:c>
      <x:c r="AK51" s="1253" t="str">
        <x:f>IF($A51="","",IF($Z51="FAIL — DUPLICATE ID","DUPLICATE CANDIDATE ID",IF($Z51="FAIL — INCOMPLETE","INCOMPLETE",IF($Z51="FAIL — MASR RECORD REQUIRED","MASR RECORD REQUIRED",IF($Z51="FAIL — ELIGIBILITY","ELIGIBILITY BLOCK",IF($Z51="FAIL — EVIDENCE","EVIDENCE REQUIRED",IF($Z51="FAIL — MIAR GATE","MIAR GATE BLOCK",IF($Z51="FAIL — COMMITTEE DISPOSITION","COMMITTEE DECISION REQUIRED",IF($Z51="FAIL — PEW REFERRAL","PEW REFERRAL INCOMPLETE",IF(AND(OR($Y51="Rejected",$Y51="Closed",$Y51="Removed"),OR($AO51="",$AP51="",$AQ51="")),"CLOSURE REQUIRED",IF(AND($AB51&lt;TODAY(),NOT(OR($Y51="Rejected",$Y51="Closed",$Y51="Removed"))),"OVERDUE",IF(OR($Y51="Rejected",$Y51="Closed",$Y51="Removed"),"CLOSED","OPEN — ON TRACK"))))))))))))</x:f>
      </x:c>
      <x:c r="AL51" s="1253" t="str">
        <x:f>IF($AK51="","",IFERROR(INDEX('97 RCC Lists'!$AM$5:$AM$16,MATCH($AK51,'97 RCC Lists'!$AL$5:$AL$16,0)),"Review candidate exception"))</x:f>
      </x:c>
      <x:c r="AM51" s="1242"/>
      <x:c r="AN51" s="1242"/>
      <x:c r="AO51" s="1242"/>
      <x:c r="AP51" s="1242"/>
      <x:c r="AQ51" s="1251"/>
    </x:row>
    <x:row r="52" ht="32" customHeight="1">
      <x:c r="A52" s="1242"/>
      <x:c r="B52" s="1251"/>
      <x:c r="C52" s="1242"/>
      <x:c r="D52" s="1243" t="str">
        <x:f>IF($C52="","",IFERROR(INDEX('23 RCC-004 MASR Registry'!$C$14:$C$163,MATCH($C52,'23 RCC-004 MASR Registry'!$B$14:$B$163,0)),""))</x:f>
      </x:c>
      <x:c r="E52" s="1242"/>
      <x:c r="F52" s="1242"/>
      <x:c r="G52" s="1242"/>
      <x:c r="H52" s="1242"/>
      <x:c r="I52" s="1243" t="str">
        <x:f>IF($C52="","",IFERROR(INDEX('23 RCC-004 MASR Registry'!$G$14:$G$163,MATCH($C52,'23 RCC-004 MASR Registry'!$B$14:$B$163,0)),""))</x:f>
      </x:c>
      <x:c r="J52" s="1243" t="str">
        <x:f>IF($C52="","",IFERROR(INDEX('23 RCC-004 MASR Registry'!$H$14:$H$163,MATCH($C52,'23 RCC-004 MASR Registry'!$B$14:$B$163,0)),""))</x:f>
      </x:c>
      <x:c r="K52" s="1243" t="str">
        <x:f>IF($C52="","",IFERROR(INDEX('23 RCC-004 MASR Registry'!$D$14:$D$163,MATCH($C52,'23 RCC-004 MASR Registry'!$B$14:$B$163,0)),""))</x:f>
      </x:c>
      <x:c r="L52" s="1243" t="str">
        <x:f>IF($C52="","",IFERROR(INDEX('23 RCC-004 MASR Registry'!$E$14:$E$163,MATCH($C52,'23 RCC-004 MASR Registry'!$B$14:$B$163,0)),""))</x:f>
      </x:c>
      <x:c r="M52" s="1243" t="str">
        <x:f>IF($C52="","",IFERROR(INDEX('23 RCC-004 MASR Registry'!$X$14:$X$163,MATCH($C52,'23 RCC-004 MASR Registry'!$B$14:$B$163,0)),""))</x:f>
      </x:c>
      <x:c r="N52" s="1243" t="str">
        <x:f>IF($C52="","",IFERROR(INDEX('23 RCC-004 MASR Registry'!$Y$14:$Y$163,MATCH($C52,'23 RCC-004 MASR Registry'!$B$14:$B$163,0)),""))</x:f>
      </x:c>
      <x:c r="O52" s="1243" t="str">
        <x:f>IF($C52="","",IFERROR(INDEX('23 RCC-004 MASR Registry'!$L$14:$L$163,MATCH($C52,'23 RCC-004 MASR Registry'!$B$14:$B$163,0)),""))</x:f>
      </x:c>
      <x:c r="P52" s="1243" t="str">
        <x:f>IF($C52="","",IFERROR(INDEX('23 RCC-004 MASR Registry'!$M$14:$M$163,MATCH($C52,'23 RCC-004 MASR Registry'!$B$14:$B$163,0)),""))</x:f>
      </x:c>
      <x:c r="Q52" s="1246" t="str">
        <x:f>IF($C52="","",IFERROR(INDEX('23 RCC-004 MASR Registry'!$N$14:$N$163,MATCH($C52,'23 RCC-004 MASR Registry'!$B$14:$B$163,0)),""))</x:f>
      </x:c>
      <x:c r="R52" s="1246" t="str">
        <x:f>IF($C52="","",IFERROR(INDEX('23 RCC-004 MASR Registry'!$O$14:$O$163,MATCH($C52,'23 RCC-004 MASR Registry'!$B$14:$B$163,0)),""))</x:f>
      </x:c>
      <x:c r="S52" s="1246" t="str">
        <x:f>IF($C52="","",IFERROR(INDEX('23 RCC-004 MASR Registry'!$W$14:$W$163,MATCH($C52,'23 RCC-004 MASR Registry'!$B$14:$B$163,0)),""))</x:f>
      </x:c>
      <x:c r="T52" s="1246" t="str">
        <x:f>IF($C52="","",IFERROR(INDEX('23 RCC-004 MASR Registry'!$T$14:$T$163,MATCH($C52,'23 RCC-004 MASR Registry'!$B$14:$B$163,0)),""))</x:f>
      </x:c>
      <x:c r="U52" s="1247" t="str">
        <x:f>IF($C52="","",IFERROR(INDEX('23 RCC-004 MASR Registry'!$U$14:$U$163,MATCH($C52,'23 RCC-004 MASR Registry'!$B$14:$B$163,0)),""))</x:f>
      </x:c>
      <x:c r="V52" s="1243" t="str">
        <x:f>IF($C52="","",IFERROR(INDEX('23 RCC-004 MASR Registry'!$V$14:$V$163,MATCH($C52,'23 RCC-004 MASR Registry'!$B$14:$B$163,0)),""))</x:f>
      </x:c>
      <x:c r="W52" s="1242"/>
      <x:c r="X52" s="1247" t="str">
        <x:f>IF($C52="","",COUNTIF('18 RCC-002 Evidence Ledger'!$E$14:$E$213,$C52))</x:f>
      </x:c>
      <x:c r="Y52" s="1242"/>
      <x:c r="Z52" s="1244" t="str">
        <x:f>IF($A52="","",IF(COUNTIF($A$14:$A$213,$A52)&gt;1,"FAIL — DUPLICATE ID",IF(OR($B52="",$C52="",$E52="",$H52="",$Y52="",$AA52="",$AB52=""),"FAIL — INCOMPLETE",IF(AND(OR($Y52="MIAR Review",$Y52="Eligibility Review",$Y52="Candidate Comparison",$Y52="Committee Review",$Y52="Approved for MASR",$Y52="Referred to PEW-004",$Y52="On Watch",$Y52="Rejected",$Y52="Closed",$Y52="Removed"),$K52=""),"FAIL — MASR RECORD REQUIRED",IF(AND(OR($Y52="Eligibility Review",$Y52="Candidate Comparison",$Y52="Committee Review",$Y52="Approved for MASR",$Y52="Referred to PEW-004",$Y52="On Watch"),NOT(OR($M52="ELIGIBLE",$M52="ELIGIBLE WITH EXCEPTION",$M52="CERTIFIED HOLDING"))),"FAIL — ELIGIBILITY",IF(AND(OR($Y52="Candidate Comparison",$Y52="Committee Review",$Y52="Approved for MASR",$Y52="Referred to PEW-004",$Y52="On Watch"),$X52=0),"FAIL — EVIDENCE",IF(AND(OR($Y52="Candidate Comparison",$Y52="Committee Review",$Y52="Approved for MASR",$Y52="Referred to PEW-004",$Y52="On Watch"),OR($O52&lt;&gt;"Active",$P52&lt;&gt;"CURRENT")),"FAIL — MIAR GATE",IF(AND(OR($Y52="Approved for MASR",$Y52="Referred to PEW-004",$Y52="On Watch",$Y52="Rejected",$Y52="Closed",$Y52="Removed"),OR($AD52="",$AD52="Pending")),"FAIL — COMMITTEE DISPOSITION",IF(AND($Y52="Referred to PEW-004",OR($AF52&lt;&gt;"Yes — Refer to PEW-004",$AG52="",$AJ52="")),"FAIL — PEW REFERRAL","PASS — STAGE GATE")))))))))</x:f>
      </x:c>
      <x:c r="AA52" s="1242"/>
      <x:c r="AB52" s="1251"/>
      <x:c r="AC52" s="1250" t="str">
        <x:f>IF($B52="","",IF($AQ52&lt;&gt;"",$AQ52-$B52,TODAY()-$B52))</x:f>
      </x:c>
      <x:c r="AD52" s="1242"/>
      <x:c r="AE52" s="1251"/>
      <x:c r="AF52" s="1242"/>
      <x:c r="AG52" s="1242"/>
      <x:c r="AH52" s="1246" t="str">
        <x:f>IF($AG52="","",IFERROR(INDEX('10 Candidate Comparison'!$T$14:$T$33,MATCH($AG52,'10 Candidate Comparison'!$A$14:$A$33,0)),""))</x:f>
      </x:c>
      <x:c r="AI52" s="1243" t="str">
        <x:f>IF($AG52="","",IFERROR(INDEX('10 Candidate Comparison'!$U$14:$U$33,MATCH($AG52,'10 Candidate Comparison'!$A$14:$A$33,0)),""))</x:f>
      </x:c>
      <x:c r="AJ52" s="1243" t="str">
        <x:f>IF($AG52="","",IFERROR(INDEX('10 Candidate Comparison'!$Y$14:$Y$33,MATCH($AG52,'10 Candidate Comparison'!$A$14:$A$33,0)),""))</x:f>
      </x:c>
      <x:c r="AK52" s="1244" t="str">
        <x:f>IF($A52="","",IF($Z52="FAIL — DUPLICATE ID","DUPLICATE CANDIDATE ID",IF($Z52="FAIL — INCOMPLETE","INCOMPLETE",IF($Z52="FAIL — MASR RECORD REQUIRED","MASR RECORD REQUIRED",IF($Z52="FAIL — ELIGIBILITY","ELIGIBILITY BLOCK",IF($Z52="FAIL — EVIDENCE","EVIDENCE REQUIRED",IF($Z52="FAIL — MIAR GATE","MIAR GATE BLOCK",IF($Z52="FAIL — COMMITTEE DISPOSITION","COMMITTEE DECISION REQUIRED",IF($Z52="FAIL — PEW REFERRAL","PEW REFERRAL INCOMPLETE",IF(AND(OR($Y52="Rejected",$Y52="Closed",$Y52="Removed"),OR($AO52="",$AP52="",$AQ52="")),"CLOSURE REQUIRED",IF(AND($AB52&lt;TODAY(),NOT(OR($Y52="Rejected",$Y52="Closed",$Y52="Removed"))),"OVERDUE",IF(OR($Y52="Rejected",$Y52="Closed",$Y52="Removed"),"CLOSED","OPEN — ON TRACK"))))))))))))</x:f>
      </x:c>
      <x:c r="AL52" s="1244" t="str">
        <x:f>IF($AK52="","",IFERROR(INDEX('97 RCC Lists'!$AM$5:$AM$16,MATCH($AK52,'97 RCC Lists'!$AL$5:$AL$16,0)),"Review candidate exception"))</x:f>
      </x:c>
      <x:c r="AM52" s="1242"/>
      <x:c r="AN52" s="1242"/>
      <x:c r="AO52" s="1242"/>
      <x:c r="AP52" s="1242"/>
      <x:c r="AQ52" s="1251"/>
    </x:row>
    <x:row r="53" ht="32" customHeight="1">
      <x:c r="A53" s="1242"/>
      <x:c r="B53" s="1251"/>
      <x:c r="C53" s="1242"/>
      <x:c r="D53" s="1252" t="str">
        <x:f>IF($C53="","",IFERROR(INDEX('23 RCC-004 MASR Registry'!$C$14:$C$163,MATCH($C53,'23 RCC-004 MASR Registry'!$B$14:$B$163,0)),""))</x:f>
      </x:c>
      <x:c r="E53" s="1242"/>
      <x:c r="F53" s="1242"/>
      <x:c r="G53" s="1242"/>
      <x:c r="H53" s="1242"/>
      <x:c r="I53" s="1252" t="str">
        <x:f>IF($C53="","",IFERROR(INDEX('23 RCC-004 MASR Registry'!$G$14:$G$163,MATCH($C53,'23 RCC-004 MASR Registry'!$B$14:$B$163,0)),""))</x:f>
      </x:c>
      <x:c r="J53" s="1252" t="str">
        <x:f>IF($C53="","",IFERROR(INDEX('23 RCC-004 MASR Registry'!$H$14:$H$163,MATCH($C53,'23 RCC-004 MASR Registry'!$B$14:$B$163,0)),""))</x:f>
      </x:c>
      <x:c r="K53" s="1252" t="str">
        <x:f>IF($C53="","",IFERROR(INDEX('23 RCC-004 MASR Registry'!$D$14:$D$163,MATCH($C53,'23 RCC-004 MASR Registry'!$B$14:$B$163,0)),""))</x:f>
      </x:c>
      <x:c r="L53" s="1252" t="str">
        <x:f>IF($C53="","",IFERROR(INDEX('23 RCC-004 MASR Registry'!$E$14:$E$163,MATCH($C53,'23 RCC-004 MASR Registry'!$B$14:$B$163,0)),""))</x:f>
      </x:c>
      <x:c r="M53" s="1252" t="str">
        <x:f>IF($C53="","",IFERROR(INDEX('23 RCC-004 MASR Registry'!$X$14:$X$163,MATCH($C53,'23 RCC-004 MASR Registry'!$B$14:$B$163,0)),""))</x:f>
      </x:c>
      <x:c r="N53" s="1252" t="str">
        <x:f>IF($C53="","",IFERROR(INDEX('23 RCC-004 MASR Registry'!$Y$14:$Y$163,MATCH($C53,'23 RCC-004 MASR Registry'!$B$14:$B$163,0)),""))</x:f>
      </x:c>
      <x:c r="O53" s="1252" t="str">
        <x:f>IF($C53="","",IFERROR(INDEX('23 RCC-004 MASR Registry'!$L$14:$L$163,MATCH($C53,'23 RCC-004 MASR Registry'!$B$14:$B$163,0)),""))</x:f>
      </x:c>
      <x:c r="P53" s="1252" t="str">
        <x:f>IF($C53="","",IFERROR(INDEX('23 RCC-004 MASR Registry'!$M$14:$M$163,MATCH($C53,'23 RCC-004 MASR Registry'!$B$14:$B$163,0)),""))</x:f>
      </x:c>
      <x:c r="Q53" s="1255" t="str">
        <x:f>IF($C53="","",IFERROR(INDEX('23 RCC-004 MASR Registry'!$N$14:$N$163,MATCH($C53,'23 RCC-004 MASR Registry'!$B$14:$B$163,0)),""))</x:f>
      </x:c>
      <x:c r="R53" s="1255" t="str">
        <x:f>IF($C53="","",IFERROR(INDEX('23 RCC-004 MASR Registry'!$O$14:$O$163,MATCH($C53,'23 RCC-004 MASR Registry'!$B$14:$B$163,0)),""))</x:f>
      </x:c>
      <x:c r="S53" s="1255" t="str">
        <x:f>IF($C53="","",IFERROR(INDEX('23 RCC-004 MASR Registry'!$W$14:$W$163,MATCH($C53,'23 RCC-004 MASR Registry'!$B$14:$B$163,0)),""))</x:f>
      </x:c>
      <x:c r="T53" s="1255" t="str">
        <x:f>IF($C53="","",IFERROR(INDEX('23 RCC-004 MASR Registry'!$T$14:$T$163,MATCH($C53,'23 RCC-004 MASR Registry'!$B$14:$B$163,0)),""))</x:f>
      </x:c>
      <x:c r="U53" s="1256" t="str">
        <x:f>IF($C53="","",IFERROR(INDEX('23 RCC-004 MASR Registry'!$U$14:$U$163,MATCH($C53,'23 RCC-004 MASR Registry'!$B$14:$B$163,0)),""))</x:f>
      </x:c>
      <x:c r="V53" s="1252" t="str">
        <x:f>IF($C53="","",IFERROR(INDEX('23 RCC-004 MASR Registry'!$V$14:$V$163,MATCH($C53,'23 RCC-004 MASR Registry'!$B$14:$B$163,0)),""))</x:f>
      </x:c>
      <x:c r="W53" s="1242"/>
      <x:c r="X53" s="1256" t="str">
        <x:f>IF($C53="","",COUNTIF('18 RCC-002 Evidence Ledger'!$E$14:$E$213,$C53))</x:f>
      </x:c>
      <x:c r="Y53" s="1242"/>
      <x:c r="Z53" s="1253" t="str">
        <x:f>IF($A53="","",IF(COUNTIF($A$14:$A$213,$A53)&gt;1,"FAIL — DUPLICATE ID",IF(OR($B53="",$C53="",$E53="",$H53="",$Y53="",$AA53="",$AB53=""),"FAIL — INCOMPLETE",IF(AND(OR($Y53="MIAR Review",$Y53="Eligibility Review",$Y53="Candidate Comparison",$Y53="Committee Review",$Y53="Approved for MASR",$Y53="Referred to PEW-004",$Y53="On Watch",$Y53="Rejected",$Y53="Closed",$Y53="Removed"),$K53=""),"FAIL — MASR RECORD REQUIRED",IF(AND(OR($Y53="Eligibility Review",$Y53="Candidate Comparison",$Y53="Committee Review",$Y53="Approved for MASR",$Y53="Referred to PEW-004",$Y53="On Watch"),NOT(OR($M53="ELIGIBLE",$M53="ELIGIBLE WITH EXCEPTION",$M53="CERTIFIED HOLDING"))),"FAIL — ELIGIBILITY",IF(AND(OR($Y53="Candidate Comparison",$Y53="Committee Review",$Y53="Approved for MASR",$Y53="Referred to PEW-004",$Y53="On Watch"),$X53=0),"FAIL — EVIDENCE",IF(AND(OR($Y53="Candidate Comparison",$Y53="Committee Review",$Y53="Approved for MASR",$Y53="Referred to PEW-004",$Y53="On Watch"),OR($O53&lt;&gt;"Active",$P53&lt;&gt;"CURRENT")),"FAIL — MIAR GATE",IF(AND(OR($Y53="Approved for MASR",$Y53="Referred to PEW-004",$Y53="On Watch",$Y53="Rejected",$Y53="Closed",$Y53="Removed"),OR($AD53="",$AD53="Pending")),"FAIL — COMMITTEE DISPOSITION",IF(AND($Y53="Referred to PEW-004",OR($AF53&lt;&gt;"Yes — Refer to PEW-004",$AG53="",$AJ53="")),"FAIL — PEW REFERRAL","PASS — STAGE GATE")))))))))</x:f>
      </x:c>
      <x:c r="AA53" s="1242"/>
      <x:c r="AB53" s="1251"/>
      <x:c r="AC53" s="1257" t="str">
        <x:f>IF($B53="","",IF($AQ53&lt;&gt;"",$AQ53-$B53,TODAY()-$B53))</x:f>
      </x:c>
      <x:c r="AD53" s="1242"/>
      <x:c r="AE53" s="1251"/>
      <x:c r="AF53" s="1242"/>
      <x:c r="AG53" s="1242"/>
      <x:c r="AH53" s="1255" t="str">
        <x:f>IF($AG53="","",IFERROR(INDEX('10 Candidate Comparison'!$T$14:$T$33,MATCH($AG53,'10 Candidate Comparison'!$A$14:$A$33,0)),""))</x:f>
      </x:c>
      <x:c r="AI53" s="1252" t="str">
        <x:f>IF($AG53="","",IFERROR(INDEX('10 Candidate Comparison'!$U$14:$U$33,MATCH($AG53,'10 Candidate Comparison'!$A$14:$A$33,0)),""))</x:f>
      </x:c>
      <x:c r="AJ53" s="1252" t="str">
        <x:f>IF($AG53="","",IFERROR(INDEX('10 Candidate Comparison'!$Y$14:$Y$33,MATCH($AG53,'10 Candidate Comparison'!$A$14:$A$33,0)),""))</x:f>
      </x:c>
      <x:c r="AK53" s="1253" t="str">
        <x:f>IF($A53="","",IF($Z53="FAIL — DUPLICATE ID","DUPLICATE CANDIDATE ID",IF($Z53="FAIL — INCOMPLETE","INCOMPLETE",IF($Z53="FAIL — MASR RECORD REQUIRED","MASR RECORD REQUIRED",IF($Z53="FAIL — ELIGIBILITY","ELIGIBILITY BLOCK",IF($Z53="FAIL — EVIDENCE","EVIDENCE REQUIRED",IF($Z53="FAIL — MIAR GATE","MIAR GATE BLOCK",IF($Z53="FAIL — COMMITTEE DISPOSITION","COMMITTEE DECISION REQUIRED",IF($Z53="FAIL — PEW REFERRAL","PEW REFERRAL INCOMPLETE",IF(AND(OR($Y53="Rejected",$Y53="Closed",$Y53="Removed"),OR($AO53="",$AP53="",$AQ53="")),"CLOSURE REQUIRED",IF(AND($AB53&lt;TODAY(),NOT(OR($Y53="Rejected",$Y53="Closed",$Y53="Removed"))),"OVERDUE",IF(OR($Y53="Rejected",$Y53="Closed",$Y53="Removed"),"CLOSED","OPEN — ON TRACK"))))))))))))</x:f>
      </x:c>
      <x:c r="AL53" s="1253" t="str">
        <x:f>IF($AK53="","",IFERROR(INDEX('97 RCC Lists'!$AM$5:$AM$16,MATCH($AK53,'97 RCC Lists'!$AL$5:$AL$16,0)),"Review candidate exception"))</x:f>
      </x:c>
      <x:c r="AM53" s="1242"/>
      <x:c r="AN53" s="1242"/>
      <x:c r="AO53" s="1242"/>
      <x:c r="AP53" s="1242"/>
      <x:c r="AQ53" s="1251"/>
    </x:row>
    <x:row r="54" ht="32" customHeight="1">
      <x:c r="A54" s="1242"/>
      <x:c r="B54" s="1251"/>
      <x:c r="C54" s="1242"/>
      <x:c r="D54" s="1243" t="str">
        <x:f>IF($C54="","",IFERROR(INDEX('23 RCC-004 MASR Registry'!$C$14:$C$163,MATCH($C54,'23 RCC-004 MASR Registry'!$B$14:$B$163,0)),""))</x:f>
      </x:c>
      <x:c r="E54" s="1242"/>
      <x:c r="F54" s="1242"/>
      <x:c r="G54" s="1242"/>
      <x:c r="H54" s="1242"/>
      <x:c r="I54" s="1243" t="str">
        <x:f>IF($C54="","",IFERROR(INDEX('23 RCC-004 MASR Registry'!$G$14:$G$163,MATCH($C54,'23 RCC-004 MASR Registry'!$B$14:$B$163,0)),""))</x:f>
      </x:c>
      <x:c r="J54" s="1243" t="str">
        <x:f>IF($C54="","",IFERROR(INDEX('23 RCC-004 MASR Registry'!$H$14:$H$163,MATCH($C54,'23 RCC-004 MASR Registry'!$B$14:$B$163,0)),""))</x:f>
      </x:c>
      <x:c r="K54" s="1243" t="str">
        <x:f>IF($C54="","",IFERROR(INDEX('23 RCC-004 MASR Registry'!$D$14:$D$163,MATCH($C54,'23 RCC-004 MASR Registry'!$B$14:$B$163,0)),""))</x:f>
      </x:c>
      <x:c r="L54" s="1243" t="str">
        <x:f>IF($C54="","",IFERROR(INDEX('23 RCC-004 MASR Registry'!$E$14:$E$163,MATCH($C54,'23 RCC-004 MASR Registry'!$B$14:$B$163,0)),""))</x:f>
      </x:c>
      <x:c r="M54" s="1243" t="str">
        <x:f>IF($C54="","",IFERROR(INDEX('23 RCC-004 MASR Registry'!$X$14:$X$163,MATCH($C54,'23 RCC-004 MASR Registry'!$B$14:$B$163,0)),""))</x:f>
      </x:c>
      <x:c r="N54" s="1243" t="str">
        <x:f>IF($C54="","",IFERROR(INDEX('23 RCC-004 MASR Registry'!$Y$14:$Y$163,MATCH($C54,'23 RCC-004 MASR Registry'!$B$14:$B$163,0)),""))</x:f>
      </x:c>
      <x:c r="O54" s="1243" t="str">
        <x:f>IF($C54="","",IFERROR(INDEX('23 RCC-004 MASR Registry'!$L$14:$L$163,MATCH($C54,'23 RCC-004 MASR Registry'!$B$14:$B$163,0)),""))</x:f>
      </x:c>
      <x:c r="P54" s="1243" t="str">
        <x:f>IF($C54="","",IFERROR(INDEX('23 RCC-004 MASR Registry'!$M$14:$M$163,MATCH($C54,'23 RCC-004 MASR Registry'!$B$14:$B$163,0)),""))</x:f>
      </x:c>
      <x:c r="Q54" s="1246" t="str">
        <x:f>IF($C54="","",IFERROR(INDEX('23 RCC-004 MASR Registry'!$N$14:$N$163,MATCH($C54,'23 RCC-004 MASR Registry'!$B$14:$B$163,0)),""))</x:f>
      </x:c>
      <x:c r="R54" s="1246" t="str">
        <x:f>IF($C54="","",IFERROR(INDEX('23 RCC-004 MASR Registry'!$O$14:$O$163,MATCH($C54,'23 RCC-004 MASR Registry'!$B$14:$B$163,0)),""))</x:f>
      </x:c>
      <x:c r="S54" s="1246" t="str">
        <x:f>IF($C54="","",IFERROR(INDEX('23 RCC-004 MASR Registry'!$W$14:$W$163,MATCH($C54,'23 RCC-004 MASR Registry'!$B$14:$B$163,0)),""))</x:f>
      </x:c>
      <x:c r="T54" s="1246" t="str">
        <x:f>IF($C54="","",IFERROR(INDEX('23 RCC-004 MASR Registry'!$T$14:$T$163,MATCH($C54,'23 RCC-004 MASR Registry'!$B$14:$B$163,0)),""))</x:f>
      </x:c>
      <x:c r="U54" s="1247" t="str">
        <x:f>IF($C54="","",IFERROR(INDEX('23 RCC-004 MASR Registry'!$U$14:$U$163,MATCH($C54,'23 RCC-004 MASR Registry'!$B$14:$B$163,0)),""))</x:f>
      </x:c>
      <x:c r="V54" s="1243" t="str">
        <x:f>IF($C54="","",IFERROR(INDEX('23 RCC-004 MASR Registry'!$V$14:$V$163,MATCH($C54,'23 RCC-004 MASR Registry'!$B$14:$B$163,0)),""))</x:f>
      </x:c>
      <x:c r="W54" s="1242"/>
      <x:c r="X54" s="1247" t="str">
        <x:f>IF($C54="","",COUNTIF('18 RCC-002 Evidence Ledger'!$E$14:$E$213,$C54))</x:f>
      </x:c>
      <x:c r="Y54" s="1242"/>
      <x:c r="Z54" s="1244" t="str">
        <x:f>IF($A54="","",IF(COUNTIF($A$14:$A$213,$A54)&gt;1,"FAIL — DUPLICATE ID",IF(OR($B54="",$C54="",$E54="",$H54="",$Y54="",$AA54="",$AB54=""),"FAIL — INCOMPLETE",IF(AND(OR($Y54="MIAR Review",$Y54="Eligibility Review",$Y54="Candidate Comparison",$Y54="Committee Review",$Y54="Approved for MASR",$Y54="Referred to PEW-004",$Y54="On Watch",$Y54="Rejected",$Y54="Closed",$Y54="Removed"),$K54=""),"FAIL — MASR RECORD REQUIRED",IF(AND(OR($Y54="Eligibility Review",$Y54="Candidate Comparison",$Y54="Committee Review",$Y54="Approved for MASR",$Y54="Referred to PEW-004",$Y54="On Watch"),NOT(OR($M54="ELIGIBLE",$M54="ELIGIBLE WITH EXCEPTION",$M54="CERTIFIED HOLDING"))),"FAIL — ELIGIBILITY",IF(AND(OR($Y54="Candidate Comparison",$Y54="Committee Review",$Y54="Approved for MASR",$Y54="Referred to PEW-004",$Y54="On Watch"),$X54=0),"FAIL — EVIDENCE",IF(AND(OR($Y54="Candidate Comparison",$Y54="Committee Review",$Y54="Approved for MASR",$Y54="Referred to PEW-004",$Y54="On Watch"),OR($O54&lt;&gt;"Active",$P54&lt;&gt;"CURRENT")),"FAIL — MIAR GATE",IF(AND(OR($Y54="Approved for MASR",$Y54="Referred to PEW-004",$Y54="On Watch",$Y54="Rejected",$Y54="Closed",$Y54="Removed"),OR($AD54="",$AD54="Pending")),"FAIL — COMMITTEE DISPOSITION",IF(AND($Y54="Referred to PEW-004",OR($AF54&lt;&gt;"Yes — Refer to PEW-004",$AG54="",$AJ54="")),"FAIL — PEW REFERRAL","PASS — STAGE GATE")))))))))</x:f>
      </x:c>
      <x:c r="AA54" s="1242"/>
      <x:c r="AB54" s="1251"/>
      <x:c r="AC54" s="1250" t="str">
        <x:f>IF($B54="","",IF($AQ54&lt;&gt;"",$AQ54-$B54,TODAY()-$B54))</x:f>
      </x:c>
      <x:c r="AD54" s="1242"/>
      <x:c r="AE54" s="1251"/>
      <x:c r="AF54" s="1242"/>
      <x:c r="AG54" s="1242"/>
      <x:c r="AH54" s="1246" t="str">
        <x:f>IF($AG54="","",IFERROR(INDEX('10 Candidate Comparison'!$T$14:$T$33,MATCH($AG54,'10 Candidate Comparison'!$A$14:$A$33,0)),""))</x:f>
      </x:c>
      <x:c r="AI54" s="1243" t="str">
        <x:f>IF($AG54="","",IFERROR(INDEX('10 Candidate Comparison'!$U$14:$U$33,MATCH($AG54,'10 Candidate Comparison'!$A$14:$A$33,0)),""))</x:f>
      </x:c>
      <x:c r="AJ54" s="1243" t="str">
        <x:f>IF($AG54="","",IFERROR(INDEX('10 Candidate Comparison'!$Y$14:$Y$33,MATCH($AG54,'10 Candidate Comparison'!$A$14:$A$33,0)),""))</x:f>
      </x:c>
      <x:c r="AK54" s="1244" t="str">
        <x:f>IF($A54="","",IF($Z54="FAIL — DUPLICATE ID","DUPLICATE CANDIDATE ID",IF($Z54="FAIL — INCOMPLETE","INCOMPLETE",IF($Z54="FAIL — MASR RECORD REQUIRED","MASR RECORD REQUIRED",IF($Z54="FAIL — ELIGIBILITY","ELIGIBILITY BLOCK",IF($Z54="FAIL — EVIDENCE","EVIDENCE REQUIRED",IF($Z54="FAIL — MIAR GATE","MIAR GATE BLOCK",IF($Z54="FAIL — COMMITTEE DISPOSITION","COMMITTEE DECISION REQUIRED",IF($Z54="FAIL — PEW REFERRAL","PEW REFERRAL INCOMPLETE",IF(AND(OR($Y54="Rejected",$Y54="Closed",$Y54="Removed"),OR($AO54="",$AP54="",$AQ54="")),"CLOSURE REQUIRED",IF(AND($AB54&lt;TODAY(),NOT(OR($Y54="Rejected",$Y54="Closed",$Y54="Removed"))),"OVERDUE",IF(OR($Y54="Rejected",$Y54="Closed",$Y54="Removed"),"CLOSED","OPEN — ON TRACK"))))))))))))</x:f>
      </x:c>
      <x:c r="AL54" s="1244" t="str">
        <x:f>IF($AK54="","",IFERROR(INDEX('97 RCC Lists'!$AM$5:$AM$16,MATCH($AK54,'97 RCC Lists'!$AL$5:$AL$16,0)),"Review candidate exception"))</x:f>
      </x:c>
      <x:c r="AM54" s="1242"/>
      <x:c r="AN54" s="1242"/>
      <x:c r="AO54" s="1242"/>
      <x:c r="AP54" s="1242"/>
      <x:c r="AQ54" s="1251"/>
    </x:row>
    <x:row r="55" ht="32" customHeight="1">
      <x:c r="A55" s="1242"/>
      <x:c r="B55" s="1251"/>
      <x:c r="C55" s="1242"/>
      <x:c r="D55" s="1252" t="str">
        <x:f>IF($C55="","",IFERROR(INDEX('23 RCC-004 MASR Registry'!$C$14:$C$163,MATCH($C55,'23 RCC-004 MASR Registry'!$B$14:$B$163,0)),""))</x:f>
      </x:c>
      <x:c r="E55" s="1242"/>
      <x:c r="F55" s="1242"/>
      <x:c r="G55" s="1242"/>
      <x:c r="H55" s="1242"/>
      <x:c r="I55" s="1252" t="str">
        <x:f>IF($C55="","",IFERROR(INDEX('23 RCC-004 MASR Registry'!$G$14:$G$163,MATCH($C55,'23 RCC-004 MASR Registry'!$B$14:$B$163,0)),""))</x:f>
      </x:c>
      <x:c r="J55" s="1252" t="str">
        <x:f>IF($C55="","",IFERROR(INDEX('23 RCC-004 MASR Registry'!$H$14:$H$163,MATCH($C55,'23 RCC-004 MASR Registry'!$B$14:$B$163,0)),""))</x:f>
      </x:c>
      <x:c r="K55" s="1252" t="str">
        <x:f>IF($C55="","",IFERROR(INDEX('23 RCC-004 MASR Registry'!$D$14:$D$163,MATCH($C55,'23 RCC-004 MASR Registry'!$B$14:$B$163,0)),""))</x:f>
      </x:c>
      <x:c r="L55" s="1252" t="str">
        <x:f>IF($C55="","",IFERROR(INDEX('23 RCC-004 MASR Registry'!$E$14:$E$163,MATCH($C55,'23 RCC-004 MASR Registry'!$B$14:$B$163,0)),""))</x:f>
      </x:c>
      <x:c r="M55" s="1252" t="str">
        <x:f>IF($C55="","",IFERROR(INDEX('23 RCC-004 MASR Registry'!$X$14:$X$163,MATCH($C55,'23 RCC-004 MASR Registry'!$B$14:$B$163,0)),""))</x:f>
      </x:c>
      <x:c r="N55" s="1252" t="str">
        <x:f>IF($C55="","",IFERROR(INDEX('23 RCC-004 MASR Registry'!$Y$14:$Y$163,MATCH($C55,'23 RCC-004 MASR Registry'!$B$14:$B$163,0)),""))</x:f>
      </x:c>
      <x:c r="O55" s="1252" t="str">
        <x:f>IF($C55="","",IFERROR(INDEX('23 RCC-004 MASR Registry'!$L$14:$L$163,MATCH($C55,'23 RCC-004 MASR Registry'!$B$14:$B$163,0)),""))</x:f>
      </x:c>
      <x:c r="P55" s="1252" t="str">
        <x:f>IF($C55="","",IFERROR(INDEX('23 RCC-004 MASR Registry'!$M$14:$M$163,MATCH($C55,'23 RCC-004 MASR Registry'!$B$14:$B$163,0)),""))</x:f>
      </x:c>
      <x:c r="Q55" s="1255" t="str">
        <x:f>IF($C55="","",IFERROR(INDEX('23 RCC-004 MASR Registry'!$N$14:$N$163,MATCH($C55,'23 RCC-004 MASR Registry'!$B$14:$B$163,0)),""))</x:f>
      </x:c>
      <x:c r="R55" s="1255" t="str">
        <x:f>IF($C55="","",IFERROR(INDEX('23 RCC-004 MASR Registry'!$O$14:$O$163,MATCH($C55,'23 RCC-004 MASR Registry'!$B$14:$B$163,0)),""))</x:f>
      </x:c>
      <x:c r="S55" s="1255" t="str">
        <x:f>IF($C55="","",IFERROR(INDEX('23 RCC-004 MASR Registry'!$W$14:$W$163,MATCH($C55,'23 RCC-004 MASR Registry'!$B$14:$B$163,0)),""))</x:f>
      </x:c>
      <x:c r="T55" s="1255" t="str">
        <x:f>IF($C55="","",IFERROR(INDEX('23 RCC-004 MASR Registry'!$T$14:$T$163,MATCH($C55,'23 RCC-004 MASR Registry'!$B$14:$B$163,0)),""))</x:f>
      </x:c>
      <x:c r="U55" s="1256" t="str">
        <x:f>IF($C55="","",IFERROR(INDEX('23 RCC-004 MASR Registry'!$U$14:$U$163,MATCH($C55,'23 RCC-004 MASR Registry'!$B$14:$B$163,0)),""))</x:f>
      </x:c>
      <x:c r="V55" s="1252" t="str">
        <x:f>IF($C55="","",IFERROR(INDEX('23 RCC-004 MASR Registry'!$V$14:$V$163,MATCH($C55,'23 RCC-004 MASR Registry'!$B$14:$B$163,0)),""))</x:f>
      </x:c>
      <x:c r="W55" s="1242"/>
      <x:c r="X55" s="1256" t="str">
        <x:f>IF($C55="","",COUNTIF('18 RCC-002 Evidence Ledger'!$E$14:$E$213,$C55))</x:f>
      </x:c>
      <x:c r="Y55" s="1242"/>
      <x:c r="Z55" s="1253" t="str">
        <x:f>IF($A55="","",IF(COUNTIF($A$14:$A$213,$A55)&gt;1,"FAIL — DUPLICATE ID",IF(OR($B55="",$C55="",$E55="",$H55="",$Y55="",$AA55="",$AB55=""),"FAIL — INCOMPLETE",IF(AND(OR($Y55="MIAR Review",$Y55="Eligibility Review",$Y55="Candidate Comparison",$Y55="Committee Review",$Y55="Approved for MASR",$Y55="Referred to PEW-004",$Y55="On Watch",$Y55="Rejected",$Y55="Closed",$Y55="Removed"),$K55=""),"FAIL — MASR RECORD REQUIRED",IF(AND(OR($Y55="Eligibility Review",$Y55="Candidate Comparison",$Y55="Committee Review",$Y55="Approved for MASR",$Y55="Referred to PEW-004",$Y55="On Watch"),NOT(OR($M55="ELIGIBLE",$M55="ELIGIBLE WITH EXCEPTION",$M55="CERTIFIED HOLDING"))),"FAIL — ELIGIBILITY",IF(AND(OR($Y55="Candidate Comparison",$Y55="Committee Review",$Y55="Approved for MASR",$Y55="Referred to PEW-004",$Y55="On Watch"),$X55=0),"FAIL — EVIDENCE",IF(AND(OR($Y55="Candidate Comparison",$Y55="Committee Review",$Y55="Approved for MASR",$Y55="Referred to PEW-004",$Y55="On Watch"),OR($O55&lt;&gt;"Active",$P55&lt;&gt;"CURRENT")),"FAIL — MIAR GATE",IF(AND(OR($Y55="Approved for MASR",$Y55="Referred to PEW-004",$Y55="On Watch",$Y55="Rejected",$Y55="Closed",$Y55="Removed"),OR($AD55="",$AD55="Pending")),"FAIL — COMMITTEE DISPOSITION",IF(AND($Y55="Referred to PEW-004",OR($AF55&lt;&gt;"Yes — Refer to PEW-004",$AG55="",$AJ55="")),"FAIL — PEW REFERRAL","PASS — STAGE GATE")))))))))</x:f>
      </x:c>
      <x:c r="AA55" s="1242"/>
      <x:c r="AB55" s="1251"/>
      <x:c r="AC55" s="1257" t="str">
        <x:f>IF($B55="","",IF($AQ55&lt;&gt;"",$AQ55-$B55,TODAY()-$B55))</x:f>
      </x:c>
      <x:c r="AD55" s="1242"/>
      <x:c r="AE55" s="1251"/>
      <x:c r="AF55" s="1242"/>
      <x:c r="AG55" s="1242"/>
      <x:c r="AH55" s="1255" t="str">
        <x:f>IF($AG55="","",IFERROR(INDEX('10 Candidate Comparison'!$T$14:$T$33,MATCH($AG55,'10 Candidate Comparison'!$A$14:$A$33,0)),""))</x:f>
      </x:c>
      <x:c r="AI55" s="1252" t="str">
        <x:f>IF($AG55="","",IFERROR(INDEX('10 Candidate Comparison'!$U$14:$U$33,MATCH($AG55,'10 Candidate Comparison'!$A$14:$A$33,0)),""))</x:f>
      </x:c>
      <x:c r="AJ55" s="1252" t="str">
        <x:f>IF($AG55="","",IFERROR(INDEX('10 Candidate Comparison'!$Y$14:$Y$33,MATCH($AG55,'10 Candidate Comparison'!$A$14:$A$33,0)),""))</x:f>
      </x:c>
      <x:c r="AK55" s="1253" t="str">
        <x:f>IF($A55="","",IF($Z55="FAIL — DUPLICATE ID","DUPLICATE CANDIDATE ID",IF($Z55="FAIL — INCOMPLETE","INCOMPLETE",IF($Z55="FAIL — MASR RECORD REQUIRED","MASR RECORD REQUIRED",IF($Z55="FAIL — ELIGIBILITY","ELIGIBILITY BLOCK",IF($Z55="FAIL — EVIDENCE","EVIDENCE REQUIRED",IF($Z55="FAIL — MIAR GATE","MIAR GATE BLOCK",IF($Z55="FAIL — COMMITTEE DISPOSITION","COMMITTEE DECISION REQUIRED",IF($Z55="FAIL — PEW REFERRAL","PEW REFERRAL INCOMPLETE",IF(AND(OR($Y55="Rejected",$Y55="Closed",$Y55="Removed"),OR($AO55="",$AP55="",$AQ55="")),"CLOSURE REQUIRED",IF(AND($AB55&lt;TODAY(),NOT(OR($Y55="Rejected",$Y55="Closed",$Y55="Removed"))),"OVERDUE",IF(OR($Y55="Rejected",$Y55="Closed",$Y55="Removed"),"CLOSED","OPEN — ON TRACK"))))))))))))</x:f>
      </x:c>
      <x:c r="AL55" s="1253" t="str">
        <x:f>IF($AK55="","",IFERROR(INDEX('97 RCC Lists'!$AM$5:$AM$16,MATCH($AK55,'97 RCC Lists'!$AL$5:$AL$16,0)),"Review candidate exception"))</x:f>
      </x:c>
      <x:c r="AM55" s="1242"/>
      <x:c r="AN55" s="1242"/>
      <x:c r="AO55" s="1242"/>
      <x:c r="AP55" s="1242"/>
      <x:c r="AQ55" s="1251"/>
    </x:row>
    <x:row r="56" ht="32" customHeight="1">
      <x:c r="A56" s="1242"/>
      <x:c r="B56" s="1251"/>
      <x:c r="C56" s="1242"/>
      <x:c r="D56" s="1243" t="str">
        <x:f>IF($C56="","",IFERROR(INDEX('23 RCC-004 MASR Registry'!$C$14:$C$163,MATCH($C56,'23 RCC-004 MASR Registry'!$B$14:$B$163,0)),""))</x:f>
      </x:c>
      <x:c r="E56" s="1242"/>
      <x:c r="F56" s="1242"/>
      <x:c r="G56" s="1242"/>
      <x:c r="H56" s="1242"/>
      <x:c r="I56" s="1243" t="str">
        <x:f>IF($C56="","",IFERROR(INDEX('23 RCC-004 MASR Registry'!$G$14:$G$163,MATCH($C56,'23 RCC-004 MASR Registry'!$B$14:$B$163,0)),""))</x:f>
      </x:c>
      <x:c r="J56" s="1243" t="str">
        <x:f>IF($C56="","",IFERROR(INDEX('23 RCC-004 MASR Registry'!$H$14:$H$163,MATCH($C56,'23 RCC-004 MASR Registry'!$B$14:$B$163,0)),""))</x:f>
      </x:c>
      <x:c r="K56" s="1243" t="str">
        <x:f>IF($C56="","",IFERROR(INDEX('23 RCC-004 MASR Registry'!$D$14:$D$163,MATCH($C56,'23 RCC-004 MASR Registry'!$B$14:$B$163,0)),""))</x:f>
      </x:c>
      <x:c r="L56" s="1243" t="str">
        <x:f>IF($C56="","",IFERROR(INDEX('23 RCC-004 MASR Registry'!$E$14:$E$163,MATCH($C56,'23 RCC-004 MASR Registry'!$B$14:$B$163,0)),""))</x:f>
      </x:c>
      <x:c r="M56" s="1243" t="str">
        <x:f>IF($C56="","",IFERROR(INDEX('23 RCC-004 MASR Registry'!$X$14:$X$163,MATCH($C56,'23 RCC-004 MASR Registry'!$B$14:$B$163,0)),""))</x:f>
      </x:c>
      <x:c r="N56" s="1243" t="str">
        <x:f>IF($C56="","",IFERROR(INDEX('23 RCC-004 MASR Registry'!$Y$14:$Y$163,MATCH($C56,'23 RCC-004 MASR Registry'!$B$14:$B$163,0)),""))</x:f>
      </x:c>
      <x:c r="O56" s="1243" t="str">
        <x:f>IF($C56="","",IFERROR(INDEX('23 RCC-004 MASR Registry'!$L$14:$L$163,MATCH($C56,'23 RCC-004 MASR Registry'!$B$14:$B$163,0)),""))</x:f>
      </x:c>
      <x:c r="P56" s="1243" t="str">
        <x:f>IF($C56="","",IFERROR(INDEX('23 RCC-004 MASR Registry'!$M$14:$M$163,MATCH($C56,'23 RCC-004 MASR Registry'!$B$14:$B$163,0)),""))</x:f>
      </x:c>
      <x:c r="Q56" s="1246" t="str">
        <x:f>IF($C56="","",IFERROR(INDEX('23 RCC-004 MASR Registry'!$N$14:$N$163,MATCH($C56,'23 RCC-004 MASR Registry'!$B$14:$B$163,0)),""))</x:f>
      </x:c>
      <x:c r="R56" s="1246" t="str">
        <x:f>IF($C56="","",IFERROR(INDEX('23 RCC-004 MASR Registry'!$O$14:$O$163,MATCH($C56,'23 RCC-004 MASR Registry'!$B$14:$B$163,0)),""))</x:f>
      </x:c>
      <x:c r="S56" s="1246" t="str">
        <x:f>IF($C56="","",IFERROR(INDEX('23 RCC-004 MASR Registry'!$W$14:$W$163,MATCH($C56,'23 RCC-004 MASR Registry'!$B$14:$B$163,0)),""))</x:f>
      </x:c>
      <x:c r="T56" s="1246" t="str">
        <x:f>IF($C56="","",IFERROR(INDEX('23 RCC-004 MASR Registry'!$T$14:$T$163,MATCH($C56,'23 RCC-004 MASR Registry'!$B$14:$B$163,0)),""))</x:f>
      </x:c>
      <x:c r="U56" s="1247" t="str">
        <x:f>IF($C56="","",IFERROR(INDEX('23 RCC-004 MASR Registry'!$U$14:$U$163,MATCH($C56,'23 RCC-004 MASR Registry'!$B$14:$B$163,0)),""))</x:f>
      </x:c>
      <x:c r="V56" s="1243" t="str">
        <x:f>IF($C56="","",IFERROR(INDEX('23 RCC-004 MASR Registry'!$V$14:$V$163,MATCH($C56,'23 RCC-004 MASR Registry'!$B$14:$B$163,0)),""))</x:f>
      </x:c>
      <x:c r="W56" s="1242"/>
      <x:c r="X56" s="1247" t="str">
        <x:f>IF($C56="","",COUNTIF('18 RCC-002 Evidence Ledger'!$E$14:$E$213,$C56))</x:f>
      </x:c>
      <x:c r="Y56" s="1242"/>
      <x:c r="Z56" s="1244" t="str">
        <x:f>IF($A56="","",IF(COUNTIF($A$14:$A$213,$A56)&gt;1,"FAIL — DUPLICATE ID",IF(OR($B56="",$C56="",$E56="",$H56="",$Y56="",$AA56="",$AB56=""),"FAIL — INCOMPLETE",IF(AND(OR($Y56="MIAR Review",$Y56="Eligibility Review",$Y56="Candidate Comparison",$Y56="Committee Review",$Y56="Approved for MASR",$Y56="Referred to PEW-004",$Y56="On Watch",$Y56="Rejected",$Y56="Closed",$Y56="Removed"),$K56=""),"FAIL — MASR RECORD REQUIRED",IF(AND(OR($Y56="Eligibility Review",$Y56="Candidate Comparison",$Y56="Committee Review",$Y56="Approved for MASR",$Y56="Referred to PEW-004",$Y56="On Watch"),NOT(OR($M56="ELIGIBLE",$M56="ELIGIBLE WITH EXCEPTION",$M56="CERTIFIED HOLDING"))),"FAIL — ELIGIBILITY",IF(AND(OR($Y56="Candidate Comparison",$Y56="Committee Review",$Y56="Approved for MASR",$Y56="Referred to PEW-004",$Y56="On Watch"),$X56=0),"FAIL — EVIDENCE",IF(AND(OR($Y56="Candidate Comparison",$Y56="Committee Review",$Y56="Approved for MASR",$Y56="Referred to PEW-004",$Y56="On Watch"),OR($O56&lt;&gt;"Active",$P56&lt;&gt;"CURRENT")),"FAIL — MIAR GATE",IF(AND(OR($Y56="Approved for MASR",$Y56="Referred to PEW-004",$Y56="On Watch",$Y56="Rejected",$Y56="Closed",$Y56="Removed"),OR($AD56="",$AD56="Pending")),"FAIL — COMMITTEE DISPOSITION",IF(AND($Y56="Referred to PEW-004",OR($AF56&lt;&gt;"Yes — Refer to PEW-004",$AG56="",$AJ56="")),"FAIL — PEW REFERRAL","PASS — STAGE GATE")))))))))</x:f>
      </x:c>
      <x:c r="AA56" s="1242"/>
      <x:c r="AB56" s="1251"/>
      <x:c r="AC56" s="1250" t="str">
        <x:f>IF($B56="","",IF($AQ56&lt;&gt;"",$AQ56-$B56,TODAY()-$B56))</x:f>
      </x:c>
      <x:c r="AD56" s="1242"/>
      <x:c r="AE56" s="1251"/>
      <x:c r="AF56" s="1242"/>
      <x:c r="AG56" s="1242"/>
      <x:c r="AH56" s="1246" t="str">
        <x:f>IF($AG56="","",IFERROR(INDEX('10 Candidate Comparison'!$T$14:$T$33,MATCH($AG56,'10 Candidate Comparison'!$A$14:$A$33,0)),""))</x:f>
      </x:c>
      <x:c r="AI56" s="1243" t="str">
        <x:f>IF($AG56="","",IFERROR(INDEX('10 Candidate Comparison'!$U$14:$U$33,MATCH($AG56,'10 Candidate Comparison'!$A$14:$A$33,0)),""))</x:f>
      </x:c>
      <x:c r="AJ56" s="1243" t="str">
        <x:f>IF($AG56="","",IFERROR(INDEX('10 Candidate Comparison'!$Y$14:$Y$33,MATCH($AG56,'10 Candidate Comparison'!$A$14:$A$33,0)),""))</x:f>
      </x:c>
      <x:c r="AK56" s="1244" t="str">
        <x:f>IF($A56="","",IF($Z56="FAIL — DUPLICATE ID","DUPLICATE CANDIDATE ID",IF($Z56="FAIL — INCOMPLETE","INCOMPLETE",IF($Z56="FAIL — MASR RECORD REQUIRED","MASR RECORD REQUIRED",IF($Z56="FAIL — ELIGIBILITY","ELIGIBILITY BLOCK",IF($Z56="FAIL — EVIDENCE","EVIDENCE REQUIRED",IF($Z56="FAIL — MIAR GATE","MIAR GATE BLOCK",IF($Z56="FAIL — COMMITTEE DISPOSITION","COMMITTEE DECISION REQUIRED",IF($Z56="FAIL — PEW REFERRAL","PEW REFERRAL INCOMPLETE",IF(AND(OR($Y56="Rejected",$Y56="Closed",$Y56="Removed"),OR($AO56="",$AP56="",$AQ56="")),"CLOSURE REQUIRED",IF(AND($AB56&lt;TODAY(),NOT(OR($Y56="Rejected",$Y56="Closed",$Y56="Removed"))),"OVERDUE",IF(OR($Y56="Rejected",$Y56="Closed",$Y56="Removed"),"CLOSED","OPEN — ON TRACK"))))))))))))</x:f>
      </x:c>
      <x:c r="AL56" s="1244" t="str">
        <x:f>IF($AK56="","",IFERROR(INDEX('97 RCC Lists'!$AM$5:$AM$16,MATCH($AK56,'97 RCC Lists'!$AL$5:$AL$16,0)),"Review candidate exception"))</x:f>
      </x:c>
      <x:c r="AM56" s="1242"/>
      <x:c r="AN56" s="1242"/>
      <x:c r="AO56" s="1242"/>
      <x:c r="AP56" s="1242"/>
      <x:c r="AQ56" s="1251"/>
    </x:row>
    <x:row r="57" ht="32" customHeight="1">
      <x:c r="A57" s="1242"/>
      <x:c r="B57" s="1251"/>
      <x:c r="C57" s="1242"/>
      <x:c r="D57" s="1252" t="str">
        <x:f>IF($C57="","",IFERROR(INDEX('23 RCC-004 MASR Registry'!$C$14:$C$163,MATCH($C57,'23 RCC-004 MASR Registry'!$B$14:$B$163,0)),""))</x:f>
      </x:c>
      <x:c r="E57" s="1242"/>
      <x:c r="F57" s="1242"/>
      <x:c r="G57" s="1242"/>
      <x:c r="H57" s="1242"/>
      <x:c r="I57" s="1252" t="str">
        <x:f>IF($C57="","",IFERROR(INDEX('23 RCC-004 MASR Registry'!$G$14:$G$163,MATCH($C57,'23 RCC-004 MASR Registry'!$B$14:$B$163,0)),""))</x:f>
      </x:c>
      <x:c r="J57" s="1252" t="str">
        <x:f>IF($C57="","",IFERROR(INDEX('23 RCC-004 MASR Registry'!$H$14:$H$163,MATCH($C57,'23 RCC-004 MASR Registry'!$B$14:$B$163,0)),""))</x:f>
      </x:c>
      <x:c r="K57" s="1252" t="str">
        <x:f>IF($C57="","",IFERROR(INDEX('23 RCC-004 MASR Registry'!$D$14:$D$163,MATCH($C57,'23 RCC-004 MASR Registry'!$B$14:$B$163,0)),""))</x:f>
      </x:c>
      <x:c r="L57" s="1252" t="str">
        <x:f>IF($C57="","",IFERROR(INDEX('23 RCC-004 MASR Registry'!$E$14:$E$163,MATCH($C57,'23 RCC-004 MASR Registry'!$B$14:$B$163,0)),""))</x:f>
      </x:c>
      <x:c r="M57" s="1252" t="str">
        <x:f>IF($C57="","",IFERROR(INDEX('23 RCC-004 MASR Registry'!$X$14:$X$163,MATCH($C57,'23 RCC-004 MASR Registry'!$B$14:$B$163,0)),""))</x:f>
      </x:c>
      <x:c r="N57" s="1252" t="str">
        <x:f>IF($C57="","",IFERROR(INDEX('23 RCC-004 MASR Registry'!$Y$14:$Y$163,MATCH($C57,'23 RCC-004 MASR Registry'!$B$14:$B$163,0)),""))</x:f>
      </x:c>
      <x:c r="O57" s="1252" t="str">
        <x:f>IF($C57="","",IFERROR(INDEX('23 RCC-004 MASR Registry'!$L$14:$L$163,MATCH($C57,'23 RCC-004 MASR Registry'!$B$14:$B$163,0)),""))</x:f>
      </x:c>
      <x:c r="P57" s="1252" t="str">
        <x:f>IF($C57="","",IFERROR(INDEX('23 RCC-004 MASR Registry'!$M$14:$M$163,MATCH($C57,'23 RCC-004 MASR Registry'!$B$14:$B$163,0)),""))</x:f>
      </x:c>
      <x:c r="Q57" s="1255" t="str">
        <x:f>IF($C57="","",IFERROR(INDEX('23 RCC-004 MASR Registry'!$N$14:$N$163,MATCH($C57,'23 RCC-004 MASR Registry'!$B$14:$B$163,0)),""))</x:f>
      </x:c>
      <x:c r="R57" s="1255" t="str">
        <x:f>IF($C57="","",IFERROR(INDEX('23 RCC-004 MASR Registry'!$O$14:$O$163,MATCH($C57,'23 RCC-004 MASR Registry'!$B$14:$B$163,0)),""))</x:f>
      </x:c>
      <x:c r="S57" s="1255" t="str">
        <x:f>IF($C57="","",IFERROR(INDEX('23 RCC-004 MASR Registry'!$W$14:$W$163,MATCH($C57,'23 RCC-004 MASR Registry'!$B$14:$B$163,0)),""))</x:f>
      </x:c>
      <x:c r="T57" s="1255" t="str">
        <x:f>IF($C57="","",IFERROR(INDEX('23 RCC-004 MASR Registry'!$T$14:$T$163,MATCH($C57,'23 RCC-004 MASR Registry'!$B$14:$B$163,0)),""))</x:f>
      </x:c>
      <x:c r="U57" s="1256" t="str">
        <x:f>IF($C57="","",IFERROR(INDEX('23 RCC-004 MASR Registry'!$U$14:$U$163,MATCH($C57,'23 RCC-004 MASR Registry'!$B$14:$B$163,0)),""))</x:f>
      </x:c>
      <x:c r="V57" s="1252" t="str">
        <x:f>IF($C57="","",IFERROR(INDEX('23 RCC-004 MASR Registry'!$V$14:$V$163,MATCH($C57,'23 RCC-004 MASR Registry'!$B$14:$B$163,0)),""))</x:f>
      </x:c>
      <x:c r="W57" s="1242"/>
      <x:c r="X57" s="1256" t="str">
        <x:f>IF($C57="","",COUNTIF('18 RCC-002 Evidence Ledger'!$E$14:$E$213,$C57))</x:f>
      </x:c>
      <x:c r="Y57" s="1242"/>
      <x:c r="Z57" s="1253" t="str">
        <x:f>IF($A57="","",IF(COUNTIF($A$14:$A$213,$A57)&gt;1,"FAIL — DUPLICATE ID",IF(OR($B57="",$C57="",$E57="",$H57="",$Y57="",$AA57="",$AB57=""),"FAIL — INCOMPLETE",IF(AND(OR($Y57="MIAR Review",$Y57="Eligibility Review",$Y57="Candidate Comparison",$Y57="Committee Review",$Y57="Approved for MASR",$Y57="Referred to PEW-004",$Y57="On Watch",$Y57="Rejected",$Y57="Closed",$Y57="Removed"),$K57=""),"FAIL — MASR RECORD REQUIRED",IF(AND(OR($Y57="Eligibility Review",$Y57="Candidate Comparison",$Y57="Committee Review",$Y57="Approved for MASR",$Y57="Referred to PEW-004",$Y57="On Watch"),NOT(OR($M57="ELIGIBLE",$M57="ELIGIBLE WITH EXCEPTION",$M57="CERTIFIED HOLDING"))),"FAIL — ELIGIBILITY",IF(AND(OR($Y57="Candidate Comparison",$Y57="Committee Review",$Y57="Approved for MASR",$Y57="Referred to PEW-004",$Y57="On Watch"),$X57=0),"FAIL — EVIDENCE",IF(AND(OR($Y57="Candidate Comparison",$Y57="Committee Review",$Y57="Approved for MASR",$Y57="Referred to PEW-004",$Y57="On Watch"),OR($O57&lt;&gt;"Active",$P57&lt;&gt;"CURRENT")),"FAIL — MIAR GATE",IF(AND(OR($Y57="Approved for MASR",$Y57="Referred to PEW-004",$Y57="On Watch",$Y57="Rejected",$Y57="Closed",$Y57="Removed"),OR($AD57="",$AD57="Pending")),"FAIL — COMMITTEE DISPOSITION",IF(AND($Y57="Referred to PEW-004",OR($AF57&lt;&gt;"Yes — Refer to PEW-004",$AG57="",$AJ57="")),"FAIL — PEW REFERRAL","PASS — STAGE GATE")))))))))</x:f>
      </x:c>
      <x:c r="AA57" s="1242"/>
      <x:c r="AB57" s="1251"/>
      <x:c r="AC57" s="1257" t="str">
        <x:f>IF($B57="","",IF($AQ57&lt;&gt;"",$AQ57-$B57,TODAY()-$B57))</x:f>
      </x:c>
      <x:c r="AD57" s="1242"/>
      <x:c r="AE57" s="1251"/>
      <x:c r="AF57" s="1242"/>
      <x:c r="AG57" s="1242"/>
      <x:c r="AH57" s="1255" t="str">
        <x:f>IF($AG57="","",IFERROR(INDEX('10 Candidate Comparison'!$T$14:$T$33,MATCH($AG57,'10 Candidate Comparison'!$A$14:$A$33,0)),""))</x:f>
      </x:c>
      <x:c r="AI57" s="1252" t="str">
        <x:f>IF($AG57="","",IFERROR(INDEX('10 Candidate Comparison'!$U$14:$U$33,MATCH($AG57,'10 Candidate Comparison'!$A$14:$A$33,0)),""))</x:f>
      </x:c>
      <x:c r="AJ57" s="1252" t="str">
        <x:f>IF($AG57="","",IFERROR(INDEX('10 Candidate Comparison'!$Y$14:$Y$33,MATCH($AG57,'10 Candidate Comparison'!$A$14:$A$33,0)),""))</x:f>
      </x:c>
      <x:c r="AK57" s="1253" t="str">
        <x:f>IF($A57="","",IF($Z57="FAIL — DUPLICATE ID","DUPLICATE CANDIDATE ID",IF($Z57="FAIL — INCOMPLETE","INCOMPLETE",IF($Z57="FAIL — MASR RECORD REQUIRED","MASR RECORD REQUIRED",IF($Z57="FAIL — ELIGIBILITY","ELIGIBILITY BLOCK",IF($Z57="FAIL — EVIDENCE","EVIDENCE REQUIRED",IF($Z57="FAIL — MIAR GATE","MIAR GATE BLOCK",IF($Z57="FAIL — COMMITTEE DISPOSITION","COMMITTEE DECISION REQUIRED",IF($Z57="FAIL — PEW REFERRAL","PEW REFERRAL INCOMPLETE",IF(AND(OR($Y57="Rejected",$Y57="Closed",$Y57="Removed"),OR($AO57="",$AP57="",$AQ57="")),"CLOSURE REQUIRED",IF(AND($AB57&lt;TODAY(),NOT(OR($Y57="Rejected",$Y57="Closed",$Y57="Removed"))),"OVERDUE",IF(OR($Y57="Rejected",$Y57="Closed",$Y57="Removed"),"CLOSED","OPEN — ON TRACK"))))))))))))</x:f>
      </x:c>
      <x:c r="AL57" s="1253" t="str">
        <x:f>IF($AK57="","",IFERROR(INDEX('97 RCC Lists'!$AM$5:$AM$16,MATCH($AK57,'97 RCC Lists'!$AL$5:$AL$16,0)),"Review candidate exception"))</x:f>
      </x:c>
      <x:c r="AM57" s="1242"/>
      <x:c r="AN57" s="1242"/>
      <x:c r="AO57" s="1242"/>
      <x:c r="AP57" s="1242"/>
      <x:c r="AQ57" s="1251"/>
    </x:row>
    <x:row r="58" ht="32" customHeight="1">
      <x:c r="A58" s="1242"/>
      <x:c r="B58" s="1251"/>
      <x:c r="C58" s="1242"/>
      <x:c r="D58" s="1243" t="str">
        <x:f>IF($C58="","",IFERROR(INDEX('23 RCC-004 MASR Registry'!$C$14:$C$163,MATCH($C58,'23 RCC-004 MASR Registry'!$B$14:$B$163,0)),""))</x:f>
      </x:c>
      <x:c r="E58" s="1242"/>
      <x:c r="F58" s="1242"/>
      <x:c r="G58" s="1242"/>
      <x:c r="H58" s="1242"/>
      <x:c r="I58" s="1243" t="str">
        <x:f>IF($C58="","",IFERROR(INDEX('23 RCC-004 MASR Registry'!$G$14:$G$163,MATCH($C58,'23 RCC-004 MASR Registry'!$B$14:$B$163,0)),""))</x:f>
      </x:c>
      <x:c r="J58" s="1243" t="str">
        <x:f>IF($C58="","",IFERROR(INDEX('23 RCC-004 MASR Registry'!$H$14:$H$163,MATCH($C58,'23 RCC-004 MASR Registry'!$B$14:$B$163,0)),""))</x:f>
      </x:c>
      <x:c r="K58" s="1243" t="str">
        <x:f>IF($C58="","",IFERROR(INDEX('23 RCC-004 MASR Registry'!$D$14:$D$163,MATCH($C58,'23 RCC-004 MASR Registry'!$B$14:$B$163,0)),""))</x:f>
      </x:c>
      <x:c r="L58" s="1243" t="str">
        <x:f>IF($C58="","",IFERROR(INDEX('23 RCC-004 MASR Registry'!$E$14:$E$163,MATCH($C58,'23 RCC-004 MASR Registry'!$B$14:$B$163,0)),""))</x:f>
      </x:c>
      <x:c r="M58" s="1243" t="str">
        <x:f>IF($C58="","",IFERROR(INDEX('23 RCC-004 MASR Registry'!$X$14:$X$163,MATCH($C58,'23 RCC-004 MASR Registry'!$B$14:$B$163,0)),""))</x:f>
      </x:c>
      <x:c r="N58" s="1243" t="str">
        <x:f>IF($C58="","",IFERROR(INDEX('23 RCC-004 MASR Registry'!$Y$14:$Y$163,MATCH($C58,'23 RCC-004 MASR Registry'!$B$14:$B$163,0)),""))</x:f>
      </x:c>
      <x:c r="O58" s="1243" t="str">
        <x:f>IF($C58="","",IFERROR(INDEX('23 RCC-004 MASR Registry'!$L$14:$L$163,MATCH($C58,'23 RCC-004 MASR Registry'!$B$14:$B$163,0)),""))</x:f>
      </x:c>
      <x:c r="P58" s="1243" t="str">
        <x:f>IF($C58="","",IFERROR(INDEX('23 RCC-004 MASR Registry'!$M$14:$M$163,MATCH($C58,'23 RCC-004 MASR Registry'!$B$14:$B$163,0)),""))</x:f>
      </x:c>
      <x:c r="Q58" s="1246" t="str">
        <x:f>IF($C58="","",IFERROR(INDEX('23 RCC-004 MASR Registry'!$N$14:$N$163,MATCH($C58,'23 RCC-004 MASR Registry'!$B$14:$B$163,0)),""))</x:f>
      </x:c>
      <x:c r="R58" s="1246" t="str">
        <x:f>IF($C58="","",IFERROR(INDEX('23 RCC-004 MASR Registry'!$O$14:$O$163,MATCH($C58,'23 RCC-004 MASR Registry'!$B$14:$B$163,0)),""))</x:f>
      </x:c>
      <x:c r="S58" s="1246" t="str">
        <x:f>IF($C58="","",IFERROR(INDEX('23 RCC-004 MASR Registry'!$W$14:$W$163,MATCH($C58,'23 RCC-004 MASR Registry'!$B$14:$B$163,0)),""))</x:f>
      </x:c>
      <x:c r="T58" s="1246" t="str">
        <x:f>IF($C58="","",IFERROR(INDEX('23 RCC-004 MASR Registry'!$T$14:$T$163,MATCH($C58,'23 RCC-004 MASR Registry'!$B$14:$B$163,0)),""))</x:f>
      </x:c>
      <x:c r="U58" s="1247" t="str">
        <x:f>IF($C58="","",IFERROR(INDEX('23 RCC-004 MASR Registry'!$U$14:$U$163,MATCH($C58,'23 RCC-004 MASR Registry'!$B$14:$B$163,0)),""))</x:f>
      </x:c>
      <x:c r="V58" s="1243" t="str">
        <x:f>IF($C58="","",IFERROR(INDEX('23 RCC-004 MASR Registry'!$V$14:$V$163,MATCH($C58,'23 RCC-004 MASR Registry'!$B$14:$B$163,0)),""))</x:f>
      </x:c>
      <x:c r="W58" s="1242"/>
      <x:c r="X58" s="1247" t="str">
        <x:f>IF($C58="","",COUNTIF('18 RCC-002 Evidence Ledger'!$E$14:$E$213,$C58))</x:f>
      </x:c>
      <x:c r="Y58" s="1242"/>
      <x:c r="Z58" s="1244" t="str">
        <x:f>IF($A58="","",IF(COUNTIF($A$14:$A$213,$A58)&gt;1,"FAIL — DUPLICATE ID",IF(OR($B58="",$C58="",$E58="",$H58="",$Y58="",$AA58="",$AB58=""),"FAIL — INCOMPLETE",IF(AND(OR($Y58="MIAR Review",$Y58="Eligibility Review",$Y58="Candidate Comparison",$Y58="Committee Review",$Y58="Approved for MASR",$Y58="Referred to PEW-004",$Y58="On Watch",$Y58="Rejected",$Y58="Closed",$Y58="Removed"),$K58=""),"FAIL — MASR RECORD REQUIRED",IF(AND(OR($Y58="Eligibility Review",$Y58="Candidate Comparison",$Y58="Committee Review",$Y58="Approved for MASR",$Y58="Referred to PEW-004",$Y58="On Watch"),NOT(OR($M58="ELIGIBLE",$M58="ELIGIBLE WITH EXCEPTION",$M58="CERTIFIED HOLDING"))),"FAIL — ELIGIBILITY",IF(AND(OR($Y58="Candidate Comparison",$Y58="Committee Review",$Y58="Approved for MASR",$Y58="Referred to PEW-004",$Y58="On Watch"),$X58=0),"FAIL — EVIDENCE",IF(AND(OR($Y58="Candidate Comparison",$Y58="Committee Review",$Y58="Approved for MASR",$Y58="Referred to PEW-004",$Y58="On Watch"),OR($O58&lt;&gt;"Active",$P58&lt;&gt;"CURRENT")),"FAIL — MIAR GATE",IF(AND(OR($Y58="Approved for MASR",$Y58="Referred to PEW-004",$Y58="On Watch",$Y58="Rejected",$Y58="Closed",$Y58="Removed"),OR($AD58="",$AD58="Pending")),"FAIL — COMMITTEE DISPOSITION",IF(AND($Y58="Referred to PEW-004",OR($AF58&lt;&gt;"Yes — Refer to PEW-004",$AG58="",$AJ58="")),"FAIL — PEW REFERRAL","PASS — STAGE GATE")))))))))</x:f>
      </x:c>
      <x:c r="AA58" s="1242"/>
      <x:c r="AB58" s="1251"/>
      <x:c r="AC58" s="1250" t="str">
        <x:f>IF($B58="","",IF($AQ58&lt;&gt;"",$AQ58-$B58,TODAY()-$B58))</x:f>
      </x:c>
      <x:c r="AD58" s="1242"/>
      <x:c r="AE58" s="1251"/>
      <x:c r="AF58" s="1242"/>
      <x:c r="AG58" s="1242"/>
      <x:c r="AH58" s="1246" t="str">
        <x:f>IF($AG58="","",IFERROR(INDEX('10 Candidate Comparison'!$T$14:$T$33,MATCH($AG58,'10 Candidate Comparison'!$A$14:$A$33,0)),""))</x:f>
      </x:c>
      <x:c r="AI58" s="1243" t="str">
        <x:f>IF($AG58="","",IFERROR(INDEX('10 Candidate Comparison'!$U$14:$U$33,MATCH($AG58,'10 Candidate Comparison'!$A$14:$A$33,0)),""))</x:f>
      </x:c>
      <x:c r="AJ58" s="1243" t="str">
        <x:f>IF($AG58="","",IFERROR(INDEX('10 Candidate Comparison'!$Y$14:$Y$33,MATCH($AG58,'10 Candidate Comparison'!$A$14:$A$33,0)),""))</x:f>
      </x:c>
      <x:c r="AK58" s="1244" t="str">
        <x:f>IF($A58="","",IF($Z58="FAIL — DUPLICATE ID","DUPLICATE CANDIDATE ID",IF($Z58="FAIL — INCOMPLETE","INCOMPLETE",IF($Z58="FAIL — MASR RECORD REQUIRED","MASR RECORD REQUIRED",IF($Z58="FAIL — ELIGIBILITY","ELIGIBILITY BLOCK",IF($Z58="FAIL — EVIDENCE","EVIDENCE REQUIRED",IF($Z58="FAIL — MIAR GATE","MIAR GATE BLOCK",IF($Z58="FAIL — COMMITTEE DISPOSITION","COMMITTEE DECISION REQUIRED",IF($Z58="FAIL — PEW REFERRAL","PEW REFERRAL INCOMPLETE",IF(AND(OR($Y58="Rejected",$Y58="Closed",$Y58="Removed"),OR($AO58="",$AP58="",$AQ58="")),"CLOSURE REQUIRED",IF(AND($AB58&lt;TODAY(),NOT(OR($Y58="Rejected",$Y58="Closed",$Y58="Removed"))),"OVERDUE",IF(OR($Y58="Rejected",$Y58="Closed",$Y58="Removed"),"CLOSED","OPEN — ON TRACK"))))))))))))</x:f>
      </x:c>
      <x:c r="AL58" s="1244" t="str">
        <x:f>IF($AK58="","",IFERROR(INDEX('97 RCC Lists'!$AM$5:$AM$16,MATCH($AK58,'97 RCC Lists'!$AL$5:$AL$16,0)),"Review candidate exception"))</x:f>
      </x:c>
      <x:c r="AM58" s="1242"/>
      <x:c r="AN58" s="1242"/>
      <x:c r="AO58" s="1242"/>
      <x:c r="AP58" s="1242"/>
      <x:c r="AQ58" s="1251"/>
    </x:row>
    <x:row r="59" ht="32" customHeight="1">
      <x:c r="A59" s="1242"/>
      <x:c r="B59" s="1251"/>
      <x:c r="C59" s="1242"/>
      <x:c r="D59" s="1252" t="str">
        <x:f>IF($C59="","",IFERROR(INDEX('23 RCC-004 MASR Registry'!$C$14:$C$163,MATCH($C59,'23 RCC-004 MASR Registry'!$B$14:$B$163,0)),""))</x:f>
      </x:c>
      <x:c r="E59" s="1242"/>
      <x:c r="F59" s="1242"/>
      <x:c r="G59" s="1242"/>
      <x:c r="H59" s="1242"/>
      <x:c r="I59" s="1252" t="str">
        <x:f>IF($C59="","",IFERROR(INDEX('23 RCC-004 MASR Registry'!$G$14:$G$163,MATCH($C59,'23 RCC-004 MASR Registry'!$B$14:$B$163,0)),""))</x:f>
      </x:c>
      <x:c r="J59" s="1252" t="str">
        <x:f>IF($C59="","",IFERROR(INDEX('23 RCC-004 MASR Registry'!$H$14:$H$163,MATCH($C59,'23 RCC-004 MASR Registry'!$B$14:$B$163,0)),""))</x:f>
      </x:c>
      <x:c r="K59" s="1252" t="str">
        <x:f>IF($C59="","",IFERROR(INDEX('23 RCC-004 MASR Registry'!$D$14:$D$163,MATCH($C59,'23 RCC-004 MASR Registry'!$B$14:$B$163,0)),""))</x:f>
      </x:c>
      <x:c r="L59" s="1252" t="str">
        <x:f>IF($C59="","",IFERROR(INDEX('23 RCC-004 MASR Registry'!$E$14:$E$163,MATCH($C59,'23 RCC-004 MASR Registry'!$B$14:$B$163,0)),""))</x:f>
      </x:c>
      <x:c r="M59" s="1252" t="str">
        <x:f>IF($C59="","",IFERROR(INDEX('23 RCC-004 MASR Registry'!$X$14:$X$163,MATCH($C59,'23 RCC-004 MASR Registry'!$B$14:$B$163,0)),""))</x:f>
      </x:c>
      <x:c r="N59" s="1252" t="str">
        <x:f>IF($C59="","",IFERROR(INDEX('23 RCC-004 MASR Registry'!$Y$14:$Y$163,MATCH($C59,'23 RCC-004 MASR Registry'!$B$14:$B$163,0)),""))</x:f>
      </x:c>
      <x:c r="O59" s="1252" t="str">
        <x:f>IF($C59="","",IFERROR(INDEX('23 RCC-004 MASR Registry'!$L$14:$L$163,MATCH($C59,'23 RCC-004 MASR Registry'!$B$14:$B$163,0)),""))</x:f>
      </x:c>
      <x:c r="P59" s="1252" t="str">
        <x:f>IF($C59="","",IFERROR(INDEX('23 RCC-004 MASR Registry'!$M$14:$M$163,MATCH($C59,'23 RCC-004 MASR Registry'!$B$14:$B$163,0)),""))</x:f>
      </x:c>
      <x:c r="Q59" s="1255" t="str">
        <x:f>IF($C59="","",IFERROR(INDEX('23 RCC-004 MASR Registry'!$N$14:$N$163,MATCH($C59,'23 RCC-004 MASR Registry'!$B$14:$B$163,0)),""))</x:f>
      </x:c>
      <x:c r="R59" s="1255" t="str">
        <x:f>IF($C59="","",IFERROR(INDEX('23 RCC-004 MASR Registry'!$O$14:$O$163,MATCH($C59,'23 RCC-004 MASR Registry'!$B$14:$B$163,0)),""))</x:f>
      </x:c>
      <x:c r="S59" s="1255" t="str">
        <x:f>IF($C59="","",IFERROR(INDEX('23 RCC-004 MASR Registry'!$W$14:$W$163,MATCH($C59,'23 RCC-004 MASR Registry'!$B$14:$B$163,0)),""))</x:f>
      </x:c>
      <x:c r="T59" s="1255" t="str">
        <x:f>IF($C59="","",IFERROR(INDEX('23 RCC-004 MASR Registry'!$T$14:$T$163,MATCH($C59,'23 RCC-004 MASR Registry'!$B$14:$B$163,0)),""))</x:f>
      </x:c>
      <x:c r="U59" s="1256" t="str">
        <x:f>IF($C59="","",IFERROR(INDEX('23 RCC-004 MASR Registry'!$U$14:$U$163,MATCH($C59,'23 RCC-004 MASR Registry'!$B$14:$B$163,0)),""))</x:f>
      </x:c>
      <x:c r="V59" s="1252" t="str">
        <x:f>IF($C59="","",IFERROR(INDEX('23 RCC-004 MASR Registry'!$V$14:$V$163,MATCH($C59,'23 RCC-004 MASR Registry'!$B$14:$B$163,0)),""))</x:f>
      </x:c>
      <x:c r="W59" s="1242"/>
      <x:c r="X59" s="1256" t="str">
        <x:f>IF($C59="","",COUNTIF('18 RCC-002 Evidence Ledger'!$E$14:$E$213,$C59))</x:f>
      </x:c>
      <x:c r="Y59" s="1242"/>
      <x:c r="Z59" s="1253" t="str">
        <x:f>IF($A59="","",IF(COUNTIF($A$14:$A$213,$A59)&gt;1,"FAIL — DUPLICATE ID",IF(OR($B59="",$C59="",$E59="",$H59="",$Y59="",$AA59="",$AB59=""),"FAIL — INCOMPLETE",IF(AND(OR($Y59="MIAR Review",$Y59="Eligibility Review",$Y59="Candidate Comparison",$Y59="Committee Review",$Y59="Approved for MASR",$Y59="Referred to PEW-004",$Y59="On Watch",$Y59="Rejected",$Y59="Closed",$Y59="Removed"),$K59=""),"FAIL — MASR RECORD REQUIRED",IF(AND(OR($Y59="Eligibility Review",$Y59="Candidate Comparison",$Y59="Committee Review",$Y59="Approved for MASR",$Y59="Referred to PEW-004",$Y59="On Watch"),NOT(OR($M59="ELIGIBLE",$M59="ELIGIBLE WITH EXCEPTION",$M59="CERTIFIED HOLDING"))),"FAIL — ELIGIBILITY",IF(AND(OR($Y59="Candidate Comparison",$Y59="Committee Review",$Y59="Approved for MASR",$Y59="Referred to PEW-004",$Y59="On Watch"),$X59=0),"FAIL — EVIDENCE",IF(AND(OR($Y59="Candidate Comparison",$Y59="Committee Review",$Y59="Approved for MASR",$Y59="Referred to PEW-004",$Y59="On Watch"),OR($O59&lt;&gt;"Active",$P59&lt;&gt;"CURRENT")),"FAIL — MIAR GATE",IF(AND(OR($Y59="Approved for MASR",$Y59="Referred to PEW-004",$Y59="On Watch",$Y59="Rejected",$Y59="Closed",$Y59="Removed"),OR($AD59="",$AD59="Pending")),"FAIL — COMMITTEE DISPOSITION",IF(AND($Y59="Referred to PEW-004",OR($AF59&lt;&gt;"Yes — Refer to PEW-004",$AG59="",$AJ59="")),"FAIL — PEW REFERRAL","PASS — STAGE GATE")))))))))</x:f>
      </x:c>
      <x:c r="AA59" s="1242"/>
      <x:c r="AB59" s="1251"/>
      <x:c r="AC59" s="1257" t="str">
        <x:f>IF($B59="","",IF($AQ59&lt;&gt;"",$AQ59-$B59,TODAY()-$B59))</x:f>
      </x:c>
      <x:c r="AD59" s="1242"/>
      <x:c r="AE59" s="1251"/>
      <x:c r="AF59" s="1242"/>
      <x:c r="AG59" s="1242"/>
      <x:c r="AH59" s="1255" t="str">
        <x:f>IF($AG59="","",IFERROR(INDEX('10 Candidate Comparison'!$T$14:$T$33,MATCH($AG59,'10 Candidate Comparison'!$A$14:$A$33,0)),""))</x:f>
      </x:c>
      <x:c r="AI59" s="1252" t="str">
        <x:f>IF($AG59="","",IFERROR(INDEX('10 Candidate Comparison'!$U$14:$U$33,MATCH($AG59,'10 Candidate Comparison'!$A$14:$A$33,0)),""))</x:f>
      </x:c>
      <x:c r="AJ59" s="1252" t="str">
        <x:f>IF($AG59="","",IFERROR(INDEX('10 Candidate Comparison'!$Y$14:$Y$33,MATCH($AG59,'10 Candidate Comparison'!$A$14:$A$33,0)),""))</x:f>
      </x:c>
      <x:c r="AK59" s="1253" t="str">
        <x:f>IF($A59="","",IF($Z59="FAIL — DUPLICATE ID","DUPLICATE CANDIDATE ID",IF($Z59="FAIL — INCOMPLETE","INCOMPLETE",IF($Z59="FAIL — MASR RECORD REQUIRED","MASR RECORD REQUIRED",IF($Z59="FAIL — ELIGIBILITY","ELIGIBILITY BLOCK",IF($Z59="FAIL — EVIDENCE","EVIDENCE REQUIRED",IF($Z59="FAIL — MIAR GATE","MIAR GATE BLOCK",IF($Z59="FAIL — COMMITTEE DISPOSITION","COMMITTEE DECISION REQUIRED",IF($Z59="FAIL — PEW REFERRAL","PEW REFERRAL INCOMPLETE",IF(AND(OR($Y59="Rejected",$Y59="Closed",$Y59="Removed"),OR($AO59="",$AP59="",$AQ59="")),"CLOSURE REQUIRED",IF(AND($AB59&lt;TODAY(),NOT(OR($Y59="Rejected",$Y59="Closed",$Y59="Removed"))),"OVERDUE",IF(OR($Y59="Rejected",$Y59="Closed",$Y59="Removed"),"CLOSED","OPEN — ON TRACK"))))))))))))</x:f>
      </x:c>
      <x:c r="AL59" s="1253" t="str">
        <x:f>IF($AK59="","",IFERROR(INDEX('97 RCC Lists'!$AM$5:$AM$16,MATCH($AK59,'97 RCC Lists'!$AL$5:$AL$16,0)),"Review candidate exception"))</x:f>
      </x:c>
      <x:c r="AM59" s="1242"/>
      <x:c r="AN59" s="1242"/>
      <x:c r="AO59" s="1242"/>
      <x:c r="AP59" s="1242"/>
      <x:c r="AQ59" s="1251"/>
    </x:row>
    <x:row r="60" ht="32" customHeight="1">
      <x:c r="A60" s="1242"/>
      <x:c r="B60" s="1251"/>
      <x:c r="C60" s="1242"/>
      <x:c r="D60" s="1243" t="str">
        <x:f>IF($C60="","",IFERROR(INDEX('23 RCC-004 MASR Registry'!$C$14:$C$163,MATCH($C60,'23 RCC-004 MASR Registry'!$B$14:$B$163,0)),""))</x:f>
      </x:c>
      <x:c r="E60" s="1242"/>
      <x:c r="F60" s="1242"/>
      <x:c r="G60" s="1242"/>
      <x:c r="H60" s="1242"/>
      <x:c r="I60" s="1243" t="str">
        <x:f>IF($C60="","",IFERROR(INDEX('23 RCC-004 MASR Registry'!$G$14:$G$163,MATCH($C60,'23 RCC-004 MASR Registry'!$B$14:$B$163,0)),""))</x:f>
      </x:c>
      <x:c r="J60" s="1243" t="str">
        <x:f>IF($C60="","",IFERROR(INDEX('23 RCC-004 MASR Registry'!$H$14:$H$163,MATCH($C60,'23 RCC-004 MASR Registry'!$B$14:$B$163,0)),""))</x:f>
      </x:c>
      <x:c r="K60" s="1243" t="str">
        <x:f>IF($C60="","",IFERROR(INDEX('23 RCC-004 MASR Registry'!$D$14:$D$163,MATCH($C60,'23 RCC-004 MASR Registry'!$B$14:$B$163,0)),""))</x:f>
      </x:c>
      <x:c r="L60" s="1243" t="str">
        <x:f>IF($C60="","",IFERROR(INDEX('23 RCC-004 MASR Registry'!$E$14:$E$163,MATCH($C60,'23 RCC-004 MASR Registry'!$B$14:$B$163,0)),""))</x:f>
      </x:c>
      <x:c r="M60" s="1243" t="str">
        <x:f>IF($C60="","",IFERROR(INDEX('23 RCC-004 MASR Registry'!$X$14:$X$163,MATCH($C60,'23 RCC-004 MASR Registry'!$B$14:$B$163,0)),""))</x:f>
      </x:c>
      <x:c r="N60" s="1243" t="str">
        <x:f>IF($C60="","",IFERROR(INDEX('23 RCC-004 MASR Registry'!$Y$14:$Y$163,MATCH($C60,'23 RCC-004 MASR Registry'!$B$14:$B$163,0)),""))</x:f>
      </x:c>
      <x:c r="O60" s="1243" t="str">
        <x:f>IF($C60="","",IFERROR(INDEX('23 RCC-004 MASR Registry'!$L$14:$L$163,MATCH($C60,'23 RCC-004 MASR Registry'!$B$14:$B$163,0)),""))</x:f>
      </x:c>
      <x:c r="P60" s="1243" t="str">
        <x:f>IF($C60="","",IFERROR(INDEX('23 RCC-004 MASR Registry'!$M$14:$M$163,MATCH($C60,'23 RCC-004 MASR Registry'!$B$14:$B$163,0)),""))</x:f>
      </x:c>
      <x:c r="Q60" s="1246" t="str">
        <x:f>IF($C60="","",IFERROR(INDEX('23 RCC-004 MASR Registry'!$N$14:$N$163,MATCH($C60,'23 RCC-004 MASR Registry'!$B$14:$B$163,0)),""))</x:f>
      </x:c>
      <x:c r="R60" s="1246" t="str">
        <x:f>IF($C60="","",IFERROR(INDEX('23 RCC-004 MASR Registry'!$O$14:$O$163,MATCH($C60,'23 RCC-004 MASR Registry'!$B$14:$B$163,0)),""))</x:f>
      </x:c>
      <x:c r="S60" s="1246" t="str">
        <x:f>IF($C60="","",IFERROR(INDEX('23 RCC-004 MASR Registry'!$W$14:$W$163,MATCH($C60,'23 RCC-004 MASR Registry'!$B$14:$B$163,0)),""))</x:f>
      </x:c>
      <x:c r="T60" s="1246" t="str">
        <x:f>IF($C60="","",IFERROR(INDEX('23 RCC-004 MASR Registry'!$T$14:$T$163,MATCH($C60,'23 RCC-004 MASR Registry'!$B$14:$B$163,0)),""))</x:f>
      </x:c>
      <x:c r="U60" s="1247" t="str">
        <x:f>IF($C60="","",IFERROR(INDEX('23 RCC-004 MASR Registry'!$U$14:$U$163,MATCH($C60,'23 RCC-004 MASR Registry'!$B$14:$B$163,0)),""))</x:f>
      </x:c>
      <x:c r="V60" s="1243" t="str">
        <x:f>IF($C60="","",IFERROR(INDEX('23 RCC-004 MASR Registry'!$V$14:$V$163,MATCH($C60,'23 RCC-004 MASR Registry'!$B$14:$B$163,0)),""))</x:f>
      </x:c>
      <x:c r="W60" s="1242"/>
      <x:c r="X60" s="1247" t="str">
        <x:f>IF($C60="","",COUNTIF('18 RCC-002 Evidence Ledger'!$E$14:$E$213,$C60))</x:f>
      </x:c>
      <x:c r="Y60" s="1242"/>
      <x:c r="Z60" s="1244" t="str">
        <x:f>IF($A60="","",IF(COUNTIF($A$14:$A$213,$A60)&gt;1,"FAIL — DUPLICATE ID",IF(OR($B60="",$C60="",$E60="",$H60="",$Y60="",$AA60="",$AB60=""),"FAIL — INCOMPLETE",IF(AND(OR($Y60="MIAR Review",$Y60="Eligibility Review",$Y60="Candidate Comparison",$Y60="Committee Review",$Y60="Approved for MASR",$Y60="Referred to PEW-004",$Y60="On Watch",$Y60="Rejected",$Y60="Closed",$Y60="Removed"),$K60=""),"FAIL — MASR RECORD REQUIRED",IF(AND(OR($Y60="Eligibility Review",$Y60="Candidate Comparison",$Y60="Committee Review",$Y60="Approved for MASR",$Y60="Referred to PEW-004",$Y60="On Watch"),NOT(OR($M60="ELIGIBLE",$M60="ELIGIBLE WITH EXCEPTION",$M60="CERTIFIED HOLDING"))),"FAIL — ELIGIBILITY",IF(AND(OR($Y60="Candidate Comparison",$Y60="Committee Review",$Y60="Approved for MASR",$Y60="Referred to PEW-004",$Y60="On Watch"),$X60=0),"FAIL — EVIDENCE",IF(AND(OR($Y60="Candidate Comparison",$Y60="Committee Review",$Y60="Approved for MASR",$Y60="Referred to PEW-004",$Y60="On Watch"),OR($O60&lt;&gt;"Active",$P60&lt;&gt;"CURRENT")),"FAIL — MIAR GATE",IF(AND(OR($Y60="Approved for MASR",$Y60="Referred to PEW-004",$Y60="On Watch",$Y60="Rejected",$Y60="Closed",$Y60="Removed"),OR($AD60="",$AD60="Pending")),"FAIL — COMMITTEE DISPOSITION",IF(AND($Y60="Referred to PEW-004",OR($AF60&lt;&gt;"Yes — Refer to PEW-004",$AG60="",$AJ60="")),"FAIL — PEW REFERRAL","PASS — STAGE GATE")))))))))</x:f>
      </x:c>
      <x:c r="AA60" s="1242"/>
      <x:c r="AB60" s="1251"/>
      <x:c r="AC60" s="1250" t="str">
        <x:f>IF($B60="","",IF($AQ60&lt;&gt;"",$AQ60-$B60,TODAY()-$B60))</x:f>
      </x:c>
      <x:c r="AD60" s="1242"/>
      <x:c r="AE60" s="1251"/>
      <x:c r="AF60" s="1242"/>
      <x:c r="AG60" s="1242"/>
      <x:c r="AH60" s="1246" t="str">
        <x:f>IF($AG60="","",IFERROR(INDEX('10 Candidate Comparison'!$T$14:$T$33,MATCH($AG60,'10 Candidate Comparison'!$A$14:$A$33,0)),""))</x:f>
      </x:c>
      <x:c r="AI60" s="1243" t="str">
        <x:f>IF($AG60="","",IFERROR(INDEX('10 Candidate Comparison'!$U$14:$U$33,MATCH($AG60,'10 Candidate Comparison'!$A$14:$A$33,0)),""))</x:f>
      </x:c>
      <x:c r="AJ60" s="1243" t="str">
        <x:f>IF($AG60="","",IFERROR(INDEX('10 Candidate Comparison'!$Y$14:$Y$33,MATCH($AG60,'10 Candidate Comparison'!$A$14:$A$33,0)),""))</x:f>
      </x:c>
      <x:c r="AK60" s="1244" t="str">
        <x:f>IF($A60="","",IF($Z60="FAIL — DUPLICATE ID","DUPLICATE CANDIDATE ID",IF($Z60="FAIL — INCOMPLETE","INCOMPLETE",IF($Z60="FAIL — MASR RECORD REQUIRED","MASR RECORD REQUIRED",IF($Z60="FAIL — ELIGIBILITY","ELIGIBILITY BLOCK",IF($Z60="FAIL — EVIDENCE","EVIDENCE REQUIRED",IF($Z60="FAIL — MIAR GATE","MIAR GATE BLOCK",IF($Z60="FAIL — COMMITTEE DISPOSITION","COMMITTEE DECISION REQUIRED",IF($Z60="FAIL — PEW REFERRAL","PEW REFERRAL INCOMPLETE",IF(AND(OR($Y60="Rejected",$Y60="Closed",$Y60="Removed"),OR($AO60="",$AP60="",$AQ60="")),"CLOSURE REQUIRED",IF(AND($AB60&lt;TODAY(),NOT(OR($Y60="Rejected",$Y60="Closed",$Y60="Removed"))),"OVERDUE",IF(OR($Y60="Rejected",$Y60="Closed",$Y60="Removed"),"CLOSED","OPEN — ON TRACK"))))))))))))</x:f>
      </x:c>
      <x:c r="AL60" s="1244" t="str">
        <x:f>IF($AK60="","",IFERROR(INDEX('97 RCC Lists'!$AM$5:$AM$16,MATCH($AK60,'97 RCC Lists'!$AL$5:$AL$16,0)),"Review candidate exception"))</x:f>
      </x:c>
      <x:c r="AM60" s="1242"/>
      <x:c r="AN60" s="1242"/>
      <x:c r="AO60" s="1242"/>
      <x:c r="AP60" s="1242"/>
      <x:c r="AQ60" s="1251"/>
    </x:row>
    <x:row r="61" ht="32" customHeight="1">
      <x:c r="A61" s="1242"/>
      <x:c r="B61" s="1251"/>
      <x:c r="C61" s="1242"/>
      <x:c r="D61" s="1252" t="str">
        <x:f>IF($C61="","",IFERROR(INDEX('23 RCC-004 MASR Registry'!$C$14:$C$163,MATCH($C61,'23 RCC-004 MASR Registry'!$B$14:$B$163,0)),""))</x:f>
      </x:c>
      <x:c r="E61" s="1242"/>
      <x:c r="F61" s="1242"/>
      <x:c r="G61" s="1242"/>
      <x:c r="H61" s="1242"/>
      <x:c r="I61" s="1252" t="str">
        <x:f>IF($C61="","",IFERROR(INDEX('23 RCC-004 MASR Registry'!$G$14:$G$163,MATCH($C61,'23 RCC-004 MASR Registry'!$B$14:$B$163,0)),""))</x:f>
      </x:c>
      <x:c r="J61" s="1252" t="str">
        <x:f>IF($C61="","",IFERROR(INDEX('23 RCC-004 MASR Registry'!$H$14:$H$163,MATCH($C61,'23 RCC-004 MASR Registry'!$B$14:$B$163,0)),""))</x:f>
      </x:c>
      <x:c r="K61" s="1252" t="str">
        <x:f>IF($C61="","",IFERROR(INDEX('23 RCC-004 MASR Registry'!$D$14:$D$163,MATCH($C61,'23 RCC-004 MASR Registry'!$B$14:$B$163,0)),""))</x:f>
      </x:c>
      <x:c r="L61" s="1252" t="str">
        <x:f>IF($C61="","",IFERROR(INDEX('23 RCC-004 MASR Registry'!$E$14:$E$163,MATCH($C61,'23 RCC-004 MASR Registry'!$B$14:$B$163,0)),""))</x:f>
      </x:c>
      <x:c r="M61" s="1252" t="str">
        <x:f>IF($C61="","",IFERROR(INDEX('23 RCC-004 MASR Registry'!$X$14:$X$163,MATCH($C61,'23 RCC-004 MASR Registry'!$B$14:$B$163,0)),""))</x:f>
      </x:c>
      <x:c r="N61" s="1252" t="str">
        <x:f>IF($C61="","",IFERROR(INDEX('23 RCC-004 MASR Registry'!$Y$14:$Y$163,MATCH($C61,'23 RCC-004 MASR Registry'!$B$14:$B$163,0)),""))</x:f>
      </x:c>
      <x:c r="O61" s="1252" t="str">
        <x:f>IF($C61="","",IFERROR(INDEX('23 RCC-004 MASR Registry'!$L$14:$L$163,MATCH($C61,'23 RCC-004 MASR Registry'!$B$14:$B$163,0)),""))</x:f>
      </x:c>
      <x:c r="P61" s="1252" t="str">
        <x:f>IF($C61="","",IFERROR(INDEX('23 RCC-004 MASR Registry'!$M$14:$M$163,MATCH($C61,'23 RCC-004 MASR Registry'!$B$14:$B$163,0)),""))</x:f>
      </x:c>
      <x:c r="Q61" s="1255" t="str">
        <x:f>IF($C61="","",IFERROR(INDEX('23 RCC-004 MASR Registry'!$N$14:$N$163,MATCH($C61,'23 RCC-004 MASR Registry'!$B$14:$B$163,0)),""))</x:f>
      </x:c>
      <x:c r="R61" s="1255" t="str">
        <x:f>IF($C61="","",IFERROR(INDEX('23 RCC-004 MASR Registry'!$O$14:$O$163,MATCH($C61,'23 RCC-004 MASR Registry'!$B$14:$B$163,0)),""))</x:f>
      </x:c>
      <x:c r="S61" s="1255" t="str">
        <x:f>IF($C61="","",IFERROR(INDEX('23 RCC-004 MASR Registry'!$W$14:$W$163,MATCH($C61,'23 RCC-004 MASR Registry'!$B$14:$B$163,0)),""))</x:f>
      </x:c>
      <x:c r="T61" s="1255" t="str">
        <x:f>IF($C61="","",IFERROR(INDEX('23 RCC-004 MASR Registry'!$T$14:$T$163,MATCH($C61,'23 RCC-004 MASR Registry'!$B$14:$B$163,0)),""))</x:f>
      </x:c>
      <x:c r="U61" s="1256" t="str">
        <x:f>IF($C61="","",IFERROR(INDEX('23 RCC-004 MASR Registry'!$U$14:$U$163,MATCH($C61,'23 RCC-004 MASR Registry'!$B$14:$B$163,0)),""))</x:f>
      </x:c>
      <x:c r="V61" s="1252" t="str">
        <x:f>IF($C61="","",IFERROR(INDEX('23 RCC-004 MASR Registry'!$V$14:$V$163,MATCH($C61,'23 RCC-004 MASR Registry'!$B$14:$B$163,0)),""))</x:f>
      </x:c>
      <x:c r="W61" s="1242"/>
      <x:c r="X61" s="1256" t="str">
        <x:f>IF($C61="","",COUNTIF('18 RCC-002 Evidence Ledger'!$E$14:$E$213,$C61))</x:f>
      </x:c>
      <x:c r="Y61" s="1242"/>
      <x:c r="Z61" s="1253" t="str">
        <x:f>IF($A61="","",IF(COUNTIF($A$14:$A$213,$A61)&gt;1,"FAIL — DUPLICATE ID",IF(OR($B61="",$C61="",$E61="",$H61="",$Y61="",$AA61="",$AB61=""),"FAIL — INCOMPLETE",IF(AND(OR($Y61="MIAR Review",$Y61="Eligibility Review",$Y61="Candidate Comparison",$Y61="Committee Review",$Y61="Approved for MASR",$Y61="Referred to PEW-004",$Y61="On Watch",$Y61="Rejected",$Y61="Closed",$Y61="Removed"),$K61=""),"FAIL — MASR RECORD REQUIRED",IF(AND(OR($Y61="Eligibility Review",$Y61="Candidate Comparison",$Y61="Committee Review",$Y61="Approved for MASR",$Y61="Referred to PEW-004",$Y61="On Watch"),NOT(OR($M61="ELIGIBLE",$M61="ELIGIBLE WITH EXCEPTION",$M61="CERTIFIED HOLDING"))),"FAIL — ELIGIBILITY",IF(AND(OR($Y61="Candidate Comparison",$Y61="Committee Review",$Y61="Approved for MASR",$Y61="Referred to PEW-004",$Y61="On Watch"),$X61=0),"FAIL — EVIDENCE",IF(AND(OR($Y61="Candidate Comparison",$Y61="Committee Review",$Y61="Approved for MASR",$Y61="Referred to PEW-004",$Y61="On Watch"),OR($O61&lt;&gt;"Active",$P61&lt;&gt;"CURRENT")),"FAIL — MIAR GATE",IF(AND(OR($Y61="Approved for MASR",$Y61="Referred to PEW-004",$Y61="On Watch",$Y61="Rejected",$Y61="Closed",$Y61="Removed"),OR($AD61="",$AD61="Pending")),"FAIL — COMMITTEE DISPOSITION",IF(AND($Y61="Referred to PEW-004",OR($AF61&lt;&gt;"Yes — Refer to PEW-004",$AG61="",$AJ61="")),"FAIL — PEW REFERRAL","PASS — STAGE GATE")))))))))</x:f>
      </x:c>
      <x:c r="AA61" s="1242"/>
      <x:c r="AB61" s="1251"/>
      <x:c r="AC61" s="1257" t="str">
        <x:f>IF($B61="","",IF($AQ61&lt;&gt;"",$AQ61-$B61,TODAY()-$B61))</x:f>
      </x:c>
      <x:c r="AD61" s="1242"/>
      <x:c r="AE61" s="1251"/>
      <x:c r="AF61" s="1242"/>
      <x:c r="AG61" s="1242"/>
      <x:c r="AH61" s="1255" t="str">
        <x:f>IF($AG61="","",IFERROR(INDEX('10 Candidate Comparison'!$T$14:$T$33,MATCH($AG61,'10 Candidate Comparison'!$A$14:$A$33,0)),""))</x:f>
      </x:c>
      <x:c r="AI61" s="1252" t="str">
        <x:f>IF($AG61="","",IFERROR(INDEX('10 Candidate Comparison'!$U$14:$U$33,MATCH($AG61,'10 Candidate Comparison'!$A$14:$A$33,0)),""))</x:f>
      </x:c>
      <x:c r="AJ61" s="1252" t="str">
        <x:f>IF($AG61="","",IFERROR(INDEX('10 Candidate Comparison'!$Y$14:$Y$33,MATCH($AG61,'10 Candidate Comparison'!$A$14:$A$33,0)),""))</x:f>
      </x:c>
      <x:c r="AK61" s="1253" t="str">
        <x:f>IF($A61="","",IF($Z61="FAIL — DUPLICATE ID","DUPLICATE CANDIDATE ID",IF($Z61="FAIL — INCOMPLETE","INCOMPLETE",IF($Z61="FAIL — MASR RECORD REQUIRED","MASR RECORD REQUIRED",IF($Z61="FAIL — ELIGIBILITY","ELIGIBILITY BLOCK",IF($Z61="FAIL — EVIDENCE","EVIDENCE REQUIRED",IF($Z61="FAIL — MIAR GATE","MIAR GATE BLOCK",IF($Z61="FAIL — COMMITTEE DISPOSITION","COMMITTEE DECISION REQUIRED",IF($Z61="FAIL — PEW REFERRAL","PEW REFERRAL INCOMPLETE",IF(AND(OR($Y61="Rejected",$Y61="Closed",$Y61="Removed"),OR($AO61="",$AP61="",$AQ61="")),"CLOSURE REQUIRED",IF(AND($AB61&lt;TODAY(),NOT(OR($Y61="Rejected",$Y61="Closed",$Y61="Removed"))),"OVERDUE",IF(OR($Y61="Rejected",$Y61="Closed",$Y61="Removed"),"CLOSED","OPEN — ON TRACK"))))))))))))</x:f>
      </x:c>
      <x:c r="AL61" s="1253" t="str">
        <x:f>IF($AK61="","",IFERROR(INDEX('97 RCC Lists'!$AM$5:$AM$16,MATCH($AK61,'97 RCC Lists'!$AL$5:$AL$16,0)),"Review candidate exception"))</x:f>
      </x:c>
      <x:c r="AM61" s="1242"/>
      <x:c r="AN61" s="1242"/>
      <x:c r="AO61" s="1242"/>
      <x:c r="AP61" s="1242"/>
      <x:c r="AQ61" s="1251"/>
    </x:row>
    <x:row r="62" ht="32" customHeight="1">
      <x:c r="A62" s="1242"/>
      <x:c r="B62" s="1251"/>
      <x:c r="C62" s="1242"/>
      <x:c r="D62" s="1243" t="str">
        <x:f>IF($C62="","",IFERROR(INDEX('23 RCC-004 MASR Registry'!$C$14:$C$163,MATCH($C62,'23 RCC-004 MASR Registry'!$B$14:$B$163,0)),""))</x:f>
      </x:c>
      <x:c r="E62" s="1242"/>
      <x:c r="F62" s="1242"/>
      <x:c r="G62" s="1242"/>
      <x:c r="H62" s="1242"/>
      <x:c r="I62" s="1243" t="str">
        <x:f>IF($C62="","",IFERROR(INDEX('23 RCC-004 MASR Registry'!$G$14:$G$163,MATCH($C62,'23 RCC-004 MASR Registry'!$B$14:$B$163,0)),""))</x:f>
      </x:c>
      <x:c r="J62" s="1243" t="str">
        <x:f>IF($C62="","",IFERROR(INDEX('23 RCC-004 MASR Registry'!$H$14:$H$163,MATCH($C62,'23 RCC-004 MASR Registry'!$B$14:$B$163,0)),""))</x:f>
      </x:c>
      <x:c r="K62" s="1243" t="str">
        <x:f>IF($C62="","",IFERROR(INDEX('23 RCC-004 MASR Registry'!$D$14:$D$163,MATCH($C62,'23 RCC-004 MASR Registry'!$B$14:$B$163,0)),""))</x:f>
      </x:c>
      <x:c r="L62" s="1243" t="str">
        <x:f>IF($C62="","",IFERROR(INDEX('23 RCC-004 MASR Registry'!$E$14:$E$163,MATCH($C62,'23 RCC-004 MASR Registry'!$B$14:$B$163,0)),""))</x:f>
      </x:c>
      <x:c r="M62" s="1243" t="str">
        <x:f>IF($C62="","",IFERROR(INDEX('23 RCC-004 MASR Registry'!$X$14:$X$163,MATCH($C62,'23 RCC-004 MASR Registry'!$B$14:$B$163,0)),""))</x:f>
      </x:c>
      <x:c r="N62" s="1243" t="str">
        <x:f>IF($C62="","",IFERROR(INDEX('23 RCC-004 MASR Registry'!$Y$14:$Y$163,MATCH($C62,'23 RCC-004 MASR Registry'!$B$14:$B$163,0)),""))</x:f>
      </x:c>
      <x:c r="O62" s="1243" t="str">
        <x:f>IF($C62="","",IFERROR(INDEX('23 RCC-004 MASR Registry'!$L$14:$L$163,MATCH($C62,'23 RCC-004 MASR Registry'!$B$14:$B$163,0)),""))</x:f>
      </x:c>
      <x:c r="P62" s="1243" t="str">
        <x:f>IF($C62="","",IFERROR(INDEX('23 RCC-004 MASR Registry'!$M$14:$M$163,MATCH($C62,'23 RCC-004 MASR Registry'!$B$14:$B$163,0)),""))</x:f>
      </x:c>
      <x:c r="Q62" s="1246" t="str">
        <x:f>IF($C62="","",IFERROR(INDEX('23 RCC-004 MASR Registry'!$N$14:$N$163,MATCH($C62,'23 RCC-004 MASR Registry'!$B$14:$B$163,0)),""))</x:f>
      </x:c>
      <x:c r="R62" s="1246" t="str">
        <x:f>IF($C62="","",IFERROR(INDEX('23 RCC-004 MASR Registry'!$O$14:$O$163,MATCH($C62,'23 RCC-004 MASR Registry'!$B$14:$B$163,0)),""))</x:f>
      </x:c>
      <x:c r="S62" s="1246" t="str">
        <x:f>IF($C62="","",IFERROR(INDEX('23 RCC-004 MASR Registry'!$W$14:$W$163,MATCH($C62,'23 RCC-004 MASR Registry'!$B$14:$B$163,0)),""))</x:f>
      </x:c>
      <x:c r="T62" s="1246" t="str">
        <x:f>IF($C62="","",IFERROR(INDEX('23 RCC-004 MASR Registry'!$T$14:$T$163,MATCH($C62,'23 RCC-004 MASR Registry'!$B$14:$B$163,0)),""))</x:f>
      </x:c>
      <x:c r="U62" s="1247" t="str">
        <x:f>IF($C62="","",IFERROR(INDEX('23 RCC-004 MASR Registry'!$U$14:$U$163,MATCH($C62,'23 RCC-004 MASR Registry'!$B$14:$B$163,0)),""))</x:f>
      </x:c>
      <x:c r="V62" s="1243" t="str">
        <x:f>IF($C62="","",IFERROR(INDEX('23 RCC-004 MASR Registry'!$V$14:$V$163,MATCH($C62,'23 RCC-004 MASR Registry'!$B$14:$B$163,0)),""))</x:f>
      </x:c>
      <x:c r="W62" s="1242"/>
      <x:c r="X62" s="1247" t="str">
        <x:f>IF($C62="","",COUNTIF('18 RCC-002 Evidence Ledger'!$E$14:$E$213,$C62))</x:f>
      </x:c>
      <x:c r="Y62" s="1242"/>
      <x:c r="Z62" s="1244" t="str">
        <x:f>IF($A62="","",IF(COUNTIF($A$14:$A$213,$A62)&gt;1,"FAIL — DUPLICATE ID",IF(OR($B62="",$C62="",$E62="",$H62="",$Y62="",$AA62="",$AB62=""),"FAIL — INCOMPLETE",IF(AND(OR($Y62="MIAR Review",$Y62="Eligibility Review",$Y62="Candidate Comparison",$Y62="Committee Review",$Y62="Approved for MASR",$Y62="Referred to PEW-004",$Y62="On Watch",$Y62="Rejected",$Y62="Closed",$Y62="Removed"),$K62=""),"FAIL — MASR RECORD REQUIRED",IF(AND(OR($Y62="Eligibility Review",$Y62="Candidate Comparison",$Y62="Committee Review",$Y62="Approved for MASR",$Y62="Referred to PEW-004",$Y62="On Watch"),NOT(OR($M62="ELIGIBLE",$M62="ELIGIBLE WITH EXCEPTION",$M62="CERTIFIED HOLDING"))),"FAIL — ELIGIBILITY",IF(AND(OR($Y62="Candidate Comparison",$Y62="Committee Review",$Y62="Approved for MASR",$Y62="Referred to PEW-004",$Y62="On Watch"),$X62=0),"FAIL — EVIDENCE",IF(AND(OR($Y62="Candidate Comparison",$Y62="Committee Review",$Y62="Approved for MASR",$Y62="Referred to PEW-004",$Y62="On Watch"),OR($O62&lt;&gt;"Active",$P62&lt;&gt;"CURRENT")),"FAIL — MIAR GATE",IF(AND(OR($Y62="Approved for MASR",$Y62="Referred to PEW-004",$Y62="On Watch",$Y62="Rejected",$Y62="Closed",$Y62="Removed"),OR($AD62="",$AD62="Pending")),"FAIL — COMMITTEE DISPOSITION",IF(AND($Y62="Referred to PEW-004",OR($AF62&lt;&gt;"Yes — Refer to PEW-004",$AG62="",$AJ62="")),"FAIL — PEW REFERRAL","PASS — STAGE GATE")))))))))</x:f>
      </x:c>
      <x:c r="AA62" s="1242"/>
      <x:c r="AB62" s="1251"/>
      <x:c r="AC62" s="1250" t="str">
        <x:f>IF($B62="","",IF($AQ62&lt;&gt;"",$AQ62-$B62,TODAY()-$B62))</x:f>
      </x:c>
      <x:c r="AD62" s="1242"/>
      <x:c r="AE62" s="1251"/>
      <x:c r="AF62" s="1242"/>
      <x:c r="AG62" s="1242"/>
      <x:c r="AH62" s="1246" t="str">
        <x:f>IF($AG62="","",IFERROR(INDEX('10 Candidate Comparison'!$T$14:$T$33,MATCH($AG62,'10 Candidate Comparison'!$A$14:$A$33,0)),""))</x:f>
      </x:c>
      <x:c r="AI62" s="1243" t="str">
        <x:f>IF($AG62="","",IFERROR(INDEX('10 Candidate Comparison'!$U$14:$U$33,MATCH($AG62,'10 Candidate Comparison'!$A$14:$A$33,0)),""))</x:f>
      </x:c>
      <x:c r="AJ62" s="1243" t="str">
        <x:f>IF($AG62="","",IFERROR(INDEX('10 Candidate Comparison'!$Y$14:$Y$33,MATCH($AG62,'10 Candidate Comparison'!$A$14:$A$33,0)),""))</x:f>
      </x:c>
      <x:c r="AK62" s="1244" t="str">
        <x:f>IF($A62="","",IF($Z62="FAIL — DUPLICATE ID","DUPLICATE CANDIDATE ID",IF($Z62="FAIL — INCOMPLETE","INCOMPLETE",IF($Z62="FAIL — MASR RECORD REQUIRED","MASR RECORD REQUIRED",IF($Z62="FAIL — ELIGIBILITY","ELIGIBILITY BLOCK",IF($Z62="FAIL — EVIDENCE","EVIDENCE REQUIRED",IF($Z62="FAIL — MIAR GATE","MIAR GATE BLOCK",IF($Z62="FAIL — COMMITTEE DISPOSITION","COMMITTEE DECISION REQUIRED",IF($Z62="FAIL — PEW REFERRAL","PEW REFERRAL INCOMPLETE",IF(AND(OR($Y62="Rejected",$Y62="Closed",$Y62="Removed"),OR($AO62="",$AP62="",$AQ62="")),"CLOSURE REQUIRED",IF(AND($AB62&lt;TODAY(),NOT(OR($Y62="Rejected",$Y62="Closed",$Y62="Removed"))),"OVERDUE",IF(OR($Y62="Rejected",$Y62="Closed",$Y62="Removed"),"CLOSED","OPEN — ON TRACK"))))))))))))</x:f>
      </x:c>
      <x:c r="AL62" s="1244" t="str">
        <x:f>IF($AK62="","",IFERROR(INDEX('97 RCC Lists'!$AM$5:$AM$16,MATCH($AK62,'97 RCC Lists'!$AL$5:$AL$16,0)),"Review candidate exception"))</x:f>
      </x:c>
      <x:c r="AM62" s="1242"/>
      <x:c r="AN62" s="1242"/>
      <x:c r="AO62" s="1242"/>
      <x:c r="AP62" s="1242"/>
      <x:c r="AQ62" s="1251"/>
    </x:row>
    <x:row r="63" ht="32" customHeight="1">
      <x:c r="A63" s="1242"/>
      <x:c r="B63" s="1251"/>
      <x:c r="C63" s="1242"/>
      <x:c r="D63" s="1252" t="str">
        <x:f>IF($C63="","",IFERROR(INDEX('23 RCC-004 MASR Registry'!$C$14:$C$163,MATCH($C63,'23 RCC-004 MASR Registry'!$B$14:$B$163,0)),""))</x:f>
      </x:c>
      <x:c r="E63" s="1242"/>
      <x:c r="F63" s="1242"/>
      <x:c r="G63" s="1242"/>
      <x:c r="H63" s="1242"/>
      <x:c r="I63" s="1252" t="str">
        <x:f>IF($C63="","",IFERROR(INDEX('23 RCC-004 MASR Registry'!$G$14:$G$163,MATCH($C63,'23 RCC-004 MASR Registry'!$B$14:$B$163,0)),""))</x:f>
      </x:c>
      <x:c r="J63" s="1252" t="str">
        <x:f>IF($C63="","",IFERROR(INDEX('23 RCC-004 MASR Registry'!$H$14:$H$163,MATCH($C63,'23 RCC-004 MASR Registry'!$B$14:$B$163,0)),""))</x:f>
      </x:c>
      <x:c r="K63" s="1252" t="str">
        <x:f>IF($C63="","",IFERROR(INDEX('23 RCC-004 MASR Registry'!$D$14:$D$163,MATCH($C63,'23 RCC-004 MASR Registry'!$B$14:$B$163,0)),""))</x:f>
      </x:c>
      <x:c r="L63" s="1252" t="str">
        <x:f>IF($C63="","",IFERROR(INDEX('23 RCC-004 MASR Registry'!$E$14:$E$163,MATCH($C63,'23 RCC-004 MASR Registry'!$B$14:$B$163,0)),""))</x:f>
      </x:c>
      <x:c r="M63" s="1252" t="str">
        <x:f>IF($C63="","",IFERROR(INDEX('23 RCC-004 MASR Registry'!$X$14:$X$163,MATCH($C63,'23 RCC-004 MASR Registry'!$B$14:$B$163,0)),""))</x:f>
      </x:c>
      <x:c r="N63" s="1252" t="str">
        <x:f>IF($C63="","",IFERROR(INDEX('23 RCC-004 MASR Registry'!$Y$14:$Y$163,MATCH($C63,'23 RCC-004 MASR Registry'!$B$14:$B$163,0)),""))</x:f>
      </x:c>
      <x:c r="O63" s="1252" t="str">
        <x:f>IF($C63="","",IFERROR(INDEX('23 RCC-004 MASR Registry'!$L$14:$L$163,MATCH($C63,'23 RCC-004 MASR Registry'!$B$14:$B$163,0)),""))</x:f>
      </x:c>
      <x:c r="P63" s="1252" t="str">
        <x:f>IF($C63="","",IFERROR(INDEX('23 RCC-004 MASR Registry'!$M$14:$M$163,MATCH($C63,'23 RCC-004 MASR Registry'!$B$14:$B$163,0)),""))</x:f>
      </x:c>
      <x:c r="Q63" s="1255" t="str">
        <x:f>IF($C63="","",IFERROR(INDEX('23 RCC-004 MASR Registry'!$N$14:$N$163,MATCH($C63,'23 RCC-004 MASR Registry'!$B$14:$B$163,0)),""))</x:f>
      </x:c>
      <x:c r="R63" s="1255" t="str">
        <x:f>IF($C63="","",IFERROR(INDEX('23 RCC-004 MASR Registry'!$O$14:$O$163,MATCH($C63,'23 RCC-004 MASR Registry'!$B$14:$B$163,0)),""))</x:f>
      </x:c>
      <x:c r="S63" s="1255" t="str">
        <x:f>IF($C63="","",IFERROR(INDEX('23 RCC-004 MASR Registry'!$W$14:$W$163,MATCH($C63,'23 RCC-004 MASR Registry'!$B$14:$B$163,0)),""))</x:f>
      </x:c>
      <x:c r="T63" s="1255" t="str">
        <x:f>IF($C63="","",IFERROR(INDEX('23 RCC-004 MASR Registry'!$T$14:$T$163,MATCH($C63,'23 RCC-004 MASR Registry'!$B$14:$B$163,0)),""))</x:f>
      </x:c>
      <x:c r="U63" s="1256" t="str">
        <x:f>IF($C63="","",IFERROR(INDEX('23 RCC-004 MASR Registry'!$U$14:$U$163,MATCH($C63,'23 RCC-004 MASR Registry'!$B$14:$B$163,0)),""))</x:f>
      </x:c>
      <x:c r="V63" s="1252" t="str">
        <x:f>IF($C63="","",IFERROR(INDEX('23 RCC-004 MASR Registry'!$V$14:$V$163,MATCH($C63,'23 RCC-004 MASR Registry'!$B$14:$B$163,0)),""))</x:f>
      </x:c>
      <x:c r="W63" s="1242"/>
      <x:c r="X63" s="1256" t="str">
        <x:f>IF($C63="","",COUNTIF('18 RCC-002 Evidence Ledger'!$E$14:$E$213,$C63))</x:f>
      </x:c>
      <x:c r="Y63" s="1242"/>
      <x:c r="Z63" s="1253" t="str">
        <x:f>IF($A63="","",IF(COUNTIF($A$14:$A$213,$A63)&gt;1,"FAIL — DUPLICATE ID",IF(OR($B63="",$C63="",$E63="",$H63="",$Y63="",$AA63="",$AB63=""),"FAIL — INCOMPLETE",IF(AND(OR($Y63="MIAR Review",$Y63="Eligibility Review",$Y63="Candidate Comparison",$Y63="Committee Review",$Y63="Approved for MASR",$Y63="Referred to PEW-004",$Y63="On Watch",$Y63="Rejected",$Y63="Closed",$Y63="Removed"),$K63=""),"FAIL — MASR RECORD REQUIRED",IF(AND(OR($Y63="Eligibility Review",$Y63="Candidate Comparison",$Y63="Committee Review",$Y63="Approved for MASR",$Y63="Referred to PEW-004",$Y63="On Watch"),NOT(OR($M63="ELIGIBLE",$M63="ELIGIBLE WITH EXCEPTION",$M63="CERTIFIED HOLDING"))),"FAIL — ELIGIBILITY",IF(AND(OR($Y63="Candidate Comparison",$Y63="Committee Review",$Y63="Approved for MASR",$Y63="Referred to PEW-004",$Y63="On Watch"),$X63=0),"FAIL — EVIDENCE",IF(AND(OR($Y63="Candidate Comparison",$Y63="Committee Review",$Y63="Approved for MASR",$Y63="Referred to PEW-004",$Y63="On Watch"),OR($O63&lt;&gt;"Active",$P63&lt;&gt;"CURRENT")),"FAIL — MIAR GATE",IF(AND(OR($Y63="Approved for MASR",$Y63="Referred to PEW-004",$Y63="On Watch",$Y63="Rejected",$Y63="Closed",$Y63="Removed"),OR($AD63="",$AD63="Pending")),"FAIL — COMMITTEE DISPOSITION",IF(AND($Y63="Referred to PEW-004",OR($AF63&lt;&gt;"Yes — Refer to PEW-004",$AG63="",$AJ63="")),"FAIL — PEW REFERRAL","PASS — STAGE GATE")))))))))</x:f>
      </x:c>
      <x:c r="AA63" s="1242"/>
      <x:c r="AB63" s="1251"/>
      <x:c r="AC63" s="1257" t="str">
        <x:f>IF($B63="","",IF($AQ63&lt;&gt;"",$AQ63-$B63,TODAY()-$B63))</x:f>
      </x:c>
      <x:c r="AD63" s="1242"/>
      <x:c r="AE63" s="1251"/>
      <x:c r="AF63" s="1242"/>
      <x:c r="AG63" s="1242"/>
      <x:c r="AH63" s="1255" t="str">
        <x:f>IF($AG63="","",IFERROR(INDEX('10 Candidate Comparison'!$T$14:$T$33,MATCH($AG63,'10 Candidate Comparison'!$A$14:$A$33,0)),""))</x:f>
      </x:c>
      <x:c r="AI63" s="1252" t="str">
        <x:f>IF($AG63="","",IFERROR(INDEX('10 Candidate Comparison'!$U$14:$U$33,MATCH($AG63,'10 Candidate Comparison'!$A$14:$A$33,0)),""))</x:f>
      </x:c>
      <x:c r="AJ63" s="1252" t="str">
        <x:f>IF($AG63="","",IFERROR(INDEX('10 Candidate Comparison'!$Y$14:$Y$33,MATCH($AG63,'10 Candidate Comparison'!$A$14:$A$33,0)),""))</x:f>
      </x:c>
      <x:c r="AK63" s="1253" t="str">
        <x:f>IF($A63="","",IF($Z63="FAIL — DUPLICATE ID","DUPLICATE CANDIDATE ID",IF($Z63="FAIL — INCOMPLETE","INCOMPLETE",IF($Z63="FAIL — MASR RECORD REQUIRED","MASR RECORD REQUIRED",IF($Z63="FAIL — ELIGIBILITY","ELIGIBILITY BLOCK",IF($Z63="FAIL — EVIDENCE","EVIDENCE REQUIRED",IF($Z63="FAIL — MIAR GATE","MIAR GATE BLOCK",IF($Z63="FAIL — COMMITTEE DISPOSITION","COMMITTEE DECISION REQUIRED",IF($Z63="FAIL — PEW REFERRAL","PEW REFERRAL INCOMPLETE",IF(AND(OR($Y63="Rejected",$Y63="Closed",$Y63="Removed"),OR($AO63="",$AP63="",$AQ63="")),"CLOSURE REQUIRED",IF(AND($AB63&lt;TODAY(),NOT(OR($Y63="Rejected",$Y63="Closed",$Y63="Removed"))),"OVERDUE",IF(OR($Y63="Rejected",$Y63="Closed",$Y63="Removed"),"CLOSED","OPEN — ON TRACK"))))))))))))</x:f>
      </x:c>
      <x:c r="AL63" s="1253" t="str">
        <x:f>IF($AK63="","",IFERROR(INDEX('97 RCC Lists'!$AM$5:$AM$16,MATCH($AK63,'97 RCC Lists'!$AL$5:$AL$16,0)),"Review candidate exception"))</x:f>
      </x:c>
      <x:c r="AM63" s="1242"/>
      <x:c r="AN63" s="1242"/>
      <x:c r="AO63" s="1242"/>
      <x:c r="AP63" s="1242"/>
      <x:c r="AQ63" s="1251"/>
    </x:row>
    <x:row r="64" ht="32" customHeight="1">
      <x:c r="A64" s="1242"/>
      <x:c r="B64" s="1251"/>
      <x:c r="C64" s="1242"/>
      <x:c r="D64" s="1243" t="str">
        <x:f>IF($C64="","",IFERROR(INDEX('23 RCC-004 MASR Registry'!$C$14:$C$163,MATCH($C64,'23 RCC-004 MASR Registry'!$B$14:$B$163,0)),""))</x:f>
      </x:c>
      <x:c r="E64" s="1242"/>
      <x:c r="F64" s="1242"/>
      <x:c r="G64" s="1242"/>
      <x:c r="H64" s="1242"/>
      <x:c r="I64" s="1243" t="str">
        <x:f>IF($C64="","",IFERROR(INDEX('23 RCC-004 MASR Registry'!$G$14:$G$163,MATCH($C64,'23 RCC-004 MASR Registry'!$B$14:$B$163,0)),""))</x:f>
      </x:c>
      <x:c r="J64" s="1243" t="str">
        <x:f>IF($C64="","",IFERROR(INDEX('23 RCC-004 MASR Registry'!$H$14:$H$163,MATCH($C64,'23 RCC-004 MASR Registry'!$B$14:$B$163,0)),""))</x:f>
      </x:c>
      <x:c r="K64" s="1243" t="str">
        <x:f>IF($C64="","",IFERROR(INDEX('23 RCC-004 MASR Registry'!$D$14:$D$163,MATCH($C64,'23 RCC-004 MASR Registry'!$B$14:$B$163,0)),""))</x:f>
      </x:c>
      <x:c r="L64" s="1243" t="str">
        <x:f>IF($C64="","",IFERROR(INDEX('23 RCC-004 MASR Registry'!$E$14:$E$163,MATCH($C64,'23 RCC-004 MASR Registry'!$B$14:$B$163,0)),""))</x:f>
      </x:c>
      <x:c r="M64" s="1243" t="str">
        <x:f>IF($C64="","",IFERROR(INDEX('23 RCC-004 MASR Registry'!$X$14:$X$163,MATCH($C64,'23 RCC-004 MASR Registry'!$B$14:$B$163,0)),""))</x:f>
      </x:c>
      <x:c r="N64" s="1243" t="str">
        <x:f>IF($C64="","",IFERROR(INDEX('23 RCC-004 MASR Registry'!$Y$14:$Y$163,MATCH($C64,'23 RCC-004 MASR Registry'!$B$14:$B$163,0)),""))</x:f>
      </x:c>
      <x:c r="O64" s="1243" t="str">
        <x:f>IF($C64="","",IFERROR(INDEX('23 RCC-004 MASR Registry'!$L$14:$L$163,MATCH($C64,'23 RCC-004 MASR Registry'!$B$14:$B$163,0)),""))</x:f>
      </x:c>
      <x:c r="P64" s="1243" t="str">
        <x:f>IF($C64="","",IFERROR(INDEX('23 RCC-004 MASR Registry'!$M$14:$M$163,MATCH($C64,'23 RCC-004 MASR Registry'!$B$14:$B$163,0)),""))</x:f>
      </x:c>
      <x:c r="Q64" s="1246" t="str">
        <x:f>IF($C64="","",IFERROR(INDEX('23 RCC-004 MASR Registry'!$N$14:$N$163,MATCH($C64,'23 RCC-004 MASR Registry'!$B$14:$B$163,0)),""))</x:f>
      </x:c>
      <x:c r="R64" s="1246" t="str">
        <x:f>IF($C64="","",IFERROR(INDEX('23 RCC-004 MASR Registry'!$O$14:$O$163,MATCH($C64,'23 RCC-004 MASR Registry'!$B$14:$B$163,0)),""))</x:f>
      </x:c>
      <x:c r="S64" s="1246" t="str">
        <x:f>IF($C64="","",IFERROR(INDEX('23 RCC-004 MASR Registry'!$W$14:$W$163,MATCH($C64,'23 RCC-004 MASR Registry'!$B$14:$B$163,0)),""))</x:f>
      </x:c>
      <x:c r="T64" s="1246" t="str">
        <x:f>IF($C64="","",IFERROR(INDEX('23 RCC-004 MASR Registry'!$T$14:$T$163,MATCH($C64,'23 RCC-004 MASR Registry'!$B$14:$B$163,0)),""))</x:f>
      </x:c>
      <x:c r="U64" s="1247" t="str">
        <x:f>IF($C64="","",IFERROR(INDEX('23 RCC-004 MASR Registry'!$U$14:$U$163,MATCH($C64,'23 RCC-004 MASR Registry'!$B$14:$B$163,0)),""))</x:f>
      </x:c>
      <x:c r="V64" s="1243" t="str">
        <x:f>IF($C64="","",IFERROR(INDEX('23 RCC-004 MASR Registry'!$V$14:$V$163,MATCH($C64,'23 RCC-004 MASR Registry'!$B$14:$B$163,0)),""))</x:f>
      </x:c>
      <x:c r="W64" s="1242"/>
      <x:c r="X64" s="1247" t="str">
        <x:f>IF($C64="","",COUNTIF('18 RCC-002 Evidence Ledger'!$E$14:$E$213,$C64))</x:f>
      </x:c>
      <x:c r="Y64" s="1242"/>
      <x:c r="Z64" s="1244" t="str">
        <x:f>IF($A64="","",IF(COUNTIF($A$14:$A$213,$A64)&gt;1,"FAIL — DUPLICATE ID",IF(OR($B64="",$C64="",$E64="",$H64="",$Y64="",$AA64="",$AB64=""),"FAIL — INCOMPLETE",IF(AND(OR($Y64="MIAR Review",$Y64="Eligibility Review",$Y64="Candidate Comparison",$Y64="Committee Review",$Y64="Approved for MASR",$Y64="Referred to PEW-004",$Y64="On Watch",$Y64="Rejected",$Y64="Closed",$Y64="Removed"),$K64=""),"FAIL — MASR RECORD REQUIRED",IF(AND(OR($Y64="Eligibility Review",$Y64="Candidate Comparison",$Y64="Committee Review",$Y64="Approved for MASR",$Y64="Referred to PEW-004",$Y64="On Watch"),NOT(OR($M64="ELIGIBLE",$M64="ELIGIBLE WITH EXCEPTION",$M64="CERTIFIED HOLDING"))),"FAIL — ELIGIBILITY",IF(AND(OR($Y64="Candidate Comparison",$Y64="Committee Review",$Y64="Approved for MASR",$Y64="Referred to PEW-004",$Y64="On Watch"),$X64=0),"FAIL — EVIDENCE",IF(AND(OR($Y64="Candidate Comparison",$Y64="Committee Review",$Y64="Approved for MASR",$Y64="Referred to PEW-004",$Y64="On Watch"),OR($O64&lt;&gt;"Active",$P64&lt;&gt;"CURRENT")),"FAIL — MIAR GATE",IF(AND(OR($Y64="Approved for MASR",$Y64="Referred to PEW-004",$Y64="On Watch",$Y64="Rejected",$Y64="Closed",$Y64="Removed"),OR($AD64="",$AD64="Pending")),"FAIL — COMMITTEE DISPOSITION",IF(AND($Y64="Referred to PEW-004",OR($AF64&lt;&gt;"Yes — Refer to PEW-004",$AG64="",$AJ64="")),"FAIL — PEW REFERRAL","PASS — STAGE GATE")))))))))</x:f>
      </x:c>
      <x:c r="AA64" s="1242"/>
      <x:c r="AB64" s="1251"/>
      <x:c r="AC64" s="1250" t="str">
        <x:f>IF($B64="","",IF($AQ64&lt;&gt;"",$AQ64-$B64,TODAY()-$B64))</x:f>
      </x:c>
      <x:c r="AD64" s="1242"/>
      <x:c r="AE64" s="1251"/>
      <x:c r="AF64" s="1242"/>
      <x:c r="AG64" s="1242"/>
      <x:c r="AH64" s="1246" t="str">
        <x:f>IF($AG64="","",IFERROR(INDEX('10 Candidate Comparison'!$T$14:$T$33,MATCH($AG64,'10 Candidate Comparison'!$A$14:$A$33,0)),""))</x:f>
      </x:c>
      <x:c r="AI64" s="1243" t="str">
        <x:f>IF($AG64="","",IFERROR(INDEX('10 Candidate Comparison'!$U$14:$U$33,MATCH($AG64,'10 Candidate Comparison'!$A$14:$A$33,0)),""))</x:f>
      </x:c>
      <x:c r="AJ64" s="1243" t="str">
        <x:f>IF($AG64="","",IFERROR(INDEX('10 Candidate Comparison'!$Y$14:$Y$33,MATCH($AG64,'10 Candidate Comparison'!$A$14:$A$33,0)),""))</x:f>
      </x:c>
      <x:c r="AK64" s="1244" t="str">
        <x:f>IF($A64="","",IF($Z64="FAIL — DUPLICATE ID","DUPLICATE CANDIDATE ID",IF($Z64="FAIL — INCOMPLETE","INCOMPLETE",IF($Z64="FAIL — MASR RECORD REQUIRED","MASR RECORD REQUIRED",IF($Z64="FAIL — ELIGIBILITY","ELIGIBILITY BLOCK",IF($Z64="FAIL — EVIDENCE","EVIDENCE REQUIRED",IF($Z64="FAIL — MIAR GATE","MIAR GATE BLOCK",IF($Z64="FAIL — COMMITTEE DISPOSITION","COMMITTEE DECISION REQUIRED",IF($Z64="FAIL — PEW REFERRAL","PEW REFERRAL INCOMPLETE",IF(AND(OR($Y64="Rejected",$Y64="Closed",$Y64="Removed"),OR($AO64="",$AP64="",$AQ64="")),"CLOSURE REQUIRED",IF(AND($AB64&lt;TODAY(),NOT(OR($Y64="Rejected",$Y64="Closed",$Y64="Removed"))),"OVERDUE",IF(OR($Y64="Rejected",$Y64="Closed",$Y64="Removed"),"CLOSED","OPEN — ON TRACK"))))))))))))</x:f>
      </x:c>
      <x:c r="AL64" s="1244" t="str">
        <x:f>IF($AK64="","",IFERROR(INDEX('97 RCC Lists'!$AM$5:$AM$16,MATCH($AK64,'97 RCC Lists'!$AL$5:$AL$16,0)),"Review candidate exception"))</x:f>
      </x:c>
      <x:c r="AM64" s="1242"/>
      <x:c r="AN64" s="1242"/>
      <x:c r="AO64" s="1242"/>
      <x:c r="AP64" s="1242"/>
      <x:c r="AQ64" s="1251"/>
    </x:row>
    <x:row r="65" ht="32" customHeight="1">
      <x:c r="A65" s="1242"/>
      <x:c r="B65" s="1251"/>
      <x:c r="C65" s="1242"/>
      <x:c r="D65" s="1252" t="str">
        <x:f>IF($C65="","",IFERROR(INDEX('23 RCC-004 MASR Registry'!$C$14:$C$163,MATCH($C65,'23 RCC-004 MASR Registry'!$B$14:$B$163,0)),""))</x:f>
      </x:c>
      <x:c r="E65" s="1242"/>
      <x:c r="F65" s="1242"/>
      <x:c r="G65" s="1242"/>
      <x:c r="H65" s="1242"/>
      <x:c r="I65" s="1252" t="str">
        <x:f>IF($C65="","",IFERROR(INDEX('23 RCC-004 MASR Registry'!$G$14:$G$163,MATCH($C65,'23 RCC-004 MASR Registry'!$B$14:$B$163,0)),""))</x:f>
      </x:c>
      <x:c r="J65" s="1252" t="str">
        <x:f>IF($C65="","",IFERROR(INDEX('23 RCC-004 MASR Registry'!$H$14:$H$163,MATCH($C65,'23 RCC-004 MASR Registry'!$B$14:$B$163,0)),""))</x:f>
      </x:c>
      <x:c r="K65" s="1252" t="str">
        <x:f>IF($C65="","",IFERROR(INDEX('23 RCC-004 MASR Registry'!$D$14:$D$163,MATCH($C65,'23 RCC-004 MASR Registry'!$B$14:$B$163,0)),""))</x:f>
      </x:c>
      <x:c r="L65" s="1252" t="str">
        <x:f>IF($C65="","",IFERROR(INDEX('23 RCC-004 MASR Registry'!$E$14:$E$163,MATCH($C65,'23 RCC-004 MASR Registry'!$B$14:$B$163,0)),""))</x:f>
      </x:c>
      <x:c r="M65" s="1252" t="str">
        <x:f>IF($C65="","",IFERROR(INDEX('23 RCC-004 MASR Registry'!$X$14:$X$163,MATCH($C65,'23 RCC-004 MASR Registry'!$B$14:$B$163,0)),""))</x:f>
      </x:c>
      <x:c r="N65" s="1252" t="str">
        <x:f>IF($C65="","",IFERROR(INDEX('23 RCC-004 MASR Registry'!$Y$14:$Y$163,MATCH($C65,'23 RCC-004 MASR Registry'!$B$14:$B$163,0)),""))</x:f>
      </x:c>
      <x:c r="O65" s="1252" t="str">
        <x:f>IF($C65="","",IFERROR(INDEX('23 RCC-004 MASR Registry'!$L$14:$L$163,MATCH($C65,'23 RCC-004 MASR Registry'!$B$14:$B$163,0)),""))</x:f>
      </x:c>
      <x:c r="P65" s="1252" t="str">
        <x:f>IF($C65="","",IFERROR(INDEX('23 RCC-004 MASR Registry'!$M$14:$M$163,MATCH($C65,'23 RCC-004 MASR Registry'!$B$14:$B$163,0)),""))</x:f>
      </x:c>
      <x:c r="Q65" s="1255" t="str">
        <x:f>IF($C65="","",IFERROR(INDEX('23 RCC-004 MASR Registry'!$N$14:$N$163,MATCH($C65,'23 RCC-004 MASR Registry'!$B$14:$B$163,0)),""))</x:f>
      </x:c>
      <x:c r="R65" s="1255" t="str">
        <x:f>IF($C65="","",IFERROR(INDEX('23 RCC-004 MASR Registry'!$O$14:$O$163,MATCH($C65,'23 RCC-004 MASR Registry'!$B$14:$B$163,0)),""))</x:f>
      </x:c>
      <x:c r="S65" s="1255" t="str">
        <x:f>IF($C65="","",IFERROR(INDEX('23 RCC-004 MASR Registry'!$W$14:$W$163,MATCH($C65,'23 RCC-004 MASR Registry'!$B$14:$B$163,0)),""))</x:f>
      </x:c>
      <x:c r="T65" s="1255" t="str">
        <x:f>IF($C65="","",IFERROR(INDEX('23 RCC-004 MASR Registry'!$T$14:$T$163,MATCH($C65,'23 RCC-004 MASR Registry'!$B$14:$B$163,0)),""))</x:f>
      </x:c>
      <x:c r="U65" s="1256" t="str">
        <x:f>IF($C65="","",IFERROR(INDEX('23 RCC-004 MASR Registry'!$U$14:$U$163,MATCH($C65,'23 RCC-004 MASR Registry'!$B$14:$B$163,0)),""))</x:f>
      </x:c>
      <x:c r="V65" s="1252" t="str">
        <x:f>IF($C65="","",IFERROR(INDEX('23 RCC-004 MASR Registry'!$V$14:$V$163,MATCH($C65,'23 RCC-004 MASR Registry'!$B$14:$B$163,0)),""))</x:f>
      </x:c>
      <x:c r="W65" s="1242"/>
      <x:c r="X65" s="1256" t="str">
        <x:f>IF($C65="","",COUNTIF('18 RCC-002 Evidence Ledger'!$E$14:$E$213,$C65))</x:f>
      </x:c>
      <x:c r="Y65" s="1242"/>
      <x:c r="Z65" s="1253" t="str">
        <x:f>IF($A65="","",IF(COUNTIF($A$14:$A$213,$A65)&gt;1,"FAIL — DUPLICATE ID",IF(OR($B65="",$C65="",$E65="",$H65="",$Y65="",$AA65="",$AB65=""),"FAIL — INCOMPLETE",IF(AND(OR($Y65="MIAR Review",$Y65="Eligibility Review",$Y65="Candidate Comparison",$Y65="Committee Review",$Y65="Approved for MASR",$Y65="Referred to PEW-004",$Y65="On Watch",$Y65="Rejected",$Y65="Closed",$Y65="Removed"),$K65=""),"FAIL — MASR RECORD REQUIRED",IF(AND(OR($Y65="Eligibility Review",$Y65="Candidate Comparison",$Y65="Committee Review",$Y65="Approved for MASR",$Y65="Referred to PEW-004",$Y65="On Watch"),NOT(OR($M65="ELIGIBLE",$M65="ELIGIBLE WITH EXCEPTION",$M65="CERTIFIED HOLDING"))),"FAIL — ELIGIBILITY",IF(AND(OR($Y65="Candidate Comparison",$Y65="Committee Review",$Y65="Approved for MASR",$Y65="Referred to PEW-004",$Y65="On Watch"),$X65=0),"FAIL — EVIDENCE",IF(AND(OR($Y65="Candidate Comparison",$Y65="Committee Review",$Y65="Approved for MASR",$Y65="Referred to PEW-004",$Y65="On Watch"),OR($O65&lt;&gt;"Active",$P65&lt;&gt;"CURRENT")),"FAIL — MIAR GATE",IF(AND(OR($Y65="Approved for MASR",$Y65="Referred to PEW-004",$Y65="On Watch",$Y65="Rejected",$Y65="Closed",$Y65="Removed"),OR($AD65="",$AD65="Pending")),"FAIL — COMMITTEE DISPOSITION",IF(AND($Y65="Referred to PEW-004",OR($AF65&lt;&gt;"Yes — Refer to PEW-004",$AG65="",$AJ65="")),"FAIL — PEW REFERRAL","PASS — STAGE GATE")))))))))</x:f>
      </x:c>
      <x:c r="AA65" s="1242"/>
      <x:c r="AB65" s="1251"/>
      <x:c r="AC65" s="1257" t="str">
        <x:f>IF($B65="","",IF($AQ65&lt;&gt;"",$AQ65-$B65,TODAY()-$B65))</x:f>
      </x:c>
      <x:c r="AD65" s="1242"/>
      <x:c r="AE65" s="1251"/>
      <x:c r="AF65" s="1242"/>
      <x:c r="AG65" s="1242"/>
      <x:c r="AH65" s="1255" t="str">
        <x:f>IF($AG65="","",IFERROR(INDEX('10 Candidate Comparison'!$T$14:$T$33,MATCH($AG65,'10 Candidate Comparison'!$A$14:$A$33,0)),""))</x:f>
      </x:c>
      <x:c r="AI65" s="1252" t="str">
        <x:f>IF($AG65="","",IFERROR(INDEX('10 Candidate Comparison'!$U$14:$U$33,MATCH($AG65,'10 Candidate Comparison'!$A$14:$A$33,0)),""))</x:f>
      </x:c>
      <x:c r="AJ65" s="1252" t="str">
        <x:f>IF($AG65="","",IFERROR(INDEX('10 Candidate Comparison'!$Y$14:$Y$33,MATCH($AG65,'10 Candidate Comparison'!$A$14:$A$33,0)),""))</x:f>
      </x:c>
      <x:c r="AK65" s="1253" t="str">
        <x:f>IF($A65="","",IF($Z65="FAIL — DUPLICATE ID","DUPLICATE CANDIDATE ID",IF($Z65="FAIL — INCOMPLETE","INCOMPLETE",IF($Z65="FAIL — MASR RECORD REQUIRED","MASR RECORD REQUIRED",IF($Z65="FAIL — ELIGIBILITY","ELIGIBILITY BLOCK",IF($Z65="FAIL — EVIDENCE","EVIDENCE REQUIRED",IF($Z65="FAIL — MIAR GATE","MIAR GATE BLOCK",IF($Z65="FAIL — COMMITTEE DISPOSITION","COMMITTEE DECISION REQUIRED",IF($Z65="FAIL — PEW REFERRAL","PEW REFERRAL INCOMPLETE",IF(AND(OR($Y65="Rejected",$Y65="Closed",$Y65="Removed"),OR($AO65="",$AP65="",$AQ65="")),"CLOSURE REQUIRED",IF(AND($AB65&lt;TODAY(),NOT(OR($Y65="Rejected",$Y65="Closed",$Y65="Removed"))),"OVERDUE",IF(OR($Y65="Rejected",$Y65="Closed",$Y65="Removed"),"CLOSED","OPEN — ON TRACK"))))))))))))</x:f>
      </x:c>
      <x:c r="AL65" s="1253" t="str">
        <x:f>IF($AK65="","",IFERROR(INDEX('97 RCC Lists'!$AM$5:$AM$16,MATCH($AK65,'97 RCC Lists'!$AL$5:$AL$16,0)),"Review candidate exception"))</x:f>
      </x:c>
      <x:c r="AM65" s="1242"/>
      <x:c r="AN65" s="1242"/>
      <x:c r="AO65" s="1242"/>
      <x:c r="AP65" s="1242"/>
      <x:c r="AQ65" s="1251"/>
    </x:row>
    <x:row r="66" ht="32" customHeight="1">
      <x:c r="A66" s="1242"/>
      <x:c r="B66" s="1251"/>
      <x:c r="C66" s="1242"/>
      <x:c r="D66" s="1243" t="str">
        <x:f>IF($C66="","",IFERROR(INDEX('23 RCC-004 MASR Registry'!$C$14:$C$163,MATCH($C66,'23 RCC-004 MASR Registry'!$B$14:$B$163,0)),""))</x:f>
      </x:c>
      <x:c r="E66" s="1242"/>
      <x:c r="F66" s="1242"/>
      <x:c r="G66" s="1242"/>
      <x:c r="H66" s="1242"/>
      <x:c r="I66" s="1243" t="str">
        <x:f>IF($C66="","",IFERROR(INDEX('23 RCC-004 MASR Registry'!$G$14:$G$163,MATCH($C66,'23 RCC-004 MASR Registry'!$B$14:$B$163,0)),""))</x:f>
      </x:c>
      <x:c r="J66" s="1243" t="str">
        <x:f>IF($C66="","",IFERROR(INDEX('23 RCC-004 MASR Registry'!$H$14:$H$163,MATCH($C66,'23 RCC-004 MASR Registry'!$B$14:$B$163,0)),""))</x:f>
      </x:c>
      <x:c r="K66" s="1243" t="str">
        <x:f>IF($C66="","",IFERROR(INDEX('23 RCC-004 MASR Registry'!$D$14:$D$163,MATCH($C66,'23 RCC-004 MASR Registry'!$B$14:$B$163,0)),""))</x:f>
      </x:c>
      <x:c r="L66" s="1243" t="str">
        <x:f>IF($C66="","",IFERROR(INDEX('23 RCC-004 MASR Registry'!$E$14:$E$163,MATCH($C66,'23 RCC-004 MASR Registry'!$B$14:$B$163,0)),""))</x:f>
      </x:c>
      <x:c r="M66" s="1243" t="str">
        <x:f>IF($C66="","",IFERROR(INDEX('23 RCC-004 MASR Registry'!$X$14:$X$163,MATCH($C66,'23 RCC-004 MASR Registry'!$B$14:$B$163,0)),""))</x:f>
      </x:c>
      <x:c r="N66" s="1243" t="str">
        <x:f>IF($C66="","",IFERROR(INDEX('23 RCC-004 MASR Registry'!$Y$14:$Y$163,MATCH($C66,'23 RCC-004 MASR Registry'!$B$14:$B$163,0)),""))</x:f>
      </x:c>
      <x:c r="O66" s="1243" t="str">
        <x:f>IF($C66="","",IFERROR(INDEX('23 RCC-004 MASR Registry'!$L$14:$L$163,MATCH($C66,'23 RCC-004 MASR Registry'!$B$14:$B$163,0)),""))</x:f>
      </x:c>
      <x:c r="P66" s="1243" t="str">
        <x:f>IF($C66="","",IFERROR(INDEX('23 RCC-004 MASR Registry'!$M$14:$M$163,MATCH($C66,'23 RCC-004 MASR Registry'!$B$14:$B$163,0)),""))</x:f>
      </x:c>
      <x:c r="Q66" s="1246" t="str">
        <x:f>IF($C66="","",IFERROR(INDEX('23 RCC-004 MASR Registry'!$N$14:$N$163,MATCH($C66,'23 RCC-004 MASR Registry'!$B$14:$B$163,0)),""))</x:f>
      </x:c>
      <x:c r="R66" s="1246" t="str">
        <x:f>IF($C66="","",IFERROR(INDEX('23 RCC-004 MASR Registry'!$O$14:$O$163,MATCH($C66,'23 RCC-004 MASR Registry'!$B$14:$B$163,0)),""))</x:f>
      </x:c>
      <x:c r="S66" s="1246" t="str">
        <x:f>IF($C66="","",IFERROR(INDEX('23 RCC-004 MASR Registry'!$W$14:$W$163,MATCH($C66,'23 RCC-004 MASR Registry'!$B$14:$B$163,0)),""))</x:f>
      </x:c>
      <x:c r="T66" s="1246" t="str">
        <x:f>IF($C66="","",IFERROR(INDEX('23 RCC-004 MASR Registry'!$T$14:$T$163,MATCH($C66,'23 RCC-004 MASR Registry'!$B$14:$B$163,0)),""))</x:f>
      </x:c>
      <x:c r="U66" s="1247" t="str">
        <x:f>IF($C66="","",IFERROR(INDEX('23 RCC-004 MASR Registry'!$U$14:$U$163,MATCH($C66,'23 RCC-004 MASR Registry'!$B$14:$B$163,0)),""))</x:f>
      </x:c>
      <x:c r="V66" s="1243" t="str">
        <x:f>IF($C66="","",IFERROR(INDEX('23 RCC-004 MASR Registry'!$V$14:$V$163,MATCH($C66,'23 RCC-004 MASR Registry'!$B$14:$B$163,0)),""))</x:f>
      </x:c>
      <x:c r="W66" s="1242"/>
      <x:c r="X66" s="1247" t="str">
        <x:f>IF($C66="","",COUNTIF('18 RCC-002 Evidence Ledger'!$E$14:$E$213,$C66))</x:f>
      </x:c>
      <x:c r="Y66" s="1242"/>
      <x:c r="Z66" s="1244" t="str">
        <x:f>IF($A66="","",IF(COUNTIF($A$14:$A$213,$A66)&gt;1,"FAIL — DUPLICATE ID",IF(OR($B66="",$C66="",$E66="",$H66="",$Y66="",$AA66="",$AB66=""),"FAIL — INCOMPLETE",IF(AND(OR($Y66="MIAR Review",$Y66="Eligibility Review",$Y66="Candidate Comparison",$Y66="Committee Review",$Y66="Approved for MASR",$Y66="Referred to PEW-004",$Y66="On Watch",$Y66="Rejected",$Y66="Closed",$Y66="Removed"),$K66=""),"FAIL — MASR RECORD REQUIRED",IF(AND(OR($Y66="Eligibility Review",$Y66="Candidate Comparison",$Y66="Committee Review",$Y66="Approved for MASR",$Y66="Referred to PEW-004",$Y66="On Watch"),NOT(OR($M66="ELIGIBLE",$M66="ELIGIBLE WITH EXCEPTION",$M66="CERTIFIED HOLDING"))),"FAIL — ELIGIBILITY",IF(AND(OR($Y66="Candidate Comparison",$Y66="Committee Review",$Y66="Approved for MASR",$Y66="Referred to PEW-004",$Y66="On Watch"),$X66=0),"FAIL — EVIDENCE",IF(AND(OR($Y66="Candidate Comparison",$Y66="Committee Review",$Y66="Approved for MASR",$Y66="Referred to PEW-004",$Y66="On Watch"),OR($O66&lt;&gt;"Active",$P66&lt;&gt;"CURRENT")),"FAIL — MIAR GATE",IF(AND(OR($Y66="Approved for MASR",$Y66="Referred to PEW-004",$Y66="On Watch",$Y66="Rejected",$Y66="Closed",$Y66="Removed"),OR($AD66="",$AD66="Pending")),"FAIL — COMMITTEE DISPOSITION",IF(AND($Y66="Referred to PEW-004",OR($AF66&lt;&gt;"Yes — Refer to PEW-004",$AG66="",$AJ66="")),"FAIL — PEW REFERRAL","PASS — STAGE GATE")))))))))</x:f>
      </x:c>
      <x:c r="AA66" s="1242"/>
      <x:c r="AB66" s="1251"/>
      <x:c r="AC66" s="1250" t="str">
        <x:f>IF($B66="","",IF($AQ66&lt;&gt;"",$AQ66-$B66,TODAY()-$B66))</x:f>
      </x:c>
      <x:c r="AD66" s="1242"/>
      <x:c r="AE66" s="1251"/>
      <x:c r="AF66" s="1242"/>
      <x:c r="AG66" s="1242"/>
      <x:c r="AH66" s="1246" t="str">
        <x:f>IF($AG66="","",IFERROR(INDEX('10 Candidate Comparison'!$T$14:$T$33,MATCH($AG66,'10 Candidate Comparison'!$A$14:$A$33,0)),""))</x:f>
      </x:c>
      <x:c r="AI66" s="1243" t="str">
        <x:f>IF($AG66="","",IFERROR(INDEX('10 Candidate Comparison'!$U$14:$U$33,MATCH($AG66,'10 Candidate Comparison'!$A$14:$A$33,0)),""))</x:f>
      </x:c>
      <x:c r="AJ66" s="1243" t="str">
        <x:f>IF($AG66="","",IFERROR(INDEX('10 Candidate Comparison'!$Y$14:$Y$33,MATCH($AG66,'10 Candidate Comparison'!$A$14:$A$33,0)),""))</x:f>
      </x:c>
      <x:c r="AK66" s="1244" t="str">
        <x:f>IF($A66="","",IF($Z66="FAIL — DUPLICATE ID","DUPLICATE CANDIDATE ID",IF($Z66="FAIL — INCOMPLETE","INCOMPLETE",IF($Z66="FAIL — MASR RECORD REQUIRED","MASR RECORD REQUIRED",IF($Z66="FAIL — ELIGIBILITY","ELIGIBILITY BLOCK",IF($Z66="FAIL — EVIDENCE","EVIDENCE REQUIRED",IF($Z66="FAIL — MIAR GATE","MIAR GATE BLOCK",IF($Z66="FAIL — COMMITTEE DISPOSITION","COMMITTEE DECISION REQUIRED",IF($Z66="FAIL — PEW REFERRAL","PEW REFERRAL INCOMPLETE",IF(AND(OR($Y66="Rejected",$Y66="Closed",$Y66="Removed"),OR($AO66="",$AP66="",$AQ66="")),"CLOSURE REQUIRED",IF(AND($AB66&lt;TODAY(),NOT(OR($Y66="Rejected",$Y66="Closed",$Y66="Removed"))),"OVERDUE",IF(OR($Y66="Rejected",$Y66="Closed",$Y66="Removed"),"CLOSED","OPEN — ON TRACK"))))))))))))</x:f>
      </x:c>
      <x:c r="AL66" s="1244" t="str">
        <x:f>IF($AK66="","",IFERROR(INDEX('97 RCC Lists'!$AM$5:$AM$16,MATCH($AK66,'97 RCC Lists'!$AL$5:$AL$16,0)),"Review candidate exception"))</x:f>
      </x:c>
      <x:c r="AM66" s="1242"/>
      <x:c r="AN66" s="1242"/>
      <x:c r="AO66" s="1242"/>
      <x:c r="AP66" s="1242"/>
      <x:c r="AQ66" s="1251"/>
    </x:row>
    <x:row r="67" ht="32" customHeight="1">
      <x:c r="A67" s="1242"/>
      <x:c r="B67" s="1251"/>
      <x:c r="C67" s="1242"/>
      <x:c r="D67" s="1252" t="str">
        <x:f>IF($C67="","",IFERROR(INDEX('23 RCC-004 MASR Registry'!$C$14:$C$163,MATCH($C67,'23 RCC-004 MASR Registry'!$B$14:$B$163,0)),""))</x:f>
      </x:c>
      <x:c r="E67" s="1242"/>
      <x:c r="F67" s="1242"/>
      <x:c r="G67" s="1242"/>
      <x:c r="H67" s="1242"/>
      <x:c r="I67" s="1252" t="str">
        <x:f>IF($C67="","",IFERROR(INDEX('23 RCC-004 MASR Registry'!$G$14:$G$163,MATCH($C67,'23 RCC-004 MASR Registry'!$B$14:$B$163,0)),""))</x:f>
      </x:c>
      <x:c r="J67" s="1252" t="str">
        <x:f>IF($C67="","",IFERROR(INDEX('23 RCC-004 MASR Registry'!$H$14:$H$163,MATCH($C67,'23 RCC-004 MASR Registry'!$B$14:$B$163,0)),""))</x:f>
      </x:c>
      <x:c r="K67" s="1252" t="str">
        <x:f>IF($C67="","",IFERROR(INDEX('23 RCC-004 MASR Registry'!$D$14:$D$163,MATCH($C67,'23 RCC-004 MASR Registry'!$B$14:$B$163,0)),""))</x:f>
      </x:c>
      <x:c r="L67" s="1252" t="str">
        <x:f>IF($C67="","",IFERROR(INDEX('23 RCC-004 MASR Registry'!$E$14:$E$163,MATCH($C67,'23 RCC-004 MASR Registry'!$B$14:$B$163,0)),""))</x:f>
      </x:c>
      <x:c r="M67" s="1252" t="str">
        <x:f>IF($C67="","",IFERROR(INDEX('23 RCC-004 MASR Registry'!$X$14:$X$163,MATCH($C67,'23 RCC-004 MASR Registry'!$B$14:$B$163,0)),""))</x:f>
      </x:c>
      <x:c r="N67" s="1252" t="str">
        <x:f>IF($C67="","",IFERROR(INDEX('23 RCC-004 MASR Registry'!$Y$14:$Y$163,MATCH($C67,'23 RCC-004 MASR Registry'!$B$14:$B$163,0)),""))</x:f>
      </x:c>
      <x:c r="O67" s="1252" t="str">
        <x:f>IF($C67="","",IFERROR(INDEX('23 RCC-004 MASR Registry'!$L$14:$L$163,MATCH($C67,'23 RCC-004 MASR Registry'!$B$14:$B$163,0)),""))</x:f>
      </x:c>
      <x:c r="P67" s="1252" t="str">
        <x:f>IF($C67="","",IFERROR(INDEX('23 RCC-004 MASR Registry'!$M$14:$M$163,MATCH($C67,'23 RCC-004 MASR Registry'!$B$14:$B$163,0)),""))</x:f>
      </x:c>
      <x:c r="Q67" s="1255" t="str">
        <x:f>IF($C67="","",IFERROR(INDEX('23 RCC-004 MASR Registry'!$N$14:$N$163,MATCH($C67,'23 RCC-004 MASR Registry'!$B$14:$B$163,0)),""))</x:f>
      </x:c>
      <x:c r="R67" s="1255" t="str">
        <x:f>IF($C67="","",IFERROR(INDEX('23 RCC-004 MASR Registry'!$O$14:$O$163,MATCH($C67,'23 RCC-004 MASR Registry'!$B$14:$B$163,0)),""))</x:f>
      </x:c>
      <x:c r="S67" s="1255" t="str">
        <x:f>IF($C67="","",IFERROR(INDEX('23 RCC-004 MASR Registry'!$W$14:$W$163,MATCH($C67,'23 RCC-004 MASR Registry'!$B$14:$B$163,0)),""))</x:f>
      </x:c>
      <x:c r="T67" s="1255" t="str">
        <x:f>IF($C67="","",IFERROR(INDEX('23 RCC-004 MASR Registry'!$T$14:$T$163,MATCH($C67,'23 RCC-004 MASR Registry'!$B$14:$B$163,0)),""))</x:f>
      </x:c>
      <x:c r="U67" s="1256" t="str">
        <x:f>IF($C67="","",IFERROR(INDEX('23 RCC-004 MASR Registry'!$U$14:$U$163,MATCH($C67,'23 RCC-004 MASR Registry'!$B$14:$B$163,0)),""))</x:f>
      </x:c>
      <x:c r="V67" s="1252" t="str">
        <x:f>IF($C67="","",IFERROR(INDEX('23 RCC-004 MASR Registry'!$V$14:$V$163,MATCH($C67,'23 RCC-004 MASR Registry'!$B$14:$B$163,0)),""))</x:f>
      </x:c>
      <x:c r="W67" s="1242"/>
      <x:c r="X67" s="1256" t="str">
        <x:f>IF($C67="","",COUNTIF('18 RCC-002 Evidence Ledger'!$E$14:$E$213,$C67))</x:f>
      </x:c>
      <x:c r="Y67" s="1242"/>
      <x:c r="Z67" s="1253" t="str">
        <x:f>IF($A67="","",IF(COUNTIF($A$14:$A$213,$A67)&gt;1,"FAIL — DUPLICATE ID",IF(OR($B67="",$C67="",$E67="",$H67="",$Y67="",$AA67="",$AB67=""),"FAIL — INCOMPLETE",IF(AND(OR($Y67="MIAR Review",$Y67="Eligibility Review",$Y67="Candidate Comparison",$Y67="Committee Review",$Y67="Approved for MASR",$Y67="Referred to PEW-004",$Y67="On Watch",$Y67="Rejected",$Y67="Closed",$Y67="Removed"),$K67=""),"FAIL — MASR RECORD REQUIRED",IF(AND(OR($Y67="Eligibility Review",$Y67="Candidate Comparison",$Y67="Committee Review",$Y67="Approved for MASR",$Y67="Referred to PEW-004",$Y67="On Watch"),NOT(OR($M67="ELIGIBLE",$M67="ELIGIBLE WITH EXCEPTION",$M67="CERTIFIED HOLDING"))),"FAIL — ELIGIBILITY",IF(AND(OR($Y67="Candidate Comparison",$Y67="Committee Review",$Y67="Approved for MASR",$Y67="Referred to PEW-004",$Y67="On Watch"),$X67=0),"FAIL — EVIDENCE",IF(AND(OR($Y67="Candidate Comparison",$Y67="Committee Review",$Y67="Approved for MASR",$Y67="Referred to PEW-004",$Y67="On Watch"),OR($O67&lt;&gt;"Active",$P67&lt;&gt;"CURRENT")),"FAIL — MIAR GATE",IF(AND(OR($Y67="Approved for MASR",$Y67="Referred to PEW-004",$Y67="On Watch",$Y67="Rejected",$Y67="Closed",$Y67="Removed"),OR($AD67="",$AD67="Pending")),"FAIL — COMMITTEE DISPOSITION",IF(AND($Y67="Referred to PEW-004",OR($AF67&lt;&gt;"Yes — Refer to PEW-004",$AG67="",$AJ67="")),"FAIL — PEW REFERRAL","PASS — STAGE GATE")))))))))</x:f>
      </x:c>
      <x:c r="AA67" s="1242"/>
      <x:c r="AB67" s="1251"/>
      <x:c r="AC67" s="1257" t="str">
        <x:f>IF($B67="","",IF($AQ67&lt;&gt;"",$AQ67-$B67,TODAY()-$B67))</x:f>
      </x:c>
      <x:c r="AD67" s="1242"/>
      <x:c r="AE67" s="1251"/>
      <x:c r="AF67" s="1242"/>
      <x:c r="AG67" s="1242"/>
      <x:c r="AH67" s="1255" t="str">
        <x:f>IF($AG67="","",IFERROR(INDEX('10 Candidate Comparison'!$T$14:$T$33,MATCH($AG67,'10 Candidate Comparison'!$A$14:$A$33,0)),""))</x:f>
      </x:c>
      <x:c r="AI67" s="1252" t="str">
        <x:f>IF($AG67="","",IFERROR(INDEX('10 Candidate Comparison'!$U$14:$U$33,MATCH($AG67,'10 Candidate Comparison'!$A$14:$A$33,0)),""))</x:f>
      </x:c>
      <x:c r="AJ67" s="1252" t="str">
        <x:f>IF($AG67="","",IFERROR(INDEX('10 Candidate Comparison'!$Y$14:$Y$33,MATCH($AG67,'10 Candidate Comparison'!$A$14:$A$33,0)),""))</x:f>
      </x:c>
      <x:c r="AK67" s="1253" t="str">
        <x:f>IF($A67="","",IF($Z67="FAIL — DUPLICATE ID","DUPLICATE CANDIDATE ID",IF($Z67="FAIL — INCOMPLETE","INCOMPLETE",IF($Z67="FAIL — MASR RECORD REQUIRED","MASR RECORD REQUIRED",IF($Z67="FAIL — ELIGIBILITY","ELIGIBILITY BLOCK",IF($Z67="FAIL — EVIDENCE","EVIDENCE REQUIRED",IF($Z67="FAIL — MIAR GATE","MIAR GATE BLOCK",IF($Z67="FAIL — COMMITTEE DISPOSITION","COMMITTEE DECISION REQUIRED",IF($Z67="FAIL — PEW REFERRAL","PEW REFERRAL INCOMPLETE",IF(AND(OR($Y67="Rejected",$Y67="Closed",$Y67="Removed"),OR($AO67="",$AP67="",$AQ67="")),"CLOSURE REQUIRED",IF(AND($AB67&lt;TODAY(),NOT(OR($Y67="Rejected",$Y67="Closed",$Y67="Removed"))),"OVERDUE",IF(OR($Y67="Rejected",$Y67="Closed",$Y67="Removed"),"CLOSED","OPEN — ON TRACK"))))))))))))</x:f>
      </x:c>
      <x:c r="AL67" s="1253" t="str">
        <x:f>IF($AK67="","",IFERROR(INDEX('97 RCC Lists'!$AM$5:$AM$16,MATCH($AK67,'97 RCC Lists'!$AL$5:$AL$16,0)),"Review candidate exception"))</x:f>
      </x:c>
      <x:c r="AM67" s="1242"/>
      <x:c r="AN67" s="1242"/>
      <x:c r="AO67" s="1242"/>
      <x:c r="AP67" s="1242"/>
      <x:c r="AQ67" s="1251"/>
    </x:row>
    <x:row r="68" ht="32" customHeight="1">
      <x:c r="A68" s="1242"/>
      <x:c r="B68" s="1251"/>
      <x:c r="C68" s="1242"/>
      <x:c r="D68" s="1243" t="str">
        <x:f>IF($C68="","",IFERROR(INDEX('23 RCC-004 MASR Registry'!$C$14:$C$163,MATCH($C68,'23 RCC-004 MASR Registry'!$B$14:$B$163,0)),""))</x:f>
      </x:c>
      <x:c r="E68" s="1242"/>
      <x:c r="F68" s="1242"/>
      <x:c r="G68" s="1242"/>
      <x:c r="H68" s="1242"/>
      <x:c r="I68" s="1243" t="str">
        <x:f>IF($C68="","",IFERROR(INDEX('23 RCC-004 MASR Registry'!$G$14:$G$163,MATCH($C68,'23 RCC-004 MASR Registry'!$B$14:$B$163,0)),""))</x:f>
      </x:c>
      <x:c r="J68" s="1243" t="str">
        <x:f>IF($C68="","",IFERROR(INDEX('23 RCC-004 MASR Registry'!$H$14:$H$163,MATCH($C68,'23 RCC-004 MASR Registry'!$B$14:$B$163,0)),""))</x:f>
      </x:c>
      <x:c r="K68" s="1243" t="str">
        <x:f>IF($C68="","",IFERROR(INDEX('23 RCC-004 MASR Registry'!$D$14:$D$163,MATCH($C68,'23 RCC-004 MASR Registry'!$B$14:$B$163,0)),""))</x:f>
      </x:c>
      <x:c r="L68" s="1243" t="str">
        <x:f>IF($C68="","",IFERROR(INDEX('23 RCC-004 MASR Registry'!$E$14:$E$163,MATCH($C68,'23 RCC-004 MASR Registry'!$B$14:$B$163,0)),""))</x:f>
      </x:c>
      <x:c r="M68" s="1243" t="str">
        <x:f>IF($C68="","",IFERROR(INDEX('23 RCC-004 MASR Registry'!$X$14:$X$163,MATCH($C68,'23 RCC-004 MASR Registry'!$B$14:$B$163,0)),""))</x:f>
      </x:c>
      <x:c r="N68" s="1243" t="str">
        <x:f>IF($C68="","",IFERROR(INDEX('23 RCC-004 MASR Registry'!$Y$14:$Y$163,MATCH($C68,'23 RCC-004 MASR Registry'!$B$14:$B$163,0)),""))</x:f>
      </x:c>
      <x:c r="O68" s="1243" t="str">
        <x:f>IF($C68="","",IFERROR(INDEX('23 RCC-004 MASR Registry'!$L$14:$L$163,MATCH($C68,'23 RCC-004 MASR Registry'!$B$14:$B$163,0)),""))</x:f>
      </x:c>
      <x:c r="P68" s="1243" t="str">
        <x:f>IF($C68="","",IFERROR(INDEX('23 RCC-004 MASR Registry'!$M$14:$M$163,MATCH($C68,'23 RCC-004 MASR Registry'!$B$14:$B$163,0)),""))</x:f>
      </x:c>
      <x:c r="Q68" s="1246" t="str">
        <x:f>IF($C68="","",IFERROR(INDEX('23 RCC-004 MASR Registry'!$N$14:$N$163,MATCH($C68,'23 RCC-004 MASR Registry'!$B$14:$B$163,0)),""))</x:f>
      </x:c>
      <x:c r="R68" s="1246" t="str">
        <x:f>IF($C68="","",IFERROR(INDEX('23 RCC-004 MASR Registry'!$O$14:$O$163,MATCH($C68,'23 RCC-004 MASR Registry'!$B$14:$B$163,0)),""))</x:f>
      </x:c>
      <x:c r="S68" s="1246" t="str">
        <x:f>IF($C68="","",IFERROR(INDEX('23 RCC-004 MASR Registry'!$W$14:$W$163,MATCH($C68,'23 RCC-004 MASR Registry'!$B$14:$B$163,0)),""))</x:f>
      </x:c>
      <x:c r="T68" s="1246" t="str">
        <x:f>IF($C68="","",IFERROR(INDEX('23 RCC-004 MASR Registry'!$T$14:$T$163,MATCH($C68,'23 RCC-004 MASR Registry'!$B$14:$B$163,0)),""))</x:f>
      </x:c>
      <x:c r="U68" s="1247" t="str">
        <x:f>IF($C68="","",IFERROR(INDEX('23 RCC-004 MASR Registry'!$U$14:$U$163,MATCH($C68,'23 RCC-004 MASR Registry'!$B$14:$B$163,0)),""))</x:f>
      </x:c>
      <x:c r="V68" s="1243" t="str">
        <x:f>IF($C68="","",IFERROR(INDEX('23 RCC-004 MASR Registry'!$V$14:$V$163,MATCH($C68,'23 RCC-004 MASR Registry'!$B$14:$B$163,0)),""))</x:f>
      </x:c>
      <x:c r="W68" s="1242"/>
      <x:c r="X68" s="1247" t="str">
        <x:f>IF($C68="","",COUNTIF('18 RCC-002 Evidence Ledger'!$E$14:$E$213,$C68))</x:f>
      </x:c>
      <x:c r="Y68" s="1242"/>
      <x:c r="Z68" s="1244" t="str">
        <x:f>IF($A68="","",IF(COUNTIF($A$14:$A$213,$A68)&gt;1,"FAIL — DUPLICATE ID",IF(OR($B68="",$C68="",$E68="",$H68="",$Y68="",$AA68="",$AB68=""),"FAIL — INCOMPLETE",IF(AND(OR($Y68="MIAR Review",$Y68="Eligibility Review",$Y68="Candidate Comparison",$Y68="Committee Review",$Y68="Approved for MASR",$Y68="Referred to PEW-004",$Y68="On Watch",$Y68="Rejected",$Y68="Closed",$Y68="Removed"),$K68=""),"FAIL — MASR RECORD REQUIRED",IF(AND(OR($Y68="Eligibility Review",$Y68="Candidate Comparison",$Y68="Committee Review",$Y68="Approved for MASR",$Y68="Referred to PEW-004",$Y68="On Watch"),NOT(OR($M68="ELIGIBLE",$M68="ELIGIBLE WITH EXCEPTION",$M68="CERTIFIED HOLDING"))),"FAIL — ELIGIBILITY",IF(AND(OR($Y68="Candidate Comparison",$Y68="Committee Review",$Y68="Approved for MASR",$Y68="Referred to PEW-004",$Y68="On Watch"),$X68=0),"FAIL — EVIDENCE",IF(AND(OR($Y68="Candidate Comparison",$Y68="Committee Review",$Y68="Approved for MASR",$Y68="Referred to PEW-004",$Y68="On Watch"),OR($O68&lt;&gt;"Active",$P68&lt;&gt;"CURRENT")),"FAIL — MIAR GATE",IF(AND(OR($Y68="Approved for MASR",$Y68="Referred to PEW-004",$Y68="On Watch",$Y68="Rejected",$Y68="Closed",$Y68="Removed"),OR($AD68="",$AD68="Pending")),"FAIL — COMMITTEE DISPOSITION",IF(AND($Y68="Referred to PEW-004",OR($AF68&lt;&gt;"Yes — Refer to PEW-004",$AG68="",$AJ68="")),"FAIL — PEW REFERRAL","PASS — STAGE GATE")))))))))</x:f>
      </x:c>
      <x:c r="AA68" s="1242"/>
      <x:c r="AB68" s="1251"/>
      <x:c r="AC68" s="1250" t="str">
        <x:f>IF($B68="","",IF($AQ68&lt;&gt;"",$AQ68-$B68,TODAY()-$B68))</x:f>
      </x:c>
      <x:c r="AD68" s="1242"/>
      <x:c r="AE68" s="1251"/>
      <x:c r="AF68" s="1242"/>
      <x:c r="AG68" s="1242"/>
      <x:c r="AH68" s="1246" t="str">
        <x:f>IF($AG68="","",IFERROR(INDEX('10 Candidate Comparison'!$T$14:$T$33,MATCH($AG68,'10 Candidate Comparison'!$A$14:$A$33,0)),""))</x:f>
      </x:c>
      <x:c r="AI68" s="1243" t="str">
        <x:f>IF($AG68="","",IFERROR(INDEX('10 Candidate Comparison'!$U$14:$U$33,MATCH($AG68,'10 Candidate Comparison'!$A$14:$A$33,0)),""))</x:f>
      </x:c>
      <x:c r="AJ68" s="1243" t="str">
        <x:f>IF($AG68="","",IFERROR(INDEX('10 Candidate Comparison'!$Y$14:$Y$33,MATCH($AG68,'10 Candidate Comparison'!$A$14:$A$33,0)),""))</x:f>
      </x:c>
      <x:c r="AK68" s="1244" t="str">
        <x:f>IF($A68="","",IF($Z68="FAIL — DUPLICATE ID","DUPLICATE CANDIDATE ID",IF($Z68="FAIL — INCOMPLETE","INCOMPLETE",IF($Z68="FAIL — MASR RECORD REQUIRED","MASR RECORD REQUIRED",IF($Z68="FAIL — ELIGIBILITY","ELIGIBILITY BLOCK",IF($Z68="FAIL — EVIDENCE","EVIDENCE REQUIRED",IF($Z68="FAIL — MIAR GATE","MIAR GATE BLOCK",IF($Z68="FAIL — COMMITTEE DISPOSITION","COMMITTEE DECISION REQUIRED",IF($Z68="FAIL — PEW REFERRAL","PEW REFERRAL INCOMPLETE",IF(AND(OR($Y68="Rejected",$Y68="Closed",$Y68="Removed"),OR($AO68="",$AP68="",$AQ68="")),"CLOSURE REQUIRED",IF(AND($AB68&lt;TODAY(),NOT(OR($Y68="Rejected",$Y68="Closed",$Y68="Removed"))),"OVERDUE",IF(OR($Y68="Rejected",$Y68="Closed",$Y68="Removed"),"CLOSED","OPEN — ON TRACK"))))))))))))</x:f>
      </x:c>
      <x:c r="AL68" s="1244" t="str">
        <x:f>IF($AK68="","",IFERROR(INDEX('97 RCC Lists'!$AM$5:$AM$16,MATCH($AK68,'97 RCC Lists'!$AL$5:$AL$16,0)),"Review candidate exception"))</x:f>
      </x:c>
      <x:c r="AM68" s="1242"/>
      <x:c r="AN68" s="1242"/>
      <x:c r="AO68" s="1242"/>
      <x:c r="AP68" s="1242"/>
      <x:c r="AQ68" s="1251"/>
    </x:row>
    <x:row r="69" ht="32" customHeight="1">
      <x:c r="A69" s="1242"/>
      <x:c r="B69" s="1251"/>
      <x:c r="C69" s="1242"/>
      <x:c r="D69" s="1252" t="str">
        <x:f>IF($C69="","",IFERROR(INDEX('23 RCC-004 MASR Registry'!$C$14:$C$163,MATCH($C69,'23 RCC-004 MASR Registry'!$B$14:$B$163,0)),""))</x:f>
      </x:c>
      <x:c r="E69" s="1242"/>
      <x:c r="F69" s="1242"/>
      <x:c r="G69" s="1242"/>
      <x:c r="H69" s="1242"/>
      <x:c r="I69" s="1252" t="str">
        <x:f>IF($C69="","",IFERROR(INDEX('23 RCC-004 MASR Registry'!$G$14:$G$163,MATCH($C69,'23 RCC-004 MASR Registry'!$B$14:$B$163,0)),""))</x:f>
      </x:c>
      <x:c r="J69" s="1252" t="str">
        <x:f>IF($C69="","",IFERROR(INDEX('23 RCC-004 MASR Registry'!$H$14:$H$163,MATCH($C69,'23 RCC-004 MASR Registry'!$B$14:$B$163,0)),""))</x:f>
      </x:c>
      <x:c r="K69" s="1252" t="str">
        <x:f>IF($C69="","",IFERROR(INDEX('23 RCC-004 MASR Registry'!$D$14:$D$163,MATCH($C69,'23 RCC-004 MASR Registry'!$B$14:$B$163,0)),""))</x:f>
      </x:c>
      <x:c r="L69" s="1252" t="str">
        <x:f>IF($C69="","",IFERROR(INDEX('23 RCC-004 MASR Registry'!$E$14:$E$163,MATCH($C69,'23 RCC-004 MASR Registry'!$B$14:$B$163,0)),""))</x:f>
      </x:c>
      <x:c r="M69" s="1252" t="str">
        <x:f>IF($C69="","",IFERROR(INDEX('23 RCC-004 MASR Registry'!$X$14:$X$163,MATCH($C69,'23 RCC-004 MASR Registry'!$B$14:$B$163,0)),""))</x:f>
      </x:c>
      <x:c r="N69" s="1252" t="str">
        <x:f>IF($C69="","",IFERROR(INDEX('23 RCC-004 MASR Registry'!$Y$14:$Y$163,MATCH($C69,'23 RCC-004 MASR Registry'!$B$14:$B$163,0)),""))</x:f>
      </x:c>
      <x:c r="O69" s="1252" t="str">
        <x:f>IF($C69="","",IFERROR(INDEX('23 RCC-004 MASR Registry'!$L$14:$L$163,MATCH($C69,'23 RCC-004 MASR Registry'!$B$14:$B$163,0)),""))</x:f>
      </x:c>
      <x:c r="P69" s="1252" t="str">
        <x:f>IF($C69="","",IFERROR(INDEX('23 RCC-004 MASR Registry'!$M$14:$M$163,MATCH($C69,'23 RCC-004 MASR Registry'!$B$14:$B$163,0)),""))</x:f>
      </x:c>
      <x:c r="Q69" s="1255" t="str">
        <x:f>IF($C69="","",IFERROR(INDEX('23 RCC-004 MASR Registry'!$N$14:$N$163,MATCH($C69,'23 RCC-004 MASR Registry'!$B$14:$B$163,0)),""))</x:f>
      </x:c>
      <x:c r="R69" s="1255" t="str">
        <x:f>IF($C69="","",IFERROR(INDEX('23 RCC-004 MASR Registry'!$O$14:$O$163,MATCH($C69,'23 RCC-004 MASR Registry'!$B$14:$B$163,0)),""))</x:f>
      </x:c>
      <x:c r="S69" s="1255" t="str">
        <x:f>IF($C69="","",IFERROR(INDEX('23 RCC-004 MASR Registry'!$W$14:$W$163,MATCH($C69,'23 RCC-004 MASR Registry'!$B$14:$B$163,0)),""))</x:f>
      </x:c>
      <x:c r="T69" s="1255" t="str">
        <x:f>IF($C69="","",IFERROR(INDEX('23 RCC-004 MASR Registry'!$T$14:$T$163,MATCH($C69,'23 RCC-004 MASR Registry'!$B$14:$B$163,0)),""))</x:f>
      </x:c>
      <x:c r="U69" s="1256" t="str">
        <x:f>IF($C69="","",IFERROR(INDEX('23 RCC-004 MASR Registry'!$U$14:$U$163,MATCH($C69,'23 RCC-004 MASR Registry'!$B$14:$B$163,0)),""))</x:f>
      </x:c>
      <x:c r="V69" s="1252" t="str">
        <x:f>IF($C69="","",IFERROR(INDEX('23 RCC-004 MASR Registry'!$V$14:$V$163,MATCH($C69,'23 RCC-004 MASR Registry'!$B$14:$B$163,0)),""))</x:f>
      </x:c>
      <x:c r="W69" s="1242"/>
      <x:c r="X69" s="1256" t="str">
        <x:f>IF($C69="","",COUNTIF('18 RCC-002 Evidence Ledger'!$E$14:$E$213,$C69))</x:f>
      </x:c>
      <x:c r="Y69" s="1242"/>
      <x:c r="Z69" s="1253" t="str">
        <x:f>IF($A69="","",IF(COUNTIF($A$14:$A$213,$A69)&gt;1,"FAIL — DUPLICATE ID",IF(OR($B69="",$C69="",$E69="",$H69="",$Y69="",$AA69="",$AB69=""),"FAIL — INCOMPLETE",IF(AND(OR($Y69="MIAR Review",$Y69="Eligibility Review",$Y69="Candidate Comparison",$Y69="Committee Review",$Y69="Approved for MASR",$Y69="Referred to PEW-004",$Y69="On Watch",$Y69="Rejected",$Y69="Closed",$Y69="Removed"),$K69=""),"FAIL — MASR RECORD REQUIRED",IF(AND(OR($Y69="Eligibility Review",$Y69="Candidate Comparison",$Y69="Committee Review",$Y69="Approved for MASR",$Y69="Referred to PEW-004",$Y69="On Watch"),NOT(OR($M69="ELIGIBLE",$M69="ELIGIBLE WITH EXCEPTION",$M69="CERTIFIED HOLDING"))),"FAIL — ELIGIBILITY",IF(AND(OR($Y69="Candidate Comparison",$Y69="Committee Review",$Y69="Approved for MASR",$Y69="Referred to PEW-004",$Y69="On Watch"),$X69=0),"FAIL — EVIDENCE",IF(AND(OR($Y69="Candidate Comparison",$Y69="Committee Review",$Y69="Approved for MASR",$Y69="Referred to PEW-004",$Y69="On Watch"),OR($O69&lt;&gt;"Active",$P69&lt;&gt;"CURRENT")),"FAIL — MIAR GATE",IF(AND(OR($Y69="Approved for MASR",$Y69="Referred to PEW-004",$Y69="On Watch",$Y69="Rejected",$Y69="Closed",$Y69="Removed"),OR($AD69="",$AD69="Pending")),"FAIL — COMMITTEE DISPOSITION",IF(AND($Y69="Referred to PEW-004",OR($AF69&lt;&gt;"Yes — Refer to PEW-004",$AG69="",$AJ69="")),"FAIL — PEW REFERRAL","PASS — STAGE GATE")))))))))</x:f>
      </x:c>
      <x:c r="AA69" s="1242"/>
      <x:c r="AB69" s="1251"/>
      <x:c r="AC69" s="1257" t="str">
        <x:f>IF($B69="","",IF($AQ69&lt;&gt;"",$AQ69-$B69,TODAY()-$B69))</x:f>
      </x:c>
      <x:c r="AD69" s="1242"/>
      <x:c r="AE69" s="1251"/>
      <x:c r="AF69" s="1242"/>
      <x:c r="AG69" s="1242"/>
      <x:c r="AH69" s="1255" t="str">
        <x:f>IF($AG69="","",IFERROR(INDEX('10 Candidate Comparison'!$T$14:$T$33,MATCH($AG69,'10 Candidate Comparison'!$A$14:$A$33,0)),""))</x:f>
      </x:c>
      <x:c r="AI69" s="1252" t="str">
        <x:f>IF($AG69="","",IFERROR(INDEX('10 Candidate Comparison'!$U$14:$U$33,MATCH($AG69,'10 Candidate Comparison'!$A$14:$A$33,0)),""))</x:f>
      </x:c>
      <x:c r="AJ69" s="1252" t="str">
        <x:f>IF($AG69="","",IFERROR(INDEX('10 Candidate Comparison'!$Y$14:$Y$33,MATCH($AG69,'10 Candidate Comparison'!$A$14:$A$33,0)),""))</x:f>
      </x:c>
      <x:c r="AK69" s="1253" t="str">
        <x:f>IF($A69="","",IF($Z69="FAIL — DUPLICATE ID","DUPLICATE CANDIDATE ID",IF($Z69="FAIL — INCOMPLETE","INCOMPLETE",IF($Z69="FAIL — MASR RECORD REQUIRED","MASR RECORD REQUIRED",IF($Z69="FAIL — ELIGIBILITY","ELIGIBILITY BLOCK",IF($Z69="FAIL — EVIDENCE","EVIDENCE REQUIRED",IF($Z69="FAIL — MIAR GATE","MIAR GATE BLOCK",IF($Z69="FAIL — COMMITTEE DISPOSITION","COMMITTEE DECISION REQUIRED",IF($Z69="FAIL — PEW REFERRAL","PEW REFERRAL INCOMPLETE",IF(AND(OR($Y69="Rejected",$Y69="Closed",$Y69="Removed"),OR($AO69="",$AP69="",$AQ69="")),"CLOSURE REQUIRED",IF(AND($AB69&lt;TODAY(),NOT(OR($Y69="Rejected",$Y69="Closed",$Y69="Removed"))),"OVERDUE",IF(OR($Y69="Rejected",$Y69="Closed",$Y69="Removed"),"CLOSED","OPEN — ON TRACK"))))))))))))</x:f>
      </x:c>
      <x:c r="AL69" s="1253" t="str">
        <x:f>IF($AK69="","",IFERROR(INDEX('97 RCC Lists'!$AM$5:$AM$16,MATCH($AK69,'97 RCC Lists'!$AL$5:$AL$16,0)),"Review candidate exception"))</x:f>
      </x:c>
      <x:c r="AM69" s="1242"/>
      <x:c r="AN69" s="1242"/>
      <x:c r="AO69" s="1242"/>
      <x:c r="AP69" s="1242"/>
      <x:c r="AQ69" s="1251"/>
    </x:row>
    <x:row r="70" ht="32" customHeight="1">
      <x:c r="A70" s="1242"/>
      <x:c r="B70" s="1251"/>
      <x:c r="C70" s="1242"/>
      <x:c r="D70" s="1243" t="str">
        <x:f>IF($C70="","",IFERROR(INDEX('23 RCC-004 MASR Registry'!$C$14:$C$163,MATCH($C70,'23 RCC-004 MASR Registry'!$B$14:$B$163,0)),""))</x:f>
      </x:c>
      <x:c r="E70" s="1242"/>
      <x:c r="F70" s="1242"/>
      <x:c r="G70" s="1242"/>
      <x:c r="H70" s="1242"/>
      <x:c r="I70" s="1243" t="str">
        <x:f>IF($C70="","",IFERROR(INDEX('23 RCC-004 MASR Registry'!$G$14:$G$163,MATCH($C70,'23 RCC-004 MASR Registry'!$B$14:$B$163,0)),""))</x:f>
      </x:c>
      <x:c r="J70" s="1243" t="str">
        <x:f>IF($C70="","",IFERROR(INDEX('23 RCC-004 MASR Registry'!$H$14:$H$163,MATCH($C70,'23 RCC-004 MASR Registry'!$B$14:$B$163,0)),""))</x:f>
      </x:c>
      <x:c r="K70" s="1243" t="str">
        <x:f>IF($C70="","",IFERROR(INDEX('23 RCC-004 MASR Registry'!$D$14:$D$163,MATCH($C70,'23 RCC-004 MASR Registry'!$B$14:$B$163,0)),""))</x:f>
      </x:c>
      <x:c r="L70" s="1243" t="str">
        <x:f>IF($C70="","",IFERROR(INDEX('23 RCC-004 MASR Registry'!$E$14:$E$163,MATCH($C70,'23 RCC-004 MASR Registry'!$B$14:$B$163,0)),""))</x:f>
      </x:c>
      <x:c r="M70" s="1243" t="str">
        <x:f>IF($C70="","",IFERROR(INDEX('23 RCC-004 MASR Registry'!$X$14:$X$163,MATCH($C70,'23 RCC-004 MASR Registry'!$B$14:$B$163,0)),""))</x:f>
      </x:c>
      <x:c r="N70" s="1243" t="str">
        <x:f>IF($C70="","",IFERROR(INDEX('23 RCC-004 MASR Registry'!$Y$14:$Y$163,MATCH($C70,'23 RCC-004 MASR Registry'!$B$14:$B$163,0)),""))</x:f>
      </x:c>
      <x:c r="O70" s="1243" t="str">
        <x:f>IF($C70="","",IFERROR(INDEX('23 RCC-004 MASR Registry'!$L$14:$L$163,MATCH($C70,'23 RCC-004 MASR Registry'!$B$14:$B$163,0)),""))</x:f>
      </x:c>
      <x:c r="P70" s="1243" t="str">
        <x:f>IF($C70="","",IFERROR(INDEX('23 RCC-004 MASR Registry'!$M$14:$M$163,MATCH($C70,'23 RCC-004 MASR Registry'!$B$14:$B$163,0)),""))</x:f>
      </x:c>
      <x:c r="Q70" s="1246" t="str">
        <x:f>IF($C70="","",IFERROR(INDEX('23 RCC-004 MASR Registry'!$N$14:$N$163,MATCH($C70,'23 RCC-004 MASR Registry'!$B$14:$B$163,0)),""))</x:f>
      </x:c>
      <x:c r="R70" s="1246" t="str">
        <x:f>IF($C70="","",IFERROR(INDEX('23 RCC-004 MASR Registry'!$O$14:$O$163,MATCH($C70,'23 RCC-004 MASR Registry'!$B$14:$B$163,0)),""))</x:f>
      </x:c>
      <x:c r="S70" s="1246" t="str">
        <x:f>IF($C70="","",IFERROR(INDEX('23 RCC-004 MASR Registry'!$W$14:$W$163,MATCH($C70,'23 RCC-004 MASR Registry'!$B$14:$B$163,0)),""))</x:f>
      </x:c>
      <x:c r="T70" s="1246" t="str">
        <x:f>IF($C70="","",IFERROR(INDEX('23 RCC-004 MASR Registry'!$T$14:$T$163,MATCH($C70,'23 RCC-004 MASR Registry'!$B$14:$B$163,0)),""))</x:f>
      </x:c>
      <x:c r="U70" s="1247" t="str">
        <x:f>IF($C70="","",IFERROR(INDEX('23 RCC-004 MASR Registry'!$U$14:$U$163,MATCH($C70,'23 RCC-004 MASR Registry'!$B$14:$B$163,0)),""))</x:f>
      </x:c>
      <x:c r="V70" s="1243" t="str">
        <x:f>IF($C70="","",IFERROR(INDEX('23 RCC-004 MASR Registry'!$V$14:$V$163,MATCH($C70,'23 RCC-004 MASR Registry'!$B$14:$B$163,0)),""))</x:f>
      </x:c>
      <x:c r="W70" s="1242"/>
      <x:c r="X70" s="1247" t="str">
        <x:f>IF($C70="","",COUNTIF('18 RCC-002 Evidence Ledger'!$E$14:$E$213,$C70))</x:f>
      </x:c>
      <x:c r="Y70" s="1242"/>
      <x:c r="Z70" s="1244" t="str">
        <x:f>IF($A70="","",IF(COUNTIF($A$14:$A$213,$A70)&gt;1,"FAIL — DUPLICATE ID",IF(OR($B70="",$C70="",$E70="",$H70="",$Y70="",$AA70="",$AB70=""),"FAIL — INCOMPLETE",IF(AND(OR($Y70="MIAR Review",$Y70="Eligibility Review",$Y70="Candidate Comparison",$Y70="Committee Review",$Y70="Approved for MASR",$Y70="Referred to PEW-004",$Y70="On Watch",$Y70="Rejected",$Y70="Closed",$Y70="Removed"),$K70=""),"FAIL — MASR RECORD REQUIRED",IF(AND(OR($Y70="Eligibility Review",$Y70="Candidate Comparison",$Y70="Committee Review",$Y70="Approved for MASR",$Y70="Referred to PEW-004",$Y70="On Watch"),NOT(OR($M70="ELIGIBLE",$M70="ELIGIBLE WITH EXCEPTION",$M70="CERTIFIED HOLDING"))),"FAIL — ELIGIBILITY",IF(AND(OR($Y70="Candidate Comparison",$Y70="Committee Review",$Y70="Approved for MASR",$Y70="Referred to PEW-004",$Y70="On Watch"),$X70=0),"FAIL — EVIDENCE",IF(AND(OR($Y70="Candidate Comparison",$Y70="Committee Review",$Y70="Approved for MASR",$Y70="Referred to PEW-004",$Y70="On Watch"),OR($O70&lt;&gt;"Active",$P70&lt;&gt;"CURRENT")),"FAIL — MIAR GATE",IF(AND(OR($Y70="Approved for MASR",$Y70="Referred to PEW-004",$Y70="On Watch",$Y70="Rejected",$Y70="Closed",$Y70="Removed"),OR($AD70="",$AD70="Pending")),"FAIL — COMMITTEE DISPOSITION",IF(AND($Y70="Referred to PEW-004",OR($AF70&lt;&gt;"Yes — Refer to PEW-004",$AG70="",$AJ70="")),"FAIL — PEW REFERRAL","PASS — STAGE GATE")))))))))</x:f>
      </x:c>
      <x:c r="AA70" s="1242"/>
      <x:c r="AB70" s="1251"/>
      <x:c r="AC70" s="1250" t="str">
        <x:f>IF($B70="","",IF($AQ70&lt;&gt;"",$AQ70-$B70,TODAY()-$B70))</x:f>
      </x:c>
      <x:c r="AD70" s="1242"/>
      <x:c r="AE70" s="1251"/>
      <x:c r="AF70" s="1242"/>
      <x:c r="AG70" s="1242"/>
      <x:c r="AH70" s="1246" t="str">
        <x:f>IF($AG70="","",IFERROR(INDEX('10 Candidate Comparison'!$T$14:$T$33,MATCH($AG70,'10 Candidate Comparison'!$A$14:$A$33,0)),""))</x:f>
      </x:c>
      <x:c r="AI70" s="1243" t="str">
        <x:f>IF($AG70="","",IFERROR(INDEX('10 Candidate Comparison'!$U$14:$U$33,MATCH($AG70,'10 Candidate Comparison'!$A$14:$A$33,0)),""))</x:f>
      </x:c>
      <x:c r="AJ70" s="1243" t="str">
        <x:f>IF($AG70="","",IFERROR(INDEX('10 Candidate Comparison'!$Y$14:$Y$33,MATCH($AG70,'10 Candidate Comparison'!$A$14:$A$33,0)),""))</x:f>
      </x:c>
      <x:c r="AK70" s="1244" t="str">
        <x:f>IF($A70="","",IF($Z70="FAIL — DUPLICATE ID","DUPLICATE CANDIDATE ID",IF($Z70="FAIL — INCOMPLETE","INCOMPLETE",IF($Z70="FAIL — MASR RECORD REQUIRED","MASR RECORD REQUIRED",IF($Z70="FAIL — ELIGIBILITY","ELIGIBILITY BLOCK",IF($Z70="FAIL — EVIDENCE","EVIDENCE REQUIRED",IF($Z70="FAIL — MIAR GATE","MIAR GATE BLOCK",IF($Z70="FAIL — COMMITTEE DISPOSITION","COMMITTEE DECISION REQUIRED",IF($Z70="FAIL — PEW REFERRAL","PEW REFERRAL INCOMPLETE",IF(AND(OR($Y70="Rejected",$Y70="Closed",$Y70="Removed"),OR($AO70="",$AP70="",$AQ70="")),"CLOSURE REQUIRED",IF(AND($AB70&lt;TODAY(),NOT(OR($Y70="Rejected",$Y70="Closed",$Y70="Removed"))),"OVERDUE",IF(OR($Y70="Rejected",$Y70="Closed",$Y70="Removed"),"CLOSED","OPEN — ON TRACK"))))))))))))</x:f>
      </x:c>
      <x:c r="AL70" s="1244" t="str">
        <x:f>IF($AK70="","",IFERROR(INDEX('97 RCC Lists'!$AM$5:$AM$16,MATCH($AK70,'97 RCC Lists'!$AL$5:$AL$16,0)),"Review candidate exception"))</x:f>
      </x:c>
      <x:c r="AM70" s="1242"/>
      <x:c r="AN70" s="1242"/>
      <x:c r="AO70" s="1242"/>
      <x:c r="AP70" s="1242"/>
      <x:c r="AQ70" s="1251"/>
    </x:row>
    <x:row r="71" ht="32" customHeight="1">
      <x:c r="A71" s="1242"/>
      <x:c r="B71" s="1251"/>
      <x:c r="C71" s="1242"/>
      <x:c r="D71" s="1252" t="str">
        <x:f>IF($C71="","",IFERROR(INDEX('23 RCC-004 MASR Registry'!$C$14:$C$163,MATCH($C71,'23 RCC-004 MASR Registry'!$B$14:$B$163,0)),""))</x:f>
      </x:c>
      <x:c r="E71" s="1242"/>
      <x:c r="F71" s="1242"/>
      <x:c r="G71" s="1242"/>
      <x:c r="H71" s="1242"/>
      <x:c r="I71" s="1252" t="str">
        <x:f>IF($C71="","",IFERROR(INDEX('23 RCC-004 MASR Registry'!$G$14:$G$163,MATCH($C71,'23 RCC-004 MASR Registry'!$B$14:$B$163,0)),""))</x:f>
      </x:c>
      <x:c r="J71" s="1252" t="str">
        <x:f>IF($C71="","",IFERROR(INDEX('23 RCC-004 MASR Registry'!$H$14:$H$163,MATCH($C71,'23 RCC-004 MASR Registry'!$B$14:$B$163,0)),""))</x:f>
      </x:c>
      <x:c r="K71" s="1252" t="str">
        <x:f>IF($C71="","",IFERROR(INDEX('23 RCC-004 MASR Registry'!$D$14:$D$163,MATCH($C71,'23 RCC-004 MASR Registry'!$B$14:$B$163,0)),""))</x:f>
      </x:c>
      <x:c r="L71" s="1252" t="str">
        <x:f>IF($C71="","",IFERROR(INDEX('23 RCC-004 MASR Registry'!$E$14:$E$163,MATCH($C71,'23 RCC-004 MASR Registry'!$B$14:$B$163,0)),""))</x:f>
      </x:c>
      <x:c r="M71" s="1252" t="str">
        <x:f>IF($C71="","",IFERROR(INDEX('23 RCC-004 MASR Registry'!$X$14:$X$163,MATCH($C71,'23 RCC-004 MASR Registry'!$B$14:$B$163,0)),""))</x:f>
      </x:c>
      <x:c r="N71" s="1252" t="str">
        <x:f>IF($C71="","",IFERROR(INDEX('23 RCC-004 MASR Registry'!$Y$14:$Y$163,MATCH($C71,'23 RCC-004 MASR Registry'!$B$14:$B$163,0)),""))</x:f>
      </x:c>
      <x:c r="O71" s="1252" t="str">
        <x:f>IF($C71="","",IFERROR(INDEX('23 RCC-004 MASR Registry'!$L$14:$L$163,MATCH($C71,'23 RCC-004 MASR Registry'!$B$14:$B$163,0)),""))</x:f>
      </x:c>
      <x:c r="P71" s="1252" t="str">
        <x:f>IF($C71="","",IFERROR(INDEX('23 RCC-004 MASR Registry'!$M$14:$M$163,MATCH($C71,'23 RCC-004 MASR Registry'!$B$14:$B$163,0)),""))</x:f>
      </x:c>
      <x:c r="Q71" s="1255" t="str">
        <x:f>IF($C71="","",IFERROR(INDEX('23 RCC-004 MASR Registry'!$N$14:$N$163,MATCH($C71,'23 RCC-004 MASR Registry'!$B$14:$B$163,0)),""))</x:f>
      </x:c>
      <x:c r="R71" s="1255" t="str">
        <x:f>IF($C71="","",IFERROR(INDEX('23 RCC-004 MASR Registry'!$O$14:$O$163,MATCH($C71,'23 RCC-004 MASR Registry'!$B$14:$B$163,0)),""))</x:f>
      </x:c>
      <x:c r="S71" s="1255" t="str">
        <x:f>IF($C71="","",IFERROR(INDEX('23 RCC-004 MASR Registry'!$W$14:$W$163,MATCH($C71,'23 RCC-004 MASR Registry'!$B$14:$B$163,0)),""))</x:f>
      </x:c>
      <x:c r="T71" s="1255" t="str">
        <x:f>IF($C71="","",IFERROR(INDEX('23 RCC-004 MASR Registry'!$T$14:$T$163,MATCH($C71,'23 RCC-004 MASR Registry'!$B$14:$B$163,0)),""))</x:f>
      </x:c>
      <x:c r="U71" s="1256" t="str">
        <x:f>IF($C71="","",IFERROR(INDEX('23 RCC-004 MASR Registry'!$U$14:$U$163,MATCH($C71,'23 RCC-004 MASR Registry'!$B$14:$B$163,0)),""))</x:f>
      </x:c>
      <x:c r="V71" s="1252" t="str">
        <x:f>IF($C71="","",IFERROR(INDEX('23 RCC-004 MASR Registry'!$V$14:$V$163,MATCH($C71,'23 RCC-004 MASR Registry'!$B$14:$B$163,0)),""))</x:f>
      </x:c>
      <x:c r="W71" s="1242"/>
      <x:c r="X71" s="1256" t="str">
        <x:f>IF($C71="","",COUNTIF('18 RCC-002 Evidence Ledger'!$E$14:$E$213,$C71))</x:f>
      </x:c>
      <x:c r="Y71" s="1242"/>
      <x:c r="Z71" s="1253" t="str">
        <x:f>IF($A71="","",IF(COUNTIF($A$14:$A$213,$A71)&gt;1,"FAIL — DUPLICATE ID",IF(OR($B71="",$C71="",$E71="",$H71="",$Y71="",$AA71="",$AB71=""),"FAIL — INCOMPLETE",IF(AND(OR($Y71="MIAR Review",$Y71="Eligibility Review",$Y71="Candidate Comparison",$Y71="Committee Review",$Y71="Approved for MASR",$Y71="Referred to PEW-004",$Y71="On Watch",$Y71="Rejected",$Y71="Closed",$Y71="Removed"),$K71=""),"FAIL — MASR RECORD REQUIRED",IF(AND(OR($Y71="Eligibility Review",$Y71="Candidate Comparison",$Y71="Committee Review",$Y71="Approved for MASR",$Y71="Referred to PEW-004",$Y71="On Watch"),NOT(OR($M71="ELIGIBLE",$M71="ELIGIBLE WITH EXCEPTION",$M71="CERTIFIED HOLDING"))),"FAIL — ELIGIBILITY",IF(AND(OR($Y71="Candidate Comparison",$Y71="Committee Review",$Y71="Approved for MASR",$Y71="Referred to PEW-004",$Y71="On Watch"),$X71=0),"FAIL — EVIDENCE",IF(AND(OR($Y71="Candidate Comparison",$Y71="Committee Review",$Y71="Approved for MASR",$Y71="Referred to PEW-004",$Y71="On Watch"),OR($O71&lt;&gt;"Active",$P71&lt;&gt;"CURRENT")),"FAIL — MIAR GATE",IF(AND(OR($Y71="Approved for MASR",$Y71="Referred to PEW-004",$Y71="On Watch",$Y71="Rejected",$Y71="Closed",$Y71="Removed"),OR($AD71="",$AD71="Pending")),"FAIL — COMMITTEE DISPOSITION",IF(AND($Y71="Referred to PEW-004",OR($AF71&lt;&gt;"Yes — Refer to PEW-004",$AG71="",$AJ71="")),"FAIL — PEW REFERRAL","PASS — STAGE GATE")))))))))</x:f>
      </x:c>
      <x:c r="AA71" s="1242"/>
      <x:c r="AB71" s="1251"/>
      <x:c r="AC71" s="1257" t="str">
        <x:f>IF($B71="","",IF($AQ71&lt;&gt;"",$AQ71-$B71,TODAY()-$B71))</x:f>
      </x:c>
      <x:c r="AD71" s="1242"/>
      <x:c r="AE71" s="1251"/>
      <x:c r="AF71" s="1242"/>
      <x:c r="AG71" s="1242"/>
      <x:c r="AH71" s="1255" t="str">
        <x:f>IF($AG71="","",IFERROR(INDEX('10 Candidate Comparison'!$T$14:$T$33,MATCH($AG71,'10 Candidate Comparison'!$A$14:$A$33,0)),""))</x:f>
      </x:c>
      <x:c r="AI71" s="1252" t="str">
        <x:f>IF($AG71="","",IFERROR(INDEX('10 Candidate Comparison'!$U$14:$U$33,MATCH($AG71,'10 Candidate Comparison'!$A$14:$A$33,0)),""))</x:f>
      </x:c>
      <x:c r="AJ71" s="1252" t="str">
        <x:f>IF($AG71="","",IFERROR(INDEX('10 Candidate Comparison'!$Y$14:$Y$33,MATCH($AG71,'10 Candidate Comparison'!$A$14:$A$33,0)),""))</x:f>
      </x:c>
      <x:c r="AK71" s="1253" t="str">
        <x:f>IF($A71="","",IF($Z71="FAIL — DUPLICATE ID","DUPLICATE CANDIDATE ID",IF($Z71="FAIL — INCOMPLETE","INCOMPLETE",IF($Z71="FAIL — MASR RECORD REQUIRED","MASR RECORD REQUIRED",IF($Z71="FAIL — ELIGIBILITY","ELIGIBILITY BLOCK",IF($Z71="FAIL — EVIDENCE","EVIDENCE REQUIRED",IF($Z71="FAIL — MIAR GATE","MIAR GATE BLOCK",IF($Z71="FAIL — COMMITTEE DISPOSITION","COMMITTEE DECISION REQUIRED",IF($Z71="FAIL — PEW REFERRAL","PEW REFERRAL INCOMPLETE",IF(AND(OR($Y71="Rejected",$Y71="Closed",$Y71="Removed"),OR($AO71="",$AP71="",$AQ71="")),"CLOSURE REQUIRED",IF(AND($AB71&lt;TODAY(),NOT(OR($Y71="Rejected",$Y71="Closed",$Y71="Removed"))),"OVERDUE",IF(OR($Y71="Rejected",$Y71="Closed",$Y71="Removed"),"CLOSED","OPEN — ON TRACK"))))))))))))</x:f>
      </x:c>
      <x:c r="AL71" s="1253" t="str">
        <x:f>IF($AK71="","",IFERROR(INDEX('97 RCC Lists'!$AM$5:$AM$16,MATCH($AK71,'97 RCC Lists'!$AL$5:$AL$16,0)),"Review candidate exception"))</x:f>
      </x:c>
      <x:c r="AM71" s="1242"/>
      <x:c r="AN71" s="1242"/>
      <x:c r="AO71" s="1242"/>
      <x:c r="AP71" s="1242"/>
      <x:c r="AQ71" s="1251"/>
    </x:row>
    <x:row r="72" ht="32" customHeight="1">
      <x:c r="A72" s="1242"/>
      <x:c r="B72" s="1251"/>
      <x:c r="C72" s="1242"/>
      <x:c r="D72" s="1243" t="str">
        <x:f>IF($C72="","",IFERROR(INDEX('23 RCC-004 MASR Registry'!$C$14:$C$163,MATCH($C72,'23 RCC-004 MASR Registry'!$B$14:$B$163,0)),""))</x:f>
      </x:c>
      <x:c r="E72" s="1242"/>
      <x:c r="F72" s="1242"/>
      <x:c r="G72" s="1242"/>
      <x:c r="H72" s="1242"/>
      <x:c r="I72" s="1243" t="str">
        <x:f>IF($C72="","",IFERROR(INDEX('23 RCC-004 MASR Registry'!$G$14:$G$163,MATCH($C72,'23 RCC-004 MASR Registry'!$B$14:$B$163,0)),""))</x:f>
      </x:c>
      <x:c r="J72" s="1243" t="str">
        <x:f>IF($C72="","",IFERROR(INDEX('23 RCC-004 MASR Registry'!$H$14:$H$163,MATCH($C72,'23 RCC-004 MASR Registry'!$B$14:$B$163,0)),""))</x:f>
      </x:c>
      <x:c r="K72" s="1243" t="str">
        <x:f>IF($C72="","",IFERROR(INDEX('23 RCC-004 MASR Registry'!$D$14:$D$163,MATCH($C72,'23 RCC-004 MASR Registry'!$B$14:$B$163,0)),""))</x:f>
      </x:c>
      <x:c r="L72" s="1243" t="str">
        <x:f>IF($C72="","",IFERROR(INDEX('23 RCC-004 MASR Registry'!$E$14:$E$163,MATCH($C72,'23 RCC-004 MASR Registry'!$B$14:$B$163,0)),""))</x:f>
      </x:c>
      <x:c r="M72" s="1243" t="str">
        <x:f>IF($C72="","",IFERROR(INDEX('23 RCC-004 MASR Registry'!$X$14:$X$163,MATCH($C72,'23 RCC-004 MASR Registry'!$B$14:$B$163,0)),""))</x:f>
      </x:c>
      <x:c r="N72" s="1243" t="str">
        <x:f>IF($C72="","",IFERROR(INDEX('23 RCC-004 MASR Registry'!$Y$14:$Y$163,MATCH($C72,'23 RCC-004 MASR Registry'!$B$14:$B$163,0)),""))</x:f>
      </x:c>
      <x:c r="O72" s="1243" t="str">
        <x:f>IF($C72="","",IFERROR(INDEX('23 RCC-004 MASR Registry'!$L$14:$L$163,MATCH($C72,'23 RCC-004 MASR Registry'!$B$14:$B$163,0)),""))</x:f>
      </x:c>
      <x:c r="P72" s="1243" t="str">
        <x:f>IF($C72="","",IFERROR(INDEX('23 RCC-004 MASR Registry'!$M$14:$M$163,MATCH($C72,'23 RCC-004 MASR Registry'!$B$14:$B$163,0)),""))</x:f>
      </x:c>
      <x:c r="Q72" s="1246" t="str">
        <x:f>IF($C72="","",IFERROR(INDEX('23 RCC-004 MASR Registry'!$N$14:$N$163,MATCH($C72,'23 RCC-004 MASR Registry'!$B$14:$B$163,0)),""))</x:f>
      </x:c>
      <x:c r="R72" s="1246" t="str">
        <x:f>IF($C72="","",IFERROR(INDEX('23 RCC-004 MASR Registry'!$O$14:$O$163,MATCH($C72,'23 RCC-004 MASR Registry'!$B$14:$B$163,0)),""))</x:f>
      </x:c>
      <x:c r="S72" s="1246" t="str">
        <x:f>IF($C72="","",IFERROR(INDEX('23 RCC-004 MASR Registry'!$W$14:$W$163,MATCH($C72,'23 RCC-004 MASR Registry'!$B$14:$B$163,0)),""))</x:f>
      </x:c>
      <x:c r="T72" s="1246" t="str">
        <x:f>IF($C72="","",IFERROR(INDEX('23 RCC-004 MASR Registry'!$T$14:$T$163,MATCH($C72,'23 RCC-004 MASR Registry'!$B$14:$B$163,0)),""))</x:f>
      </x:c>
      <x:c r="U72" s="1247" t="str">
        <x:f>IF($C72="","",IFERROR(INDEX('23 RCC-004 MASR Registry'!$U$14:$U$163,MATCH($C72,'23 RCC-004 MASR Registry'!$B$14:$B$163,0)),""))</x:f>
      </x:c>
      <x:c r="V72" s="1243" t="str">
        <x:f>IF($C72="","",IFERROR(INDEX('23 RCC-004 MASR Registry'!$V$14:$V$163,MATCH($C72,'23 RCC-004 MASR Registry'!$B$14:$B$163,0)),""))</x:f>
      </x:c>
      <x:c r="W72" s="1242"/>
      <x:c r="X72" s="1247" t="str">
        <x:f>IF($C72="","",COUNTIF('18 RCC-002 Evidence Ledger'!$E$14:$E$213,$C72))</x:f>
      </x:c>
      <x:c r="Y72" s="1242"/>
      <x:c r="Z72" s="1244" t="str">
        <x:f>IF($A72="","",IF(COUNTIF($A$14:$A$213,$A72)&gt;1,"FAIL — DUPLICATE ID",IF(OR($B72="",$C72="",$E72="",$H72="",$Y72="",$AA72="",$AB72=""),"FAIL — INCOMPLETE",IF(AND(OR($Y72="MIAR Review",$Y72="Eligibility Review",$Y72="Candidate Comparison",$Y72="Committee Review",$Y72="Approved for MASR",$Y72="Referred to PEW-004",$Y72="On Watch",$Y72="Rejected",$Y72="Closed",$Y72="Removed"),$K72=""),"FAIL — MASR RECORD REQUIRED",IF(AND(OR($Y72="Eligibility Review",$Y72="Candidate Comparison",$Y72="Committee Review",$Y72="Approved for MASR",$Y72="Referred to PEW-004",$Y72="On Watch"),NOT(OR($M72="ELIGIBLE",$M72="ELIGIBLE WITH EXCEPTION",$M72="CERTIFIED HOLDING"))),"FAIL — ELIGIBILITY",IF(AND(OR($Y72="Candidate Comparison",$Y72="Committee Review",$Y72="Approved for MASR",$Y72="Referred to PEW-004",$Y72="On Watch"),$X72=0),"FAIL — EVIDENCE",IF(AND(OR($Y72="Candidate Comparison",$Y72="Committee Review",$Y72="Approved for MASR",$Y72="Referred to PEW-004",$Y72="On Watch"),OR($O72&lt;&gt;"Active",$P72&lt;&gt;"CURRENT")),"FAIL — MIAR GATE",IF(AND(OR($Y72="Approved for MASR",$Y72="Referred to PEW-004",$Y72="On Watch",$Y72="Rejected",$Y72="Closed",$Y72="Removed"),OR($AD72="",$AD72="Pending")),"FAIL — COMMITTEE DISPOSITION",IF(AND($Y72="Referred to PEW-004",OR($AF72&lt;&gt;"Yes — Refer to PEW-004",$AG72="",$AJ72="")),"FAIL — PEW REFERRAL","PASS — STAGE GATE")))))))))</x:f>
      </x:c>
      <x:c r="AA72" s="1242"/>
      <x:c r="AB72" s="1251"/>
      <x:c r="AC72" s="1250" t="str">
        <x:f>IF($B72="","",IF($AQ72&lt;&gt;"",$AQ72-$B72,TODAY()-$B72))</x:f>
      </x:c>
      <x:c r="AD72" s="1242"/>
      <x:c r="AE72" s="1251"/>
      <x:c r="AF72" s="1242"/>
      <x:c r="AG72" s="1242"/>
      <x:c r="AH72" s="1246" t="str">
        <x:f>IF($AG72="","",IFERROR(INDEX('10 Candidate Comparison'!$T$14:$T$33,MATCH($AG72,'10 Candidate Comparison'!$A$14:$A$33,0)),""))</x:f>
      </x:c>
      <x:c r="AI72" s="1243" t="str">
        <x:f>IF($AG72="","",IFERROR(INDEX('10 Candidate Comparison'!$U$14:$U$33,MATCH($AG72,'10 Candidate Comparison'!$A$14:$A$33,0)),""))</x:f>
      </x:c>
      <x:c r="AJ72" s="1243" t="str">
        <x:f>IF($AG72="","",IFERROR(INDEX('10 Candidate Comparison'!$Y$14:$Y$33,MATCH($AG72,'10 Candidate Comparison'!$A$14:$A$33,0)),""))</x:f>
      </x:c>
      <x:c r="AK72" s="1244" t="str">
        <x:f>IF($A72="","",IF($Z72="FAIL — DUPLICATE ID","DUPLICATE CANDIDATE ID",IF($Z72="FAIL — INCOMPLETE","INCOMPLETE",IF($Z72="FAIL — MASR RECORD REQUIRED","MASR RECORD REQUIRED",IF($Z72="FAIL — ELIGIBILITY","ELIGIBILITY BLOCK",IF($Z72="FAIL — EVIDENCE","EVIDENCE REQUIRED",IF($Z72="FAIL — MIAR GATE","MIAR GATE BLOCK",IF($Z72="FAIL — COMMITTEE DISPOSITION","COMMITTEE DECISION REQUIRED",IF($Z72="FAIL — PEW REFERRAL","PEW REFERRAL INCOMPLETE",IF(AND(OR($Y72="Rejected",$Y72="Closed",$Y72="Removed"),OR($AO72="",$AP72="",$AQ72="")),"CLOSURE REQUIRED",IF(AND($AB72&lt;TODAY(),NOT(OR($Y72="Rejected",$Y72="Closed",$Y72="Removed"))),"OVERDUE",IF(OR($Y72="Rejected",$Y72="Closed",$Y72="Removed"),"CLOSED","OPEN — ON TRACK"))))))))))))</x:f>
      </x:c>
      <x:c r="AL72" s="1244" t="str">
        <x:f>IF($AK72="","",IFERROR(INDEX('97 RCC Lists'!$AM$5:$AM$16,MATCH($AK72,'97 RCC Lists'!$AL$5:$AL$16,0)),"Review candidate exception"))</x:f>
      </x:c>
      <x:c r="AM72" s="1242"/>
      <x:c r="AN72" s="1242"/>
      <x:c r="AO72" s="1242"/>
      <x:c r="AP72" s="1242"/>
      <x:c r="AQ72" s="1251"/>
    </x:row>
    <x:row r="73" ht="32" customHeight="1">
      <x:c r="A73" s="1242"/>
      <x:c r="B73" s="1251"/>
      <x:c r="C73" s="1242"/>
      <x:c r="D73" s="1252" t="str">
        <x:f>IF($C73="","",IFERROR(INDEX('23 RCC-004 MASR Registry'!$C$14:$C$163,MATCH($C73,'23 RCC-004 MASR Registry'!$B$14:$B$163,0)),""))</x:f>
      </x:c>
      <x:c r="E73" s="1242"/>
      <x:c r="F73" s="1242"/>
      <x:c r="G73" s="1242"/>
      <x:c r="H73" s="1242"/>
      <x:c r="I73" s="1252" t="str">
        <x:f>IF($C73="","",IFERROR(INDEX('23 RCC-004 MASR Registry'!$G$14:$G$163,MATCH($C73,'23 RCC-004 MASR Registry'!$B$14:$B$163,0)),""))</x:f>
      </x:c>
      <x:c r="J73" s="1252" t="str">
        <x:f>IF($C73="","",IFERROR(INDEX('23 RCC-004 MASR Registry'!$H$14:$H$163,MATCH($C73,'23 RCC-004 MASR Registry'!$B$14:$B$163,0)),""))</x:f>
      </x:c>
      <x:c r="K73" s="1252" t="str">
        <x:f>IF($C73="","",IFERROR(INDEX('23 RCC-004 MASR Registry'!$D$14:$D$163,MATCH($C73,'23 RCC-004 MASR Registry'!$B$14:$B$163,0)),""))</x:f>
      </x:c>
      <x:c r="L73" s="1252" t="str">
        <x:f>IF($C73="","",IFERROR(INDEX('23 RCC-004 MASR Registry'!$E$14:$E$163,MATCH($C73,'23 RCC-004 MASR Registry'!$B$14:$B$163,0)),""))</x:f>
      </x:c>
      <x:c r="M73" s="1252" t="str">
        <x:f>IF($C73="","",IFERROR(INDEX('23 RCC-004 MASR Registry'!$X$14:$X$163,MATCH($C73,'23 RCC-004 MASR Registry'!$B$14:$B$163,0)),""))</x:f>
      </x:c>
      <x:c r="N73" s="1252" t="str">
        <x:f>IF($C73="","",IFERROR(INDEX('23 RCC-004 MASR Registry'!$Y$14:$Y$163,MATCH($C73,'23 RCC-004 MASR Registry'!$B$14:$B$163,0)),""))</x:f>
      </x:c>
      <x:c r="O73" s="1252" t="str">
        <x:f>IF($C73="","",IFERROR(INDEX('23 RCC-004 MASR Registry'!$L$14:$L$163,MATCH($C73,'23 RCC-004 MASR Registry'!$B$14:$B$163,0)),""))</x:f>
      </x:c>
      <x:c r="P73" s="1252" t="str">
        <x:f>IF($C73="","",IFERROR(INDEX('23 RCC-004 MASR Registry'!$M$14:$M$163,MATCH($C73,'23 RCC-004 MASR Registry'!$B$14:$B$163,0)),""))</x:f>
      </x:c>
      <x:c r="Q73" s="1255" t="str">
        <x:f>IF($C73="","",IFERROR(INDEX('23 RCC-004 MASR Registry'!$N$14:$N$163,MATCH($C73,'23 RCC-004 MASR Registry'!$B$14:$B$163,0)),""))</x:f>
      </x:c>
      <x:c r="R73" s="1255" t="str">
        <x:f>IF($C73="","",IFERROR(INDEX('23 RCC-004 MASR Registry'!$O$14:$O$163,MATCH($C73,'23 RCC-004 MASR Registry'!$B$14:$B$163,0)),""))</x:f>
      </x:c>
      <x:c r="S73" s="1255" t="str">
        <x:f>IF($C73="","",IFERROR(INDEX('23 RCC-004 MASR Registry'!$W$14:$W$163,MATCH($C73,'23 RCC-004 MASR Registry'!$B$14:$B$163,0)),""))</x:f>
      </x:c>
      <x:c r="T73" s="1255" t="str">
        <x:f>IF($C73="","",IFERROR(INDEX('23 RCC-004 MASR Registry'!$T$14:$T$163,MATCH($C73,'23 RCC-004 MASR Registry'!$B$14:$B$163,0)),""))</x:f>
      </x:c>
      <x:c r="U73" s="1256" t="str">
        <x:f>IF($C73="","",IFERROR(INDEX('23 RCC-004 MASR Registry'!$U$14:$U$163,MATCH($C73,'23 RCC-004 MASR Registry'!$B$14:$B$163,0)),""))</x:f>
      </x:c>
      <x:c r="V73" s="1252" t="str">
        <x:f>IF($C73="","",IFERROR(INDEX('23 RCC-004 MASR Registry'!$V$14:$V$163,MATCH($C73,'23 RCC-004 MASR Registry'!$B$14:$B$163,0)),""))</x:f>
      </x:c>
      <x:c r="W73" s="1242"/>
      <x:c r="X73" s="1256" t="str">
        <x:f>IF($C73="","",COUNTIF('18 RCC-002 Evidence Ledger'!$E$14:$E$213,$C73))</x:f>
      </x:c>
      <x:c r="Y73" s="1242"/>
      <x:c r="Z73" s="1253" t="str">
        <x:f>IF($A73="","",IF(COUNTIF($A$14:$A$213,$A73)&gt;1,"FAIL — DUPLICATE ID",IF(OR($B73="",$C73="",$E73="",$H73="",$Y73="",$AA73="",$AB73=""),"FAIL — INCOMPLETE",IF(AND(OR($Y73="MIAR Review",$Y73="Eligibility Review",$Y73="Candidate Comparison",$Y73="Committee Review",$Y73="Approved for MASR",$Y73="Referred to PEW-004",$Y73="On Watch",$Y73="Rejected",$Y73="Closed",$Y73="Removed"),$K73=""),"FAIL — MASR RECORD REQUIRED",IF(AND(OR($Y73="Eligibility Review",$Y73="Candidate Comparison",$Y73="Committee Review",$Y73="Approved for MASR",$Y73="Referred to PEW-004",$Y73="On Watch"),NOT(OR($M73="ELIGIBLE",$M73="ELIGIBLE WITH EXCEPTION",$M73="CERTIFIED HOLDING"))),"FAIL — ELIGIBILITY",IF(AND(OR($Y73="Candidate Comparison",$Y73="Committee Review",$Y73="Approved for MASR",$Y73="Referred to PEW-004",$Y73="On Watch"),$X73=0),"FAIL — EVIDENCE",IF(AND(OR($Y73="Candidate Comparison",$Y73="Committee Review",$Y73="Approved for MASR",$Y73="Referred to PEW-004",$Y73="On Watch"),OR($O73&lt;&gt;"Active",$P73&lt;&gt;"CURRENT")),"FAIL — MIAR GATE",IF(AND(OR($Y73="Approved for MASR",$Y73="Referred to PEW-004",$Y73="On Watch",$Y73="Rejected",$Y73="Closed",$Y73="Removed"),OR($AD73="",$AD73="Pending")),"FAIL — COMMITTEE DISPOSITION",IF(AND($Y73="Referred to PEW-004",OR($AF73&lt;&gt;"Yes — Refer to PEW-004",$AG73="",$AJ73="")),"FAIL — PEW REFERRAL","PASS — STAGE GATE")))))))))</x:f>
      </x:c>
      <x:c r="AA73" s="1242"/>
      <x:c r="AB73" s="1251"/>
      <x:c r="AC73" s="1257" t="str">
        <x:f>IF($B73="","",IF($AQ73&lt;&gt;"",$AQ73-$B73,TODAY()-$B73))</x:f>
      </x:c>
      <x:c r="AD73" s="1242"/>
      <x:c r="AE73" s="1251"/>
      <x:c r="AF73" s="1242"/>
      <x:c r="AG73" s="1242"/>
      <x:c r="AH73" s="1255" t="str">
        <x:f>IF($AG73="","",IFERROR(INDEX('10 Candidate Comparison'!$T$14:$T$33,MATCH($AG73,'10 Candidate Comparison'!$A$14:$A$33,0)),""))</x:f>
      </x:c>
      <x:c r="AI73" s="1252" t="str">
        <x:f>IF($AG73="","",IFERROR(INDEX('10 Candidate Comparison'!$U$14:$U$33,MATCH($AG73,'10 Candidate Comparison'!$A$14:$A$33,0)),""))</x:f>
      </x:c>
      <x:c r="AJ73" s="1252" t="str">
        <x:f>IF($AG73="","",IFERROR(INDEX('10 Candidate Comparison'!$Y$14:$Y$33,MATCH($AG73,'10 Candidate Comparison'!$A$14:$A$33,0)),""))</x:f>
      </x:c>
      <x:c r="AK73" s="1253" t="str">
        <x:f>IF($A73="","",IF($Z73="FAIL — DUPLICATE ID","DUPLICATE CANDIDATE ID",IF($Z73="FAIL — INCOMPLETE","INCOMPLETE",IF($Z73="FAIL — MASR RECORD REQUIRED","MASR RECORD REQUIRED",IF($Z73="FAIL — ELIGIBILITY","ELIGIBILITY BLOCK",IF($Z73="FAIL — EVIDENCE","EVIDENCE REQUIRED",IF($Z73="FAIL — MIAR GATE","MIAR GATE BLOCK",IF($Z73="FAIL — COMMITTEE DISPOSITION","COMMITTEE DECISION REQUIRED",IF($Z73="FAIL — PEW REFERRAL","PEW REFERRAL INCOMPLETE",IF(AND(OR($Y73="Rejected",$Y73="Closed",$Y73="Removed"),OR($AO73="",$AP73="",$AQ73="")),"CLOSURE REQUIRED",IF(AND($AB73&lt;TODAY(),NOT(OR($Y73="Rejected",$Y73="Closed",$Y73="Removed"))),"OVERDUE",IF(OR($Y73="Rejected",$Y73="Closed",$Y73="Removed"),"CLOSED","OPEN — ON TRACK"))))))))))))</x:f>
      </x:c>
      <x:c r="AL73" s="1253" t="str">
        <x:f>IF($AK73="","",IFERROR(INDEX('97 RCC Lists'!$AM$5:$AM$16,MATCH($AK73,'97 RCC Lists'!$AL$5:$AL$16,0)),"Review candidate exception"))</x:f>
      </x:c>
      <x:c r="AM73" s="1242"/>
      <x:c r="AN73" s="1242"/>
      <x:c r="AO73" s="1242"/>
      <x:c r="AP73" s="1242"/>
      <x:c r="AQ73" s="1251"/>
    </x:row>
    <x:row r="74" ht="32" customHeight="1">
      <x:c r="A74" s="1242"/>
      <x:c r="B74" s="1251"/>
      <x:c r="C74" s="1242"/>
      <x:c r="D74" s="1243" t="str">
        <x:f>IF($C74="","",IFERROR(INDEX('23 RCC-004 MASR Registry'!$C$14:$C$163,MATCH($C74,'23 RCC-004 MASR Registry'!$B$14:$B$163,0)),""))</x:f>
      </x:c>
      <x:c r="E74" s="1242"/>
      <x:c r="F74" s="1242"/>
      <x:c r="G74" s="1242"/>
      <x:c r="H74" s="1242"/>
      <x:c r="I74" s="1243" t="str">
        <x:f>IF($C74="","",IFERROR(INDEX('23 RCC-004 MASR Registry'!$G$14:$G$163,MATCH($C74,'23 RCC-004 MASR Registry'!$B$14:$B$163,0)),""))</x:f>
      </x:c>
      <x:c r="J74" s="1243" t="str">
        <x:f>IF($C74="","",IFERROR(INDEX('23 RCC-004 MASR Registry'!$H$14:$H$163,MATCH($C74,'23 RCC-004 MASR Registry'!$B$14:$B$163,0)),""))</x:f>
      </x:c>
      <x:c r="K74" s="1243" t="str">
        <x:f>IF($C74="","",IFERROR(INDEX('23 RCC-004 MASR Registry'!$D$14:$D$163,MATCH($C74,'23 RCC-004 MASR Registry'!$B$14:$B$163,0)),""))</x:f>
      </x:c>
      <x:c r="L74" s="1243" t="str">
        <x:f>IF($C74="","",IFERROR(INDEX('23 RCC-004 MASR Registry'!$E$14:$E$163,MATCH($C74,'23 RCC-004 MASR Registry'!$B$14:$B$163,0)),""))</x:f>
      </x:c>
      <x:c r="M74" s="1243" t="str">
        <x:f>IF($C74="","",IFERROR(INDEX('23 RCC-004 MASR Registry'!$X$14:$X$163,MATCH($C74,'23 RCC-004 MASR Registry'!$B$14:$B$163,0)),""))</x:f>
      </x:c>
      <x:c r="N74" s="1243" t="str">
        <x:f>IF($C74="","",IFERROR(INDEX('23 RCC-004 MASR Registry'!$Y$14:$Y$163,MATCH($C74,'23 RCC-004 MASR Registry'!$B$14:$B$163,0)),""))</x:f>
      </x:c>
      <x:c r="O74" s="1243" t="str">
        <x:f>IF($C74="","",IFERROR(INDEX('23 RCC-004 MASR Registry'!$L$14:$L$163,MATCH($C74,'23 RCC-004 MASR Registry'!$B$14:$B$163,0)),""))</x:f>
      </x:c>
      <x:c r="P74" s="1243" t="str">
        <x:f>IF($C74="","",IFERROR(INDEX('23 RCC-004 MASR Registry'!$M$14:$M$163,MATCH($C74,'23 RCC-004 MASR Registry'!$B$14:$B$163,0)),""))</x:f>
      </x:c>
      <x:c r="Q74" s="1246" t="str">
        <x:f>IF($C74="","",IFERROR(INDEX('23 RCC-004 MASR Registry'!$N$14:$N$163,MATCH($C74,'23 RCC-004 MASR Registry'!$B$14:$B$163,0)),""))</x:f>
      </x:c>
      <x:c r="R74" s="1246" t="str">
        <x:f>IF($C74="","",IFERROR(INDEX('23 RCC-004 MASR Registry'!$O$14:$O$163,MATCH($C74,'23 RCC-004 MASR Registry'!$B$14:$B$163,0)),""))</x:f>
      </x:c>
      <x:c r="S74" s="1246" t="str">
        <x:f>IF($C74="","",IFERROR(INDEX('23 RCC-004 MASR Registry'!$W$14:$W$163,MATCH($C74,'23 RCC-004 MASR Registry'!$B$14:$B$163,0)),""))</x:f>
      </x:c>
      <x:c r="T74" s="1246" t="str">
        <x:f>IF($C74="","",IFERROR(INDEX('23 RCC-004 MASR Registry'!$T$14:$T$163,MATCH($C74,'23 RCC-004 MASR Registry'!$B$14:$B$163,0)),""))</x:f>
      </x:c>
      <x:c r="U74" s="1247" t="str">
        <x:f>IF($C74="","",IFERROR(INDEX('23 RCC-004 MASR Registry'!$U$14:$U$163,MATCH($C74,'23 RCC-004 MASR Registry'!$B$14:$B$163,0)),""))</x:f>
      </x:c>
      <x:c r="V74" s="1243" t="str">
        <x:f>IF($C74="","",IFERROR(INDEX('23 RCC-004 MASR Registry'!$V$14:$V$163,MATCH($C74,'23 RCC-004 MASR Registry'!$B$14:$B$163,0)),""))</x:f>
      </x:c>
      <x:c r="W74" s="1242"/>
      <x:c r="X74" s="1247" t="str">
        <x:f>IF($C74="","",COUNTIF('18 RCC-002 Evidence Ledger'!$E$14:$E$213,$C74))</x:f>
      </x:c>
      <x:c r="Y74" s="1242"/>
      <x:c r="Z74" s="1244" t="str">
        <x:f>IF($A74="","",IF(COUNTIF($A$14:$A$213,$A74)&gt;1,"FAIL — DUPLICATE ID",IF(OR($B74="",$C74="",$E74="",$H74="",$Y74="",$AA74="",$AB74=""),"FAIL — INCOMPLETE",IF(AND(OR($Y74="MIAR Review",$Y74="Eligibility Review",$Y74="Candidate Comparison",$Y74="Committee Review",$Y74="Approved for MASR",$Y74="Referred to PEW-004",$Y74="On Watch",$Y74="Rejected",$Y74="Closed",$Y74="Removed"),$K74=""),"FAIL — MASR RECORD REQUIRED",IF(AND(OR($Y74="Eligibility Review",$Y74="Candidate Comparison",$Y74="Committee Review",$Y74="Approved for MASR",$Y74="Referred to PEW-004",$Y74="On Watch"),NOT(OR($M74="ELIGIBLE",$M74="ELIGIBLE WITH EXCEPTION",$M74="CERTIFIED HOLDING"))),"FAIL — ELIGIBILITY",IF(AND(OR($Y74="Candidate Comparison",$Y74="Committee Review",$Y74="Approved for MASR",$Y74="Referred to PEW-004",$Y74="On Watch"),$X74=0),"FAIL — EVIDENCE",IF(AND(OR($Y74="Candidate Comparison",$Y74="Committee Review",$Y74="Approved for MASR",$Y74="Referred to PEW-004",$Y74="On Watch"),OR($O74&lt;&gt;"Active",$P74&lt;&gt;"CURRENT")),"FAIL — MIAR GATE",IF(AND(OR($Y74="Approved for MASR",$Y74="Referred to PEW-004",$Y74="On Watch",$Y74="Rejected",$Y74="Closed",$Y74="Removed"),OR($AD74="",$AD74="Pending")),"FAIL — COMMITTEE DISPOSITION",IF(AND($Y74="Referred to PEW-004",OR($AF74&lt;&gt;"Yes — Refer to PEW-004",$AG74="",$AJ74="")),"FAIL — PEW REFERRAL","PASS — STAGE GATE")))))))))</x:f>
      </x:c>
      <x:c r="AA74" s="1242"/>
      <x:c r="AB74" s="1251"/>
      <x:c r="AC74" s="1250" t="str">
        <x:f>IF($B74="","",IF($AQ74&lt;&gt;"",$AQ74-$B74,TODAY()-$B74))</x:f>
      </x:c>
      <x:c r="AD74" s="1242"/>
      <x:c r="AE74" s="1251"/>
      <x:c r="AF74" s="1242"/>
      <x:c r="AG74" s="1242"/>
      <x:c r="AH74" s="1246" t="str">
        <x:f>IF($AG74="","",IFERROR(INDEX('10 Candidate Comparison'!$T$14:$T$33,MATCH($AG74,'10 Candidate Comparison'!$A$14:$A$33,0)),""))</x:f>
      </x:c>
      <x:c r="AI74" s="1243" t="str">
        <x:f>IF($AG74="","",IFERROR(INDEX('10 Candidate Comparison'!$U$14:$U$33,MATCH($AG74,'10 Candidate Comparison'!$A$14:$A$33,0)),""))</x:f>
      </x:c>
      <x:c r="AJ74" s="1243" t="str">
        <x:f>IF($AG74="","",IFERROR(INDEX('10 Candidate Comparison'!$Y$14:$Y$33,MATCH($AG74,'10 Candidate Comparison'!$A$14:$A$33,0)),""))</x:f>
      </x:c>
      <x:c r="AK74" s="1244" t="str">
        <x:f>IF($A74="","",IF($Z74="FAIL — DUPLICATE ID","DUPLICATE CANDIDATE ID",IF($Z74="FAIL — INCOMPLETE","INCOMPLETE",IF($Z74="FAIL — MASR RECORD REQUIRED","MASR RECORD REQUIRED",IF($Z74="FAIL — ELIGIBILITY","ELIGIBILITY BLOCK",IF($Z74="FAIL — EVIDENCE","EVIDENCE REQUIRED",IF($Z74="FAIL — MIAR GATE","MIAR GATE BLOCK",IF($Z74="FAIL — COMMITTEE DISPOSITION","COMMITTEE DECISION REQUIRED",IF($Z74="FAIL — PEW REFERRAL","PEW REFERRAL INCOMPLETE",IF(AND(OR($Y74="Rejected",$Y74="Closed",$Y74="Removed"),OR($AO74="",$AP74="",$AQ74="")),"CLOSURE REQUIRED",IF(AND($AB74&lt;TODAY(),NOT(OR($Y74="Rejected",$Y74="Closed",$Y74="Removed"))),"OVERDUE",IF(OR($Y74="Rejected",$Y74="Closed",$Y74="Removed"),"CLOSED","OPEN — ON TRACK"))))))))))))</x:f>
      </x:c>
      <x:c r="AL74" s="1244" t="str">
        <x:f>IF($AK74="","",IFERROR(INDEX('97 RCC Lists'!$AM$5:$AM$16,MATCH($AK74,'97 RCC Lists'!$AL$5:$AL$16,0)),"Review candidate exception"))</x:f>
      </x:c>
      <x:c r="AM74" s="1242"/>
      <x:c r="AN74" s="1242"/>
      <x:c r="AO74" s="1242"/>
      <x:c r="AP74" s="1242"/>
      <x:c r="AQ74" s="1251"/>
    </x:row>
    <x:row r="75" ht="32" customHeight="1">
      <x:c r="A75" s="1242"/>
      <x:c r="B75" s="1251"/>
      <x:c r="C75" s="1242"/>
      <x:c r="D75" s="1252" t="str">
        <x:f>IF($C75="","",IFERROR(INDEX('23 RCC-004 MASR Registry'!$C$14:$C$163,MATCH($C75,'23 RCC-004 MASR Registry'!$B$14:$B$163,0)),""))</x:f>
      </x:c>
      <x:c r="E75" s="1242"/>
      <x:c r="F75" s="1242"/>
      <x:c r="G75" s="1242"/>
      <x:c r="H75" s="1242"/>
      <x:c r="I75" s="1252" t="str">
        <x:f>IF($C75="","",IFERROR(INDEX('23 RCC-004 MASR Registry'!$G$14:$G$163,MATCH($C75,'23 RCC-004 MASR Registry'!$B$14:$B$163,0)),""))</x:f>
      </x:c>
      <x:c r="J75" s="1252" t="str">
        <x:f>IF($C75="","",IFERROR(INDEX('23 RCC-004 MASR Registry'!$H$14:$H$163,MATCH($C75,'23 RCC-004 MASR Registry'!$B$14:$B$163,0)),""))</x:f>
      </x:c>
      <x:c r="K75" s="1252" t="str">
        <x:f>IF($C75="","",IFERROR(INDEX('23 RCC-004 MASR Registry'!$D$14:$D$163,MATCH($C75,'23 RCC-004 MASR Registry'!$B$14:$B$163,0)),""))</x:f>
      </x:c>
      <x:c r="L75" s="1252" t="str">
        <x:f>IF($C75="","",IFERROR(INDEX('23 RCC-004 MASR Registry'!$E$14:$E$163,MATCH($C75,'23 RCC-004 MASR Registry'!$B$14:$B$163,0)),""))</x:f>
      </x:c>
      <x:c r="M75" s="1252" t="str">
        <x:f>IF($C75="","",IFERROR(INDEX('23 RCC-004 MASR Registry'!$X$14:$X$163,MATCH($C75,'23 RCC-004 MASR Registry'!$B$14:$B$163,0)),""))</x:f>
      </x:c>
      <x:c r="N75" s="1252" t="str">
        <x:f>IF($C75="","",IFERROR(INDEX('23 RCC-004 MASR Registry'!$Y$14:$Y$163,MATCH($C75,'23 RCC-004 MASR Registry'!$B$14:$B$163,0)),""))</x:f>
      </x:c>
      <x:c r="O75" s="1252" t="str">
        <x:f>IF($C75="","",IFERROR(INDEX('23 RCC-004 MASR Registry'!$L$14:$L$163,MATCH($C75,'23 RCC-004 MASR Registry'!$B$14:$B$163,0)),""))</x:f>
      </x:c>
      <x:c r="P75" s="1252" t="str">
        <x:f>IF($C75="","",IFERROR(INDEX('23 RCC-004 MASR Registry'!$M$14:$M$163,MATCH($C75,'23 RCC-004 MASR Registry'!$B$14:$B$163,0)),""))</x:f>
      </x:c>
      <x:c r="Q75" s="1255" t="str">
        <x:f>IF($C75="","",IFERROR(INDEX('23 RCC-004 MASR Registry'!$N$14:$N$163,MATCH($C75,'23 RCC-004 MASR Registry'!$B$14:$B$163,0)),""))</x:f>
      </x:c>
      <x:c r="R75" s="1255" t="str">
        <x:f>IF($C75="","",IFERROR(INDEX('23 RCC-004 MASR Registry'!$O$14:$O$163,MATCH($C75,'23 RCC-004 MASR Registry'!$B$14:$B$163,0)),""))</x:f>
      </x:c>
      <x:c r="S75" s="1255" t="str">
        <x:f>IF($C75="","",IFERROR(INDEX('23 RCC-004 MASR Registry'!$W$14:$W$163,MATCH($C75,'23 RCC-004 MASR Registry'!$B$14:$B$163,0)),""))</x:f>
      </x:c>
      <x:c r="T75" s="1255" t="str">
        <x:f>IF($C75="","",IFERROR(INDEX('23 RCC-004 MASR Registry'!$T$14:$T$163,MATCH($C75,'23 RCC-004 MASR Registry'!$B$14:$B$163,0)),""))</x:f>
      </x:c>
      <x:c r="U75" s="1256" t="str">
        <x:f>IF($C75="","",IFERROR(INDEX('23 RCC-004 MASR Registry'!$U$14:$U$163,MATCH($C75,'23 RCC-004 MASR Registry'!$B$14:$B$163,0)),""))</x:f>
      </x:c>
      <x:c r="V75" s="1252" t="str">
        <x:f>IF($C75="","",IFERROR(INDEX('23 RCC-004 MASR Registry'!$V$14:$V$163,MATCH($C75,'23 RCC-004 MASR Registry'!$B$14:$B$163,0)),""))</x:f>
      </x:c>
      <x:c r="W75" s="1242"/>
      <x:c r="X75" s="1256" t="str">
        <x:f>IF($C75="","",COUNTIF('18 RCC-002 Evidence Ledger'!$E$14:$E$213,$C75))</x:f>
      </x:c>
      <x:c r="Y75" s="1242"/>
      <x:c r="Z75" s="1253" t="str">
        <x:f>IF($A75="","",IF(COUNTIF($A$14:$A$213,$A75)&gt;1,"FAIL — DUPLICATE ID",IF(OR($B75="",$C75="",$E75="",$H75="",$Y75="",$AA75="",$AB75=""),"FAIL — INCOMPLETE",IF(AND(OR($Y75="MIAR Review",$Y75="Eligibility Review",$Y75="Candidate Comparison",$Y75="Committee Review",$Y75="Approved for MASR",$Y75="Referred to PEW-004",$Y75="On Watch",$Y75="Rejected",$Y75="Closed",$Y75="Removed"),$K75=""),"FAIL — MASR RECORD REQUIRED",IF(AND(OR($Y75="Eligibility Review",$Y75="Candidate Comparison",$Y75="Committee Review",$Y75="Approved for MASR",$Y75="Referred to PEW-004",$Y75="On Watch"),NOT(OR($M75="ELIGIBLE",$M75="ELIGIBLE WITH EXCEPTION",$M75="CERTIFIED HOLDING"))),"FAIL — ELIGIBILITY",IF(AND(OR($Y75="Candidate Comparison",$Y75="Committee Review",$Y75="Approved for MASR",$Y75="Referred to PEW-004",$Y75="On Watch"),$X75=0),"FAIL — EVIDENCE",IF(AND(OR($Y75="Candidate Comparison",$Y75="Committee Review",$Y75="Approved for MASR",$Y75="Referred to PEW-004",$Y75="On Watch"),OR($O75&lt;&gt;"Active",$P75&lt;&gt;"CURRENT")),"FAIL — MIAR GATE",IF(AND(OR($Y75="Approved for MASR",$Y75="Referred to PEW-004",$Y75="On Watch",$Y75="Rejected",$Y75="Closed",$Y75="Removed"),OR($AD75="",$AD75="Pending")),"FAIL — COMMITTEE DISPOSITION",IF(AND($Y75="Referred to PEW-004",OR($AF75&lt;&gt;"Yes — Refer to PEW-004",$AG75="",$AJ75="")),"FAIL — PEW REFERRAL","PASS — STAGE GATE")))))))))</x:f>
      </x:c>
      <x:c r="AA75" s="1242"/>
      <x:c r="AB75" s="1251"/>
      <x:c r="AC75" s="1257" t="str">
        <x:f>IF($B75="","",IF($AQ75&lt;&gt;"",$AQ75-$B75,TODAY()-$B75))</x:f>
      </x:c>
      <x:c r="AD75" s="1242"/>
      <x:c r="AE75" s="1251"/>
      <x:c r="AF75" s="1242"/>
      <x:c r="AG75" s="1242"/>
      <x:c r="AH75" s="1255" t="str">
        <x:f>IF($AG75="","",IFERROR(INDEX('10 Candidate Comparison'!$T$14:$T$33,MATCH($AG75,'10 Candidate Comparison'!$A$14:$A$33,0)),""))</x:f>
      </x:c>
      <x:c r="AI75" s="1252" t="str">
        <x:f>IF($AG75="","",IFERROR(INDEX('10 Candidate Comparison'!$U$14:$U$33,MATCH($AG75,'10 Candidate Comparison'!$A$14:$A$33,0)),""))</x:f>
      </x:c>
      <x:c r="AJ75" s="1252" t="str">
        <x:f>IF($AG75="","",IFERROR(INDEX('10 Candidate Comparison'!$Y$14:$Y$33,MATCH($AG75,'10 Candidate Comparison'!$A$14:$A$33,0)),""))</x:f>
      </x:c>
      <x:c r="AK75" s="1253" t="str">
        <x:f>IF($A75="","",IF($Z75="FAIL — DUPLICATE ID","DUPLICATE CANDIDATE ID",IF($Z75="FAIL — INCOMPLETE","INCOMPLETE",IF($Z75="FAIL — MASR RECORD REQUIRED","MASR RECORD REQUIRED",IF($Z75="FAIL — ELIGIBILITY","ELIGIBILITY BLOCK",IF($Z75="FAIL — EVIDENCE","EVIDENCE REQUIRED",IF($Z75="FAIL — MIAR GATE","MIAR GATE BLOCK",IF($Z75="FAIL — COMMITTEE DISPOSITION","COMMITTEE DECISION REQUIRED",IF($Z75="FAIL — PEW REFERRAL","PEW REFERRAL INCOMPLETE",IF(AND(OR($Y75="Rejected",$Y75="Closed",$Y75="Removed"),OR($AO75="",$AP75="",$AQ75="")),"CLOSURE REQUIRED",IF(AND($AB75&lt;TODAY(),NOT(OR($Y75="Rejected",$Y75="Closed",$Y75="Removed"))),"OVERDUE",IF(OR($Y75="Rejected",$Y75="Closed",$Y75="Removed"),"CLOSED","OPEN — ON TRACK"))))))))))))</x:f>
      </x:c>
      <x:c r="AL75" s="1253" t="str">
        <x:f>IF($AK75="","",IFERROR(INDEX('97 RCC Lists'!$AM$5:$AM$16,MATCH($AK75,'97 RCC Lists'!$AL$5:$AL$16,0)),"Review candidate exception"))</x:f>
      </x:c>
      <x:c r="AM75" s="1242"/>
      <x:c r="AN75" s="1242"/>
      <x:c r="AO75" s="1242"/>
      <x:c r="AP75" s="1242"/>
      <x:c r="AQ75" s="1251"/>
    </x:row>
    <x:row r="76" ht="32" customHeight="1">
      <x:c r="A76" s="1242"/>
      <x:c r="B76" s="1251"/>
      <x:c r="C76" s="1242"/>
      <x:c r="D76" s="1243" t="str">
        <x:f>IF($C76="","",IFERROR(INDEX('23 RCC-004 MASR Registry'!$C$14:$C$163,MATCH($C76,'23 RCC-004 MASR Registry'!$B$14:$B$163,0)),""))</x:f>
      </x:c>
      <x:c r="E76" s="1242"/>
      <x:c r="F76" s="1242"/>
      <x:c r="G76" s="1242"/>
      <x:c r="H76" s="1242"/>
      <x:c r="I76" s="1243" t="str">
        <x:f>IF($C76="","",IFERROR(INDEX('23 RCC-004 MASR Registry'!$G$14:$G$163,MATCH($C76,'23 RCC-004 MASR Registry'!$B$14:$B$163,0)),""))</x:f>
      </x:c>
      <x:c r="J76" s="1243" t="str">
        <x:f>IF($C76="","",IFERROR(INDEX('23 RCC-004 MASR Registry'!$H$14:$H$163,MATCH($C76,'23 RCC-004 MASR Registry'!$B$14:$B$163,0)),""))</x:f>
      </x:c>
      <x:c r="K76" s="1243" t="str">
        <x:f>IF($C76="","",IFERROR(INDEX('23 RCC-004 MASR Registry'!$D$14:$D$163,MATCH($C76,'23 RCC-004 MASR Registry'!$B$14:$B$163,0)),""))</x:f>
      </x:c>
      <x:c r="L76" s="1243" t="str">
        <x:f>IF($C76="","",IFERROR(INDEX('23 RCC-004 MASR Registry'!$E$14:$E$163,MATCH($C76,'23 RCC-004 MASR Registry'!$B$14:$B$163,0)),""))</x:f>
      </x:c>
      <x:c r="M76" s="1243" t="str">
        <x:f>IF($C76="","",IFERROR(INDEX('23 RCC-004 MASR Registry'!$X$14:$X$163,MATCH($C76,'23 RCC-004 MASR Registry'!$B$14:$B$163,0)),""))</x:f>
      </x:c>
      <x:c r="N76" s="1243" t="str">
        <x:f>IF($C76="","",IFERROR(INDEX('23 RCC-004 MASR Registry'!$Y$14:$Y$163,MATCH($C76,'23 RCC-004 MASR Registry'!$B$14:$B$163,0)),""))</x:f>
      </x:c>
      <x:c r="O76" s="1243" t="str">
        <x:f>IF($C76="","",IFERROR(INDEX('23 RCC-004 MASR Registry'!$L$14:$L$163,MATCH($C76,'23 RCC-004 MASR Registry'!$B$14:$B$163,0)),""))</x:f>
      </x:c>
      <x:c r="P76" s="1243" t="str">
        <x:f>IF($C76="","",IFERROR(INDEX('23 RCC-004 MASR Registry'!$M$14:$M$163,MATCH($C76,'23 RCC-004 MASR Registry'!$B$14:$B$163,0)),""))</x:f>
      </x:c>
      <x:c r="Q76" s="1246" t="str">
        <x:f>IF($C76="","",IFERROR(INDEX('23 RCC-004 MASR Registry'!$N$14:$N$163,MATCH($C76,'23 RCC-004 MASR Registry'!$B$14:$B$163,0)),""))</x:f>
      </x:c>
      <x:c r="R76" s="1246" t="str">
        <x:f>IF($C76="","",IFERROR(INDEX('23 RCC-004 MASR Registry'!$O$14:$O$163,MATCH($C76,'23 RCC-004 MASR Registry'!$B$14:$B$163,0)),""))</x:f>
      </x:c>
      <x:c r="S76" s="1246" t="str">
        <x:f>IF($C76="","",IFERROR(INDEX('23 RCC-004 MASR Registry'!$W$14:$W$163,MATCH($C76,'23 RCC-004 MASR Registry'!$B$14:$B$163,0)),""))</x:f>
      </x:c>
      <x:c r="T76" s="1246" t="str">
        <x:f>IF($C76="","",IFERROR(INDEX('23 RCC-004 MASR Registry'!$T$14:$T$163,MATCH($C76,'23 RCC-004 MASR Registry'!$B$14:$B$163,0)),""))</x:f>
      </x:c>
      <x:c r="U76" s="1247" t="str">
        <x:f>IF($C76="","",IFERROR(INDEX('23 RCC-004 MASR Registry'!$U$14:$U$163,MATCH($C76,'23 RCC-004 MASR Registry'!$B$14:$B$163,0)),""))</x:f>
      </x:c>
      <x:c r="V76" s="1243" t="str">
        <x:f>IF($C76="","",IFERROR(INDEX('23 RCC-004 MASR Registry'!$V$14:$V$163,MATCH($C76,'23 RCC-004 MASR Registry'!$B$14:$B$163,0)),""))</x:f>
      </x:c>
      <x:c r="W76" s="1242"/>
      <x:c r="X76" s="1247" t="str">
        <x:f>IF($C76="","",COUNTIF('18 RCC-002 Evidence Ledger'!$E$14:$E$213,$C76))</x:f>
      </x:c>
      <x:c r="Y76" s="1242"/>
      <x:c r="Z76" s="1244" t="str">
        <x:f>IF($A76="","",IF(COUNTIF($A$14:$A$213,$A76)&gt;1,"FAIL — DUPLICATE ID",IF(OR($B76="",$C76="",$E76="",$H76="",$Y76="",$AA76="",$AB76=""),"FAIL — INCOMPLETE",IF(AND(OR($Y76="MIAR Review",$Y76="Eligibility Review",$Y76="Candidate Comparison",$Y76="Committee Review",$Y76="Approved for MASR",$Y76="Referred to PEW-004",$Y76="On Watch",$Y76="Rejected",$Y76="Closed",$Y76="Removed"),$K76=""),"FAIL — MASR RECORD REQUIRED",IF(AND(OR($Y76="Eligibility Review",$Y76="Candidate Comparison",$Y76="Committee Review",$Y76="Approved for MASR",$Y76="Referred to PEW-004",$Y76="On Watch"),NOT(OR($M76="ELIGIBLE",$M76="ELIGIBLE WITH EXCEPTION",$M76="CERTIFIED HOLDING"))),"FAIL — ELIGIBILITY",IF(AND(OR($Y76="Candidate Comparison",$Y76="Committee Review",$Y76="Approved for MASR",$Y76="Referred to PEW-004",$Y76="On Watch"),$X76=0),"FAIL — EVIDENCE",IF(AND(OR($Y76="Candidate Comparison",$Y76="Committee Review",$Y76="Approved for MASR",$Y76="Referred to PEW-004",$Y76="On Watch"),OR($O76&lt;&gt;"Active",$P76&lt;&gt;"CURRENT")),"FAIL — MIAR GATE",IF(AND(OR($Y76="Approved for MASR",$Y76="Referred to PEW-004",$Y76="On Watch",$Y76="Rejected",$Y76="Closed",$Y76="Removed"),OR($AD76="",$AD76="Pending")),"FAIL — COMMITTEE DISPOSITION",IF(AND($Y76="Referred to PEW-004",OR($AF76&lt;&gt;"Yes — Refer to PEW-004",$AG76="",$AJ76="")),"FAIL — PEW REFERRAL","PASS — STAGE GATE")))))))))</x:f>
      </x:c>
      <x:c r="AA76" s="1242"/>
      <x:c r="AB76" s="1251"/>
      <x:c r="AC76" s="1250" t="str">
        <x:f>IF($B76="","",IF($AQ76&lt;&gt;"",$AQ76-$B76,TODAY()-$B76))</x:f>
      </x:c>
      <x:c r="AD76" s="1242"/>
      <x:c r="AE76" s="1251"/>
      <x:c r="AF76" s="1242"/>
      <x:c r="AG76" s="1242"/>
      <x:c r="AH76" s="1246" t="str">
        <x:f>IF($AG76="","",IFERROR(INDEX('10 Candidate Comparison'!$T$14:$T$33,MATCH($AG76,'10 Candidate Comparison'!$A$14:$A$33,0)),""))</x:f>
      </x:c>
      <x:c r="AI76" s="1243" t="str">
        <x:f>IF($AG76="","",IFERROR(INDEX('10 Candidate Comparison'!$U$14:$U$33,MATCH($AG76,'10 Candidate Comparison'!$A$14:$A$33,0)),""))</x:f>
      </x:c>
      <x:c r="AJ76" s="1243" t="str">
        <x:f>IF($AG76="","",IFERROR(INDEX('10 Candidate Comparison'!$Y$14:$Y$33,MATCH($AG76,'10 Candidate Comparison'!$A$14:$A$33,0)),""))</x:f>
      </x:c>
      <x:c r="AK76" s="1244" t="str">
        <x:f>IF($A76="","",IF($Z76="FAIL — DUPLICATE ID","DUPLICATE CANDIDATE ID",IF($Z76="FAIL — INCOMPLETE","INCOMPLETE",IF($Z76="FAIL — MASR RECORD REQUIRED","MASR RECORD REQUIRED",IF($Z76="FAIL — ELIGIBILITY","ELIGIBILITY BLOCK",IF($Z76="FAIL — EVIDENCE","EVIDENCE REQUIRED",IF($Z76="FAIL — MIAR GATE","MIAR GATE BLOCK",IF($Z76="FAIL — COMMITTEE DISPOSITION","COMMITTEE DECISION REQUIRED",IF($Z76="FAIL — PEW REFERRAL","PEW REFERRAL INCOMPLETE",IF(AND(OR($Y76="Rejected",$Y76="Closed",$Y76="Removed"),OR($AO76="",$AP76="",$AQ76="")),"CLOSURE REQUIRED",IF(AND($AB76&lt;TODAY(),NOT(OR($Y76="Rejected",$Y76="Closed",$Y76="Removed"))),"OVERDUE",IF(OR($Y76="Rejected",$Y76="Closed",$Y76="Removed"),"CLOSED","OPEN — ON TRACK"))))))))))))</x:f>
      </x:c>
      <x:c r="AL76" s="1244" t="str">
        <x:f>IF($AK76="","",IFERROR(INDEX('97 RCC Lists'!$AM$5:$AM$16,MATCH($AK76,'97 RCC Lists'!$AL$5:$AL$16,0)),"Review candidate exception"))</x:f>
      </x:c>
      <x:c r="AM76" s="1242"/>
      <x:c r="AN76" s="1242"/>
      <x:c r="AO76" s="1242"/>
      <x:c r="AP76" s="1242"/>
      <x:c r="AQ76" s="1251"/>
    </x:row>
    <x:row r="77" ht="32" customHeight="1">
      <x:c r="A77" s="1242"/>
      <x:c r="B77" s="1251"/>
      <x:c r="C77" s="1242"/>
      <x:c r="D77" s="1252" t="str">
        <x:f>IF($C77="","",IFERROR(INDEX('23 RCC-004 MASR Registry'!$C$14:$C$163,MATCH($C77,'23 RCC-004 MASR Registry'!$B$14:$B$163,0)),""))</x:f>
      </x:c>
      <x:c r="E77" s="1242"/>
      <x:c r="F77" s="1242"/>
      <x:c r="G77" s="1242"/>
      <x:c r="H77" s="1242"/>
      <x:c r="I77" s="1252" t="str">
        <x:f>IF($C77="","",IFERROR(INDEX('23 RCC-004 MASR Registry'!$G$14:$G$163,MATCH($C77,'23 RCC-004 MASR Registry'!$B$14:$B$163,0)),""))</x:f>
      </x:c>
      <x:c r="J77" s="1252" t="str">
        <x:f>IF($C77="","",IFERROR(INDEX('23 RCC-004 MASR Registry'!$H$14:$H$163,MATCH($C77,'23 RCC-004 MASR Registry'!$B$14:$B$163,0)),""))</x:f>
      </x:c>
      <x:c r="K77" s="1252" t="str">
        <x:f>IF($C77="","",IFERROR(INDEX('23 RCC-004 MASR Registry'!$D$14:$D$163,MATCH($C77,'23 RCC-004 MASR Registry'!$B$14:$B$163,0)),""))</x:f>
      </x:c>
      <x:c r="L77" s="1252" t="str">
        <x:f>IF($C77="","",IFERROR(INDEX('23 RCC-004 MASR Registry'!$E$14:$E$163,MATCH($C77,'23 RCC-004 MASR Registry'!$B$14:$B$163,0)),""))</x:f>
      </x:c>
      <x:c r="M77" s="1252" t="str">
        <x:f>IF($C77="","",IFERROR(INDEX('23 RCC-004 MASR Registry'!$X$14:$X$163,MATCH($C77,'23 RCC-004 MASR Registry'!$B$14:$B$163,0)),""))</x:f>
      </x:c>
      <x:c r="N77" s="1252" t="str">
        <x:f>IF($C77="","",IFERROR(INDEX('23 RCC-004 MASR Registry'!$Y$14:$Y$163,MATCH($C77,'23 RCC-004 MASR Registry'!$B$14:$B$163,0)),""))</x:f>
      </x:c>
      <x:c r="O77" s="1252" t="str">
        <x:f>IF($C77="","",IFERROR(INDEX('23 RCC-004 MASR Registry'!$L$14:$L$163,MATCH($C77,'23 RCC-004 MASR Registry'!$B$14:$B$163,0)),""))</x:f>
      </x:c>
      <x:c r="P77" s="1252" t="str">
        <x:f>IF($C77="","",IFERROR(INDEX('23 RCC-004 MASR Registry'!$M$14:$M$163,MATCH($C77,'23 RCC-004 MASR Registry'!$B$14:$B$163,0)),""))</x:f>
      </x:c>
      <x:c r="Q77" s="1255" t="str">
        <x:f>IF($C77="","",IFERROR(INDEX('23 RCC-004 MASR Registry'!$N$14:$N$163,MATCH($C77,'23 RCC-004 MASR Registry'!$B$14:$B$163,0)),""))</x:f>
      </x:c>
      <x:c r="R77" s="1255" t="str">
        <x:f>IF($C77="","",IFERROR(INDEX('23 RCC-004 MASR Registry'!$O$14:$O$163,MATCH($C77,'23 RCC-004 MASR Registry'!$B$14:$B$163,0)),""))</x:f>
      </x:c>
      <x:c r="S77" s="1255" t="str">
        <x:f>IF($C77="","",IFERROR(INDEX('23 RCC-004 MASR Registry'!$W$14:$W$163,MATCH($C77,'23 RCC-004 MASR Registry'!$B$14:$B$163,0)),""))</x:f>
      </x:c>
      <x:c r="T77" s="1255" t="str">
        <x:f>IF($C77="","",IFERROR(INDEX('23 RCC-004 MASR Registry'!$T$14:$T$163,MATCH($C77,'23 RCC-004 MASR Registry'!$B$14:$B$163,0)),""))</x:f>
      </x:c>
      <x:c r="U77" s="1256" t="str">
        <x:f>IF($C77="","",IFERROR(INDEX('23 RCC-004 MASR Registry'!$U$14:$U$163,MATCH($C77,'23 RCC-004 MASR Registry'!$B$14:$B$163,0)),""))</x:f>
      </x:c>
      <x:c r="V77" s="1252" t="str">
        <x:f>IF($C77="","",IFERROR(INDEX('23 RCC-004 MASR Registry'!$V$14:$V$163,MATCH($C77,'23 RCC-004 MASR Registry'!$B$14:$B$163,0)),""))</x:f>
      </x:c>
      <x:c r="W77" s="1242"/>
      <x:c r="X77" s="1256" t="str">
        <x:f>IF($C77="","",COUNTIF('18 RCC-002 Evidence Ledger'!$E$14:$E$213,$C77))</x:f>
      </x:c>
      <x:c r="Y77" s="1242"/>
      <x:c r="Z77" s="1253" t="str">
        <x:f>IF($A77="","",IF(COUNTIF($A$14:$A$213,$A77)&gt;1,"FAIL — DUPLICATE ID",IF(OR($B77="",$C77="",$E77="",$H77="",$Y77="",$AA77="",$AB77=""),"FAIL — INCOMPLETE",IF(AND(OR($Y77="MIAR Review",$Y77="Eligibility Review",$Y77="Candidate Comparison",$Y77="Committee Review",$Y77="Approved for MASR",$Y77="Referred to PEW-004",$Y77="On Watch",$Y77="Rejected",$Y77="Closed",$Y77="Removed"),$K77=""),"FAIL — MASR RECORD REQUIRED",IF(AND(OR($Y77="Eligibility Review",$Y77="Candidate Comparison",$Y77="Committee Review",$Y77="Approved for MASR",$Y77="Referred to PEW-004",$Y77="On Watch"),NOT(OR($M77="ELIGIBLE",$M77="ELIGIBLE WITH EXCEPTION",$M77="CERTIFIED HOLDING"))),"FAIL — ELIGIBILITY",IF(AND(OR($Y77="Candidate Comparison",$Y77="Committee Review",$Y77="Approved for MASR",$Y77="Referred to PEW-004",$Y77="On Watch"),$X77=0),"FAIL — EVIDENCE",IF(AND(OR($Y77="Candidate Comparison",$Y77="Committee Review",$Y77="Approved for MASR",$Y77="Referred to PEW-004",$Y77="On Watch"),OR($O77&lt;&gt;"Active",$P77&lt;&gt;"CURRENT")),"FAIL — MIAR GATE",IF(AND(OR($Y77="Approved for MASR",$Y77="Referred to PEW-004",$Y77="On Watch",$Y77="Rejected",$Y77="Closed",$Y77="Removed"),OR($AD77="",$AD77="Pending")),"FAIL — COMMITTEE DISPOSITION",IF(AND($Y77="Referred to PEW-004",OR($AF77&lt;&gt;"Yes — Refer to PEW-004",$AG77="",$AJ77="")),"FAIL — PEW REFERRAL","PASS — STAGE GATE")))))))))</x:f>
      </x:c>
      <x:c r="AA77" s="1242"/>
      <x:c r="AB77" s="1251"/>
      <x:c r="AC77" s="1257" t="str">
        <x:f>IF($B77="","",IF($AQ77&lt;&gt;"",$AQ77-$B77,TODAY()-$B77))</x:f>
      </x:c>
      <x:c r="AD77" s="1242"/>
      <x:c r="AE77" s="1251"/>
      <x:c r="AF77" s="1242"/>
      <x:c r="AG77" s="1242"/>
      <x:c r="AH77" s="1255" t="str">
        <x:f>IF($AG77="","",IFERROR(INDEX('10 Candidate Comparison'!$T$14:$T$33,MATCH($AG77,'10 Candidate Comparison'!$A$14:$A$33,0)),""))</x:f>
      </x:c>
      <x:c r="AI77" s="1252" t="str">
        <x:f>IF($AG77="","",IFERROR(INDEX('10 Candidate Comparison'!$U$14:$U$33,MATCH($AG77,'10 Candidate Comparison'!$A$14:$A$33,0)),""))</x:f>
      </x:c>
      <x:c r="AJ77" s="1252" t="str">
        <x:f>IF($AG77="","",IFERROR(INDEX('10 Candidate Comparison'!$Y$14:$Y$33,MATCH($AG77,'10 Candidate Comparison'!$A$14:$A$33,0)),""))</x:f>
      </x:c>
      <x:c r="AK77" s="1253" t="str">
        <x:f>IF($A77="","",IF($Z77="FAIL — DUPLICATE ID","DUPLICATE CANDIDATE ID",IF($Z77="FAIL — INCOMPLETE","INCOMPLETE",IF($Z77="FAIL — MASR RECORD REQUIRED","MASR RECORD REQUIRED",IF($Z77="FAIL — ELIGIBILITY","ELIGIBILITY BLOCK",IF($Z77="FAIL — EVIDENCE","EVIDENCE REQUIRED",IF($Z77="FAIL — MIAR GATE","MIAR GATE BLOCK",IF($Z77="FAIL — COMMITTEE DISPOSITION","COMMITTEE DECISION REQUIRED",IF($Z77="FAIL — PEW REFERRAL","PEW REFERRAL INCOMPLETE",IF(AND(OR($Y77="Rejected",$Y77="Closed",$Y77="Removed"),OR($AO77="",$AP77="",$AQ77="")),"CLOSURE REQUIRED",IF(AND($AB77&lt;TODAY(),NOT(OR($Y77="Rejected",$Y77="Closed",$Y77="Removed"))),"OVERDUE",IF(OR($Y77="Rejected",$Y77="Closed",$Y77="Removed"),"CLOSED","OPEN — ON TRACK"))))))))))))</x:f>
      </x:c>
      <x:c r="AL77" s="1253" t="str">
        <x:f>IF($AK77="","",IFERROR(INDEX('97 RCC Lists'!$AM$5:$AM$16,MATCH($AK77,'97 RCC Lists'!$AL$5:$AL$16,0)),"Review candidate exception"))</x:f>
      </x:c>
      <x:c r="AM77" s="1242"/>
      <x:c r="AN77" s="1242"/>
      <x:c r="AO77" s="1242"/>
      <x:c r="AP77" s="1242"/>
      <x:c r="AQ77" s="1251"/>
    </x:row>
    <x:row r="78" ht="32" customHeight="1">
      <x:c r="A78" s="1242"/>
      <x:c r="B78" s="1251"/>
      <x:c r="C78" s="1242"/>
      <x:c r="D78" s="1243" t="str">
        <x:f>IF($C78="","",IFERROR(INDEX('23 RCC-004 MASR Registry'!$C$14:$C$163,MATCH($C78,'23 RCC-004 MASR Registry'!$B$14:$B$163,0)),""))</x:f>
      </x:c>
      <x:c r="E78" s="1242"/>
      <x:c r="F78" s="1242"/>
      <x:c r="G78" s="1242"/>
      <x:c r="H78" s="1242"/>
      <x:c r="I78" s="1243" t="str">
        <x:f>IF($C78="","",IFERROR(INDEX('23 RCC-004 MASR Registry'!$G$14:$G$163,MATCH($C78,'23 RCC-004 MASR Registry'!$B$14:$B$163,0)),""))</x:f>
      </x:c>
      <x:c r="J78" s="1243" t="str">
        <x:f>IF($C78="","",IFERROR(INDEX('23 RCC-004 MASR Registry'!$H$14:$H$163,MATCH($C78,'23 RCC-004 MASR Registry'!$B$14:$B$163,0)),""))</x:f>
      </x:c>
      <x:c r="K78" s="1243" t="str">
        <x:f>IF($C78="","",IFERROR(INDEX('23 RCC-004 MASR Registry'!$D$14:$D$163,MATCH($C78,'23 RCC-004 MASR Registry'!$B$14:$B$163,0)),""))</x:f>
      </x:c>
      <x:c r="L78" s="1243" t="str">
        <x:f>IF($C78="","",IFERROR(INDEX('23 RCC-004 MASR Registry'!$E$14:$E$163,MATCH($C78,'23 RCC-004 MASR Registry'!$B$14:$B$163,0)),""))</x:f>
      </x:c>
      <x:c r="M78" s="1243" t="str">
        <x:f>IF($C78="","",IFERROR(INDEX('23 RCC-004 MASR Registry'!$X$14:$X$163,MATCH($C78,'23 RCC-004 MASR Registry'!$B$14:$B$163,0)),""))</x:f>
      </x:c>
      <x:c r="N78" s="1243" t="str">
        <x:f>IF($C78="","",IFERROR(INDEX('23 RCC-004 MASR Registry'!$Y$14:$Y$163,MATCH($C78,'23 RCC-004 MASR Registry'!$B$14:$B$163,0)),""))</x:f>
      </x:c>
      <x:c r="O78" s="1243" t="str">
        <x:f>IF($C78="","",IFERROR(INDEX('23 RCC-004 MASR Registry'!$L$14:$L$163,MATCH($C78,'23 RCC-004 MASR Registry'!$B$14:$B$163,0)),""))</x:f>
      </x:c>
      <x:c r="P78" s="1243" t="str">
        <x:f>IF($C78="","",IFERROR(INDEX('23 RCC-004 MASR Registry'!$M$14:$M$163,MATCH($C78,'23 RCC-004 MASR Registry'!$B$14:$B$163,0)),""))</x:f>
      </x:c>
      <x:c r="Q78" s="1246" t="str">
        <x:f>IF($C78="","",IFERROR(INDEX('23 RCC-004 MASR Registry'!$N$14:$N$163,MATCH($C78,'23 RCC-004 MASR Registry'!$B$14:$B$163,0)),""))</x:f>
      </x:c>
      <x:c r="R78" s="1246" t="str">
        <x:f>IF($C78="","",IFERROR(INDEX('23 RCC-004 MASR Registry'!$O$14:$O$163,MATCH($C78,'23 RCC-004 MASR Registry'!$B$14:$B$163,0)),""))</x:f>
      </x:c>
      <x:c r="S78" s="1246" t="str">
        <x:f>IF($C78="","",IFERROR(INDEX('23 RCC-004 MASR Registry'!$W$14:$W$163,MATCH($C78,'23 RCC-004 MASR Registry'!$B$14:$B$163,0)),""))</x:f>
      </x:c>
      <x:c r="T78" s="1246" t="str">
        <x:f>IF($C78="","",IFERROR(INDEX('23 RCC-004 MASR Registry'!$T$14:$T$163,MATCH($C78,'23 RCC-004 MASR Registry'!$B$14:$B$163,0)),""))</x:f>
      </x:c>
      <x:c r="U78" s="1247" t="str">
        <x:f>IF($C78="","",IFERROR(INDEX('23 RCC-004 MASR Registry'!$U$14:$U$163,MATCH($C78,'23 RCC-004 MASR Registry'!$B$14:$B$163,0)),""))</x:f>
      </x:c>
      <x:c r="V78" s="1243" t="str">
        <x:f>IF($C78="","",IFERROR(INDEX('23 RCC-004 MASR Registry'!$V$14:$V$163,MATCH($C78,'23 RCC-004 MASR Registry'!$B$14:$B$163,0)),""))</x:f>
      </x:c>
      <x:c r="W78" s="1242"/>
      <x:c r="X78" s="1247" t="str">
        <x:f>IF($C78="","",COUNTIF('18 RCC-002 Evidence Ledger'!$E$14:$E$213,$C78))</x:f>
      </x:c>
      <x:c r="Y78" s="1242"/>
      <x:c r="Z78" s="1244" t="str">
        <x:f>IF($A78="","",IF(COUNTIF($A$14:$A$213,$A78)&gt;1,"FAIL — DUPLICATE ID",IF(OR($B78="",$C78="",$E78="",$H78="",$Y78="",$AA78="",$AB78=""),"FAIL — INCOMPLETE",IF(AND(OR($Y78="MIAR Review",$Y78="Eligibility Review",$Y78="Candidate Comparison",$Y78="Committee Review",$Y78="Approved for MASR",$Y78="Referred to PEW-004",$Y78="On Watch",$Y78="Rejected",$Y78="Closed",$Y78="Removed"),$K78=""),"FAIL — MASR RECORD REQUIRED",IF(AND(OR($Y78="Eligibility Review",$Y78="Candidate Comparison",$Y78="Committee Review",$Y78="Approved for MASR",$Y78="Referred to PEW-004",$Y78="On Watch"),NOT(OR($M78="ELIGIBLE",$M78="ELIGIBLE WITH EXCEPTION",$M78="CERTIFIED HOLDING"))),"FAIL — ELIGIBILITY",IF(AND(OR($Y78="Candidate Comparison",$Y78="Committee Review",$Y78="Approved for MASR",$Y78="Referred to PEW-004",$Y78="On Watch"),$X78=0),"FAIL — EVIDENCE",IF(AND(OR($Y78="Candidate Comparison",$Y78="Committee Review",$Y78="Approved for MASR",$Y78="Referred to PEW-004",$Y78="On Watch"),OR($O78&lt;&gt;"Active",$P78&lt;&gt;"CURRENT")),"FAIL — MIAR GATE",IF(AND(OR($Y78="Approved for MASR",$Y78="Referred to PEW-004",$Y78="On Watch",$Y78="Rejected",$Y78="Closed",$Y78="Removed"),OR($AD78="",$AD78="Pending")),"FAIL — COMMITTEE DISPOSITION",IF(AND($Y78="Referred to PEW-004",OR($AF78&lt;&gt;"Yes — Refer to PEW-004",$AG78="",$AJ78="")),"FAIL — PEW REFERRAL","PASS — STAGE GATE")))))))))</x:f>
      </x:c>
      <x:c r="AA78" s="1242"/>
      <x:c r="AB78" s="1251"/>
      <x:c r="AC78" s="1250" t="str">
        <x:f>IF($B78="","",IF($AQ78&lt;&gt;"",$AQ78-$B78,TODAY()-$B78))</x:f>
      </x:c>
      <x:c r="AD78" s="1242"/>
      <x:c r="AE78" s="1251"/>
      <x:c r="AF78" s="1242"/>
      <x:c r="AG78" s="1242"/>
      <x:c r="AH78" s="1246" t="str">
        <x:f>IF($AG78="","",IFERROR(INDEX('10 Candidate Comparison'!$T$14:$T$33,MATCH($AG78,'10 Candidate Comparison'!$A$14:$A$33,0)),""))</x:f>
      </x:c>
      <x:c r="AI78" s="1243" t="str">
        <x:f>IF($AG78="","",IFERROR(INDEX('10 Candidate Comparison'!$U$14:$U$33,MATCH($AG78,'10 Candidate Comparison'!$A$14:$A$33,0)),""))</x:f>
      </x:c>
      <x:c r="AJ78" s="1243" t="str">
        <x:f>IF($AG78="","",IFERROR(INDEX('10 Candidate Comparison'!$Y$14:$Y$33,MATCH($AG78,'10 Candidate Comparison'!$A$14:$A$33,0)),""))</x:f>
      </x:c>
      <x:c r="AK78" s="1244" t="str">
        <x:f>IF($A78="","",IF($Z78="FAIL — DUPLICATE ID","DUPLICATE CANDIDATE ID",IF($Z78="FAIL — INCOMPLETE","INCOMPLETE",IF($Z78="FAIL — MASR RECORD REQUIRED","MASR RECORD REQUIRED",IF($Z78="FAIL — ELIGIBILITY","ELIGIBILITY BLOCK",IF($Z78="FAIL — EVIDENCE","EVIDENCE REQUIRED",IF($Z78="FAIL — MIAR GATE","MIAR GATE BLOCK",IF($Z78="FAIL — COMMITTEE DISPOSITION","COMMITTEE DECISION REQUIRED",IF($Z78="FAIL — PEW REFERRAL","PEW REFERRAL INCOMPLETE",IF(AND(OR($Y78="Rejected",$Y78="Closed",$Y78="Removed"),OR($AO78="",$AP78="",$AQ78="")),"CLOSURE REQUIRED",IF(AND($AB78&lt;TODAY(),NOT(OR($Y78="Rejected",$Y78="Closed",$Y78="Removed"))),"OVERDUE",IF(OR($Y78="Rejected",$Y78="Closed",$Y78="Removed"),"CLOSED","OPEN — ON TRACK"))))))))))))</x:f>
      </x:c>
      <x:c r="AL78" s="1244" t="str">
        <x:f>IF($AK78="","",IFERROR(INDEX('97 RCC Lists'!$AM$5:$AM$16,MATCH($AK78,'97 RCC Lists'!$AL$5:$AL$16,0)),"Review candidate exception"))</x:f>
      </x:c>
      <x:c r="AM78" s="1242"/>
      <x:c r="AN78" s="1242"/>
      <x:c r="AO78" s="1242"/>
      <x:c r="AP78" s="1242"/>
      <x:c r="AQ78" s="1251"/>
    </x:row>
    <x:row r="79" ht="32" customHeight="1">
      <x:c r="A79" s="1242"/>
      <x:c r="B79" s="1251"/>
      <x:c r="C79" s="1242"/>
      <x:c r="D79" s="1252" t="str">
        <x:f>IF($C79="","",IFERROR(INDEX('23 RCC-004 MASR Registry'!$C$14:$C$163,MATCH($C79,'23 RCC-004 MASR Registry'!$B$14:$B$163,0)),""))</x:f>
      </x:c>
      <x:c r="E79" s="1242"/>
      <x:c r="F79" s="1242"/>
      <x:c r="G79" s="1242"/>
      <x:c r="H79" s="1242"/>
      <x:c r="I79" s="1252" t="str">
        <x:f>IF($C79="","",IFERROR(INDEX('23 RCC-004 MASR Registry'!$G$14:$G$163,MATCH($C79,'23 RCC-004 MASR Registry'!$B$14:$B$163,0)),""))</x:f>
      </x:c>
      <x:c r="J79" s="1252" t="str">
        <x:f>IF($C79="","",IFERROR(INDEX('23 RCC-004 MASR Registry'!$H$14:$H$163,MATCH($C79,'23 RCC-004 MASR Registry'!$B$14:$B$163,0)),""))</x:f>
      </x:c>
      <x:c r="K79" s="1252" t="str">
        <x:f>IF($C79="","",IFERROR(INDEX('23 RCC-004 MASR Registry'!$D$14:$D$163,MATCH($C79,'23 RCC-004 MASR Registry'!$B$14:$B$163,0)),""))</x:f>
      </x:c>
      <x:c r="L79" s="1252" t="str">
        <x:f>IF($C79="","",IFERROR(INDEX('23 RCC-004 MASR Registry'!$E$14:$E$163,MATCH($C79,'23 RCC-004 MASR Registry'!$B$14:$B$163,0)),""))</x:f>
      </x:c>
      <x:c r="M79" s="1252" t="str">
        <x:f>IF($C79="","",IFERROR(INDEX('23 RCC-004 MASR Registry'!$X$14:$X$163,MATCH($C79,'23 RCC-004 MASR Registry'!$B$14:$B$163,0)),""))</x:f>
      </x:c>
      <x:c r="N79" s="1252" t="str">
        <x:f>IF($C79="","",IFERROR(INDEX('23 RCC-004 MASR Registry'!$Y$14:$Y$163,MATCH($C79,'23 RCC-004 MASR Registry'!$B$14:$B$163,0)),""))</x:f>
      </x:c>
      <x:c r="O79" s="1252" t="str">
        <x:f>IF($C79="","",IFERROR(INDEX('23 RCC-004 MASR Registry'!$L$14:$L$163,MATCH($C79,'23 RCC-004 MASR Registry'!$B$14:$B$163,0)),""))</x:f>
      </x:c>
      <x:c r="P79" s="1252" t="str">
        <x:f>IF($C79="","",IFERROR(INDEX('23 RCC-004 MASR Registry'!$M$14:$M$163,MATCH($C79,'23 RCC-004 MASR Registry'!$B$14:$B$163,0)),""))</x:f>
      </x:c>
      <x:c r="Q79" s="1255" t="str">
        <x:f>IF($C79="","",IFERROR(INDEX('23 RCC-004 MASR Registry'!$N$14:$N$163,MATCH($C79,'23 RCC-004 MASR Registry'!$B$14:$B$163,0)),""))</x:f>
      </x:c>
      <x:c r="R79" s="1255" t="str">
        <x:f>IF($C79="","",IFERROR(INDEX('23 RCC-004 MASR Registry'!$O$14:$O$163,MATCH($C79,'23 RCC-004 MASR Registry'!$B$14:$B$163,0)),""))</x:f>
      </x:c>
      <x:c r="S79" s="1255" t="str">
        <x:f>IF($C79="","",IFERROR(INDEX('23 RCC-004 MASR Registry'!$W$14:$W$163,MATCH($C79,'23 RCC-004 MASR Registry'!$B$14:$B$163,0)),""))</x:f>
      </x:c>
      <x:c r="T79" s="1255" t="str">
        <x:f>IF($C79="","",IFERROR(INDEX('23 RCC-004 MASR Registry'!$T$14:$T$163,MATCH($C79,'23 RCC-004 MASR Registry'!$B$14:$B$163,0)),""))</x:f>
      </x:c>
      <x:c r="U79" s="1256" t="str">
        <x:f>IF($C79="","",IFERROR(INDEX('23 RCC-004 MASR Registry'!$U$14:$U$163,MATCH($C79,'23 RCC-004 MASR Registry'!$B$14:$B$163,0)),""))</x:f>
      </x:c>
      <x:c r="V79" s="1252" t="str">
        <x:f>IF($C79="","",IFERROR(INDEX('23 RCC-004 MASR Registry'!$V$14:$V$163,MATCH($C79,'23 RCC-004 MASR Registry'!$B$14:$B$163,0)),""))</x:f>
      </x:c>
      <x:c r="W79" s="1242"/>
      <x:c r="X79" s="1256" t="str">
        <x:f>IF($C79="","",COUNTIF('18 RCC-002 Evidence Ledger'!$E$14:$E$213,$C79))</x:f>
      </x:c>
      <x:c r="Y79" s="1242"/>
      <x:c r="Z79" s="1253" t="str">
        <x:f>IF($A79="","",IF(COUNTIF($A$14:$A$213,$A79)&gt;1,"FAIL — DUPLICATE ID",IF(OR($B79="",$C79="",$E79="",$H79="",$Y79="",$AA79="",$AB79=""),"FAIL — INCOMPLETE",IF(AND(OR($Y79="MIAR Review",$Y79="Eligibility Review",$Y79="Candidate Comparison",$Y79="Committee Review",$Y79="Approved for MASR",$Y79="Referred to PEW-004",$Y79="On Watch",$Y79="Rejected",$Y79="Closed",$Y79="Removed"),$K79=""),"FAIL — MASR RECORD REQUIRED",IF(AND(OR($Y79="Eligibility Review",$Y79="Candidate Comparison",$Y79="Committee Review",$Y79="Approved for MASR",$Y79="Referred to PEW-004",$Y79="On Watch"),NOT(OR($M79="ELIGIBLE",$M79="ELIGIBLE WITH EXCEPTION",$M79="CERTIFIED HOLDING"))),"FAIL — ELIGIBILITY",IF(AND(OR($Y79="Candidate Comparison",$Y79="Committee Review",$Y79="Approved for MASR",$Y79="Referred to PEW-004",$Y79="On Watch"),$X79=0),"FAIL — EVIDENCE",IF(AND(OR($Y79="Candidate Comparison",$Y79="Committee Review",$Y79="Approved for MASR",$Y79="Referred to PEW-004",$Y79="On Watch"),OR($O79&lt;&gt;"Active",$P79&lt;&gt;"CURRENT")),"FAIL — MIAR GATE",IF(AND(OR($Y79="Approved for MASR",$Y79="Referred to PEW-004",$Y79="On Watch",$Y79="Rejected",$Y79="Closed",$Y79="Removed"),OR($AD79="",$AD79="Pending")),"FAIL — COMMITTEE DISPOSITION",IF(AND($Y79="Referred to PEW-004",OR($AF79&lt;&gt;"Yes — Refer to PEW-004",$AG79="",$AJ79="")),"FAIL — PEW REFERRAL","PASS — STAGE GATE")))))))))</x:f>
      </x:c>
      <x:c r="AA79" s="1242"/>
      <x:c r="AB79" s="1251"/>
      <x:c r="AC79" s="1257" t="str">
        <x:f>IF($B79="","",IF($AQ79&lt;&gt;"",$AQ79-$B79,TODAY()-$B79))</x:f>
      </x:c>
      <x:c r="AD79" s="1242"/>
      <x:c r="AE79" s="1251"/>
      <x:c r="AF79" s="1242"/>
      <x:c r="AG79" s="1242"/>
      <x:c r="AH79" s="1255" t="str">
        <x:f>IF($AG79="","",IFERROR(INDEX('10 Candidate Comparison'!$T$14:$T$33,MATCH($AG79,'10 Candidate Comparison'!$A$14:$A$33,0)),""))</x:f>
      </x:c>
      <x:c r="AI79" s="1252" t="str">
        <x:f>IF($AG79="","",IFERROR(INDEX('10 Candidate Comparison'!$U$14:$U$33,MATCH($AG79,'10 Candidate Comparison'!$A$14:$A$33,0)),""))</x:f>
      </x:c>
      <x:c r="AJ79" s="1252" t="str">
        <x:f>IF($AG79="","",IFERROR(INDEX('10 Candidate Comparison'!$Y$14:$Y$33,MATCH($AG79,'10 Candidate Comparison'!$A$14:$A$33,0)),""))</x:f>
      </x:c>
      <x:c r="AK79" s="1253" t="str">
        <x:f>IF($A79="","",IF($Z79="FAIL — DUPLICATE ID","DUPLICATE CANDIDATE ID",IF($Z79="FAIL — INCOMPLETE","INCOMPLETE",IF($Z79="FAIL — MASR RECORD REQUIRED","MASR RECORD REQUIRED",IF($Z79="FAIL — ELIGIBILITY","ELIGIBILITY BLOCK",IF($Z79="FAIL — EVIDENCE","EVIDENCE REQUIRED",IF($Z79="FAIL — MIAR GATE","MIAR GATE BLOCK",IF($Z79="FAIL — COMMITTEE DISPOSITION","COMMITTEE DECISION REQUIRED",IF($Z79="FAIL — PEW REFERRAL","PEW REFERRAL INCOMPLETE",IF(AND(OR($Y79="Rejected",$Y79="Closed",$Y79="Removed"),OR($AO79="",$AP79="",$AQ79="")),"CLOSURE REQUIRED",IF(AND($AB79&lt;TODAY(),NOT(OR($Y79="Rejected",$Y79="Closed",$Y79="Removed"))),"OVERDUE",IF(OR($Y79="Rejected",$Y79="Closed",$Y79="Removed"),"CLOSED","OPEN — ON TRACK"))))))))))))</x:f>
      </x:c>
      <x:c r="AL79" s="1253" t="str">
        <x:f>IF($AK79="","",IFERROR(INDEX('97 RCC Lists'!$AM$5:$AM$16,MATCH($AK79,'97 RCC Lists'!$AL$5:$AL$16,0)),"Review candidate exception"))</x:f>
      </x:c>
      <x:c r="AM79" s="1242"/>
      <x:c r="AN79" s="1242"/>
      <x:c r="AO79" s="1242"/>
      <x:c r="AP79" s="1242"/>
      <x:c r="AQ79" s="1251"/>
    </x:row>
    <x:row r="80" ht="32" customHeight="1">
      <x:c r="A80" s="1242"/>
      <x:c r="B80" s="1251"/>
      <x:c r="C80" s="1242"/>
      <x:c r="D80" s="1243" t="str">
        <x:f>IF($C80="","",IFERROR(INDEX('23 RCC-004 MASR Registry'!$C$14:$C$163,MATCH($C80,'23 RCC-004 MASR Registry'!$B$14:$B$163,0)),""))</x:f>
      </x:c>
      <x:c r="E80" s="1242"/>
      <x:c r="F80" s="1242"/>
      <x:c r="G80" s="1242"/>
      <x:c r="H80" s="1242"/>
      <x:c r="I80" s="1243" t="str">
        <x:f>IF($C80="","",IFERROR(INDEX('23 RCC-004 MASR Registry'!$G$14:$G$163,MATCH($C80,'23 RCC-004 MASR Registry'!$B$14:$B$163,0)),""))</x:f>
      </x:c>
      <x:c r="J80" s="1243" t="str">
        <x:f>IF($C80="","",IFERROR(INDEX('23 RCC-004 MASR Registry'!$H$14:$H$163,MATCH($C80,'23 RCC-004 MASR Registry'!$B$14:$B$163,0)),""))</x:f>
      </x:c>
      <x:c r="K80" s="1243" t="str">
        <x:f>IF($C80="","",IFERROR(INDEX('23 RCC-004 MASR Registry'!$D$14:$D$163,MATCH($C80,'23 RCC-004 MASR Registry'!$B$14:$B$163,0)),""))</x:f>
      </x:c>
      <x:c r="L80" s="1243" t="str">
        <x:f>IF($C80="","",IFERROR(INDEX('23 RCC-004 MASR Registry'!$E$14:$E$163,MATCH($C80,'23 RCC-004 MASR Registry'!$B$14:$B$163,0)),""))</x:f>
      </x:c>
      <x:c r="M80" s="1243" t="str">
        <x:f>IF($C80="","",IFERROR(INDEX('23 RCC-004 MASR Registry'!$X$14:$X$163,MATCH($C80,'23 RCC-004 MASR Registry'!$B$14:$B$163,0)),""))</x:f>
      </x:c>
      <x:c r="N80" s="1243" t="str">
        <x:f>IF($C80="","",IFERROR(INDEX('23 RCC-004 MASR Registry'!$Y$14:$Y$163,MATCH($C80,'23 RCC-004 MASR Registry'!$B$14:$B$163,0)),""))</x:f>
      </x:c>
      <x:c r="O80" s="1243" t="str">
        <x:f>IF($C80="","",IFERROR(INDEX('23 RCC-004 MASR Registry'!$L$14:$L$163,MATCH($C80,'23 RCC-004 MASR Registry'!$B$14:$B$163,0)),""))</x:f>
      </x:c>
      <x:c r="P80" s="1243" t="str">
        <x:f>IF($C80="","",IFERROR(INDEX('23 RCC-004 MASR Registry'!$M$14:$M$163,MATCH($C80,'23 RCC-004 MASR Registry'!$B$14:$B$163,0)),""))</x:f>
      </x:c>
      <x:c r="Q80" s="1246" t="str">
        <x:f>IF($C80="","",IFERROR(INDEX('23 RCC-004 MASR Registry'!$N$14:$N$163,MATCH($C80,'23 RCC-004 MASR Registry'!$B$14:$B$163,0)),""))</x:f>
      </x:c>
      <x:c r="R80" s="1246" t="str">
        <x:f>IF($C80="","",IFERROR(INDEX('23 RCC-004 MASR Registry'!$O$14:$O$163,MATCH($C80,'23 RCC-004 MASR Registry'!$B$14:$B$163,0)),""))</x:f>
      </x:c>
      <x:c r="S80" s="1246" t="str">
        <x:f>IF($C80="","",IFERROR(INDEX('23 RCC-004 MASR Registry'!$W$14:$W$163,MATCH($C80,'23 RCC-004 MASR Registry'!$B$14:$B$163,0)),""))</x:f>
      </x:c>
      <x:c r="T80" s="1246" t="str">
        <x:f>IF($C80="","",IFERROR(INDEX('23 RCC-004 MASR Registry'!$T$14:$T$163,MATCH($C80,'23 RCC-004 MASR Registry'!$B$14:$B$163,0)),""))</x:f>
      </x:c>
      <x:c r="U80" s="1247" t="str">
        <x:f>IF($C80="","",IFERROR(INDEX('23 RCC-004 MASR Registry'!$U$14:$U$163,MATCH($C80,'23 RCC-004 MASR Registry'!$B$14:$B$163,0)),""))</x:f>
      </x:c>
      <x:c r="V80" s="1243" t="str">
        <x:f>IF($C80="","",IFERROR(INDEX('23 RCC-004 MASR Registry'!$V$14:$V$163,MATCH($C80,'23 RCC-004 MASR Registry'!$B$14:$B$163,0)),""))</x:f>
      </x:c>
      <x:c r="W80" s="1242"/>
      <x:c r="X80" s="1247" t="str">
        <x:f>IF($C80="","",COUNTIF('18 RCC-002 Evidence Ledger'!$E$14:$E$213,$C80))</x:f>
      </x:c>
      <x:c r="Y80" s="1242"/>
      <x:c r="Z80" s="1244" t="str">
        <x:f>IF($A80="","",IF(COUNTIF($A$14:$A$213,$A80)&gt;1,"FAIL — DUPLICATE ID",IF(OR($B80="",$C80="",$E80="",$H80="",$Y80="",$AA80="",$AB80=""),"FAIL — INCOMPLETE",IF(AND(OR($Y80="MIAR Review",$Y80="Eligibility Review",$Y80="Candidate Comparison",$Y80="Committee Review",$Y80="Approved for MASR",$Y80="Referred to PEW-004",$Y80="On Watch",$Y80="Rejected",$Y80="Closed",$Y80="Removed"),$K80=""),"FAIL — MASR RECORD REQUIRED",IF(AND(OR($Y80="Eligibility Review",$Y80="Candidate Comparison",$Y80="Committee Review",$Y80="Approved for MASR",$Y80="Referred to PEW-004",$Y80="On Watch"),NOT(OR($M80="ELIGIBLE",$M80="ELIGIBLE WITH EXCEPTION",$M80="CERTIFIED HOLDING"))),"FAIL — ELIGIBILITY",IF(AND(OR($Y80="Candidate Comparison",$Y80="Committee Review",$Y80="Approved for MASR",$Y80="Referred to PEW-004",$Y80="On Watch"),$X80=0),"FAIL — EVIDENCE",IF(AND(OR($Y80="Candidate Comparison",$Y80="Committee Review",$Y80="Approved for MASR",$Y80="Referred to PEW-004",$Y80="On Watch"),OR($O80&lt;&gt;"Active",$P80&lt;&gt;"CURRENT")),"FAIL — MIAR GATE",IF(AND(OR($Y80="Approved for MASR",$Y80="Referred to PEW-004",$Y80="On Watch",$Y80="Rejected",$Y80="Closed",$Y80="Removed"),OR($AD80="",$AD80="Pending")),"FAIL — COMMITTEE DISPOSITION",IF(AND($Y80="Referred to PEW-004",OR($AF80&lt;&gt;"Yes — Refer to PEW-004",$AG80="",$AJ80="")),"FAIL — PEW REFERRAL","PASS — STAGE GATE")))))))))</x:f>
      </x:c>
      <x:c r="AA80" s="1242"/>
      <x:c r="AB80" s="1251"/>
      <x:c r="AC80" s="1250" t="str">
        <x:f>IF($B80="","",IF($AQ80&lt;&gt;"",$AQ80-$B80,TODAY()-$B80))</x:f>
      </x:c>
      <x:c r="AD80" s="1242"/>
      <x:c r="AE80" s="1251"/>
      <x:c r="AF80" s="1242"/>
      <x:c r="AG80" s="1242"/>
      <x:c r="AH80" s="1246" t="str">
        <x:f>IF($AG80="","",IFERROR(INDEX('10 Candidate Comparison'!$T$14:$T$33,MATCH($AG80,'10 Candidate Comparison'!$A$14:$A$33,0)),""))</x:f>
      </x:c>
      <x:c r="AI80" s="1243" t="str">
        <x:f>IF($AG80="","",IFERROR(INDEX('10 Candidate Comparison'!$U$14:$U$33,MATCH($AG80,'10 Candidate Comparison'!$A$14:$A$33,0)),""))</x:f>
      </x:c>
      <x:c r="AJ80" s="1243" t="str">
        <x:f>IF($AG80="","",IFERROR(INDEX('10 Candidate Comparison'!$Y$14:$Y$33,MATCH($AG80,'10 Candidate Comparison'!$A$14:$A$33,0)),""))</x:f>
      </x:c>
      <x:c r="AK80" s="1244" t="str">
        <x:f>IF($A80="","",IF($Z80="FAIL — DUPLICATE ID","DUPLICATE CANDIDATE ID",IF($Z80="FAIL — INCOMPLETE","INCOMPLETE",IF($Z80="FAIL — MASR RECORD REQUIRED","MASR RECORD REQUIRED",IF($Z80="FAIL — ELIGIBILITY","ELIGIBILITY BLOCK",IF($Z80="FAIL — EVIDENCE","EVIDENCE REQUIRED",IF($Z80="FAIL — MIAR GATE","MIAR GATE BLOCK",IF($Z80="FAIL — COMMITTEE DISPOSITION","COMMITTEE DECISION REQUIRED",IF($Z80="FAIL — PEW REFERRAL","PEW REFERRAL INCOMPLETE",IF(AND(OR($Y80="Rejected",$Y80="Closed",$Y80="Removed"),OR($AO80="",$AP80="",$AQ80="")),"CLOSURE REQUIRED",IF(AND($AB80&lt;TODAY(),NOT(OR($Y80="Rejected",$Y80="Closed",$Y80="Removed"))),"OVERDUE",IF(OR($Y80="Rejected",$Y80="Closed",$Y80="Removed"),"CLOSED","OPEN — ON TRACK"))))))))))))</x:f>
      </x:c>
      <x:c r="AL80" s="1244" t="str">
        <x:f>IF($AK80="","",IFERROR(INDEX('97 RCC Lists'!$AM$5:$AM$16,MATCH($AK80,'97 RCC Lists'!$AL$5:$AL$16,0)),"Review candidate exception"))</x:f>
      </x:c>
      <x:c r="AM80" s="1242"/>
      <x:c r="AN80" s="1242"/>
      <x:c r="AO80" s="1242"/>
      <x:c r="AP80" s="1242"/>
      <x:c r="AQ80" s="1251"/>
    </x:row>
    <x:row r="81" ht="32" customHeight="1">
      <x:c r="A81" s="1242"/>
      <x:c r="B81" s="1251"/>
      <x:c r="C81" s="1242"/>
      <x:c r="D81" s="1252" t="str">
        <x:f>IF($C81="","",IFERROR(INDEX('23 RCC-004 MASR Registry'!$C$14:$C$163,MATCH($C81,'23 RCC-004 MASR Registry'!$B$14:$B$163,0)),""))</x:f>
      </x:c>
      <x:c r="E81" s="1242"/>
      <x:c r="F81" s="1242"/>
      <x:c r="G81" s="1242"/>
      <x:c r="H81" s="1242"/>
      <x:c r="I81" s="1252" t="str">
        <x:f>IF($C81="","",IFERROR(INDEX('23 RCC-004 MASR Registry'!$G$14:$G$163,MATCH($C81,'23 RCC-004 MASR Registry'!$B$14:$B$163,0)),""))</x:f>
      </x:c>
      <x:c r="J81" s="1252" t="str">
        <x:f>IF($C81="","",IFERROR(INDEX('23 RCC-004 MASR Registry'!$H$14:$H$163,MATCH($C81,'23 RCC-004 MASR Registry'!$B$14:$B$163,0)),""))</x:f>
      </x:c>
      <x:c r="K81" s="1252" t="str">
        <x:f>IF($C81="","",IFERROR(INDEX('23 RCC-004 MASR Registry'!$D$14:$D$163,MATCH($C81,'23 RCC-004 MASR Registry'!$B$14:$B$163,0)),""))</x:f>
      </x:c>
      <x:c r="L81" s="1252" t="str">
        <x:f>IF($C81="","",IFERROR(INDEX('23 RCC-004 MASR Registry'!$E$14:$E$163,MATCH($C81,'23 RCC-004 MASR Registry'!$B$14:$B$163,0)),""))</x:f>
      </x:c>
      <x:c r="M81" s="1252" t="str">
        <x:f>IF($C81="","",IFERROR(INDEX('23 RCC-004 MASR Registry'!$X$14:$X$163,MATCH($C81,'23 RCC-004 MASR Registry'!$B$14:$B$163,0)),""))</x:f>
      </x:c>
      <x:c r="N81" s="1252" t="str">
        <x:f>IF($C81="","",IFERROR(INDEX('23 RCC-004 MASR Registry'!$Y$14:$Y$163,MATCH($C81,'23 RCC-004 MASR Registry'!$B$14:$B$163,0)),""))</x:f>
      </x:c>
      <x:c r="O81" s="1252" t="str">
        <x:f>IF($C81="","",IFERROR(INDEX('23 RCC-004 MASR Registry'!$L$14:$L$163,MATCH($C81,'23 RCC-004 MASR Registry'!$B$14:$B$163,0)),""))</x:f>
      </x:c>
      <x:c r="P81" s="1252" t="str">
        <x:f>IF($C81="","",IFERROR(INDEX('23 RCC-004 MASR Registry'!$M$14:$M$163,MATCH($C81,'23 RCC-004 MASR Registry'!$B$14:$B$163,0)),""))</x:f>
      </x:c>
      <x:c r="Q81" s="1255" t="str">
        <x:f>IF($C81="","",IFERROR(INDEX('23 RCC-004 MASR Registry'!$N$14:$N$163,MATCH($C81,'23 RCC-004 MASR Registry'!$B$14:$B$163,0)),""))</x:f>
      </x:c>
      <x:c r="R81" s="1255" t="str">
        <x:f>IF($C81="","",IFERROR(INDEX('23 RCC-004 MASR Registry'!$O$14:$O$163,MATCH($C81,'23 RCC-004 MASR Registry'!$B$14:$B$163,0)),""))</x:f>
      </x:c>
      <x:c r="S81" s="1255" t="str">
        <x:f>IF($C81="","",IFERROR(INDEX('23 RCC-004 MASR Registry'!$W$14:$W$163,MATCH($C81,'23 RCC-004 MASR Registry'!$B$14:$B$163,0)),""))</x:f>
      </x:c>
      <x:c r="T81" s="1255" t="str">
        <x:f>IF($C81="","",IFERROR(INDEX('23 RCC-004 MASR Registry'!$T$14:$T$163,MATCH($C81,'23 RCC-004 MASR Registry'!$B$14:$B$163,0)),""))</x:f>
      </x:c>
      <x:c r="U81" s="1256" t="str">
        <x:f>IF($C81="","",IFERROR(INDEX('23 RCC-004 MASR Registry'!$U$14:$U$163,MATCH($C81,'23 RCC-004 MASR Registry'!$B$14:$B$163,0)),""))</x:f>
      </x:c>
      <x:c r="V81" s="1252" t="str">
        <x:f>IF($C81="","",IFERROR(INDEX('23 RCC-004 MASR Registry'!$V$14:$V$163,MATCH($C81,'23 RCC-004 MASR Registry'!$B$14:$B$163,0)),""))</x:f>
      </x:c>
      <x:c r="W81" s="1242"/>
      <x:c r="X81" s="1256" t="str">
        <x:f>IF($C81="","",COUNTIF('18 RCC-002 Evidence Ledger'!$E$14:$E$213,$C81))</x:f>
      </x:c>
      <x:c r="Y81" s="1242"/>
      <x:c r="Z81" s="1253" t="str">
        <x:f>IF($A81="","",IF(COUNTIF($A$14:$A$213,$A81)&gt;1,"FAIL — DUPLICATE ID",IF(OR($B81="",$C81="",$E81="",$H81="",$Y81="",$AA81="",$AB81=""),"FAIL — INCOMPLETE",IF(AND(OR($Y81="MIAR Review",$Y81="Eligibility Review",$Y81="Candidate Comparison",$Y81="Committee Review",$Y81="Approved for MASR",$Y81="Referred to PEW-004",$Y81="On Watch",$Y81="Rejected",$Y81="Closed",$Y81="Removed"),$K81=""),"FAIL — MASR RECORD REQUIRED",IF(AND(OR($Y81="Eligibility Review",$Y81="Candidate Comparison",$Y81="Committee Review",$Y81="Approved for MASR",$Y81="Referred to PEW-004",$Y81="On Watch"),NOT(OR($M81="ELIGIBLE",$M81="ELIGIBLE WITH EXCEPTION",$M81="CERTIFIED HOLDING"))),"FAIL — ELIGIBILITY",IF(AND(OR($Y81="Candidate Comparison",$Y81="Committee Review",$Y81="Approved for MASR",$Y81="Referred to PEW-004",$Y81="On Watch"),$X81=0),"FAIL — EVIDENCE",IF(AND(OR($Y81="Candidate Comparison",$Y81="Committee Review",$Y81="Approved for MASR",$Y81="Referred to PEW-004",$Y81="On Watch"),OR($O81&lt;&gt;"Active",$P81&lt;&gt;"CURRENT")),"FAIL — MIAR GATE",IF(AND(OR($Y81="Approved for MASR",$Y81="Referred to PEW-004",$Y81="On Watch",$Y81="Rejected",$Y81="Closed",$Y81="Removed"),OR($AD81="",$AD81="Pending")),"FAIL — COMMITTEE DISPOSITION",IF(AND($Y81="Referred to PEW-004",OR($AF81&lt;&gt;"Yes — Refer to PEW-004",$AG81="",$AJ81="")),"FAIL — PEW REFERRAL","PASS — STAGE GATE")))))))))</x:f>
      </x:c>
      <x:c r="AA81" s="1242"/>
      <x:c r="AB81" s="1251"/>
      <x:c r="AC81" s="1257" t="str">
        <x:f>IF($B81="","",IF($AQ81&lt;&gt;"",$AQ81-$B81,TODAY()-$B81))</x:f>
      </x:c>
      <x:c r="AD81" s="1242"/>
      <x:c r="AE81" s="1251"/>
      <x:c r="AF81" s="1242"/>
      <x:c r="AG81" s="1242"/>
      <x:c r="AH81" s="1255" t="str">
        <x:f>IF($AG81="","",IFERROR(INDEX('10 Candidate Comparison'!$T$14:$T$33,MATCH($AG81,'10 Candidate Comparison'!$A$14:$A$33,0)),""))</x:f>
      </x:c>
      <x:c r="AI81" s="1252" t="str">
        <x:f>IF($AG81="","",IFERROR(INDEX('10 Candidate Comparison'!$U$14:$U$33,MATCH($AG81,'10 Candidate Comparison'!$A$14:$A$33,0)),""))</x:f>
      </x:c>
      <x:c r="AJ81" s="1252" t="str">
        <x:f>IF($AG81="","",IFERROR(INDEX('10 Candidate Comparison'!$Y$14:$Y$33,MATCH($AG81,'10 Candidate Comparison'!$A$14:$A$33,0)),""))</x:f>
      </x:c>
      <x:c r="AK81" s="1253" t="str">
        <x:f>IF($A81="","",IF($Z81="FAIL — DUPLICATE ID","DUPLICATE CANDIDATE ID",IF($Z81="FAIL — INCOMPLETE","INCOMPLETE",IF($Z81="FAIL — MASR RECORD REQUIRED","MASR RECORD REQUIRED",IF($Z81="FAIL — ELIGIBILITY","ELIGIBILITY BLOCK",IF($Z81="FAIL — EVIDENCE","EVIDENCE REQUIRED",IF($Z81="FAIL — MIAR GATE","MIAR GATE BLOCK",IF($Z81="FAIL — COMMITTEE DISPOSITION","COMMITTEE DECISION REQUIRED",IF($Z81="FAIL — PEW REFERRAL","PEW REFERRAL INCOMPLETE",IF(AND(OR($Y81="Rejected",$Y81="Closed",$Y81="Removed"),OR($AO81="",$AP81="",$AQ81="")),"CLOSURE REQUIRED",IF(AND($AB81&lt;TODAY(),NOT(OR($Y81="Rejected",$Y81="Closed",$Y81="Removed"))),"OVERDUE",IF(OR($Y81="Rejected",$Y81="Closed",$Y81="Removed"),"CLOSED","OPEN — ON TRACK"))))))))))))</x:f>
      </x:c>
      <x:c r="AL81" s="1253" t="str">
        <x:f>IF($AK81="","",IFERROR(INDEX('97 RCC Lists'!$AM$5:$AM$16,MATCH($AK81,'97 RCC Lists'!$AL$5:$AL$16,0)),"Review candidate exception"))</x:f>
      </x:c>
      <x:c r="AM81" s="1242"/>
      <x:c r="AN81" s="1242"/>
      <x:c r="AO81" s="1242"/>
      <x:c r="AP81" s="1242"/>
      <x:c r="AQ81" s="1251"/>
    </x:row>
    <x:row r="82" ht="32" customHeight="1">
      <x:c r="A82" s="1242"/>
      <x:c r="B82" s="1251"/>
      <x:c r="C82" s="1242"/>
      <x:c r="D82" s="1243" t="str">
        <x:f>IF($C82="","",IFERROR(INDEX('23 RCC-004 MASR Registry'!$C$14:$C$163,MATCH($C82,'23 RCC-004 MASR Registry'!$B$14:$B$163,0)),""))</x:f>
      </x:c>
      <x:c r="E82" s="1242"/>
      <x:c r="F82" s="1242"/>
      <x:c r="G82" s="1242"/>
      <x:c r="H82" s="1242"/>
      <x:c r="I82" s="1243" t="str">
        <x:f>IF($C82="","",IFERROR(INDEX('23 RCC-004 MASR Registry'!$G$14:$G$163,MATCH($C82,'23 RCC-004 MASR Registry'!$B$14:$B$163,0)),""))</x:f>
      </x:c>
      <x:c r="J82" s="1243" t="str">
        <x:f>IF($C82="","",IFERROR(INDEX('23 RCC-004 MASR Registry'!$H$14:$H$163,MATCH($C82,'23 RCC-004 MASR Registry'!$B$14:$B$163,0)),""))</x:f>
      </x:c>
      <x:c r="K82" s="1243" t="str">
        <x:f>IF($C82="","",IFERROR(INDEX('23 RCC-004 MASR Registry'!$D$14:$D$163,MATCH($C82,'23 RCC-004 MASR Registry'!$B$14:$B$163,0)),""))</x:f>
      </x:c>
      <x:c r="L82" s="1243" t="str">
        <x:f>IF($C82="","",IFERROR(INDEX('23 RCC-004 MASR Registry'!$E$14:$E$163,MATCH($C82,'23 RCC-004 MASR Registry'!$B$14:$B$163,0)),""))</x:f>
      </x:c>
      <x:c r="M82" s="1243" t="str">
        <x:f>IF($C82="","",IFERROR(INDEX('23 RCC-004 MASR Registry'!$X$14:$X$163,MATCH($C82,'23 RCC-004 MASR Registry'!$B$14:$B$163,0)),""))</x:f>
      </x:c>
      <x:c r="N82" s="1243" t="str">
        <x:f>IF($C82="","",IFERROR(INDEX('23 RCC-004 MASR Registry'!$Y$14:$Y$163,MATCH($C82,'23 RCC-004 MASR Registry'!$B$14:$B$163,0)),""))</x:f>
      </x:c>
      <x:c r="O82" s="1243" t="str">
        <x:f>IF($C82="","",IFERROR(INDEX('23 RCC-004 MASR Registry'!$L$14:$L$163,MATCH($C82,'23 RCC-004 MASR Registry'!$B$14:$B$163,0)),""))</x:f>
      </x:c>
      <x:c r="P82" s="1243" t="str">
        <x:f>IF($C82="","",IFERROR(INDEX('23 RCC-004 MASR Registry'!$M$14:$M$163,MATCH($C82,'23 RCC-004 MASR Registry'!$B$14:$B$163,0)),""))</x:f>
      </x:c>
      <x:c r="Q82" s="1246" t="str">
        <x:f>IF($C82="","",IFERROR(INDEX('23 RCC-004 MASR Registry'!$N$14:$N$163,MATCH($C82,'23 RCC-004 MASR Registry'!$B$14:$B$163,0)),""))</x:f>
      </x:c>
      <x:c r="R82" s="1246" t="str">
        <x:f>IF($C82="","",IFERROR(INDEX('23 RCC-004 MASR Registry'!$O$14:$O$163,MATCH($C82,'23 RCC-004 MASR Registry'!$B$14:$B$163,0)),""))</x:f>
      </x:c>
      <x:c r="S82" s="1246" t="str">
        <x:f>IF($C82="","",IFERROR(INDEX('23 RCC-004 MASR Registry'!$W$14:$W$163,MATCH($C82,'23 RCC-004 MASR Registry'!$B$14:$B$163,0)),""))</x:f>
      </x:c>
      <x:c r="T82" s="1246" t="str">
        <x:f>IF($C82="","",IFERROR(INDEX('23 RCC-004 MASR Registry'!$T$14:$T$163,MATCH($C82,'23 RCC-004 MASR Registry'!$B$14:$B$163,0)),""))</x:f>
      </x:c>
      <x:c r="U82" s="1247" t="str">
        <x:f>IF($C82="","",IFERROR(INDEX('23 RCC-004 MASR Registry'!$U$14:$U$163,MATCH($C82,'23 RCC-004 MASR Registry'!$B$14:$B$163,0)),""))</x:f>
      </x:c>
      <x:c r="V82" s="1243" t="str">
        <x:f>IF($C82="","",IFERROR(INDEX('23 RCC-004 MASR Registry'!$V$14:$V$163,MATCH($C82,'23 RCC-004 MASR Registry'!$B$14:$B$163,0)),""))</x:f>
      </x:c>
      <x:c r="W82" s="1242"/>
      <x:c r="X82" s="1247" t="str">
        <x:f>IF($C82="","",COUNTIF('18 RCC-002 Evidence Ledger'!$E$14:$E$213,$C82))</x:f>
      </x:c>
      <x:c r="Y82" s="1242"/>
      <x:c r="Z82" s="1244" t="str">
        <x:f>IF($A82="","",IF(COUNTIF($A$14:$A$213,$A82)&gt;1,"FAIL — DUPLICATE ID",IF(OR($B82="",$C82="",$E82="",$H82="",$Y82="",$AA82="",$AB82=""),"FAIL — INCOMPLETE",IF(AND(OR($Y82="MIAR Review",$Y82="Eligibility Review",$Y82="Candidate Comparison",$Y82="Committee Review",$Y82="Approved for MASR",$Y82="Referred to PEW-004",$Y82="On Watch",$Y82="Rejected",$Y82="Closed",$Y82="Removed"),$K82=""),"FAIL — MASR RECORD REQUIRED",IF(AND(OR($Y82="Eligibility Review",$Y82="Candidate Comparison",$Y82="Committee Review",$Y82="Approved for MASR",$Y82="Referred to PEW-004",$Y82="On Watch"),NOT(OR($M82="ELIGIBLE",$M82="ELIGIBLE WITH EXCEPTION",$M82="CERTIFIED HOLDING"))),"FAIL — ELIGIBILITY",IF(AND(OR($Y82="Candidate Comparison",$Y82="Committee Review",$Y82="Approved for MASR",$Y82="Referred to PEW-004",$Y82="On Watch"),$X82=0),"FAIL — EVIDENCE",IF(AND(OR($Y82="Candidate Comparison",$Y82="Committee Review",$Y82="Approved for MASR",$Y82="Referred to PEW-004",$Y82="On Watch"),OR($O82&lt;&gt;"Active",$P82&lt;&gt;"CURRENT")),"FAIL — MIAR GATE",IF(AND(OR($Y82="Approved for MASR",$Y82="Referred to PEW-004",$Y82="On Watch",$Y82="Rejected",$Y82="Closed",$Y82="Removed"),OR($AD82="",$AD82="Pending")),"FAIL — COMMITTEE DISPOSITION",IF(AND($Y82="Referred to PEW-004",OR($AF82&lt;&gt;"Yes — Refer to PEW-004",$AG82="",$AJ82="")),"FAIL — PEW REFERRAL","PASS — STAGE GATE")))))))))</x:f>
      </x:c>
      <x:c r="AA82" s="1242"/>
      <x:c r="AB82" s="1251"/>
      <x:c r="AC82" s="1250" t="str">
        <x:f>IF($B82="","",IF($AQ82&lt;&gt;"",$AQ82-$B82,TODAY()-$B82))</x:f>
      </x:c>
      <x:c r="AD82" s="1242"/>
      <x:c r="AE82" s="1251"/>
      <x:c r="AF82" s="1242"/>
      <x:c r="AG82" s="1242"/>
      <x:c r="AH82" s="1246" t="str">
        <x:f>IF($AG82="","",IFERROR(INDEX('10 Candidate Comparison'!$T$14:$T$33,MATCH($AG82,'10 Candidate Comparison'!$A$14:$A$33,0)),""))</x:f>
      </x:c>
      <x:c r="AI82" s="1243" t="str">
        <x:f>IF($AG82="","",IFERROR(INDEX('10 Candidate Comparison'!$U$14:$U$33,MATCH($AG82,'10 Candidate Comparison'!$A$14:$A$33,0)),""))</x:f>
      </x:c>
      <x:c r="AJ82" s="1243" t="str">
        <x:f>IF($AG82="","",IFERROR(INDEX('10 Candidate Comparison'!$Y$14:$Y$33,MATCH($AG82,'10 Candidate Comparison'!$A$14:$A$33,0)),""))</x:f>
      </x:c>
      <x:c r="AK82" s="1244" t="str">
        <x:f>IF($A82="","",IF($Z82="FAIL — DUPLICATE ID","DUPLICATE CANDIDATE ID",IF($Z82="FAIL — INCOMPLETE","INCOMPLETE",IF($Z82="FAIL — MASR RECORD REQUIRED","MASR RECORD REQUIRED",IF($Z82="FAIL — ELIGIBILITY","ELIGIBILITY BLOCK",IF($Z82="FAIL — EVIDENCE","EVIDENCE REQUIRED",IF($Z82="FAIL — MIAR GATE","MIAR GATE BLOCK",IF($Z82="FAIL — COMMITTEE DISPOSITION","COMMITTEE DECISION REQUIRED",IF($Z82="FAIL — PEW REFERRAL","PEW REFERRAL INCOMPLETE",IF(AND(OR($Y82="Rejected",$Y82="Closed",$Y82="Removed"),OR($AO82="",$AP82="",$AQ82="")),"CLOSURE REQUIRED",IF(AND($AB82&lt;TODAY(),NOT(OR($Y82="Rejected",$Y82="Closed",$Y82="Removed"))),"OVERDUE",IF(OR($Y82="Rejected",$Y82="Closed",$Y82="Removed"),"CLOSED","OPEN — ON TRACK"))))))))))))</x:f>
      </x:c>
      <x:c r="AL82" s="1244" t="str">
        <x:f>IF($AK82="","",IFERROR(INDEX('97 RCC Lists'!$AM$5:$AM$16,MATCH($AK82,'97 RCC Lists'!$AL$5:$AL$16,0)),"Review candidate exception"))</x:f>
      </x:c>
      <x:c r="AM82" s="1242"/>
      <x:c r="AN82" s="1242"/>
      <x:c r="AO82" s="1242"/>
      <x:c r="AP82" s="1242"/>
      <x:c r="AQ82" s="1251"/>
    </x:row>
    <x:row r="83" ht="32" customHeight="1">
      <x:c r="A83" s="1242"/>
      <x:c r="B83" s="1251"/>
      <x:c r="C83" s="1242"/>
      <x:c r="D83" s="1252" t="str">
        <x:f>IF($C83="","",IFERROR(INDEX('23 RCC-004 MASR Registry'!$C$14:$C$163,MATCH($C83,'23 RCC-004 MASR Registry'!$B$14:$B$163,0)),""))</x:f>
      </x:c>
      <x:c r="E83" s="1242"/>
      <x:c r="F83" s="1242"/>
      <x:c r="G83" s="1242"/>
      <x:c r="H83" s="1242"/>
      <x:c r="I83" s="1252" t="str">
        <x:f>IF($C83="","",IFERROR(INDEX('23 RCC-004 MASR Registry'!$G$14:$G$163,MATCH($C83,'23 RCC-004 MASR Registry'!$B$14:$B$163,0)),""))</x:f>
      </x:c>
      <x:c r="J83" s="1252" t="str">
        <x:f>IF($C83="","",IFERROR(INDEX('23 RCC-004 MASR Registry'!$H$14:$H$163,MATCH($C83,'23 RCC-004 MASR Registry'!$B$14:$B$163,0)),""))</x:f>
      </x:c>
      <x:c r="K83" s="1252" t="str">
        <x:f>IF($C83="","",IFERROR(INDEX('23 RCC-004 MASR Registry'!$D$14:$D$163,MATCH($C83,'23 RCC-004 MASR Registry'!$B$14:$B$163,0)),""))</x:f>
      </x:c>
      <x:c r="L83" s="1252" t="str">
        <x:f>IF($C83="","",IFERROR(INDEX('23 RCC-004 MASR Registry'!$E$14:$E$163,MATCH($C83,'23 RCC-004 MASR Registry'!$B$14:$B$163,0)),""))</x:f>
      </x:c>
      <x:c r="M83" s="1252" t="str">
        <x:f>IF($C83="","",IFERROR(INDEX('23 RCC-004 MASR Registry'!$X$14:$X$163,MATCH($C83,'23 RCC-004 MASR Registry'!$B$14:$B$163,0)),""))</x:f>
      </x:c>
      <x:c r="N83" s="1252" t="str">
        <x:f>IF($C83="","",IFERROR(INDEX('23 RCC-004 MASR Registry'!$Y$14:$Y$163,MATCH($C83,'23 RCC-004 MASR Registry'!$B$14:$B$163,0)),""))</x:f>
      </x:c>
      <x:c r="O83" s="1252" t="str">
        <x:f>IF($C83="","",IFERROR(INDEX('23 RCC-004 MASR Registry'!$L$14:$L$163,MATCH($C83,'23 RCC-004 MASR Registry'!$B$14:$B$163,0)),""))</x:f>
      </x:c>
      <x:c r="P83" s="1252" t="str">
        <x:f>IF($C83="","",IFERROR(INDEX('23 RCC-004 MASR Registry'!$M$14:$M$163,MATCH($C83,'23 RCC-004 MASR Registry'!$B$14:$B$163,0)),""))</x:f>
      </x:c>
      <x:c r="Q83" s="1255" t="str">
        <x:f>IF($C83="","",IFERROR(INDEX('23 RCC-004 MASR Registry'!$N$14:$N$163,MATCH($C83,'23 RCC-004 MASR Registry'!$B$14:$B$163,0)),""))</x:f>
      </x:c>
      <x:c r="R83" s="1255" t="str">
        <x:f>IF($C83="","",IFERROR(INDEX('23 RCC-004 MASR Registry'!$O$14:$O$163,MATCH($C83,'23 RCC-004 MASR Registry'!$B$14:$B$163,0)),""))</x:f>
      </x:c>
      <x:c r="S83" s="1255" t="str">
        <x:f>IF($C83="","",IFERROR(INDEX('23 RCC-004 MASR Registry'!$W$14:$W$163,MATCH($C83,'23 RCC-004 MASR Registry'!$B$14:$B$163,0)),""))</x:f>
      </x:c>
      <x:c r="T83" s="1255" t="str">
        <x:f>IF($C83="","",IFERROR(INDEX('23 RCC-004 MASR Registry'!$T$14:$T$163,MATCH($C83,'23 RCC-004 MASR Registry'!$B$14:$B$163,0)),""))</x:f>
      </x:c>
      <x:c r="U83" s="1256" t="str">
        <x:f>IF($C83="","",IFERROR(INDEX('23 RCC-004 MASR Registry'!$U$14:$U$163,MATCH($C83,'23 RCC-004 MASR Registry'!$B$14:$B$163,0)),""))</x:f>
      </x:c>
      <x:c r="V83" s="1252" t="str">
        <x:f>IF($C83="","",IFERROR(INDEX('23 RCC-004 MASR Registry'!$V$14:$V$163,MATCH($C83,'23 RCC-004 MASR Registry'!$B$14:$B$163,0)),""))</x:f>
      </x:c>
      <x:c r="W83" s="1242"/>
      <x:c r="X83" s="1256" t="str">
        <x:f>IF($C83="","",COUNTIF('18 RCC-002 Evidence Ledger'!$E$14:$E$213,$C83))</x:f>
      </x:c>
      <x:c r="Y83" s="1242"/>
      <x:c r="Z83" s="1253" t="str">
        <x:f>IF($A83="","",IF(COUNTIF($A$14:$A$213,$A83)&gt;1,"FAIL — DUPLICATE ID",IF(OR($B83="",$C83="",$E83="",$H83="",$Y83="",$AA83="",$AB83=""),"FAIL — INCOMPLETE",IF(AND(OR($Y83="MIAR Review",$Y83="Eligibility Review",$Y83="Candidate Comparison",$Y83="Committee Review",$Y83="Approved for MASR",$Y83="Referred to PEW-004",$Y83="On Watch",$Y83="Rejected",$Y83="Closed",$Y83="Removed"),$K83=""),"FAIL — MASR RECORD REQUIRED",IF(AND(OR($Y83="Eligibility Review",$Y83="Candidate Comparison",$Y83="Committee Review",$Y83="Approved for MASR",$Y83="Referred to PEW-004",$Y83="On Watch"),NOT(OR($M83="ELIGIBLE",$M83="ELIGIBLE WITH EXCEPTION",$M83="CERTIFIED HOLDING"))),"FAIL — ELIGIBILITY",IF(AND(OR($Y83="Candidate Comparison",$Y83="Committee Review",$Y83="Approved for MASR",$Y83="Referred to PEW-004",$Y83="On Watch"),$X83=0),"FAIL — EVIDENCE",IF(AND(OR($Y83="Candidate Comparison",$Y83="Committee Review",$Y83="Approved for MASR",$Y83="Referred to PEW-004",$Y83="On Watch"),OR($O83&lt;&gt;"Active",$P83&lt;&gt;"CURRENT")),"FAIL — MIAR GATE",IF(AND(OR($Y83="Approved for MASR",$Y83="Referred to PEW-004",$Y83="On Watch",$Y83="Rejected",$Y83="Closed",$Y83="Removed"),OR($AD83="",$AD83="Pending")),"FAIL — COMMITTEE DISPOSITION",IF(AND($Y83="Referred to PEW-004",OR($AF83&lt;&gt;"Yes — Refer to PEW-004",$AG83="",$AJ83="")),"FAIL — PEW REFERRAL","PASS — STAGE GATE")))))))))</x:f>
      </x:c>
      <x:c r="AA83" s="1242"/>
      <x:c r="AB83" s="1251"/>
      <x:c r="AC83" s="1257" t="str">
        <x:f>IF($B83="","",IF($AQ83&lt;&gt;"",$AQ83-$B83,TODAY()-$B83))</x:f>
      </x:c>
      <x:c r="AD83" s="1242"/>
      <x:c r="AE83" s="1251"/>
      <x:c r="AF83" s="1242"/>
      <x:c r="AG83" s="1242"/>
      <x:c r="AH83" s="1255" t="str">
        <x:f>IF($AG83="","",IFERROR(INDEX('10 Candidate Comparison'!$T$14:$T$33,MATCH($AG83,'10 Candidate Comparison'!$A$14:$A$33,0)),""))</x:f>
      </x:c>
      <x:c r="AI83" s="1252" t="str">
        <x:f>IF($AG83="","",IFERROR(INDEX('10 Candidate Comparison'!$U$14:$U$33,MATCH($AG83,'10 Candidate Comparison'!$A$14:$A$33,0)),""))</x:f>
      </x:c>
      <x:c r="AJ83" s="1252" t="str">
        <x:f>IF($AG83="","",IFERROR(INDEX('10 Candidate Comparison'!$Y$14:$Y$33,MATCH($AG83,'10 Candidate Comparison'!$A$14:$A$33,0)),""))</x:f>
      </x:c>
      <x:c r="AK83" s="1253" t="str">
        <x:f>IF($A83="","",IF($Z83="FAIL — DUPLICATE ID","DUPLICATE CANDIDATE ID",IF($Z83="FAIL — INCOMPLETE","INCOMPLETE",IF($Z83="FAIL — MASR RECORD REQUIRED","MASR RECORD REQUIRED",IF($Z83="FAIL — ELIGIBILITY","ELIGIBILITY BLOCK",IF($Z83="FAIL — EVIDENCE","EVIDENCE REQUIRED",IF($Z83="FAIL — MIAR GATE","MIAR GATE BLOCK",IF($Z83="FAIL — COMMITTEE DISPOSITION","COMMITTEE DECISION REQUIRED",IF($Z83="FAIL — PEW REFERRAL","PEW REFERRAL INCOMPLETE",IF(AND(OR($Y83="Rejected",$Y83="Closed",$Y83="Removed"),OR($AO83="",$AP83="",$AQ83="")),"CLOSURE REQUIRED",IF(AND($AB83&lt;TODAY(),NOT(OR($Y83="Rejected",$Y83="Closed",$Y83="Removed"))),"OVERDUE",IF(OR($Y83="Rejected",$Y83="Closed",$Y83="Removed"),"CLOSED","OPEN — ON TRACK"))))))))))))</x:f>
      </x:c>
      <x:c r="AL83" s="1253" t="str">
        <x:f>IF($AK83="","",IFERROR(INDEX('97 RCC Lists'!$AM$5:$AM$16,MATCH($AK83,'97 RCC Lists'!$AL$5:$AL$16,0)),"Review candidate exception"))</x:f>
      </x:c>
      <x:c r="AM83" s="1242"/>
      <x:c r="AN83" s="1242"/>
      <x:c r="AO83" s="1242"/>
      <x:c r="AP83" s="1242"/>
      <x:c r="AQ83" s="1251"/>
    </x:row>
    <x:row r="84" ht="32" customHeight="1">
      <x:c r="A84" s="1242"/>
      <x:c r="B84" s="1251"/>
      <x:c r="C84" s="1242"/>
      <x:c r="D84" s="1243" t="str">
        <x:f>IF($C84="","",IFERROR(INDEX('23 RCC-004 MASR Registry'!$C$14:$C$163,MATCH($C84,'23 RCC-004 MASR Registry'!$B$14:$B$163,0)),""))</x:f>
      </x:c>
      <x:c r="E84" s="1242"/>
      <x:c r="F84" s="1242"/>
      <x:c r="G84" s="1242"/>
      <x:c r="H84" s="1242"/>
      <x:c r="I84" s="1243" t="str">
        <x:f>IF($C84="","",IFERROR(INDEX('23 RCC-004 MASR Registry'!$G$14:$G$163,MATCH($C84,'23 RCC-004 MASR Registry'!$B$14:$B$163,0)),""))</x:f>
      </x:c>
      <x:c r="J84" s="1243" t="str">
        <x:f>IF($C84="","",IFERROR(INDEX('23 RCC-004 MASR Registry'!$H$14:$H$163,MATCH($C84,'23 RCC-004 MASR Registry'!$B$14:$B$163,0)),""))</x:f>
      </x:c>
      <x:c r="K84" s="1243" t="str">
        <x:f>IF($C84="","",IFERROR(INDEX('23 RCC-004 MASR Registry'!$D$14:$D$163,MATCH($C84,'23 RCC-004 MASR Registry'!$B$14:$B$163,0)),""))</x:f>
      </x:c>
      <x:c r="L84" s="1243" t="str">
        <x:f>IF($C84="","",IFERROR(INDEX('23 RCC-004 MASR Registry'!$E$14:$E$163,MATCH($C84,'23 RCC-004 MASR Registry'!$B$14:$B$163,0)),""))</x:f>
      </x:c>
      <x:c r="M84" s="1243" t="str">
        <x:f>IF($C84="","",IFERROR(INDEX('23 RCC-004 MASR Registry'!$X$14:$X$163,MATCH($C84,'23 RCC-004 MASR Registry'!$B$14:$B$163,0)),""))</x:f>
      </x:c>
      <x:c r="N84" s="1243" t="str">
        <x:f>IF($C84="","",IFERROR(INDEX('23 RCC-004 MASR Registry'!$Y$14:$Y$163,MATCH($C84,'23 RCC-004 MASR Registry'!$B$14:$B$163,0)),""))</x:f>
      </x:c>
      <x:c r="O84" s="1243" t="str">
        <x:f>IF($C84="","",IFERROR(INDEX('23 RCC-004 MASR Registry'!$L$14:$L$163,MATCH($C84,'23 RCC-004 MASR Registry'!$B$14:$B$163,0)),""))</x:f>
      </x:c>
      <x:c r="P84" s="1243" t="str">
        <x:f>IF($C84="","",IFERROR(INDEX('23 RCC-004 MASR Registry'!$M$14:$M$163,MATCH($C84,'23 RCC-004 MASR Registry'!$B$14:$B$163,0)),""))</x:f>
      </x:c>
      <x:c r="Q84" s="1246" t="str">
        <x:f>IF($C84="","",IFERROR(INDEX('23 RCC-004 MASR Registry'!$N$14:$N$163,MATCH($C84,'23 RCC-004 MASR Registry'!$B$14:$B$163,0)),""))</x:f>
      </x:c>
      <x:c r="R84" s="1246" t="str">
        <x:f>IF($C84="","",IFERROR(INDEX('23 RCC-004 MASR Registry'!$O$14:$O$163,MATCH($C84,'23 RCC-004 MASR Registry'!$B$14:$B$163,0)),""))</x:f>
      </x:c>
      <x:c r="S84" s="1246" t="str">
        <x:f>IF($C84="","",IFERROR(INDEX('23 RCC-004 MASR Registry'!$W$14:$W$163,MATCH($C84,'23 RCC-004 MASR Registry'!$B$14:$B$163,0)),""))</x:f>
      </x:c>
      <x:c r="T84" s="1246" t="str">
        <x:f>IF($C84="","",IFERROR(INDEX('23 RCC-004 MASR Registry'!$T$14:$T$163,MATCH($C84,'23 RCC-004 MASR Registry'!$B$14:$B$163,0)),""))</x:f>
      </x:c>
      <x:c r="U84" s="1247" t="str">
        <x:f>IF($C84="","",IFERROR(INDEX('23 RCC-004 MASR Registry'!$U$14:$U$163,MATCH($C84,'23 RCC-004 MASR Registry'!$B$14:$B$163,0)),""))</x:f>
      </x:c>
      <x:c r="V84" s="1243" t="str">
        <x:f>IF($C84="","",IFERROR(INDEX('23 RCC-004 MASR Registry'!$V$14:$V$163,MATCH($C84,'23 RCC-004 MASR Registry'!$B$14:$B$163,0)),""))</x:f>
      </x:c>
      <x:c r="W84" s="1242"/>
      <x:c r="X84" s="1247" t="str">
        <x:f>IF($C84="","",COUNTIF('18 RCC-002 Evidence Ledger'!$E$14:$E$213,$C84))</x:f>
      </x:c>
      <x:c r="Y84" s="1242"/>
      <x:c r="Z84" s="1244" t="str">
        <x:f>IF($A84="","",IF(COUNTIF($A$14:$A$213,$A84)&gt;1,"FAIL — DUPLICATE ID",IF(OR($B84="",$C84="",$E84="",$H84="",$Y84="",$AA84="",$AB84=""),"FAIL — INCOMPLETE",IF(AND(OR($Y84="MIAR Review",$Y84="Eligibility Review",$Y84="Candidate Comparison",$Y84="Committee Review",$Y84="Approved for MASR",$Y84="Referred to PEW-004",$Y84="On Watch",$Y84="Rejected",$Y84="Closed",$Y84="Removed"),$K84=""),"FAIL — MASR RECORD REQUIRED",IF(AND(OR($Y84="Eligibility Review",$Y84="Candidate Comparison",$Y84="Committee Review",$Y84="Approved for MASR",$Y84="Referred to PEW-004",$Y84="On Watch"),NOT(OR($M84="ELIGIBLE",$M84="ELIGIBLE WITH EXCEPTION",$M84="CERTIFIED HOLDING"))),"FAIL — ELIGIBILITY",IF(AND(OR($Y84="Candidate Comparison",$Y84="Committee Review",$Y84="Approved for MASR",$Y84="Referred to PEW-004",$Y84="On Watch"),$X84=0),"FAIL — EVIDENCE",IF(AND(OR($Y84="Candidate Comparison",$Y84="Committee Review",$Y84="Approved for MASR",$Y84="Referred to PEW-004",$Y84="On Watch"),OR($O84&lt;&gt;"Active",$P84&lt;&gt;"CURRENT")),"FAIL — MIAR GATE",IF(AND(OR($Y84="Approved for MASR",$Y84="Referred to PEW-004",$Y84="On Watch",$Y84="Rejected",$Y84="Closed",$Y84="Removed"),OR($AD84="",$AD84="Pending")),"FAIL — COMMITTEE DISPOSITION",IF(AND($Y84="Referred to PEW-004",OR($AF84&lt;&gt;"Yes — Refer to PEW-004",$AG84="",$AJ84="")),"FAIL — PEW REFERRAL","PASS — STAGE GATE")))))))))</x:f>
      </x:c>
      <x:c r="AA84" s="1242"/>
      <x:c r="AB84" s="1251"/>
      <x:c r="AC84" s="1250" t="str">
        <x:f>IF($B84="","",IF($AQ84&lt;&gt;"",$AQ84-$B84,TODAY()-$B84))</x:f>
      </x:c>
      <x:c r="AD84" s="1242"/>
      <x:c r="AE84" s="1251"/>
      <x:c r="AF84" s="1242"/>
      <x:c r="AG84" s="1242"/>
      <x:c r="AH84" s="1246" t="str">
        <x:f>IF($AG84="","",IFERROR(INDEX('10 Candidate Comparison'!$T$14:$T$33,MATCH($AG84,'10 Candidate Comparison'!$A$14:$A$33,0)),""))</x:f>
      </x:c>
      <x:c r="AI84" s="1243" t="str">
        <x:f>IF($AG84="","",IFERROR(INDEX('10 Candidate Comparison'!$U$14:$U$33,MATCH($AG84,'10 Candidate Comparison'!$A$14:$A$33,0)),""))</x:f>
      </x:c>
      <x:c r="AJ84" s="1243" t="str">
        <x:f>IF($AG84="","",IFERROR(INDEX('10 Candidate Comparison'!$Y$14:$Y$33,MATCH($AG84,'10 Candidate Comparison'!$A$14:$A$33,0)),""))</x:f>
      </x:c>
      <x:c r="AK84" s="1244" t="str">
        <x:f>IF($A84="","",IF($Z84="FAIL — DUPLICATE ID","DUPLICATE CANDIDATE ID",IF($Z84="FAIL — INCOMPLETE","INCOMPLETE",IF($Z84="FAIL — MASR RECORD REQUIRED","MASR RECORD REQUIRED",IF($Z84="FAIL — ELIGIBILITY","ELIGIBILITY BLOCK",IF($Z84="FAIL — EVIDENCE","EVIDENCE REQUIRED",IF($Z84="FAIL — MIAR GATE","MIAR GATE BLOCK",IF($Z84="FAIL — COMMITTEE DISPOSITION","COMMITTEE DECISION REQUIRED",IF($Z84="FAIL — PEW REFERRAL","PEW REFERRAL INCOMPLETE",IF(AND(OR($Y84="Rejected",$Y84="Closed",$Y84="Removed"),OR($AO84="",$AP84="",$AQ84="")),"CLOSURE REQUIRED",IF(AND($AB84&lt;TODAY(),NOT(OR($Y84="Rejected",$Y84="Closed",$Y84="Removed"))),"OVERDUE",IF(OR($Y84="Rejected",$Y84="Closed",$Y84="Removed"),"CLOSED","OPEN — ON TRACK"))))))))))))</x:f>
      </x:c>
      <x:c r="AL84" s="1244" t="str">
        <x:f>IF($AK84="","",IFERROR(INDEX('97 RCC Lists'!$AM$5:$AM$16,MATCH($AK84,'97 RCC Lists'!$AL$5:$AL$16,0)),"Review candidate exception"))</x:f>
      </x:c>
      <x:c r="AM84" s="1242"/>
      <x:c r="AN84" s="1242"/>
      <x:c r="AO84" s="1242"/>
      <x:c r="AP84" s="1242"/>
      <x:c r="AQ84" s="1251"/>
    </x:row>
    <x:row r="85" ht="32" customHeight="1">
      <x:c r="A85" s="1242"/>
      <x:c r="B85" s="1251"/>
      <x:c r="C85" s="1242"/>
      <x:c r="D85" s="1252" t="str">
        <x:f>IF($C85="","",IFERROR(INDEX('23 RCC-004 MASR Registry'!$C$14:$C$163,MATCH($C85,'23 RCC-004 MASR Registry'!$B$14:$B$163,0)),""))</x:f>
      </x:c>
      <x:c r="E85" s="1242"/>
      <x:c r="F85" s="1242"/>
      <x:c r="G85" s="1242"/>
      <x:c r="H85" s="1242"/>
      <x:c r="I85" s="1252" t="str">
        <x:f>IF($C85="","",IFERROR(INDEX('23 RCC-004 MASR Registry'!$G$14:$G$163,MATCH($C85,'23 RCC-004 MASR Registry'!$B$14:$B$163,0)),""))</x:f>
      </x:c>
      <x:c r="J85" s="1252" t="str">
        <x:f>IF($C85="","",IFERROR(INDEX('23 RCC-004 MASR Registry'!$H$14:$H$163,MATCH($C85,'23 RCC-004 MASR Registry'!$B$14:$B$163,0)),""))</x:f>
      </x:c>
      <x:c r="K85" s="1252" t="str">
        <x:f>IF($C85="","",IFERROR(INDEX('23 RCC-004 MASR Registry'!$D$14:$D$163,MATCH($C85,'23 RCC-004 MASR Registry'!$B$14:$B$163,0)),""))</x:f>
      </x:c>
      <x:c r="L85" s="1252" t="str">
        <x:f>IF($C85="","",IFERROR(INDEX('23 RCC-004 MASR Registry'!$E$14:$E$163,MATCH($C85,'23 RCC-004 MASR Registry'!$B$14:$B$163,0)),""))</x:f>
      </x:c>
      <x:c r="M85" s="1252" t="str">
        <x:f>IF($C85="","",IFERROR(INDEX('23 RCC-004 MASR Registry'!$X$14:$X$163,MATCH($C85,'23 RCC-004 MASR Registry'!$B$14:$B$163,0)),""))</x:f>
      </x:c>
      <x:c r="N85" s="1252" t="str">
        <x:f>IF($C85="","",IFERROR(INDEX('23 RCC-004 MASR Registry'!$Y$14:$Y$163,MATCH($C85,'23 RCC-004 MASR Registry'!$B$14:$B$163,0)),""))</x:f>
      </x:c>
      <x:c r="O85" s="1252" t="str">
        <x:f>IF($C85="","",IFERROR(INDEX('23 RCC-004 MASR Registry'!$L$14:$L$163,MATCH($C85,'23 RCC-004 MASR Registry'!$B$14:$B$163,0)),""))</x:f>
      </x:c>
      <x:c r="P85" s="1252" t="str">
        <x:f>IF($C85="","",IFERROR(INDEX('23 RCC-004 MASR Registry'!$M$14:$M$163,MATCH($C85,'23 RCC-004 MASR Registry'!$B$14:$B$163,0)),""))</x:f>
      </x:c>
      <x:c r="Q85" s="1255" t="str">
        <x:f>IF($C85="","",IFERROR(INDEX('23 RCC-004 MASR Registry'!$N$14:$N$163,MATCH($C85,'23 RCC-004 MASR Registry'!$B$14:$B$163,0)),""))</x:f>
      </x:c>
      <x:c r="R85" s="1255" t="str">
        <x:f>IF($C85="","",IFERROR(INDEX('23 RCC-004 MASR Registry'!$O$14:$O$163,MATCH($C85,'23 RCC-004 MASR Registry'!$B$14:$B$163,0)),""))</x:f>
      </x:c>
      <x:c r="S85" s="1255" t="str">
        <x:f>IF($C85="","",IFERROR(INDEX('23 RCC-004 MASR Registry'!$W$14:$W$163,MATCH($C85,'23 RCC-004 MASR Registry'!$B$14:$B$163,0)),""))</x:f>
      </x:c>
      <x:c r="T85" s="1255" t="str">
        <x:f>IF($C85="","",IFERROR(INDEX('23 RCC-004 MASR Registry'!$T$14:$T$163,MATCH($C85,'23 RCC-004 MASR Registry'!$B$14:$B$163,0)),""))</x:f>
      </x:c>
      <x:c r="U85" s="1256" t="str">
        <x:f>IF($C85="","",IFERROR(INDEX('23 RCC-004 MASR Registry'!$U$14:$U$163,MATCH($C85,'23 RCC-004 MASR Registry'!$B$14:$B$163,0)),""))</x:f>
      </x:c>
      <x:c r="V85" s="1252" t="str">
        <x:f>IF($C85="","",IFERROR(INDEX('23 RCC-004 MASR Registry'!$V$14:$V$163,MATCH($C85,'23 RCC-004 MASR Registry'!$B$14:$B$163,0)),""))</x:f>
      </x:c>
      <x:c r="W85" s="1242"/>
      <x:c r="X85" s="1256" t="str">
        <x:f>IF($C85="","",COUNTIF('18 RCC-002 Evidence Ledger'!$E$14:$E$213,$C85))</x:f>
      </x:c>
      <x:c r="Y85" s="1242"/>
      <x:c r="Z85" s="1253" t="str">
        <x:f>IF($A85="","",IF(COUNTIF($A$14:$A$213,$A85)&gt;1,"FAIL — DUPLICATE ID",IF(OR($B85="",$C85="",$E85="",$H85="",$Y85="",$AA85="",$AB85=""),"FAIL — INCOMPLETE",IF(AND(OR($Y85="MIAR Review",$Y85="Eligibility Review",$Y85="Candidate Comparison",$Y85="Committee Review",$Y85="Approved for MASR",$Y85="Referred to PEW-004",$Y85="On Watch",$Y85="Rejected",$Y85="Closed",$Y85="Removed"),$K85=""),"FAIL — MASR RECORD REQUIRED",IF(AND(OR($Y85="Eligibility Review",$Y85="Candidate Comparison",$Y85="Committee Review",$Y85="Approved for MASR",$Y85="Referred to PEW-004",$Y85="On Watch"),NOT(OR($M85="ELIGIBLE",$M85="ELIGIBLE WITH EXCEPTION",$M85="CERTIFIED HOLDING"))),"FAIL — ELIGIBILITY",IF(AND(OR($Y85="Candidate Comparison",$Y85="Committee Review",$Y85="Approved for MASR",$Y85="Referred to PEW-004",$Y85="On Watch"),$X85=0),"FAIL — EVIDENCE",IF(AND(OR($Y85="Candidate Comparison",$Y85="Committee Review",$Y85="Approved for MASR",$Y85="Referred to PEW-004",$Y85="On Watch"),OR($O85&lt;&gt;"Active",$P85&lt;&gt;"CURRENT")),"FAIL — MIAR GATE",IF(AND(OR($Y85="Approved for MASR",$Y85="Referred to PEW-004",$Y85="On Watch",$Y85="Rejected",$Y85="Closed",$Y85="Removed"),OR($AD85="",$AD85="Pending")),"FAIL — COMMITTEE DISPOSITION",IF(AND($Y85="Referred to PEW-004",OR($AF85&lt;&gt;"Yes — Refer to PEW-004",$AG85="",$AJ85="")),"FAIL — PEW REFERRAL","PASS — STAGE GATE")))))))))</x:f>
      </x:c>
      <x:c r="AA85" s="1242"/>
      <x:c r="AB85" s="1251"/>
      <x:c r="AC85" s="1257" t="str">
        <x:f>IF($B85="","",IF($AQ85&lt;&gt;"",$AQ85-$B85,TODAY()-$B85))</x:f>
      </x:c>
      <x:c r="AD85" s="1242"/>
      <x:c r="AE85" s="1251"/>
      <x:c r="AF85" s="1242"/>
      <x:c r="AG85" s="1242"/>
      <x:c r="AH85" s="1255" t="str">
        <x:f>IF($AG85="","",IFERROR(INDEX('10 Candidate Comparison'!$T$14:$T$33,MATCH($AG85,'10 Candidate Comparison'!$A$14:$A$33,0)),""))</x:f>
      </x:c>
      <x:c r="AI85" s="1252" t="str">
        <x:f>IF($AG85="","",IFERROR(INDEX('10 Candidate Comparison'!$U$14:$U$33,MATCH($AG85,'10 Candidate Comparison'!$A$14:$A$33,0)),""))</x:f>
      </x:c>
      <x:c r="AJ85" s="1252" t="str">
        <x:f>IF($AG85="","",IFERROR(INDEX('10 Candidate Comparison'!$Y$14:$Y$33,MATCH($AG85,'10 Candidate Comparison'!$A$14:$A$33,0)),""))</x:f>
      </x:c>
      <x:c r="AK85" s="1253" t="str">
        <x:f>IF($A85="","",IF($Z85="FAIL — DUPLICATE ID","DUPLICATE CANDIDATE ID",IF($Z85="FAIL — INCOMPLETE","INCOMPLETE",IF($Z85="FAIL — MASR RECORD REQUIRED","MASR RECORD REQUIRED",IF($Z85="FAIL — ELIGIBILITY","ELIGIBILITY BLOCK",IF($Z85="FAIL — EVIDENCE","EVIDENCE REQUIRED",IF($Z85="FAIL — MIAR GATE","MIAR GATE BLOCK",IF($Z85="FAIL — COMMITTEE DISPOSITION","COMMITTEE DECISION REQUIRED",IF($Z85="FAIL — PEW REFERRAL","PEW REFERRAL INCOMPLETE",IF(AND(OR($Y85="Rejected",$Y85="Closed",$Y85="Removed"),OR($AO85="",$AP85="",$AQ85="")),"CLOSURE REQUIRED",IF(AND($AB85&lt;TODAY(),NOT(OR($Y85="Rejected",$Y85="Closed",$Y85="Removed"))),"OVERDUE",IF(OR($Y85="Rejected",$Y85="Closed",$Y85="Removed"),"CLOSED","OPEN — ON TRACK"))))))))))))</x:f>
      </x:c>
      <x:c r="AL85" s="1253" t="str">
        <x:f>IF($AK85="","",IFERROR(INDEX('97 RCC Lists'!$AM$5:$AM$16,MATCH($AK85,'97 RCC Lists'!$AL$5:$AL$16,0)),"Review candidate exception"))</x:f>
      </x:c>
      <x:c r="AM85" s="1242"/>
      <x:c r="AN85" s="1242"/>
      <x:c r="AO85" s="1242"/>
      <x:c r="AP85" s="1242"/>
      <x:c r="AQ85" s="1251"/>
    </x:row>
    <x:row r="86" ht="32" customHeight="1">
      <x:c r="A86" s="1242"/>
      <x:c r="B86" s="1251"/>
      <x:c r="C86" s="1242"/>
      <x:c r="D86" s="1243" t="str">
        <x:f>IF($C86="","",IFERROR(INDEX('23 RCC-004 MASR Registry'!$C$14:$C$163,MATCH($C86,'23 RCC-004 MASR Registry'!$B$14:$B$163,0)),""))</x:f>
      </x:c>
      <x:c r="E86" s="1242"/>
      <x:c r="F86" s="1242"/>
      <x:c r="G86" s="1242"/>
      <x:c r="H86" s="1242"/>
      <x:c r="I86" s="1243" t="str">
        <x:f>IF($C86="","",IFERROR(INDEX('23 RCC-004 MASR Registry'!$G$14:$G$163,MATCH($C86,'23 RCC-004 MASR Registry'!$B$14:$B$163,0)),""))</x:f>
      </x:c>
      <x:c r="J86" s="1243" t="str">
        <x:f>IF($C86="","",IFERROR(INDEX('23 RCC-004 MASR Registry'!$H$14:$H$163,MATCH($C86,'23 RCC-004 MASR Registry'!$B$14:$B$163,0)),""))</x:f>
      </x:c>
      <x:c r="K86" s="1243" t="str">
        <x:f>IF($C86="","",IFERROR(INDEX('23 RCC-004 MASR Registry'!$D$14:$D$163,MATCH($C86,'23 RCC-004 MASR Registry'!$B$14:$B$163,0)),""))</x:f>
      </x:c>
      <x:c r="L86" s="1243" t="str">
        <x:f>IF($C86="","",IFERROR(INDEX('23 RCC-004 MASR Registry'!$E$14:$E$163,MATCH($C86,'23 RCC-004 MASR Registry'!$B$14:$B$163,0)),""))</x:f>
      </x:c>
      <x:c r="M86" s="1243" t="str">
        <x:f>IF($C86="","",IFERROR(INDEX('23 RCC-004 MASR Registry'!$X$14:$X$163,MATCH($C86,'23 RCC-004 MASR Registry'!$B$14:$B$163,0)),""))</x:f>
      </x:c>
      <x:c r="N86" s="1243" t="str">
        <x:f>IF($C86="","",IFERROR(INDEX('23 RCC-004 MASR Registry'!$Y$14:$Y$163,MATCH($C86,'23 RCC-004 MASR Registry'!$B$14:$B$163,0)),""))</x:f>
      </x:c>
      <x:c r="O86" s="1243" t="str">
        <x:f>IF($C86="","",IFERROR(INDEX('23 RCC-004 MASR Registry'!$L$14:$L$163,MATCH($C86,'23 RCC-004 MASR Registry'!$B$14:$B$163,0)),""))</x:f>
      </x:c>
      <x:c r="P86" s="1243" t="str">
        <x:f>IF($C86="","",IFERROR(INDEX('23 RCC-004 MASR Registry'!$M$14:$M$163,MATCH($C86,'23 RCC-004 MASR Registry'!$B$14:$B$163,0)),""))</x:f>
      </x:c>
      <x:c r="Q86" s="1246" t="str">
        <x:f>IF($C86="","",IFERROR(INDEX('23 RCC-004 MASR Registry'!$N$14:$N$163,MATCH($C86,'23 RCC-004 MASR Registry'!$B$14:$B$163,0)),""))</x:f>
      </x:c>
      <x:c r="R86" s="1246" t="str">
        <x:f>IF($C86="","",IFERROR(INDEX('23 RCC-004 MASR Registry'!$O$14:$O$163,MATCH($C86,'23 RCC-004 MASR Registry'!$B$14:$B$163,0)),""))</x:f>
      </x:c>
      <x:c r="S86" s="1246" t="str">
        <x:f>IF($C86="","",IFERROR(INDEX('23 RCC-004 MASR Registry'!$W$14:$W$163,MATCH($C86,'23 RCC-004 MASR Registry'!$B$14:$B$163,0)),""))</x:f>
      </x:c>
      <x:c r="T86" s="1246" t="str">
        <x:f>IF($C86="","",IFERROR(INDEX('23 RCC-004 MASR Registry'!$T$14:$T$163,MATCH($C86,'23 RCC-004 MASR Registry'!$B$14:$B$163,0)),""))</x:f>
      </x:c>
      <x:c r="U86" s="1247" t="str">
        <x:f>IF($C86="","",IFERROR(INDEX('23 RCC-004 MASR Registry'!$U$14:$U$163,MATCH($C86,'23 RCC-004 MASR Registry'!$B$14:$B$163,0)),""))</x:f>
      </x:c>
      <x:c r="V86" s="1243" t="str">
        <x:f>IF($C86="","",IFERROR(INDEX('23 RCC-004 MASR Registry'!$V$14:$V$163,MATCH($C86,'23 RCC-004 MASR Registry'!$B$14:$B$163,0)),""))</x:f>
      </x:c>
      <x:c r="W86" s="1242"/>
      <x:c r="X86" s="1247" t="str">
        <x:f>IF($C86="","",COUNTIF('18 RCC-002 Evidence Ledger'!$E$14:$E$213,$C86))</x:f>
      </x:c>
      <x:c r="Y86" s="1242"/>
      <x:c r="Z86" s="1244" t="str">
        <x:f>IF($A86="","",IF(COUNTIF($A$14:$A$213,$A86)&gt;1,"FAIL — DUPLICATE ID",IF(OR($B86="",$C86="",$E86="",$H86="",$Y86="",$AA86="",$AB86=""),"FAIL — INCOMPLETE",IF(AND(OR($Y86="MIAR Review",$Y86="Eligibility Review",$Y86="Candidate Comparison",$Y86="Committee Review",$Y86="Approved for MASR",$Y86="Referred to PEW-004",$Y86="On Watch",$Y86="Rejected",$Y86="Closed",$Y86="Removed"),$K86=""),"FAIL — MASR RECORD REQUIRED",IF(AND(OR($Y86="Eligibility Review",$Y86="Candidate Comparison",$Y86="Committee Review",$Y86="Approved for MASR",$Y86="Referred to PEW-004",$Y86="On Watch"),NOT(OR($M86="ELIGIBLE",$M86="ELIGIBLE WITH EXCEPTION",$M86="CERTIFIED HOLDING"))),"FAIL — ELIGIBILITY",IF(AND(OR($Y86="Candidate Comparison",$Y86="Committee Review",$Y86="Approved for MASR",$Y86="Referred to PEW-004",$Y86="On Watch"),$X86=0),"FAIL — EVIDENCE",IF(AND(OR($Y86="Candidate Comparison",$Y86="Committee Review",$Y86="Approved for MASR",$Y86="Referred to PEW-004",$Y86="On Watch"),OR($O86&lt;&gt;"Active",$P86&lt;&gt;"CURRENT")),"FAIL — MIAR GATE",IF(AND(OR($Y86="Approved for MASR",$Y86="Referred to PEW-004",$Y86="On Watch",$Y86="Rejected",$Y86="Closed",$Y86="Removed"),OR($AD86="",$AD86="Pending")),"FAIL — COMMITTEE DISPOSITION",IF(AND($Y86="Referred to PEW-004",OR($AF86&lt;&gt;"Yes — Refer to PEW-004",$AG86="",$AJ86="")),"FAIL — PEW REFERRAL","PASS — STAGE GATE")))))))))</x:f>
      </x:c>
      <x:c r="AA86" s="1242"/>
      <x:c r="AB86" s="1251"/>
      <x:c r="AC86" s="1250" t="str">
        <x:f>IF($B86="","",IF($AQ86&lt;&gt;"",$AQ86-$B86,TODAY()-$B86))</x:f>
      </x:c>
      <x:c r="AD86" s="1242"/>
      <x:c r="AE86" s="1251"/>
      <x:c r="AF86" s="1242"/>
      <x:c r="AG86" s="1242"/>
      <x:c r="AH86" s="1246" t="str">
        <x:f>IF($AG86="","",IFERROR(INDEX('10 Candidate Comparison'!$T$14:$T$33,MATCH($AG86,'10 Candidate Comparison'!$A$14:$A$33,0)),""))</x:f>
      </x:c>
      <x:c r="AI86" s="1243" t="str">
        <x:f>IF($AG86="","",IFERROR(INDEX('10 Candidate Comparison'!$U$14:$U$33,MATCH($AG86,'10 Candidate Comparison'!$A$14:$A$33,0)),""))</x:f>
      </x:c>
      <x:c r="AJ86" s="1243" t="str">
        <x:f>IF($AG86="","",IFERROR(INDEX('10 Candidate Comparison'!$Y$14:$Y$33,MATCH($AG86,'10 Candidate Comparison'!$A$14:$A$33,0)),""))</x:f>
      </x:c>
      <x:c r="AK86" s="1244" t="str">
        <x:f>IF($A86="","",IF($Z86="FAIL — DUPLICATE ID","DUPLICATE CANDIDATE ID",IF($Z86="FAIL — INCOMPLETE","INCOMPLETE",IF($Z86="FAIL — MASR RECORD REQUIRED","MASR RECORD REQUIRED",IF($Z86="FAIL — ELIGIBILITY","ELIGIBILITY BLOCK",IF($Z86="FAIL — EVIDENCE","EVIDENCE REQUIRED",IF($Z86="FAIL — MIAR GATE","MIAR GATE BLOCK",IF($Z86="FAIL — COMMITTEE DISPOSITION","COMMITTEE DECISION REQUIRED",IF($Z86="FAIL — PEW REFERRAL","PEW REFERRAL INCOMPLETE",IF(AND(OR($Y86="Rejected",$Y86="Closed",$Y86="Removed"),OR($AO86="",$AP86="",$AQ86="")),"CLOSURE REQUIRED",IF(AND($AB86&lt;TODAY(),NOT(OR($Y86="Rejected",$Y86="Closed",$Y86="Removed"))),"OVERDUE",IF(OR($Y86="Rejected",$Y86="Closed",$Y86="Removed"),"CLOSED","OPEN — ON TRACK"))))))))))))</x:f>
      </x:c>
      <x:c r="AL86" s="1244" t="str">
        <x:f>IF($AK86="","",IFERROR(INDEX('97 RCC Lists'!$AM$5:$AM$16,MATCH($AK86,'97 RCC Lists'!$AL$5:$AL$16,0)),"Review candidate exception"))</x:f>
      </x:c>
      <x:c r="AM86" s="1242"/>
      <x:c r="AN86" s="1242"/>
      <x:c r="AO86" s="1242"/>
      <x:c r="AP86" s="1242"/>
      <x:c r="AQ86" s="1251"/>
    </x:row>
    <x:row r="87" ht="32" customHeight="1">
      <x:c r="A87" s="1242"/>
      <x:c r="B87" s="1251"/>
      <x:c r="C87" s="1242"/>
      <x:c r="D87" s="1252" t="str">
        <x:f>IF($C87="","",IFERROR(INDEX('23 RCC-004 MASR Registry'!$C$14:$C$163,MATCH($C87,'23 RCC-004 MASR Registry'!$B$14:$B$163,0)),""))</x:f>
      </x:c>
      <x:c r="E87" s="1242"/>
      <x:c r="F87" s="1242"/>
      <x:c r="G87" s="1242"/>
      <x:c r="H87" s="1242"/>
      <x:c r="I87" s="1252" t="str">
        <x:f>IF($C87="","",IFERROR(INDEX('23 RCC-004 MASR Registry'!$G$14:$G$163,MATCH($C87,'23 RCC-004 MASR Registry'!$B$14:$B$163,0)),""))</x:f>
      </x:c>
      <x:c r="J87" s="1252" t="str">
        <x:f>IF($C87="","",IFERROR(INDEX('23 RCC-004 MASR Registry'!$H$14:$H$163,MATCH($C87,'23 RCC-004 MASR Registry'!$B$14:$B$163,0)),""))</x:f>
      </x:c>
      <x:c r="K87" s="1252" t="str">
        <x:f>IF($C87="","",IFERROR(INDEX('23 RCC-004 MASR Registry'!$D$14:$D$163,MATCH($C87,'23 RCC-004 MASR Registry'!$B$14:$B$163,0)),""))</x:f>
      </x:c>
      <x:c r="L87" s="1252" t="str">
        <x:f>IF($C87="","",IFERROR(INDEX('23 RCC-004 MASR Registry'!$E$14:$E$163,MATCH($C87,'23 RCC-004 MASR Registry'!$B$14:$B$163,0)),""))</x:f>
      </x:c>
      <x:c r="M87" s="1252" t="str">
        <x:f>IF($C87="","",IFERROR(INDEX('23 RCC-004 MASR Registry'!$X$14:$X$163,MATCH($C87,'23 RCC-004 MASR Registry'!$B$14:$B$163,0)),""))</x:f>
      </x:c>
      <x:c r="N87" s="1252" t="str">
        <x:f>IF($C87="","",IFERROR(INDEX('23 RCC-004 MASR Registry'!$Y$14:$Y$163,MATCH($C87,'23 RCC-004 MASR Registry'!$B$14:$B$163,0)),""))</x:f>
      </x:c>
      <x:c r="O87" s="1252" t="str">
        <x:f>IF($C87="","",IFERROR(INDEX('23 RCC-004 MASR Registry'!$L$14:$L$163,MATCH($C87,'23 RCC-004 MASR Registry'!$B$14:$B$163,0)),""))</x:f>
      </x:c>
      <x:c r="P87" s="1252" t="str">
        <x:f>IF($C87="","",IFERROR(INDEX('23 RCC-004 MASR Registry'!$M$14:$M$163,MATCH($C87,'23 RCC-004 MASR Registry'!$B$14:$B$163,0)),""))</x:f>
      </x:c>
      <x:c r="Q87" s="1255" t="str">
        <x:f>IF($C87="","",IFERROR(INDEX('23 RCC-004 MASR Registry'!$N$14:$N$163,MATCH($C87,'23 RCC-004 MASR Registry'!$B$14:$B$163,0)),""))</x:f>
      </x:c>
      <x:c r="R87" s="1255" t="str">
        <x:f>IF($C87="","",IFERROR(INDEX('23 RCC-004 MASR Registry'!$O$14:$O$163,MATCH($C87,'23 RCC-004 MASR Registry'!$B$14:$B$163,0)),""))</x:f>
      </x:c>
      <x:c r="S87" s="1255" t="str">
        <x:f>IF($C87="","",IFERROR(INDEX('23 RCC-004 MASR Registry'!$W$14:$W$163,MATCH($C87,'23 RCC-004 MASR Registry'!$B$14:$B$163,0)),""))</x:f>
      </x:c>
      <x:c r="T87" s="1255" t="str">
        <x:f>IF($C87="","",IFERROR(INDEX('23 RCC-004 MASR Registry'!$T$14:$T$163,MATCH($C87,'23 RCC-004 MASR Registry'!$B$14:$B$163,0)),""))</x:f>
      </x:c>
      <x:c r="U87" s="1256" t="str">
        <x:f>IF($C87="","",IFERROR(INDEX('23 RCC-004 MASR Registry'!$U$14:$U$163,MATCH($C87,'23 RCC-004 MASR Registry'!$B$14:$B$163,0)),""))</x:f>
      </x:c>
      <x:c r="V87" s="1252" t="str">
        <x:f>IF($C87="","",IFERROR(INDEX('23 RCC-004 MASR Registry'!$V$14:$V$163,MATCH($C87,'23 RCC-004 MASR Registry'!$B$14:$B$163,0)),""))</x:f>
      </x:c>
      <x:c r="W87" s="1242"/>
      <x:c r="X87" s="1256" t="str">
        <x:f>IF($C87="","",COUNTIF('18 RCC-002 Evidence Ledger'!$E$14:$E$213,$C87))</x:f>
      </x:c>
      <x:c r="Y87" s="1242"/>
      <x:c r="Z87" s="1253" t="str">
        <x:f>IF($A87="","",IF(COUNTIF($A$14:$A$213,$A87)&gt;1,"FAIL — DUPLICATE ID",IF(OR($B87="",$C87="",$E87="",$H87="",$Y87="",$AA87="",$AB87=""),"FAIL — INCOMPLETE",IF(AND(OR($Y87="MIAR Review",$Y87="Eligibility Review",$Y87="Candidate Comparison",$Y87="Committee Review",$Y87="Approved for MASR",$Y87="Referred to PEW-004",$Y87="On Watch",$Y87="Rejected",$Y87="Closed",$Y87="Removed"),$K87=""),"FAIL — MASR RECORD REQUIRED",IF(AND(OR($Y87="Eligibility Review",$Y87="Candidate Comparison",$Y87="Committee Review",$Y87="Approved for MASR",$Y87="Referred to PEW-004",$Y87="On Watch"),NOT(OR($M87="ELIGIBLE",$M87="ELIGIBLE WITH EXCEPTION",$M87="CERTIFIED HOLDING"))),"FAIL — ELIGIBILITY",IF(AND(OR($Y87="Candidate Comparison",$Y87="Committee Review",$Y87="Approved for MASR",$Y87="Referred to PEW-004",$Y87="On Watch"),$X87=0),"FAIL — EVIDENCE",IF(AND(OR($Y87="Candidate Comparison",$Y87="Committee Review",$Y87="Approved for MASR",$Y87="Referred to PEW-004",$Y87="On Watch"),OR($O87&lt;&gt;"Active",$P87&lt;&gt;"CURRENT")),"FAIL — MIAR GATE",IF(AND(OR($Y87="Approved for MASR",$Y87="Referred to PEW-004",$Y87="On Watch",$Y87="Rejected",$Y87="Closed",$Y87="Removed"),OR($AD87="",$AD87="Pending")),"FAIL — COMMITTEE DISPOSITION",IF(AND($Y87="Referred to PEW-004",OR($AF87&lt;&gt;"Yes — Refer to PEW-004",$AG87="",$AJ87="")),"FAIL — PEW REFERRAL","PASS — STAGE GATE")))))))))</x:f>
      </x:c>
      <x:c r="AA87" s="1242"/>
      <x:c r="AB87" s="1251"/>
      <x:c r="AC87" s="1257" t="str">
        <x:f>IF($B87="","",IF($AQ87&lt;&gt;"",$AQ87-$B87,TODAY()-$B87))</x:f>
      </x:c>
      <x:c r="AD87" s="1242"/>
      <x:c r="AE87" s="1251"/>
      <x:c r="AF87" s="1242"/>
      <x:c r="AG87" s="1242"/>
      <x:c r="AH87" s="1255" t="str">
        <x:f>IF($AG87="","",IFERROR(INDEX('10 Candidate Comparison'!$T$14:$T$33,MATCH($AG87,'10 Candidate Comparison'!$A$14:$A$33,0)),""))</x:f>
      </x:c>
      <x:c r="AI87" s="1252" t="str">
        <x:f>IF($AG87="","",IFERROR(INDEX('10 Candidate Comparison'!$U$14:$U$33,MATCH($AG87,'10 Candidate Comparison'!$A$14:$A$33,0)),""))</x:f>
      </x:c>
      <x:c r="AJ87" s="1252" t="str">
        <x:f>IF($AG87="","",IFERROR(INDEX('10 Candidate Comparison'!$Y$14:$Y$33,MATCH($AG87,'10 Candidate Comparison'!$A$14:$A$33,0)),""))</x:f>
      </x:c>
      <x:c r="AK87" s="1253" t="str">
        <x:f>IF($A87="","",IF($Z87="FAIL — DUPLICATE ID","DUPLICATE CANDIDATE ID",IF($Z87="FAIL — INCOMPLETE","INCOMPLETE",IF($Z87="FAIL — MASR RECORD REQUIRED","MASR RECORD REQUIRED",IF($Z87="FAIL — ELIGIBILITY","ELIGIBILITY BLOCK",IF($Z87="FAIL — EVIDENCE","EVIDENCE REQUIRED",IF($Z87="FAIL — MIAR GATE","MIAR GATE BLOCK",IF($Z87="FAIL — COMMITTEE DISPOSITION","COMMITTEE DECISION REQUIRED",IF($Z87="FAIL — PEW REFERRAL","PEW REFERRAL INCOMPLETE",IF(AND(OR($Y87="Rejected",$Y87="Closed",$Y87="Removed"),OR($AO87="",$AP87="",$AQ87="")),"CLOSURE REQUIRED",IF(AND($AB87&lt;TODAY(),NOT(OR($Y87="Rejected",$Y87="Closed",$Y87="Removed"))),"OVERDUE",IF(OR($Y87="Rejected",$Y87="Closed",$Y87="Removed"),"CLOSED","OPEN — ON TRACK"))))))))))))</x:f>
      </x:c>
      <x:c r="AL87" s="1253" t="str">
        <x:f>IF($AK87="","",IFERROR(INDEX('97 RCC Lists'!$AM$5:$AM$16,MATCH($AK87,'97 RCC Lists'!$AL$5:$AL$16,0)),"Review candidate exception"))</x:f>
      </x:c>
      <x:c r="AM87" s="1242"/>
      <x:c r="AN87" s="1242"/>
      <x:c r="AO87" s="1242"/>
      <x:c r="AP87" s="1242"/>
      <x:c r="AQ87" s="1251"/>
    </x:row>
    <x:row r="88" ht="32" customHeight="1">
      <x:c r="A88" s="1242"/>
      <x:c r="B88" s="1251"/>
      <x:c r="C88" s="1242"/>
      <x:c r="D88" s="1243" t="str">
        <x:f>IF($C88="","",IFERROR(INDEX('23 RCC-004 MASR Registry'!$C$14:$C$163,MATCH($C88,'23 RCC-004 MASR Registry'!$B$14:$B$163,0)),""))</x:f>
      </x:c>
      <x:c r="E88" s="1242"/>
      <x:c r="F88" s="1242"/>
      <x:c r="G88" s="1242"/>
      <x:c r="H88" s="1242"/>
      <x:c r="I88" s="1243" t="str">
        <x:f>IF($C88="","",IFERROR(INDEX('23 RCC-004 MASR Registry'!$G$14:$G$163,MATCH($C88,'23 RCC-004 MASR Registry'!$B$14:$B$163,0)),""))</x:f>
      </x:c>
      <x:c r="J88" s="1243" t="str">
        <x:f>IF($C88="","",IFERROR(INDEX('23 RCC-004 MASR Registry'!$H$14:$H$163,MATCH($C88,'23 RCC-004 MASR Registry'!$B$14:$B$163,0)),""))</x:f>
      </x:c>
      <x:c r="K88" s="1243" t="str">
        <x:f>IF($C88="","",IFERROR(INDEX('23 RCC-004 MASR Registry'!$D$14:$D$163,MATCH($C88,'23 RCC-004 MASR Registry'!$B$14:$B$163,0)),""))</x:f>
      </x:c>
      <x:c r="L88" s="1243" t="str">
        <x:f>IF($C88="","",IFERROR(INDEX('23 RCC-004 MASR Registry'!$E$14:$E$163,MATCH($C88,'23 RCC-004 MASR Registry'!$B$14:$B$163,0)),""))</x:f>
      </x:c>
      <x:c r="M88" s="1243" t="str">
        <x:f>IF($C88="","",IFERROR(INDEX('23 RCC-004 MASR Registry'!$X$14:$X$163,MATCH($C88,'23 RCC-004 MASR Registry'!$B$14:$B$163,0)),""))</x:f>
      </x:c>
      <x:c r="N88" s="1243" t="str">
        <x:f>IF($C88="","",IFERROR(INDEX('23 RCC-004 MASR Registry'!$Y$14:$Y$163,MATCH($C88,'23 RCC-004 MASR Registry'!$B$14:$B$163,0)),""))</x:f>
      </x:c>
      <x:c r="O88" s="1243" t="str">
        <x:f>IF($C88="","",IFERROR(INDEX('23 RCC-004 MASR Registry'!$L$14:$L$163,MATCH($C88,'23 RCC-004 MASR Registry'!$B$14:$B$163,0)),""))</x:f>
      </x:c>
      <x:c r="P88" s="1243" t="str">
        <x:f>IF($C88="","",IFERROR(INDEX('23 RCC-004 MASR Registry'!$M$14:$M$163,MATCH($C88,'23 RCC-004 MASR Registry'!$B$14:$B$163,0)),""))</x:f>
      </x:c>
      <x:c r="Q88" s="1246" t="str">
        <x:f>IF($C88="","",IFERROR(INDEX('23 RCC-004 MASR Registry'!$N$14:$N$163,MATCH($C88,'23 RCC-004 MASR Registry'!$B$14:$B$163,0)),""))</x:f>
      </x:c>
      <x:c r="R88" s="1246" t="str">
        <x:f>IF($C88="","",IFERROR(INDEX('23 RCC-004 MASR Registry'!$O$14:$O$163,MATCH($C88,'23 RCC-004 MASR Registry'!$B$14:$B$163,0)),""))</x:f>
      </x:c>
      <x:c r="S88" s="1246" t="str">
        <x:f>IF($C88="","",IFERROR(INDEX('23 RCC-004 MASR Registry'!$W$14:$W$163,MATCH($C88,'23 RCC-004 MASR Registry'!$B$14:$B$163,0)),""))</x:f>
      </x:c>
      <x:c r="T88" s="1246" t="str">
        <x:f>IF($C88="","",IFERROR(INDEX('23 RCC-004 MASR Registry'!$T$14:$T$163,MATCH($C88,'23 RCC-004 MASR Registry'!$B$14:$B$163,0)),""))</x:f>
      </x:c>
      <x:c r="U88" s="1247" t="str">
        <x:f>IF($C88="","",IFERROR(INDEX('23 RCC-004 MASR Registry'!$U$14:$U$163,MATCH($C88,'23 RCC-004 MASR Registry'!$B$14:$B$163,0)),""))</x:f>
      </x:c>
      <x:c r="V88" s="1243" t="str">
        <x:f>IF($C88="","",IFERROR(INDEX('23 RCC-004 MASR Registry'!$V$14:$V$163,MATCH($C88,'23 RCC-004 MASR Registry'!$B$14:$B$163,0)),""))</x:f>
      </x:c>
      <x:c r="W88" s="1242"/>
      <x:c r="X88" s="1247" t="str">
        <x:f>IF($C88="","",COUNTIF('18 RCC-002 Evidence Ledger'!$E$14:$E$213,$C88))</x:f>
      </x:c>
      <x:c r="Y88" s="1242"/>
      <x:c r="Z88" s="1244" t="str">
        <x:f>IF($A88="","",IF(COUNTIF($A$14:$A$213,$A88)&gt;1,"FAIL — DUPLICATE ID",IF(OR($B88="",$C88="",$E88="",$H88="",$Y88="",$AA88="",$AB88=""),"FAIL — INCOMPLETE",IF(AND(OR($Y88="MIAR Review",$Y88="Eligibility Review",$Y88="Candidate Comparison",$Y88="Committee Review",$Y88="Approved for MASR",$Y88="Referred to PEW-004",$Y88="On Watch",$Y88="Rejected",$Y88="Closed",$Y88="Removed"),$K88=""),"FAIL — MASR RECORD REQUIRED",IF(AND(OR($Y88="Eligibility Review",$Y88="Candidate Comparison",$Y88="Committee Review",$Y88="Approved for MASR",$Y88="Referred to PEW-004",$Y88="On Watch"),NOT(OR($M88="ELIGIBLE",$M88="ELIGIBLE WITH EXCEPTION",$M88="CERTIFIED HOLDING"))),"FAIL — ELIGIBILITY",IF(AND(OR($Y88="Candidate Comparison",$Y88="Committee Review",$Y88="Approved for MASR",$Y88="Referred to PEW-004",$Y88="On Watch"),$X88=0),"FAIL — EVIDENCE",IF(AND(OR($Y88="Candidate Comparison",$Y88="Committee Review",$Y88="Approved for MASR",$Y88="Referred to PEW-004",$Y88="On Watch"),OR($O88&lt;&gt;"Active",$P88&lt;&gt;"CURRENT")),"FAIL — MIAR GATE",IF(AND(OR($Y88="Approved for MASR",$Y88="Referred to PEW-004",$Y88="On Watch",$Y88="Rejected",$Y88="Closed",$Y88="Removed"),OR($AD88="",$AD88="Pending")),"FAIL — COMMITTEE DISPOSITION",IF(AND($Y88="Referred to PEW-004",OR($AF88&lt;&gt;"Yes — Refer to PEW-004",$AG88="",$AJ88="")),"FAIL — PEW REFERRAL","PASS — STAGE GATE")))))))))</x:f>
      </x:c>
      <x:c r="AA88" s="1242"/>
      <x:c r="AB88" s="1251"/>
      <x:c r="AC88" s="1250" t="str">
        <x:f>IF($B88="","",IF($AQ88&lt;&gt;"",$AQ88-$B88,TODAY()-$B88))</x:f>
      </x:c>
      <x:c r="AD88" s="1242"/>
      <x:c r="AE88" s="1251"/>
      <x:c r="AF88" s="1242"/>
      <x:c r="AG88" s="1242"/>
      <x:c r="AH88" s="1246" t="str">
        <x:f>IF($AG88="","",IFERROR(INDEX('10 Candidate Comparison'!$T$14:$T$33,MATCH($AG88,'10 Candidate Comparison'!$A$14:$A$33,0)),""))</x:f>
      </x:c>
      <x:c r="AI88" s="1243" t="str">
        <x:f>IF($AG88="","",IFERROR(INDEX('10 Candidate Comparison'!$U$14:$U$33,MATCH($AG88,'10 Candidate Comparison'!$A$14:$A$33,0)),""))</x:f>
      </x:c>
      <x:c r="AJ88" s="1243" t="str">
        <x:f>IF($AG88="","",IFERROR(INDEX('10 Candidate Comparison'!$Y$14:$Y$33,MATCH($AG88,'10 Candidate Comparison'!$A$14:$A$33,0)),""))</x:f>
      </x:c>
      <x:c r="AK88" s="1244" t="str">
        <x:f>IF($A88="","",IF($Z88="FAIL — DUPLICATE ID","DUPLICATE CANDIDATE ID",IF($Z88="FAIL — INCOMPLETE","INCOMPLETE",IF($Z88="FAIL — MASR RECORD REQUIRED","MASR RECORD REQUIRED",IF($Z88="FAIL — ELIGIBILITY","ELIGIBILITY BLOCK",IF($Z88="FAIL — EVIDENCE","EVIDENCE REQUIRED",IF($Z88="FAIL — MIAR GATE","MIAR GATE BLOCK",IF($Z88="FAIL — COMMITTEE DISPOSITION","COMMITTEE DECISION REQUIRED",IF($Z88="FAIL — PEW REFERRAL","PEW REFERRAL INCOMPLETE",IF(AND(OR($Y88="Rejected",$Y88="Closed",$Y88="Removed"),OR($AO88="",$AP88="",$AQ88="")),"CLOSURE REQUIRED",IF(AND($AB88&lt;TODAY(),NOT(OR($Y88="Rejected",$Y88="Closed",$Y88="Removed"))),"OVERDUE",IF(OR($Y88="Rejected",$Y88="Closed",$Y88="Removed"),"CLOSED","OPEN — ON TRACK"))))))))))))</x:f>
      </x:c>
      <x:c r="AL88" s="1244" t="str">
        <x:f>IF($AK88="","",IFERROR(INDEX('97 RCC Lists'!$AM$5:$AM$16,MATCH($AK88,'97 RCC Lists'!$AL$5:$AL$16,0)),"Review candidate exception"))</x:f>
      </x:c>
      <x:c r="AM88" s="1242"/>
      <x:c r="AN88" s="1242"/>
      <x:c r="AO88" s="1242"/>
      <x:c r="AP88" s="1242"/>
      <x:c r="AQ88" s="1251"/>
    </x:row>
    <x:row r="89" ht="32" customHeight="1">
      <x:c r="A89" s="1242"/>
      <x:c r="B89" s="1251"/>
      <x:c r="C89" s="1242"/>
      <x:c r="D89" s="1252" t="str">
        <x:f>IF($C89="","",IFERROR(INDEX('23 RCC-004 MASR Registry'!$C$14:$C$163,MATCH($C89,'23 RCC-004 MASR Registry'!$B$14:$B$163,0)),""))</x:f>
      </x:c>
      <x:c r="E89" s="1242"/>
      <x:c r="F89" s="1242"/>
      <x:c r="G89" s="1242"/>
      <x:c r="H89" s="1242"/>
      <x:c r="I89" s="1252" t="str">
        <x:f>IF($C89="","",IFERROR(INDEX('23 RCC-004 MASR Registry'!$G$14:$G$163,MATCH($C89,'23 RCC-004 MASR Registry'!$B$14:$B$163,0)),""))</x:f>
      </x:c>
      <x:c r="J89" s="1252" t="str">
        <x:f>IF($C89="","",IFERROR(INDEX('23 RCC-004 MASR Registry'!$H$14:$H$163,MATCH($C89,'23 RCC-004 MASR Registry'!$B$14:$B$163,0)),""))</x:f>
      </x:c>
      <x:c r="K89" s="1252" t="str">
        <x:f>IF($C89="","",IFERROR(INDEX('23 RCC-004 MASR Registry'!$D$14:$D$163,MATCH($C89,'23 RCC-004 MASR Registry'!$B$14:$B$163,0)),""))</x:f>
      </x:c>
      <x:c r="L89" s="1252" t="str">
        <x:f>IF($C89="","",IFERROR(INDEX('23 RCC-004 MASR Registry'!$E$14:$E$163,MATCH($C89,'23 RCC-004 MASR Registry'!$B$14:$B$163,0)),""))</x:f>
      </x:c>
      <x:c r="M89" s="1252" t="str">
        <x:f>IF($C89="","",IFERROR(INDEX('23 RCC-004 MASR Registry'!$X$14:$X$163,MATCH($C89,'23 RCC-004 MASR Registry'!$B$14:$B$163,0)),""))</x:f>
      </x:c>
      <x:c r="N89" s="1252" t="str">
        <x:f>IF($C89="","",IFERROR(INDEX('23 RCC-004 MASR Registry'!$Y$14:$Y$163,MATCH($C89,'23 RCC-004 MASR Registry'!$B$14:$B$163,0)),""))</x:f>
      </x:c>
      <x:c r="O89" s="1252" t="str">
        <x:f>IF($C89="","",IFERROR(INDEX('23 RCC-004 MASR Registry'!$L$14:$L$163,MATCH($C89,'23 RCC-004 MASR Registry'!$B$14:$B$163,0)),""))</x:f>
      </x:c>
      <x:c r="P89" s="1252" t="str">
        <x:f>IF($C89="","",IFERROR(INDEX('23 RCC-004 MASR Registry'!$M$14:$M$163,MATCH($C89,'23 RCC-004 MASR Registry'!$B$14:$B$163,0)),""))</x:f>
      </x:c>
      <x:c r="Q89" s="1255" t="str">
        <x:f>IF($C89="","",IFERROR(INDEX('23 RCC-004 MASR Registry'!$N$14:$N$163,MATCH($C89,'23 RCC-004 MASR Registry'!$B$14:$B$163,0)),""))</x:f>
      </x:c>
      <x:c r="R89" s="1255" t="str">
        <x:f>IF($C89="","",IFERROR(INDEX('23 RCC-004 MASR Registry'!$O$14:$O$163,MATCH($C89,'23 RCC-004 MASR Registry'!$B$14:$B$163,0)),""))</x:f>
      </x:c>
      <x:c r="S89" s="1255" t="str">
        <x:f>IF($C89="","",IFERROR(INDEX('23 RCC-004 MASR Registry'!$W$14:$W$163,MATCH($C89,'23 RCC-004 MASR Registry'!$B$14:$B$163,0)),""))</x:f>
      </x:c>
      <x:c r="T89" s="1255" t="str">
        <x:f>IF($C89="","",IFERROR(INDEX('23 RCC-004 MASR Registry'!$T$14:$T$163,MATCH($C89,'23 RCC-004 MASR Registry'!$B$14:$B$163,0)),""))</x:f>
      </x:c>
      <x:c r="U89" s="1256" t="str">
        <x:f>IF($C89="","",IFERROR(INDEX('23 RCC-004 MASR Registry'!$U$14:$U$163,MATCH($C89,'23 RCC-004 MASR Registry'!$B$14:$B$163,0)),""))</x:f>
      </x:c>
      <x:c r="V89" s="1252" t="str">
        <x:f>IF($C89="","",IFERROR(INDEX('23 RCC-004 MASR Registry'!$V$14:$V$163,MATCH($C89,'23 RCC-004 MASR Registry'!$B$14:$B$163,0)),""))</x:f>
      </x:c>
      <x:c r="W89" s="1242"/>
      <x:c r="X89" s="1256" t="str">
        <x:f>IF($C89="","",COUNTIF('18 RCC-002 Evidence Ledger'!$E$14:$E$213,$C89))</x:f>
      </x:c>
      <x:c r="Y89" s="1242"/>
      <x:c r="Z89" s="1253" t="str">
        <x:f>IF($A89="","",IF(COUNTIF($A$14:$A$213,$A89)&gt;1,"FAIL — DUPLICATE ID",IF(OR($B89="",$C89="",$E89="",$H89="",$Y89="",$AA89="",$AB89=""),"FAIL — INCOMPLETE",IF(AND(OR($Y89="MIAR Review",$Y89="Eligibility Review",$Y89="Candidate Comparison",$Y89="Committee Review",$Y89="Approved for MASR",$Y89="Referred to PEW-004",$Y89="On Watch",$Y89="Rejected",$Y89="Closed",$Y89="Removed"),$K89=""),"FAIL — MASR RECORD REQUIRED",IF(AND(OR($Y89="Eligibility Review",$Y89="Candidate Comparison",$Y89="Committee Review",$Y89="Approved for MASR",$Y89="Referred to PEW-004",$Y89="On Watch"),NOT(OR($M89="ELIGIBLE",$M89="ELIGIBLE WITH EXCEPTION",$M89="CERTIFIED HOLDING"))),"FAIL — ELIGIBILITY",IF(AND(OR($Y89="Candidate Comparison",$Y89="Committee Review",$Y89="Approved for MASR",$Y89="Referred to PEW-004",$Y89="On Watch"),$X89=0),"FAIL — EVIDENCE",IF(AND(OR($Y89="Candidate Comparison",$Y89="Committee Review",$Y89="Approved for MASR",$Y89="Referred to PEW-004",$Y89="On Watch"),OR($O89&lt;&gt;"Active",$P89&lt;&gt;"CURRENT")),"FAIL — MIAR GATE",IF(AND(OR($Y89="Approved for MASR",$Y89="Referred to PEW-004",$Y89="On Watch",$Y89="Rejected",$Y89="Closed",$Y89="Removed"),OR($AD89="",$AD89="Pending")),"FAIL — COMMITTEE DISPOSITION",IF(AND($Y89="Referred to PEW-004",OR($AF89&lt;&gt;"Yes — Refer to PEW-004",$AG89="",$AJ89="")),"FAIL — PEW REFERRAL","PASS — STAGE GATE")))))))))</x:f>
      </x:c>
      <x:c r="AA89" s="1242"/>
      <x:c r="AB89" s="1251"/>
      <x:c r="AC89" s="1257" t="str">
        <x:f>IF($B89="","",IF($AQ89&lt;&gt;"",$AQ89-$B89,TODAY()-$B89))</x:f>
      </x:c>
      <x:c r="AD89" s="1242"/>
      <x:c r="AE89" s="1251"/>
      <x:c r="AF89" s="1242"/>
      <x:c r="AG89" s="1242"/>
      <x:c r="AH89" s="1255" t="str">
        <x:f>IF($AG89="","",IFERROR(INDEX('10 Candidate Comparison'!$T$14:$T$33,MATCH($AG89,'10 Candidate Comparison'!$A$14:$A$33,0)),""))</x:f>
      </x:c>
      <x:c r="AI89" s="1252" t="str">
        <x:f>IF($AG89="","",IFERROR(INDEX('10 Candidate Comparison'!$U$14:$U$33,MATCH($AG89,'10 Candidate Comparison'!$A$14:$A$33,0)),""))</x:f>
      </x:c>
      <x:c r="AJ89" s="1252" t="str">
        <x:f>IF($AG89="","",IFERROR(INDEX('10 Candidate Comparison'!$Y$14:$Y$33,MATCH($AG89,'10 Candidate Comparison'!$A$14:$A$33,0)),""))</x:f>
      </x:c>
      <x:c r="AK89" s="1253" t="str">
        <x:f>IF($A89="","",IF($Z89="FAIL — DUPLICATE ID","DUPLICATE CANDIDATE ID",IF($Z89="FAIL — INCOMPLETE","INCOMPLETE",IF($Z89="FAIL — MASR RECORD REQUIRED","MASR RECORD REQUIRED",IF($Z89="FAIL — ELIGIBILITY","ELIGIBILITY BLOCK",IF($Z89="FAIL — EVIDENCE","EVIDENCE REQUIRED",IF($Z89="FAIL — MIAR GATE","MIAR GATE BLOCK",IF($Z89="FAIL — COMMITTEE DISPOSITION","COMMITTEE DECISION REQUIRED",IF($Z89="FAIL — PEW REFERRAL","PEW REFERRAL INCOMPLETE",IF(AND(OR($Y89="Rejected",$Y89="Closed",$Y89="Removed"),OR($AO89="",$AP89="",$AQ89="")),"CLOSURE REQUIRED",IF(AND($AB89&lt;TODAY(),NOT(OR($Y89="Rejected",$Y89="Closed",$Y89="Removed"))),"OVERDUE",IF(OR($Y89="Rejected",$Y89="Closed",$Y89="Removed"),"CLOSED","OPEN — ON TRACK"))))))))))))</x:f>
      </x:c>
      <x:c r="AL89" s="1253" t="str">
        <x:f>IF($AK89="","",IFERROR(INDEX('97 RCC Lists'!$AM$5:$AM$16,MATCH($AK89,'97 RCC Lists'!$AL$5:$AL$16,0)),"Review candidate exception"))</x:f>
      </x:c>
      <x:c r="AM89" s="1242"/>
      <x:c r="AN89" s="1242"/>
      <x:c r="AO89" s="1242"/>
      <x:c r="AP89" s="1242"/>
      <x:c r="AQ89" s="1251"/>
    </x:row>
    <x:row r="90" ht="32" customHeight="1">
      <x:c r="A90" s="1242"/>
      <x:c r="B90" s="1251"/>
      <x:c r="C90" s="1242"/>
      <x:c r="D90" s="1243" t="str">
        <x:f>IF($C90="","",IFERROR(INDEX('23 RCC-004 MASR Registry'!$C$14:$C$163,MATCH($C90,'23 RCC-004 MASR Registry'!$B$14:$B$163,0)),""))</x:f>
      </x:c>
      <x:c r="E90" s="1242"/>
      <x:c r="F90" s="1242"/>
      <x:c r="G90" s="1242"/>
      <x:c r="H90" s="1242"/>
      <x:c r="I90" s="1243" t="str">
        <x:f>IF($C90="","",IFERROR(INDEX('23 RCC-004 MASR Registry'!$G$14:$G$163,MATCH($C90,'23 RCC-004 MASR Registry'!$B$14:$B$163,0)),""))</x:f>
      </x:c>
      <x:c r="J90" s="1243" t="str">
        <x:f>IF($C90="","",IFERROR(INDEX('23 RCC-004 MASR Registry'!$H$14:$H$163,MATCH($C90,'23 RCC-004 MASR Registry'!$B$14:$B$163,0)),""))</x:f>
      </x:c>
      <x:c r="K90" s="1243" t="str">
        <x:f>IF($C90="","",IFERROR(INDEX('23 RCC-004 MASR Registry'!$D$14:$D$163,MATCH($C90,'23 RCC-004 MASR Registry'!$B$14:$B$163,0)),""))</x:f>
      </x:c>
      <x:c r="L90" s="1243" t="str">
        <x:f>IF($C90="","",IFERROR(INDEX('23 RCC-004 MASR Registry'!$E$14:$E$163,MATCH($C90,'23 RCC-004 MASR Registry'!$B$14:$B$163,0)),""))</x:f>
      </x:c>
      <x:c r="M90" s="1243" t="str">
        <x:f>IF($C90="","",IFERROR(INDEX('23 RCC-004 MASR Registry'!$X$14:$X$163,MATCH($C90,'23 RCC-004 MASR Registry'!$B$14:$B$163,0)),""))</x:f>
      </x:c>
      <x:c r="N90" s="1243" t="str">
        <x:f>IF($C90="","",IFERROR(INDEX('23 RCC-004 MASR Registry'!$Y$14:$Y$163,MATCH($C90,'23 RCC-004 MASR Registry'!$B$14:$B$163,0)),""))</x:f>
      </x:c>
      <x:c r="O90" s="1243" t="str">
        <x:f>IF($C90="","",IFERROR(INDEX('23 RCC-004 MASR Registry'!$L$14:$L$163,MATCH($C90,'23 RCC-004 MASR Registry'!$B$14:$B$163,0)),""))</x:f>
      </x:c>
      <x:c r="P90" s="1243" t="str">
        <x:f>IF($C90="","",IFERROR(INDEX('23 RCC-004 MASR Registry'!$M$14:$M$163,MATCH($C90,'23 RCC-004 MASR Registry'!$B$14:$B$163,0)),""))</x:f>
      </x:c>
      <x:c r="Q90" s="1246" t="str">
        <x:f>IF($C90="","",IFERROR(INDEX('23 RCC-004 MASR Registry'!$N$14:$N$163,MATCH($C90,'23 RCC-004 MASR Registry'!$B$14:$B$163,0)),""))</x:f>
      </x:c>
      <x:c r="R90" s="1246" t="str">
        <x:f>IF($C90="","",IFERROR(INDEX('23 RCC-004 MASR Registry'!$O$14:$O$163,MATCH($C90,'23 RCC-004 MASR Registry'!$B$14:$B$163,0)),""))</x:f>
      </x:c>
      <x:c r="S90" s="1246" t="str">
        <x:f>IF($C90="","",IFERROR(INDEX('23 RCC-004 MASR Registry'!$W$14:$W$163,MATCH($C90,'23 RCC-004 MASR Registry'!$B$14:$B$163,0)),""))</x:f>
      </x:c>
      <x:c r="T90" s="1246" t="str">
        <x:f>IF($C90="","",IFERROR(INDEX('23 RCC-004 MASR Registry'!$T$14:$T$163,MATCH($C90,'23 RCC-004 MASR Registry'!$B$14:$B$163,0)),""))</x:f>
      </x:c>
      <x:c r="U90" s="1247" t="str">
        <x:f>IF($C90="","",IFERROR(INDEX('23 RCC-004 MASR Registry'!$U$14:$U$163,MATCH($C90,'23 RCC-004 MASR Registry'!$B$14:$B$163,0)),""))</x:f>
      </x:c>
      <x:c r="V90" s="1243" t="str">
        <x:f>IF($C90="","",IFERROR(INDEX('23 RCC-004 MASR Registry'!$V$14:$V$163,MATCH($C90,'23 RCC-004 MASR Registry'!$B$14:$B$163,0)),""))</x:f>
      </x:c>
      <x:c r="W90" s="1242"/>
      <x:c r="X90" s="1247" t="str">
        <x:f>IF($C90="","",COUNTIF('18 RCC-002 Evidence Ledger'!$E$14:$E$213,$C90))</x:f>
      </x:c>
      <x:c r="Y90" s="1242"/>
      <x:c r="Z90" s="1244" t="str">
        <x:f>IF($A90="","",IF(COUNTIF($A$14:$A$213,$A90)&gt;1,"FAIL — DUPLICATE ID",IF(OR($B90="",$C90="",$E90="",$H90="",$Y90="",$AA90="",$AB90=""),"FAIL — INCOMPLETE",IF(AND(OR($Y90="MIAR Review",$Y90="Eligibility Review",$Y90="Candidate Comparison",$Y90="Committee Review",$Y90="Approved for MASR",$Y90="Referred to PEW-004",$Y90="On Watch",$Y90="Rejected",$Y90="Closed",$Y90="Removed"),$K90=""),"FAIL — MASR RECORD REQUIRED",IF(AND(OR($Y90="Eligibility Review",$Y90="Candidate Comparison",$Y90="Committee Review",$Y90="Approved for MASR",$Y90="Referred to PEW-004",$Y90="On Watch"),NOT(OR($M90="ELIGIBLE",$M90="ELIGIBLE WITH EXCEPTION",$M90="CERTIFIED HOLDING"))),"FAIL — ELIGIBILITY",IF(AND(OR($Y90="Candidate Comparison",$Y90="Committee Review",$Y90="Approved for MASR",$Y90="Referred to PEW-004",$Y90="On Watch"),$X90=0),"FAIL — EVIDENCE",IF(AND(OR($Y90="Candidate Comparison",$Y90="Committee Review",$Y90="Approved for MASR",$Y90="Referred to PEW-004",$Y90="On Watch"),OR($O90&lt;&gt;"Active",$P90&lt;&gt;"CURRENT")),"FAIL — MIAR GATE",IF(AND(OR($Y90="Approved for MASR",$Y90="Referred to PEW-004",$Y90="On Watch",$Y90="Rejected",$Y90="Closed",$Y90="Removed"),OR($AD90="",$AD90="Pending")),"FAIL — COMMITTEE DISPOSITION",IF(AND($Y90="Referred to PEW-004",OR($AF90&lt;&gt;"Yes — Refer to PEW-004",$AG90="",$AJ90="")),"FAIL — PEW REFERRAL","PASS — STAGE GATE")))))))))</x:f>
      </x:c>
      <x:c r="AA90" s="1242"/>
      <x:c r="AB90" s="1251"/>
      <x:c r="AC90" s="1250" t="str">
        <x:f>IF($B90="","",IF($AQ90&lt;&gt;"",$AQ90-$B90,TODAY()-$B90))</x:f>
      </x:c>
      <x:c r="AD90" s="1242"/>
      <x:c r="AE90" s="1251"/>
      <x:c r="AF90" s="1242"/>
      <x:c r="AG90" s="1242"/>
      <x:c r="AH90" s="1246" t="str">
        <x:f>IF($AG90="","",IFERROR(INDEX('10 Candidate Comparison'!$T$14:$T$33,MATCH($AG90,'10 Candidate Comparison'!$A$14:$A$33,0)),""))</x:f>
      </x:c>
      <x:c r="AI90" s="1243" t="str">
        <x:f>IF($AG90="","",IFERROR(INDEX('10 Candidate Comparison'!$U$14:$U$33,MATCH($AG90,'10 Candidate Comparison'!$A$14:$A$33,0)),""))</x:f>
      </x:c>
      <x:c r="AJ90" s="1243" t="str">
        <x:f>IF($AG90="","",IFERROR(INDEX('10 Candidate Comparison'!$Y$14:$Y$33,MATCH($AG90,'10 Candidate Comparison'!$A$14:$A$33,0)),""))</x:f>
      </x:c>
      <x:c r="AK90" s="1244" t="str">
        <x:f>IF($A90="","",IF($Z90="FAIL — DUPLICATE ID","DUPLICATE CANDIDATE ID",IF($Z90="FAIL — INCOMPLETE","INCOMPLETE",IF($Z90="FAIL — MASR RECORD REQUIRED","MASR RECORD REQUIRED",IF($Z90="FAIL — ELIGIBILITY","ELIGIBILITY BLOCK",IF($Z90="FAIL — EVIDENCE","EVIDENCE REQUIRED",IF($Z90="FAIL — MIAR GATE","MIAR GATE BLOCK",IF($Z90="FAIL — COMMITTEE DISPOSITION","COMMITTEE DECISION REQUIRED",IF($Z90="FAIL — PEW REFERRAL","PEW REFERRAL INCOMPLETE",IF(AND(OR($Y90="Rejected",$Y90="Closed",$Y90="Removed"),OR($AO90="",$AP90="",$AQ90="")),"CLOSURE REQUIRED",IF(AND($AB90&lt;TODAY(),NOT(OR($Y90="Rejected",$Y90="Closed",$Y90="Removed"))),"OVERDUE",IF(OR($Y90="Rejected",$Y90="Closed",$Y90="Removed"),"CLOSED","OPEN — ON TRACK"))))))))))))</x:f>
      </x:c>
      <x:c r="AL90" s="1244" t="str">
        <x:f>IF($AK90="","",IFERROR(INDEX('97 RCC Lists'!$AM$5:$AM$16,MATCH($AK90,'97 RCC Lists'!$AL$5:$AL$16,0)),"Review candidate exception"))</x:f>
      </x:c>
      <x:c r="AM90" s="1242"/>
      <x:c r="AN90" s="1242"/>
      <x:c r="AO90" s="1242"/>
      <x:c r="AP90" s="1242"/>
      <x:c r="AQ90" s="1251"/>
    </x:row>
    <x:row r="91" ht="32" customHeight="1">
      <x:c r="A91" s="1242"/>
      <x:c r="B91" s="1251"/>
      <x:c r="C91" s="1242"/>
      <x:c r="D91" s="1252" t="str">
        <x:f>IF($C91="","",IFERROR(INDEX('23 RCC-004 MASR Registry'!$C$14:$C$163,MATCH($C91,'23 RCC-004 MASR Registry'!$B$14:$B$163,0)),""))</x:f>
      </x:c>
      <x:c r="E91" s="1242"/>
      <x:c r="F91" s="1242"/>
      <x:c r="G91" s="1242"/>
      <x:c r="H91" s="1242"/>
      <x:c r="I91" s="1252" t="str">
        <x:f>IF($C91="","",IFERROR(INDEX('23 RCC-004 MASR Registry'!$G$14:$G$163,MATCH($C91,'23 RCC-004 MASR Registry'!$B$14:$B$163,0)),""))</x:f>
      </x:c>
      <x:c r="J91" s="1252" t="str">
        <x:f>IF($C91="","",IFERROR(INDEX('23 RCC-004 MASR Registry'!$H$14:$H$163,MATCH($C91,'23 RCC-004 MASR Registry'!$B$14:$B$163,0)),""))</x:f>
      </x:c>
      <x:c r="K91" s="1252" t="str">
        <x:f>IF($C91="","",IFERROR(INDEX('23 RCC-004 MASR Registry'!$D$14:$D$163,MATCH($C91,'23 RCC-004 MASR Registry'!$B$14:$B$163,0)),""))</x:f>
      </x:c>
      <x:c r="L91" s="1252" t="str">
        <x:f>IF($C91="","",IFERROR(INDEX('23 RCC-004 MASR Registry'!$E$14:$E$163,MATCH($C91,'23 RCC-004 MASR Registry'!$B$14:$B$163,0)),""))</x:f>
      </x:c>
      <x:c r="M91" s="1252" t="str">
        <x:f>IF($C91="","",IFERROR(INDEX('23 RCC-004 MASR Registry'!$X$14:$X$163,MATCH($C91,'23 RCC-004 MASR Registry'!$B$14:$B$163,0)),""))</x:f>
      </x:c>
      <x:c r="N91" s="1252" t="str">
        <x:f>IF($C91="","",IFERROR(INDEX('23 RCC-004 MASR Registry'!$Y$14:$Y$163,MATCH($C91,'23 RCC-004 MASR Registry'!$B$14:$B$163,0)),""))</x:f>
      </x:c>
      <x:c r="O91" s="1252" t="str">
        <x:f>IF($C91="","",IFERROR(INDEX('23 RCC-004 MASR Registry'!$L$14:$L$163,MATCH($C91,'23 RCC-004 MASR Registry'!$B$14:$B$163,0)),""))</x:f>
      </x:c>
      <x:c r="P91" s="1252" t="str">
        <x:f>IF($C91="","",IFERROR(INDEX('23 RCC-004 MASR Registry'!$M$14:$M$163,MATCH($C91,'23 RCC-004 MASR Registry'!$B$14:$B$163,0)),""))</x:f>
      </x:c>
      <x:c r="Q91" s="1255" t="str">
        <x:f>IF($C91="","",IFERROR(INDEX('23 RCC-004 MASR Registry'!$N$14:$N$163,MATCH($C91,'23 RCC-004 MASR Registry'!$B$14:$B$163,0)),""))</x:f>
      </x:c>
      <x:c r="R91" s="1255" t="str">
        <x:f>IF($C91="","",IFERROR(INDEX('23 RCC-004 MASR Registry'!$O$14:$O$163,MATCH($C91,'23 RCC-004 MASR Registry'!$B$14:$B$163,0)),""))</x:f>
      </x:c>
      <x:c r="S91" s="1255" t="str">
        <x:f>IF($C91="","",IFERROR(INDEX('23 RCC-004 MASR Registry'!$W$14:$W$163,MATCH($C91,'23 RCC-004 MASR Registry'!$B$14:$B$163,0)),""))</x:f>
      </x:c>
      <x:c r="T91" s="1255" t="str">
        <x:f>IF($C91="","",IFERROR(INDEX('23 RCC-004 MASR Registry'!$T$14:$T$163,MATCH($C91,'23 RCC-004 MASR Registry'!$B$14:$B$163,0)),""))</x:f>
      </x:c>
      <x:c r="U91" s="1256" t="str">
        <x:f>IF($C91="","",IFERROR(INDEX('23 RCC-004 MASR Registry'!$U$14:$U$163,MATCH($C91,'23 RCC-004 MASR Registry'!$B$14:$B$163,0)),""))</x:f>
      </x:c>
      <x:c r="V91" s="1252" t="str">
        <x:f>IF($C91="","",IFERROR(INDEX('23 RCC-004 MASR Registry'!$V$14:$V$163,MATCH($C91,'23 RCC-004 MASR Registry'!$B$14:$B$163,0)),""))</x:f>
      </x:c>
      <x:c r="W91" s="1242"/>
      <x:c r="X91" s="1256" t="str">
        <x:f>IF($C91="","",COUNTIF('18 RCC-002 Evidence Ledger'!$E$14:$E$213,$C91))</x:f>
      </x:c>
      <x:c r="Y91" s="1242"/>
      <x:c r="Z91" s="1253" t="str">
        <x:f>IF($A91="","",IF(COUNTIF($A$14:$A$213,$A91)&gt;1,"FAIL — DUPLICATE ID",IF(OR($B91="",$C91="",$E91="",$H91="",$Y91="",$AA91="",$AB91=""),"FAIL — INCOMPLETE",IF(AND(OR($Y91="MIAR Review",$Y91="Eligibility Review",$Y91="Candidate Comparison",$Y91="Committee Review",$Y91="Approved for MASR",$Y91="Referred to PEW-004",$Y91="On Watch",$Y91="Rejected",$Y91="Closed",$Y91="Removed"),$K91=""),"FAIL — MASR RECORD REQUIRED",IF(AND(OR($Y91="Eligibility Review",$Y91="Candidate Comparison",$Y91="Committee Review",$Y91="Approved for MASR",$Y91="Referred to PEW-004",$Y91="On Watch"),NOT(OR($M91="ELIGIBLE",$M91="ELIGIBLE WITH EXCEPTION",$M91="CERTIFIED HOLDING"))),"FAIL — ELIGIBILITY",IF(AND(OR($Y91="Candidate Comparison",$Y91="Committee Review",$Y91="Approved for MASR",$Y91="Referred to PEW-004",$Y91="On Watch"),$X91=0),"FAIL — EVIDENCE",IF(AND(OR($Y91="Candidate Comparison",$Y91="Committee Review",$Y91="Approved for MASR",$Y91="Referred to PEW-004",$Y91="On Watch"),OR($O91&lt;&gt;"Active",$P91&lt;&gt;"CURRENT")),"FAIL — MIAR GATE",IF(AND(OR($Y91="Approved for MASR",$Y91="Referred to PEW-004",$Y91="On Watch",$Y91="Rejected",$Y91="Closed",$Y91="Removed"),OR($AD91="",$AD91="Pending")),"FAIL — COMMITTEE DISPOSITION",IF(AND($Y91="Referred to PEW-004",OR($AF91&lt;&gt;"Yes — Refer to PEW-004",$AG91="",$AJ91="")),"FAIL — PEW REFERRAL","PASS — STAGE GATE")))))))))</x:f>
      </x:c>
      <x:c r="AA91" s="1242"/>
      <x:c r="AB91" s="1251"/>
      <x:c r="AC91" s="1257" t="str">
        <x:f>IF($B91="","",IF($AQ91&lt;&gt;"",$AQ91-$B91,TODAY()-$B91))</x:f>
      </x:c>
      <x:c r="AD91" s="1242"/>
      <x:c r="AE91" s="1251"/>
      <x:c r="AF91" s="1242"/>
      <x:c r="AG91" s="1242"/>
      <x:c r="AH91" s="1255" t="str">
        <x:f>IF($AG91="","",IFERROR(INDEX('10 Candidate Comparison'!$T$14:$T$33,MATCH($AG91,'10 Candidate Comparison'!$A$14:$A$33,0)),""))</x:f>
      </x:c>
      <x:c r="AI91" s="1252" t="str">
        <x:f>IF($AG91="","",IFERROR(INDEX('10 Candidate Comparison'!$U$14:$U$33,MATCH($AG91,'10 Candidate Comparison'!$A$14:$A$33,0)),""))</x:f>
      </x:c>
      <x:c r="AJ91" s="1252" t="str">
        <x:f>IF($AG91="","",IFERROR(INDEX('10 Candidate Comparison'!$Y$14:$Y$33,MATCH($AG91,'10 Candidate Comparison'!$A$14:$A$33,0)),""))</x:f>
      </x:c>
      <x:c r="AK91" s="1253" t="str">
        <x:f>IF($A91="","",IF($Z91="FAIL — DUPLICATE ID","DUPLICATE CANDIDATE ID",IF($Z91="FAIL — INCOMPLETE","INCOMPLETE",IF($Z91="FAIL — MASR RECORD REQUIRED","MASR RECORD REQUIRED",IF($Z91="FAIL — ELIGIBILITY","ELIGIBILITY BLOCK",IF($Z91="FAIL — EVIDENCE","EVIDENCE REQUIRED",IF($Z91="FAIL — MIAR GATE","MIAR GATE BLOCK",IF($Z91="FAIL — COMMITTEE DISPOSITION","COMMITTEE DECISION REQUIRED",IF($Z91="FAIL — PEW REFERRAL","PEW REFERRAL INCOMPLETE",IF(AND(OR($Y91="Rejected",$Y91="Closed",$Y91="Removed"),OR($AO91="",$AP91="",$AQ91="")),"CLOSURE REQUIRED",IF(AND($AB91&lt;TODAY(),NOT(OR($Y91="Rejected",$Y91="Closed",$Y91="Removed"))),"OVERDUE",IF(OR($Y91="Rejected",$Y91="Closed",$Y91="Removed"),"CLOSED","OPEN — ON TRACK"))))))))))))</x:f>
      </x:c>
      <x:c r="AL91" s="1253" t="str">
        <x:f>IF($AK91="","",IFERROR(INDEX('97 RCC Lists'!$AM$5:$AM$16,MATCH($AK91,'97 RCC Lists'!$AL$5:$AL$16,0)),"Review candidate exception"))</x:f>
      </x:c>
      <x:c r="AM91" s="1242"/>
      <x:c r="AN91" s="1242"/>
      <x:c r="AO91" s="1242"/>
      <x:c r="AP91" s="1242"/>
      <x:c r="AQ91" s="1251"/>
    </x:row>
    <x:row r="92" ht="32" customHeight="1">
      <x:c r="A92" s="1242"/>
      <x:c r="B92" s="1251"/>
      <x:c r="C92" s="1242"/>
      <x:c r="D92" s="1243" t="str">
        <x:f>IF($C92="","",IFERROR(INDEX('23 RCC-004 MASR Registry'!$C$14:$C$163,MATCH($C92,'23 RCC-004 MASR Registry'!$B$14:$B$163,0)),""))</x:f>
      </x:c>
      <x:c r="E92" s="1242"/>
      <x:c r="F92" s="1242"/>
      <x:c r="G92" s="1242"/>
      <x:c r="H92" s="1242"/>
      <x:c r="I92" s="1243" t="str">
        <x:f>IF($C92="","",IFERROR(INDEX('23 RCC-004 MASR Registry'!$G$14:$G$163,MATCH($C92,'23 RCC-004 MASR Registry'!$B$14:$B$163,0)),""))</x:f>
      </x:c>
      <x:c r="J92" s="1243" t="str">
        <x:f>IF($C92="","",IFERROR(INDEX('23 RCC-004 MASR Registry'!$H$14:$H$163,MATCH($C92,'23 RCC-004 MASR Registry'!$B$14:$B$163,0)),""))</x:f>
      </x:c>
      <x:c r="K92" s="1243" t="str">
        <x:f>IF($C92="","",IFERROR(INDEX('23 RCC-004 MASR Registry'!$D$14:$D$163,MATCH($C92,'23 RCC-004 MASR Registry'!$B$14:$B$163,0)),""))</x:f>
      </x:c>
      <x:c r="L92" s="1243" t="str">
        <x:f>IF($C92="","",IFERROR(INDEX('23 RCC-004 MASR Registry'!$E$14:$E$163,MATCH($C92,'23 RCC-004 MASR Registry'!$B$14:$B$163,0)),""))</x:f>
      </x:c>
      <x:c r="M92" s="1243" t="str">
        <x:f>IF($C92="","",IFERROR(INDEX('23 RCC-004 MASR Registry'!$X$14:$X$163,MATCH($C92,'23 RCC-004 MASR Registry'!$B$14:$B$163,0)),""))</x:f>
      </x:c>
      <x:c r="N92" s="1243" t="str">
        <x:f>IF($C92="","",IFERROR(INDEX('23 RCC-004 MASR Registry'!$Y$14:$Y$163,MATCH($C92,'23 RCC-004 MASR Registry'!$B$14:$B$163,0)),""))</x:f>
      </x:c>
      <x:c r="O92" s="1243" t="str">
        <x:f>IF($C92="","",IFERROR(INDEX('23 RCC-004 MASR Registry'!$L$14:$L$163,MATCH($C92,'23 RCC-004 MASR Registry'!$B$14:$B$163,0)),""))</x:f>
      </x:c>
      <x:c r="P92" s="1243" t="str">
        <x:f>IF($C92="","",IFERROR(INDEX('23 RCC-004 MASR Registry'!$M$14:$M$163,MATCH($C92,'23 RCC-004 MASR Registry'!$B$14:$B$163,0)),""))</x:f>
      </x:c>
      <x:c r="Q92" s="1246" t="str">
        <x:f>IF($C92="","",IFERROR(INDEX('23 RCC-004 MASR Registry'!$N$14:$N$163,MATCH($C92,'23 RCC-004 MASR Registry'!$B$14:$B$163,0)),""))</x:f>
      </x:c>
      <x:c r="R92" s="1246" t="str">
        <x:f>IF($C92="","",IFERROR(INDEX('23 RCC-004 MASR Registry'!$O$14:$O$163,MATCH($C92,'23 RCC-004 MASR Registry'!$B$14:$B$163,0)),""))</x:f>
      </x:c>
      <x:c r="S92" s="1246" t="str">
        <x:f>IF($C92="","",IFERROR(INDEX('23 RCC-004 MASR Registry'!$W$14:$W$163,MATCH($C92,'23 RCC-004 MASR Registry'!$B$14:$B$163,0)),""))</x:f>
      </x:c>
      <x:c r="T92" s="1246" t="str">
        <x:f>IF($C92="","",IFERROR(INDEX('23 RCC-004 MASR Registry'!$T$14:$T$163,MATCH($C92,'23 RCC-004 MASR Registry'!$B$14:$B$163,0)),""))</x:f>
      </x:c>
      <x:c r="U92" s="1247" t="str">
        <x:f>IF($C92="","",IFERROR(INDEX('23 RCC-004 MASR Registry'!$U$14:$U$163,MATCH($C92,'23 RCC-004 MASR Registry'!$B$14:$B$163,0)),""))</x:f>
      </x:c>
      <x:c r="V92" s="1243" t="str">
        <x:f>IF($C92="","",IFERROR(INDEX('23 RCC-004 MASR Registry'!$V$14:$V$163,MATCH($C92,'23 RCC-004 MASR Registry'!$B$14:$B$163,0)),""))</x:f>
      </x:c>
      <x:c r="W92" s="1242"/>
      <x:c r="X92" s="1247" t="str">
        <x:f>IF($C92="","",COUNTIF('18 RCC-002 Evidence Ledger'!$E$14:$E$213,$C92))</x:f>
      </x:c>
      <x:c r="Y92" s="1242"/>
      <x:c r="Z92" s="1244" t="str">
        <x:f>IF($A92="","",IF(COUNTIF($A$14:$A$213,$A92)&gt;1,"FAIL — DUPLICATE ID",IF(OR($B92="",$C92="",$E92="",$H92="",$Y92="",$AA92="",$AB92=""),"FAIL — INCOMPLETE",IF(AND(OR($Y92="MIAR Review",$Y92="Eligibility Review",$Y92="Candidate Comparison",$Y92="Committee Review",$Y92="Approved for MASR",$Y92="Referred to PEW-004",$Y92="On Watch",$Y92="Rejected",$Y92="Closed",$Y92="Removed"),$K92=""),"FAIL — MASR RECORD REQUIRED",IF(AND(OR($Y92="Eligibility Review",$Y92="Candidate Comparison",$Y92="Committee Review",$Y92="Approved for MASR",$Y92="Referred to PEW-004",$Y92="On Watch"),NOT(OR($M92="ELIGIBLE",$M92="ELIGIBLE WITH EXCEPTION",$M92="CERTIFIED HOLDING"))),"FAIL — ELIGIBILITY",IF(AND(OR($Y92="Candidate Comparison",$Y92="Committee Review",$Y92="Approved for MASR",$Y92="Referred to PEW-004",$Y92="On Watch"),$X92=0),"FAIL — EVIDENCE",IF(AND(OR($Y92="Candidate Comparison",$Y92="Committee Review",$Y92="Approved for MASR",$Y92="Referred to PEW-004",$Y92="On Watch"),OR($O92&lt;&gt;"Active",$P92&lt;&gt;"CURRENT")),"FAIL — MIAR GATE",IF(AND(OR($Y92="Approved for MASR",$Y92="Referred to PEW-004",$Y92="On Watch",$Y92="Rejected",$Y92="Closed",$Y92="Removed"),OR($AD92="",$AD92="Pending")),"FAIL — COMMITTEE DISPOSITION",IF(AND($Y92="Referred to PEW-004",OR($AF92&lt;&gt;"Yes — Refer to PEW-004",$AG92="",$AJ92="")),"FAIL — PEW REFERRAL","PASS — STAGE GATE")))))))))</x:f>
      </x:c>
      <x:c r="AA92" s="1242"/>
      <x:c r="AB92" s="1251"/>
      <x:c r="AC92" s="1250" t="str">
        <x:f>IF($B92="","",IF($AQ92&lt;&gt;"",$AQ92-$B92,TODAY()-$B92))</x:f>
      </x:c>
      <x:c r="AD92" s="1242"/>
      <x:c r="AE92" s="1251"/>
      <x:c r="AF92" s="1242"/>
      <x:c r="AG92" s="1242"/>
      <x:c r="AH92" s="1246" t="str">
        <x:f>IF($AG92="","",IFERROR(INDEX('10 Candidate Comparison'!$T$14:$T$33,MATCH($AG92,'10 Candidate Comparison'!$A$14:$A$33,0)),""))</x:f>
      </x:c>
      <x:c r="AI92" s="1243" t="str">
        <x:f>IF($AG92="","",IFERROR(INDEX('10 Candidate Comparison'!$U$14:$U$33,MATCH($AG92,'10 Candidate Comparison'!$A$14:$A$33,0)),""))</x:f>
      </x:c>
      <x:c r="AJ92" s="1243" t="str">
        <x:f>IF($AG92="","",IFERROR(INDEX('10 Candidate Comparison'!$Y$14:$Y$33,MATCH($AG92,'10 Candidate Comparison'!$A$14:$A$33,0)),""))</x:f>
      </x:c>
      <x:c r="AK92" s="1244" t="str">
        <x:f>IF($A92="","",IF($Z92="FAIL — DUPLICATE ID","DUPLICATE CANDIDATE ID",IF($Z92="FAIL — INCOMPLETE","INCOMPLETE",IF($Z92="FAIL — MASR RECORD REQUIRED","MASR RECORD REQUIRED",IF($Z92="FAIL — ELIGIBILITY","ELIGIBILITY BLOCK",IF($Z92="FAIL — EVIDENCE","EVIDENCE REQUIRED",IF($Z92="FAIL — MIAR GATE","MIAR GATE BLOCK",IF($Z92="FAIL — COMMITTEE DISPOSITION","COMMITTEE DECISION REQUIRED",IF($Z92="FAIL — PEW REFERRAL","PEW REFERRAL INCOMPLETE",IF(AND(OR($Y92="Rejected",$Y92="Closed",$Y92="Removed"),OR($AO92="",$AP92="",$AQ92="")),"CLOSURE REQUIRED",IF(AND($AB92&lt;TODAY(),NOT(OR($Y92="Rejected",$Y92="Closed",$Y92="Removed"))),"OVERDUE",IF(OR($Y92="Rejected",$Y92="Closed",$Y92="Removed"),"CLOSED","OPEN — ON TRACK"))))))))))))</x:f>
      </x:c>
      <x:c r="AL92" s="1244" t="str">
        <x:f>IF($AK92="","",IFERROR(INDEX('97 RCC Lists'!$AM$5:$AM$16,MATCH($AK92,'97 RCC Lists'!$AL$5:$AL$16,0)),"Review candidate exception"))</x:f>
      </x:c>
      <x:c r="AM92" s="1242"/>
      <x:c r="AN92" s="1242"/>
      <x:c r="AO92" s="1242"/>
      <x:c r="AP92" s="1242"/>
      <x:c r="AQ92" s="1251"/>
    </x:row>
    <x:row r="93" ht="32" customHeight="1">
      <x:c r="A93" s="1242"/>
      <x:c r="B93" s="1251"/>
      <x:c r="C93" s="1242"/>
      <x:c r="D93" s="1252" t="str">
        <x:f>IF($C93="","",IFERROR(INDEX('23 RCC-004 MASR Registry'!$C$14:$C$163,MATCH($C93,'23 RCC-004 MASR Registry'!$B$14:$B$163,0)),""))</x:f>
      </x:c>
      <x:c r="E93" s="1242"/>
      <x:c r="F93" s="1242"/>
      <x:c r="G93" s="1242"/>
      <x:c r="H93" s="1242"/>
      <x:c r="I93" s="1252" t="str">
        <x:f>IF($C93="","",IFERROR(INDEX('23 RCC-004 MASR Registry'!$G$14:$G$163,MATCH($C93,'23 RCC-004 MASR Registry'!$B$14:$B$163,0)),""))</x:f>
      </x:c>
      <x:c r="J93" s="1252" t="str">
        <x:f>IF($C93="","",IFERROR(INDEX('23 RCC-004 MASR Registry'!$H$14:$H$163,MATCH($C93,'23 RCC-004 MASR Registry'!$B$14:$B$163,0)),""))</x:f>
      </x:c>
      <x:c r="K93" s="1252" t="str">
        <x:f>IF($C93="","",IFERROR(INDEX('23 RCC-004 MASR Registry'!$D$14:$D$163,MATCH($C93,'23 RCC-004 MASR Registry'!$B$14:$B$163,0)),""))</x:f>
      </x:c>
      <x:c r="L93" s="1252" t="str">
        <x:f>IF($C93="","",IFERROR(INDEX('23 RCC-004 MASR Registry'!$E$14:$E$163,MATCH($C93,'23 RCC-004 MASR Registry'!$B$14:$B$163,0)),""))</x:f>
      </x:c>
      <x:c r="M93" s="1252" t="str">
        <x:f>IF($C93="","",IFERROR(INDEX('23 RCC-004 MASR Registry'!$X$14:$X$163,MATCH($C93,'23 RCC-004 MASR Registry'!$B$14:$B$163,0)),""))</x:f>
      </x:c>
      <x:c r="N93" s="1252" t="str">
        <x:f>IF($C93="","",IFERROR(INDEX('23 RCC-004 MASR Registry'!$Y$14:$Y$163,MATCH($C93,'23 RCC-004 MASR Registry'!$B$14:$B$163,0)),""))</x:f>
      </x:c>
      <x:c r="O93" s="1252" t="str">
        <x:f>IF($C93="","",IFERROR(INDEX('23 RCC-004 MASR Registry'!$L$14:$L$163,MATCH($C93,'23 RCC-004 MASR Registry'!$B$14:$B$163,0)),""))</x:f>
      </x:c>
      <x:c r="P93" s="1252" t="str">
        <x:f>IF($C93="","",IFERROR(INDEX('23 RCC-004 MASR Registry'!$M$14:$M$163,MATCH($C93,'23 RCC-004 MASR Registry'!$B$14:$B$163,0)),""))</x:f>
      </x:c>
      <x:c r="Q93" s="1255" t="str">
        <x:f>IF($C93="","",IFERROR(INDEX('23 RCC-004 MASR Registry'!$N$14:$N$163,MATCH($C93,'23 RCC-004 MASR Registry'!$B$14:$B$163,0)),""))</x:f>
      </x:c>
      <x:c r="R93" s="1255" t="str">
        <x:f>IF($C93="","",IFERROR(INDEX('23 RCC-004 MASR Registry'!$O$14:$O$163,MATCH($C93,'23 RCC-004 MASR Registry'!$B$14:$B$163,0)),""))</x:f>
      </x:c>
      <x:c r="S93" s="1255" t="str">
        <x:f>IF($C93="","",IFERROR(INDEX('23 RCC-004 MASR Registry'!$W$14:$W$163,MATCH($C93,'23 RCC-004 MASR Registry'!$B$14:$B$163,0)),""))</x:f>
      </x:c>
      <x:c r="T93" s="1255" t="str">
        <x:f>IF($C93="","",IFERROR(INDEX('23 RCC-004 MASR Registry'!$T$14:$T$163,MATCH($C93,'23 RCC-004 MASR Registry'!$B$14:$B$163,0)),""))</x:f>
      </x:c>
      <x:c r="U93" s="1256" t="str">
        <x:f>IF($C93="","",IFERROR(INDEX('23 RCC-004 MASR Registry'!$U$14:$U$163,MATCH($C93,'23 RCC-004 MASR Registry'!$B$14:$B$163,0)),""))</x:f>
      </x:c>
      <x:c r="V93" s="1252" t="str">
        <x:f>IF($C93="","",IFERROR(INDEX('23 RCC-004 MASR Registry'!$V$14:$V$163,MATCH($C93,'23 RCC-004 MASR Registry'!$B$14:$B$163,0)),""))</x:f>
      </x:c>
      <x:c r="W93" s="1242"/>
      <x:c r="X93" s="1256" t="str">
        <x:f>IF($C93="","",COUNTIF('18 RCC-002 Evidence Ledger'!$E$14:$E$213,$C93))</x:f>
      </x:c>
      <x:c r="Y93" s="1242"/>
      <x:c r="Z93" s="1253" t="str">
        <x:f>IF($A93="","",IF(COUNTIF($A$14:$A$213,$A93)&gt;1,"FAIL — DUPLICATE ID",IF(OR($B93="",$C93="",$E93="",$H93="",$Y93="",$AA93="",$AB93=""),"FAIL — INCOMPLETE",IF(AND(OR($Y93="MIAR Review",$Y93="Eligibility Review",$Y93="Candidate Comparison",$Y93="Committee Review",$Y93="Approved for MASR",$Y93="Referred to PEW-004",$Y93="On Watch",$Y93="Rejected",$Y93="Closed",$Y93="Removed"),$K93=""),"FAIL — MASR RECORD REQUIRED",IF(AND(OR($Y93="Eligibility Review",$Y93="Candidate Comparison",$Y93="Committee Review",$Y93="Approved for MASR",$Y93="Referred to PEW-004",$Y93="On Watch"),NOT(OR($M93="ELIGIBLE",$M93="ELIGIBLE WITH EXCEPTION",$M93="CERTIFIED HOLDING"))),"FAIL — ELIGIBILITY",IF(AND(OR($Y93="Candidate Comparison",$Y93="Committee Review",$Y93="Approved for MASR",$Y93="Referred to PEW-004",$Y93="On Watch"),$X93=0),"FAIL — EVIDENCE",IF(AND(OR($Y93="Candidate Comparison",$Y93="Committee Review",$Y93="Approved for MASR",$Y93="Referred to PEW-004",$Y93="On Watch"),OR($O93&lt;&gt;"Active",$P93&lt;&gt;"CURRENT")),"FAIL — MIAR GATE",IF(AND(OR($Y93="Approved for MASR",$Y93="Referred to PEW-004",$Y93="On Watch",$Y93="Rejected",$Y93="Closed",$Y93="Removed"),OR($AD93="",$AD93="Pending")),"FAIL — COMMITTEE DISPOSITION",IF(AND($Y93="Referred to PEW-004",OR($AF93&lt;&gt;"Yes — Refer to PEW-004",$AG93="",$AJ93="")),"FAIL — PEW REFERRAL","PASS — STAGE GATE")))))))))</x:f>
      </x:c>
      <x:c r="AA93" s="1242"/>
      <x:c r="AB93" s="1251"/>
      <x:c r="AC93" s="1257" t="str">
        <x:f>IF($B93="","",IF($AQ93&lt;&gt;"",$AQ93-$B93,TODAY()-$B93))</x:f>
      </x:c>
      <x:c r="AD93" s="1242"/>
      <x:c r="AE93" s="1251"/>
      <x:c r="AF93" s="1242"/>
      <x:c r="AG93" s="1242"/>
      <x:c r="AH93" s="1255" t="str">
        <x:f>IF($AG93="","",IFERROR(INDEX('10 Candidate Comparison'!$T$14:$T$33,MATCH($AG93,'10 Candidate Comparison'!$A$14:$A$33,0)),""))</x:f>
      </x:c>
      <x:c r="AI93" s="1252" t="str">
        <x:f>IF($AG93="","",IFERROR(INDEX('10 Candidate Comparison'!$U$14:$U$33,MATCH($AG93,'10 Candidate Comparison'!$A$14:$A$33,0)),""))</x:f>
      </x:c>
      <x:c r="AJ93" s="1252" t="str">
        <x:f>IF($AG93="","",IFERROR(INDEX('10 Candidate Comparison'!$Y$14:$Y$33,MATCH($AG93,'10 Candidate Comparison'!$A$14:$A$33,0)),""))</x:f>
      </x:c>
      <x:c r="AK93" s="1253" t="str">
        <x:f>IF($A93="","",IF($Z93="FAIL — DUPLICATE ID","DUPLICATE CANDIDATE ID",IF($Z93="FAIL — INCOMPLETE","INCOMPLETE",IF($Z93="FAIL — MASR RECORD REQUIRED","MASR RECORD REQUIRED",IF($Z93="FAIL — ELIGIBILITY","ELIGIBILITY BLOCK",IF($Z93="FAIL — EVIDENCE","EVIDENCE REQUIRED",IF($Z93="FAIL — MIAR GATE","MIAR GATE BLOCK",IF($Z93="FAIL — COMMITTEE DISPOSITION","COMMITTEE DECISION REQUIRED",IF($Z93="FAIL — PEW REFERRAL","PEW REFERRAL INCOMPLETE",IF(AND(OR($Y93="Rejected",$Y93="Closed",$Y93="Removed"),OR($AO93="",$AP93="",$AQ93="")),"CLOSURE REQUIRED",IF(AND($AB93&lt;TODAY(),NOT(OR($Y93="Rejected",$Y93="Closed",$Y93="Removed"))),"OVERDUE",IF(OR($Y93="Rejected",$Y93="Closed",$Y93="Removed"),"CLOSED","OPEN — ON TRACK"))))))))))))</x:f>
      </x:c>
      <x:c r="AL93" s="1253" t="str">
        <x:f>IF($AK93="","",IFERROR(INDEX('97 RCC Lists'!$AM$5:$AM$16,MATCH($AK93,'97 RCC Lists'!$AL$5:$AL$16,0)),"Review candidate exception"))</x:f>
      </x:c>
      <x:c r="AM93" s="1242"/>
      <x:c r="AN93" s="1242"/>
      <x:c r="AO93" s="1242"/>
      <x:c r="AP93" s="1242"/>
      <x:c r="AQ93" s="1251"/>
    </x:row>
    <x:row r="94" ht="32" customHeight="1">
      <x:c r="A94" s="1242"/>
      <x:c r="B94" s="1251"/>
      <x:c r="C94" s="1242"/>
      <x:c r="D94" s="1243" t="str">
        <x:f>IF($C94="","",IFERROR(INDEX('23 RCC-004 MASR Registry'!$C$14:$C$163,MATCH($C94,'23 RCC-004 MASR Registry'!$B$14:$B$163,0)),""))</x:f>
      </x:c>
      <x:c r="E94" s="1242"/>
      <x:c r="F94" s="1242"/>
      <x:c r="G94" s="1242"/>
      <x:c r="H94" s="1242"/>
      <x:c r="I94" s="1243" t="str">
        <x:f>IF($C94="","",IFERROR(INDEX('23 RCC-004 MASR Registry'!$G$14:$G$163,MATCH($C94,'23 RCC-004 MASR Registry'!$B$14:$B$163,0)),""))</x:f>
      </x:c>
      <x:c r="J94" s="1243" t="str">
        <x:f>IF($C94="","",IFERROR(INDEX('23 RCC-004 MASR Registry'!$H$14:$H$163,MATCH($C94,'23 RCC-004 MASR Registry'!$B$14:$B$163,0)),""))</x:f>
      </x:c>
      <x:c r="K94" s="1243" t="str">
        <x:f>IF($C94="","",IFERROR(INDEX('23 RCC-004 MASR Registry'!$D$14:$D$163,MATCH($C94,'23 RCC-004 MASR Registry'!$B$14:$B$163,0)),""))</x:f>
      </x:c>
      <x:c r="L94" s="1243" t="str">
        <x:f>IF($C94="","",IFERROR(INDEX('23 RCC-004 MASR Registry'!$E$14:$E$163,MATCH($C94,'23 RCC-004 MASR Registry'!$B$14:$B$163,0)),""))</x:f>
      </x:c>
      <x:c r="M94" s="1243" t="str">
        <x:f>IF($C94="","",IFERROR(INDEX('23 RCC-004 MASR Registry'!$X$14:$X$163,MATCH($C94,'23 RCC-004 MASR Registry'!$B$14:$B$163,0)),""))</x:f>
      </x:c>
      <x:c r="N94" s="1243" t="str">
        <x:f>IF($C94="","",IFERROR(INDEX('23 RCC-004 MASR Registry'!$Y$14:$Y$163,MATCH($C94,'23 RCC-004 MASR Registry'!$B$14:$B$163,0)),""))</x:f>
      </x:c>
      <x:c r="O94" s="1243" t="str">
        <x:f>IF($C94="","",IFERROR(INDEX('23 RCC-004 MASR Registry'!$L$14:$L$163,MATCH($C94,'23 RCC-004 MASR Registry'!$B$14:$B$163,0)),""))</x:f>
      </x:c>
      <x:c r="P94" s="1243" t="str">
        <x:f>IF($C94="","",IFERROR(INDEX('23 RCC-004 MASR Registry'!$M$14:$M$163,MATCH($C94,'23 RCC-004 MASR Registry'!$B$14:$B$163,0)),""))</x:f>
      </x:c>
      <x:c r="Q94" s="1246" t="str">
        <x:f>IF($C94="","",IFERROR(INDEX('23 RCC-004 MASR Registry'!$N$14:$N$163,MATCH($C94,'23 RCC-004 MASR Registry'!$B$14:$B$163,0)),""))</x:f>
      </x:c>
      <x:c r="R94" s="1246" t="str">
        <x:f>IF($C94="","",IFERROR(INDEX('23 RCC-004 MASR Registry'!$O$14:$O$163,MATCH($C94,'23 RCC-004 MASR Registry'!$B$14:$B$163,0)),""))</x:f>
      </x:c>
      <x:c r="S94" s="1246" t="str">
        <x:f>IF($C94="","",IFERROR(INDEX('23 RCC-004 MASR Registry'!$W$14:$W$163,MATCH($C94,'23 RCC-004 MASR Registry'!$B$14:$B$163,0)),""))</x:f>
      </x:c>
      <x:c r="T94" s="1246" t="str">
        <x:f>IF($C94="","",IFERROR(INDEX('23 RCC-004 MASR Registry'!$T$14:$T$163,MATCH($C94,'23 RCC-004 MASR Registry'!$B$14:$B$163,0)),""))</x:f>
      </x:c>
      <x:c r="U94" s="1247" t="str">
        <x:f>IF($C94="","",IFERROR(INDEX('23 RCC-004 MASR Registry'!$U$14:$U$163,MATCH($C94,'23 RCC-004 MASR Registry'!$B$14:$B$163,0)),""))</x:f>
      </x:c>
      <x:c r="V94" s="1243" t="str">
        <x:f>IF($C94="","",IFERROR(INDEX('23 RCC-004 MASR Registry'!$V$14:$V$163,MATCH($C94,'23 RCC-004 MASR Registry'!$B$14:$B$163,0)),""))</x:f>
      </x:c>
      <x:c r="W94" s="1242"/>
      <x:c r="X94" s="1247" t="str">
        <x:f>IF($C94="","",COUNTIF('18 RCC-002 Evidence Ledger'!$E$14:$E$213,$C94))</x:f>
      </x:c>
      <x:c r="Y94" s="1242"/>
      <x:c r="Z94" s="1244" t="str">
        <x:f>IF($A94="","",IF(COUNTIF($A$14:$A$213,$A94)&gt;1,"FAIL — DUPLICATE ID",IF(OR($B94="",$C94="",$E94="",$H94="",$Y94="",$AA94="",$AB94=""),"FAIL — INCOMPLETE",IF(AND(OR($Y94="MIAR Review",$Y94="Eligibility Review",$Y94="Candidate Comparison",$Y94="Committee Review",$Y94="Approved for MASR",$Y94="Referred to PEW-004",$Y94="On Watch",$Y94="Rejected",$Y94="Closed",$Y94="Removed"),$K94=""),"FAIL — MASR RECORD REQUIRED",IF(AND(OR($Y94="Eligibility Review",$Y94="Candidate Comparison",$Y94="Committee Review",$Y94="Approved for MASR",$Y94="Referred to PEW-004",$Y94="On Watch"),NOT(OR($M94="ELIGIBLE",$M94="ELIGIBLE WITH EXCEPTION",$M94="CERTIFIED HOLDING"))),"FAIL — ELIGIBILITY",IF(AND(OR($Y94="Candidate Comparison",$Y94="Committee Review",$Y94="Approved for MASR",$Y94="Referred to PEW-004",$Y94="On Watch"),$X94=0),"FAIL — EVIDENCE",IF(AND(OR($Y94="Candidate Comparison",$Y94="Committee Review",$Y94="Approved for MASR",$Y94="Referred to PEW-004",$Y94="On Watch"),OR($O94&lt;&gt;"Active",$P94&lt;&gt;"CURRENT")),"FAIL — MIAR GATE",IF(AND(OR($Y94="Approved for MASR",$Y94="Referred to PEW-004",$Y94="On Watch",$Y94="Rejected",$Y94="Closed",$Y94="Removed"),OR($AD94="",$AD94="Pending")),"FAIL — COMMITTEE DISPOSITION",IF(AND($Y94="Referred to PEW-004",OR($AF94&lt;&gt;"Yes — Refer to PEW-004",$AG94="",$AJ94="")),"FAIL — PEW REFERRAL","PASS — STAGE GATE")))))))))</x:f>
      </x:c>
      <x:c r="AA94" s="1242"/>
      <x:c r="AB94" s="1251"/>
      <x:c r="AC94" s="1250" t="str">
        <x:f>IF($B94="","",IF($AQ94&lt;&gt;"",$AQ94-$B94,TODAY()-$B94))</x:f>
      </x:c>
      <x:c r="AD94" s="1242"/>
      <x:c r="AE94" s="1251"/>
      <x:c r="AF94" s="1242"/>
      <x:c r="AG94" s="1242"/>
      <x:c r="AH94" s="1246" t="str">
        <x:f>IF($AG94="","",IFERROR(INDEX('10 Candidate Comparison'!$T$14:$T$33,MATCH($AG94,'10 Candidate Comparison'!$A$14:$A$33,0)),""))</x:f>
      </x:c>
      <x:c r="AI94" s="1243" t="str">
        <x:f>IF($AG94="","",IFERROR(INDEX('10 Candidate Comparison'!$U$14:$U$33,MATCH($AG94,'10 Candidate Comparison'!$A$14:$A$33,0)),""))</x:f>
      </x:c>
      <x:c r="AJ94" s="1243" t="str">
        <x:f>IF($AG94="","",IFERROR(INDEX('10 Candidate Comparison'!$Y$14:$Y$33,MATCH($AG94,'10 Candidate Comparison'!$A$14:$A$33,0)),""))</x:f>
      </x:c>
      <x:c r="AK94" s="1244" t="str">
        <x:f>IF($A94="","",IF($Z94="FAIL — DUPLICATE ID","DUPLICATE CANDIDATE ID",IF($Z94="FAIL — INCOMPLETE","INCOMPLETE",IF($Z94="FAIL — MASR RECORD REQUIRED","MASR RECORD REQUIRED",IF($Z94="FAIL — ELIGIBILITY","ELIGIBILITY BLOCK",IF($Z94="FAIL — EVIDENCE","EVIDENCE REQUIRED",IF($Z94="FAIL — MIAR GATE","MIAR GATE BLOCK",IF($Z94="FAIL — COMMITTEE DISPOSITION","COMMITTEE DECISION REQUIRED",IF($Z94="FAIL — PEW REFERRAL","PEW REFERRAL INCOMPLETE",IF(AND(OR($Y94="Rejected",$Y94="Closed",$Y94="Removed"),OR($AO94="",$AP94="",$AQ94="")),"CLOSURE REQUIRED",IF(AND($AB94&lt;TODAY(),NOT(OR($Y94="Rejected",$Y94="Closed",$Y94="Removed"))),"OVERDUE",IF(OR($Y94="Rejected",$Y94="Closed",$Y94="Removed"),"CLOSED","OPEN — ON TRACK"))))))))))))</x:f>
      </x:c>
      <x:c r="AL94" s="1244" t="str">
        <x:f>IF($AK94="","",IFERROR(INDEX('97 RCC Lists'!$AM$5:$AM$16,MATCH($AK94,'97 RCC Lists'!$AL$5:$AL$16,0)),"Review candidate exception"))</x:f>
      </x:c>
      <x:c r="AM94" s="1242"/>
      <x:c r="AN94" s="1242"/>
      <x:c r="AO94" s="1242"/>
      <x:c r="AP94" s="1242"/>
      <x:c r="AQ94" s="1251"/>
    </x:row>
    <x:row r="95" ht="32" customHeight="1">
      <x:c r="A95" s="1242"/>
      <x:c r="B95" s="1251"/>
      <x:c r="C95" s="1242"/>
      <x:c r="D95" s="1252" t="str">
        <x:f>IF($C95="","",IFERROR(INDEX('23 RCC-004 MASR Registry'!$C$14:$C$163,MATCH($C95,'23 RCC-004 MASR Registry'!$B$14:$B$163,0)),""))</x:f>
      </x:c>
      <x:c r="E95" s="1242"/>
      <x:c r="F95" s="1242"/>
      <x:c r="G95" s="1242"/>
      <x:c r="H95" s="1242"/>
      <x:c r="I95" s="1252" t="str">
        <x:f>IF($C95="","",IFERROR(INDEX('23 RCC-004 MASR Registry'!$G$14:$G$163,MATCH($C95,'23 RCC-004 MASR Registry'!$B$14:$B$163,0)),""))</x:f>
      </x:c>
      <x:c r="J95" s="1252" t="str">
        <x:f>IF($C95="","",IFERROR(INDEX('23 RCC-004 MASR Registry'!$H$14:$H$163,MATCH($C95,'23 RCC-004 MASR Registry'!$B$14:$B$163,0)),""))</x:f>
      </x:c>
      <x:c r="K95" s="1252" t="str">
        <x:f>IF($C95="","",IFERROR(INDEX('23 RCC-004 MASR Registry'!$D$14:$D$163,MATCH($C95,'23 RCC-004 MASR Registry'!$B$14:$B$163,0)),""))</x:f>
      </x:c>
      <x:c r="L95" s="1252" t="str">
        <x:f>IF($C95="","",IFERROR(INDEX('23 RCC-004 MASR Registry'!$E$14:$E$163,MATCH($C95,'23 RCC-004 MASR Registry'!$B$14:$B$163,0)),""))</x:f>
      </x:c>
      <x:c r="M95" s="1252" t="str">
        <x:f>IF($C95="","",IFERROR(INDEX('23 RCC-004 MASR Registry'!$X$14:$X$163,MATCH($C95,'23 RCC-004 MASR Registry'!$B$14:$B$163,0)),""))</x:f>
      </x:c>
      <x:c r="N95" s="1252" t="str">
        <x:f>IF($C95="","",IFERROR(INDEX('23 RCC-004 MASR Registry'!$Y$14:$Y$163,MATCH($C95,'23 RCC-004 MASR Registry'!$B$14:$B$163,0)),""))</x:f>
      </x:c>
      <x:c r="O95" s="1252" t="str">
        <x:f>IF($C95="","",IFERROR(INDEX('23 RCC-004 MASR Registry'!$L$14:$L$163,MATCH($C95,'23 RCC-004 MASR Registry'!$B$14:$B$163,0)),""))</x:f>
      </x:c>
      <x:c r="P95" s="1252" t="str">
        <x:f>IF($C95="","",IFERROR(INDEX('23 RCC-004 MASR Registry'!$M$14:$M$163,MATCH($C95,'23 RCC-004 MASR Registry'!$B$14:$B$163,0)),""))</x:f>
      </x:c>
      <x:c r="Q95" s="1255" t="str">
        <x:f>IF($C95="","",IFERROR(INDEX('23 RCC-004 MASR Registry'!$N$14:$N$163,MATCH($C95,'23 RCC-004 MASR Registry'!$B$14:$B$163,0)),""))</x:f>
      </x:c>
      <x:c r="R95" s="1255" t="str">
        <x:f>IF($C95="","",IFERROR(INDEX('23 RCC-004 MASR Registry'!$O$14:$O$163,MATCH($C95,'23 RCC-004 MASR Registry'!$B$14:$B$163,0)),""))</x:f>
      </x:c>
      <x:c r="S95" s="1255" t="str">
        <x:f>IF($C95="","",IFERROR(INDEX('23 RCC-004 MASR Registry'!$W$14:$W$163,MATCH($C95,'23 RCC-004 MASR Registry'!$B$14:$B$163,0)),""))</x:f>
      </x:c>
      <x:c r="T95" s="1255" t="str">
        <x:f>IF($C95="","",IFERROR(INDEX('23 RCC-004 MASR Registry'!$T$14:$T$163,MATCH($C95,'23 RCC-004 MASR Registry'!$B$14:$B$163,0)),""))</x:f>
      </x:c>
      <x:c r="U95" s="1256" t="str">
        <x:f>IF($C95="","",IFERROR(INDEX('23 RCC-004 MASR Registry'!$U$14:$U$163,MATCH($C95,'23 RCC-004 MASR Registry'!$B$14:$B$163,0)),""))</x:f>
      </x:c>
      <x:c r="V95" s="1252" t="str">
        <x:f>IF($C95="","",IFERROR(INDEX('23 RCC-004 MASR Registry'!$V$14:$V$163,MATCH($C95,'23 RCC-004 MASR Registry'!$B$14:$B$163,0)),""))</x:f>
      </x:c>
      <x:c r="W95" s="1242"/>
      <x:c r="X95" s="1256" t="str">
        <x:f>IF($C95="","",COUNTIF('18 RCC-002 Evidence Ledger'!$E$14:$E$213,$C95))</x:f>
      </x:c>
      <x:c r="Y95" s="1242"/>
      <x:c r="Z95" s="1253" t="str">
        <x:f>IF($A95="","",IF(COUNTIF($A$14:$A$213,$A95)&gt;1,"FAIL — DUPLICATE ID",IF(OR($B95="",$C95="",$E95="",$H95="",$Y95="",$AA95="",$AB95=""),"FAIL — INCOMPLETE",IF(AND(OR($Y95="MIAR Review",$Y95="Eligibility Review",$Y95="Candidate Comparison",$Y95="Committee Review",$Y95="Approved for MASR",$Y95="Referred to PEW-004",$Y95="On Watch",$Y95="Rejected",$Y95="Closed",$Y95="Removed"),$K95=""),"FAIL — MASR RECORD REQUIRED",IF(AND(OR($Y95="Eligibility Review",$Y95="Candidate Comparison",$Y95="Committee Review",$Y95="Approved for MASR",$Y95="Referred to PEW-004",$Y95="On Watch"),NOT(OR($M95="ELIGIBLE",$M95="ELIGIBLE WITH EXCEPTION",$M95="CERTIFIED HOLDING"))),"FAIL — ELIGIBILITY",IF(AND(OR($Y95="Candidate Comparison",$Y95="Committee Review",$Y95="Approved for MASR",$Y95="Referred to PEW-004",$Y95="On Watch"),$X95=0),"FAIL — EVIDENCE",IF(AND(OR($Y95="Candidate Comparison",$Y95="Committee Review",$Y95="Approved for MASR",$Y95="Referred to PEW-004",$Y95="On Watch"),OR($O95&lt;&gt;"Active",$P95&lt;&gt;"CURRENT")),"FAIL — MIAR GATE",IF(AND(OR($Y95="Approved for MASR",$Y95="Referred to PEW-004",$Y95="On Watch",$Y95="Rejected",$Y95="Closed",$Y95="Removed"),OR($AD95="",$AD95="Pending")),"FAIL — COMMITTEE DISPOSITION",IF(AND($Y95="Referred to PEW-004",OR($AF95&lt;&gt;"Yes — Refer to PEW-004",$AG95="",$AJ95="")),"FAIL — PEW REFERRAL","PASS — STAGE GATE")))))))))</x:f>
      </x:c>
      <x:c r="AA95" s="1242"/>
      <x:c r="AB95" s="1251"/>
      <x:c r="AC95" s="1257" t="str">
        <x:f>IF($B95="","",IF($AQ95&lt;&gt;"",$AQ95-$B95,TODAY()-$B95))</x:f>
      </x:c>
      <x:c r="AD95" s="1242"/>
      <x:c r="AE95" s="1251"/>
      <x:c r="AF95" s="1242"/>
      <x:c r="AG95" s="1242"/>
      <x:c r="AH95" s="1255" t="str">
        <x:f>IF($AG95="","",IFERROR(INDEX('10 Candidate Comparison'!$T$14:$T$33,MATCH($AG95,'10 Candidate Comparison'!$A$14:$A$33,0)),""))</x:f>
      </x:c>
      <x:c r="AI95" s="1252" t="str">
        <x:f>IF($AG95="","",IFERROR(INDEX('10 Candidate Comparison'!$U$14:$U$33,MATCH($AG95,'10 Candidate Comparison'!$A$14:$A$33,0)),""))</x:f>
      </x:c>
      <x:c r="AJ95" s="1252" t="str">
        <x:f>IF($AG95="","",IFERROR(INDEX('10 Candidate Comparison'!$Y$14:$Y$33,MATCH($AG95,'10 Candidate Comparison'!$A$14:$A$33,0)),""))</x:f>
      </x:c>
      <x:c r="AK95" s="1253" t="str">
        <x:f>IF($A95="","",IF($Z95="FAIL — DUPLICATE ID","DUPLICATE CANDIDATE ID",IF($Z95="FAIL — INCOMPLETE","INCOMPLETE",IF($Z95="FAIL — MASR RECORD REQUIRED","MASR RECORD REQUIRED",IF($Z95="FAIL — ELIGIBILITY","ELIGIBILITY BLOCK",IF($Z95="FAIL — EVIDENCE","EVIDENCE REQUIRED",IF($Z95="FAIL — MIAR GATE","MIAR GATE BLOCK",IF($Z95="FAIL — COMMITTEE DISPOSITION","COMMITTEE DECISION REQUIRED",IF($Z95="FAIL — PEW REFERRAL","PEW REFERRAL INCOMPLETE",IF(AND(OR($Y95="Rejected",$Y95="Closed",$Y95="Removed"),OR($AO95="",$AP95="",$AQ95="")),"CLOSURE REQUIRED",IF(AND($AB95&lt;TODAY(),NOT(OR($Y95="Rejected",$Y95="Closed",$Y95="Removed"))),"OVERDUE",IF(OR($Y95="Rejected",$Y95="Closed",$Y95="Removed"),"CLOSED","OPEN — ON TRACK"))))))))))))</x:f>
      </x:c>
      <x:c r="AL95" s="1253" t="str">
        <x:f>IF($AK95="","",IFERROR(INDEX('97 RCC Lists'!$AM$5:$AM$16,MATCH($AK95,'97 RCC Lists'!$AL$5:$AL$16,0)),"Review candidate exception"))</x:f>
      </x:c>
      <x:c r="AM95" s="1242"/>
      <x:c r="AN95" s="1242"/>
      <x:c r="AO95" s="1242"/>
      <x:c r="AP95" s="1242"/>
      <x:c r="AQ95" s="1251"/>
    </x:row>
    <x:row r="96" ht="32" customHeight="1">
      <x:c r="A96" s="1242"/>
      <x:c r="B96" s="1251"/>
      <x:c r="C96" s="1242"/>
      <x:c r="D96" s="1243" t="str">
        <x:f>IF($C96="","",IFERROR(INDEX('23 RCC-004 MASR Registry'!$C$14:$C$163,MATCH($C96,'23 RCC-004 MASR Registry'!$B$14:$B$163,0)),""))</x:f>
      </x:c>
      <x:c r="E96" s="1242"/>
      <x:c r="F96" s="1242"/>
      <x:c r="G96" s="1242"/>
      <x:c r="H96" s="1242"/>
      <x:c r="I96" s="1243" t="str">
        <x:f>IF($C96="","",IFERROR(INDEX('23 RCC-004 MASR Registry'!$G$14:$G$163,MATCH($C96,'23 RCC-004 MASR Registry'!$B$14:$B$163,0)),""))</x:f>
      </x:c>
      <x:c r="J96" s="1243" t="str">
        <x:f>IF($C96="","",IFERROR(INDEX('23 RCC-004 MASR Registry'!$H$14:$H$163,MATCH($C96,'23 RCC-004 MASR Registry'!$B$14:$B$163,0)),""))</x:f>
      </x:c>
      <x:c r="K96" s="1243" t="str">
        <x:f>IF($C96="","",IFERROR(INDEX('23 RCC-004 MASR Registry'!$D$14:$D$163,MATCH($C96,'23 RCC-004 MASR Registry'!$B$14:$B$163,0)),""))</x:f>
      </x:c>
      <x:c r="L96" s="1243" t="str">
        <x:f>IF($C96="","",IFERROR(INDEX('23 RCC-004 MASR Registry'!$E$14:$E$163,MATCH($C96,'23 RCC-004 MASR Registry'!$B$14:$B$163,0)),""))</x:f>
      </x:c>
      <x:c r="M96" s="1243" t="str">
        <x:f>IF($C96="","",IFERROR(INDEX('23 RCC-004 MASR Registry'!$X$14:$X$163,MATCH($C96,'23 RCC-004 MASR Registry'!$B$14:$B$163,0)),""))</x:f>
      </x:c>
      <x:c r="N96" s="1243" t="str">
        <x:f>IF($C96="","",IFERROR(INDEX('23 RCC-004 MASR Registry'!$Y$14:$Y$163,MATCH($C96,'23 RCC-004 MASR Registry'!$B$14:$B$163,0)),""))</x:f>
      </x:c>
      <x:c r="O96" s="1243" t="str">
        <x:f>IF($C96="","",IFERROR(INDEX('23 RCC-004 MASR Registry'!$L$14:$L$163,MATCH($C96,'23 RCC-004 MASR Registry'!$B$14:$B$163,0)),""))</x:f>
      </x:c>
      <x:c r="P96" s="1243" t="str">
        <x:f>IF($C96="","",IFERROR(INDEX('23 RCC-004 MASR Registry'!$M$14:$M$163,MATCH($C96,'23 RCC-004 MASR Registry'!$B$14:$B$163,0)),""))</x:f>
      </x:c>
      <x:c r="Q96" s="1246" t="str">
        <x:f>IF($C96="","",IFERROR(INDEX('23 RCC-004 MASR Registry'!$N$14:$N$163,MATCH($C96,'23 RCC-004 MASR Registry'!$B$14:$B$163,0)),""))</x:f>
      </x:c>
      <x:c r="R96" s="1246" t="str">
        <x:f>IF($C96="","",IFERROR(INDEX('23 RCC-004 MASR Registry'!$O$14:$O$163,MATCH($C96,'23 RCC-004 MASR Registry'!$B$14:$B$163,0)),""))</x:f>
      </x:c>
      <x:c r="S96" s="1246" t="str">
        <x:f>IF($C96="","",IFERROR(INDEX('23 RCC-004 MASR Registry'!$W$14:$W$163,MATCH($C96,'23 RCC-004 MASR Registry'!$B$14:$B$163,0)),""))</x:f>
      </x:c>
      <x:c r="T96" s="1246" t="str">
        <x:f>IF($C96="","",IFERROR(INDEX('23 RCC-004 MASR Registry'!$T$14:$T$163,MATCH($C96,'23 RCC-004 MASR Registry'!$B$14:$B$163,0)),""))</x:f>
      </x:c>
      <x:c r="U96" s="1247" t="str">
        <x:f>IF($C96="","",IFERROR(INDEX('23 RCC-004 MASR Registry'!$U$14:$U$163,MATCH($C96,'23 RCC-004 MASR Registry'!$B$14:$B$163,0)),""))</x:f>
      </x:c>
      <x:c r="V96" s="1243" t="str">
        <x:f>IF($C96="","",IFERROR(INDEX('23 RCC-004 MASR Registry'!$V$14:$V$163,MATCH($C96,'23 RCC-004 MASR Registry'!$B$14:$B$163,0)),""))</x:f>
      </x:c>
      <x:c r="W96" s="1242"/>
      <x:c r="X96" s="1247" t="str">
        <x:f>IF($C96="","",COUNTIF('18 RCC-002 Evidence Ledger'!$E$14:$E$213,$C96))</x:f>
      </x:c>
      <x:c r="Y96" s="1242"/>
      <x:c r="Z96" s="1244" t="str">
        <x:f>IF($A96="","",IF(COUNTIF($A$14:$A$213,$A96)&gt;1,"FAIL — DUPLICATE ID",IF(OR($B96="",$C96="",$E96="",$H96="",$Y96="",$AA96="",$AB96=""),"FAIL — INCOMPLETE",IF(AND(OR($Y96="MIAR Review",$Y96="Eligibility Review",$Y96="Candidate Comparison",$Y96="Committee Review",$Y96="Approved for MASR",$Y96="Referred to PEW-004",$Y96="On Watch",$Y96="Rejected",$Y96="Closed",$Y96="Removed"),$K96=""),"FAIL — MASR RECORD REQUIRED",IF(AND(OR($Y96="Eligibility Review",$Y96="Candidate Comparison",$Y96="Committee Review",$Y96="Approved for MASR",$Y96="Referred to PEW-004",$Y96="On Watch"),NOT(OR($M96="ELIGIBLE",$M96="ELIGIBLE WITH EXCEPTION",$M96="CERTIFIED HOLDING"))),"FAIL — ELIGIBILITY",IF(AND(OR($Y96="Candidate Comparison",$Y96="Committee Review",$Y96="Approved for MASR",$Y96="Referred to PEW-004",$Y96="On Watch"),$X96=0),"FAIL — EVIDENCE",IF(AND(OR($Y96="Candidate Comparison",$Y96="Committee Review",$Y96="Approved for MASR",$Y96="Referred to PEW-004",$Y96="On Watch"),OR($O96&lt;&gt;"Active",$P96&lt;&gt;"CURRENT")),"FAIL — MIAR GATE",IF(AND(OR($Y96="Approved for MASR",$Y96="Referred to PEW-004",$Y96="On Watch",$Y96="Rejected",$Y96="Closed",$Y96="Removed"),OR($AD96="",$AD96="Pending")),"FAIL — COMMITTEE DISPOSITION",IF(AND($Y96="Referred to PEW-004",OR($AF96&lt;&gt;"Yes — Refer to PEW-004",$AG96="",$AJ96="")),"FAIL — PEW REFERRAL","PASS — STAGE GATE")))))))))</x:f>
      </x:c>
      <x:c r="AA96" s="1242"/>
      <x:c r="AB96" s="1251"/>
      <x:c r="AC96" s="1250" t="str">
        <x:f>IF($B96="","",IF($AQ96&lt;&gt;"",$AQ96-$B96,TODAY()-$B96))</x:f>
      </x:c>
      <x:c r="AD96" s="1242"/>
      <x:c r="AE96" s="1251"/>
      <x:c r="AF96" s="1242"/>
      <x:c r="AG96" s="1242"/>
      <x:c r="AH96" s="1246" t="str">
        <x:f>IF($AG96="","",IFERROR(INDEX('10 Candidate Comparison'!$T$14:$T$33,MATCH($AG96,'10 Candidate Comparison'!$A$14:$A$33,0)),""))</x:f>
      </x:c>
      <x:c r="AI96" s="1243" t="str">
        <x:f>IF($AG96="","",IFERROR(INDEX('10 Candidate Comparison'!$U$14:$U$33,MATCH($AG96,'10 Candidate Comparison'!$A$14:$A$33,0)),""))</x:f>
      </x:c>
      <x:c r="AJ96" s="1243" t="str">
        <x:f>IF($AG96="","",IFERROR(INDEX('10 Candidate Comparison'!$Y$14:$Y$33,MATCH($AG96,'10 Candidate Comparison'!$A$14:$A$33,0)),""))</x:f>
      </x:c>
      <x:c r="AK96" s="1244" t="str">
        <x:f>IF($A96="","",IF($Z96="FAIL — DUPLICATE ID","DUPLICATE CANDIDATE ID",IF($Z96="FAIL — INCOMPLETE","INCOMPLETE",IF($Z96="FAIL — MASR RECORD REQUIRED","MASR RECORD REQUIRED",IF($Z96="FAIL — ELIGIBILITY","ELIGIBILITY BLOCK",IF($Z96="FAIL — EVIDENCE","EVIDENCE REQUIRED",IF($Z96="FAIL — MIAR GATE","MIAR GATE BLOCK",IF($Z96="FAIL — COMMITTEE DISPOSITION","COMMITTEE DECISION REQUIRED",IF($Z96="FAIL — PEW REFERRAL","PEW REFERRAL INCOMPLETE",IF(AND(OR($Y96="Rejected",$Y96="Closed",$Y96="Removed"),OR($AO96="",$AP96="",$AQ96="")),"CLOSURE REQUIRED",IF(AND($AB96&lt;TODAY(),NOT(OR($Y96="Rejected",$Y96="Closed",$Y96="Removed"))),"OVERDUE",IF(OR($Y96="Rejected",$Y96="Closed",$Y96="Removed"),"CLOSED","OPEN — ON TRACK"))))))))))))</x:f>
      </x:c>
      <x:c r="AL96" s="1244" t="str">
        <x:f>IF($AK96="","",IFERROR(INDEX('97 RCC Lists'!$AM$5:$AM$16,MATCH($AK96,'97 RCC Lists'!$AL$5:$AL$16,0)),"Review candidate exception"))</x:f>
      </x:c>
      <x:c r="AM96" s="1242"/>
      <x:c r="AN96" s="1242"/>
      <x:c r="AO96" s="1242"/>
      <x:c r="AP96" s="1242"/>
      <x:c r="AQ96" s="1251"/>
    </x:row>
    <x:row r="97" ht="32" customHeight="1">
      <x:c r="A97" s="1242"/>
      <x:c r="B97" s="1251"/>
      <x:c r="C97" s="1242"/>
      <x:c r="D97" s="1252" t="str">
        <x:f>IF($C97="","",IFERROR(INDEX('23 RCC-004 MASR Registry'!$C$14:$C$163,MATCH($C97,'23 RCC-004 MASR Registry'!$B$14:$B$163,0)),""))</x:f>
      </x:c>
      <x:c r="E97" s="1242"/>
      <x:c r="F97" s="1242"/>
      <x:c r="G97" s="1242"/>
      <x:c r="H97" s="1242"/>
      <x:c r="I97" s="1252" t="str">
        <x:f>IF($C97="","",IFERROR(INDEX('23 RCC-004 MASR Registry'!$G$14:$G$163,MATCH($C97,'23 RCC-004 MASR Registry'!$B$14:$B$163,0)),""))</x:f>
      </x:c>
      <x:c r="J97" s="1252" t="str">
        <x:f>IF($C97="","",IFERROR(INDEX('23 RCC-004 MASR Registry'!$H$14:$H$163,MATCH($C97,'23 RCC-004 MASR Registry'!$B$14:$B$163,0)),""))</x:f>
      </x:c>
      <x:c r="K97" s="1252" t="str">
        <x:f>IF($C97="","",IFERROR(INDEX('23 RCC-004 MASR Registry'!$D$14:$D$163,MATCH($C97,'23 RCC-004 MASR Registry'!$B$14:$B$163,0)),""))</x:f>
      </x:c>
      <x:c r="L97" s="1252" t="str">
        <x:f>IF($C97="","",IFERROR(INDEX('23 RCC-004 MASR Registry'!$E$14:$E$163,MATCH($C97,'23 RCC-004 MASR Registry'!$B$14:$B$163,0)),""))</x:f>
      </x:c>
      <x:c r="M97" s="1252" t="str">
        <x:f>IF($C97="","",IFERROR(INDEX('23 RCC-004 MASR Registry'!$X$14:$X$163,MATCH($C97,'23 RCC-004 MASR Registry'!$B$14:$B$163,0)),""))</x:f>
      </x:c>
      <x:c r="N97" s="1252" t="str">
        <x:f>IF($C97="","",IFERROR(INDEX('23 RCC-004 MASR Registry'!$Y$14:$Y$163,MATCH($C97,'23 RCC-004 MASR Registry'!$B$14:$B$163,0)),""))</x:f>
      </x:c>
      <x:c r="O97" s="1252" t="str">
        <x:f>IF($C97="","",IFERROR(INDEX('23 RCC-004 MASR Registry'!$L$14:$L$163,MATCH($C97,'23 RCC-004 MASR Registry'!$B$14:$B$163,0)),""))</x:f>
      </x:c>
      <x:c r="P97" s="1252" t="str">
        <x:f>IF($C97="","",IFERROR(INDEX('23 RCC-004 MASR Registry'!$M$14:$M$163,MATCH($C97,'23 RCC-004 MASR Registry'!$B$14:$B$163,0)),""))</x:f>
      </x:c>
      <x:c r="Q97" s="1255" t="str">
        <x:f>IF($C97="","",IFERROR(INDEX('23 RCC-004 MASR Registry'!$N$14:$N$163,MATCH($C97,'23 RCC-004 MASR Registry'!$B$14:$B$163,0)),""))</x:f>
      </x:c>
      <x:c r="R97" s="1255" t="str">
        <x:f>IF($C97="","",IFERROR(INDEX('23 RCC-004 MASR Registry'!$O$14:$O$163,MATCH($C97,'23 RCC-004 MASR Registry'!$B$14:$B$163,0)),""))</x:f>
      </x:c>
      <x:c r="S97" s="1255" t="str">
        <x:f>IF($C97="","",IFERROR(INDEX('23 RCC-004 MASR Registry'!$W$14:$W$163,MATCH($C97,'23 RCC-004 MASR Registry'!$B$14:$B$163,0)),""))</x:f>
      </x:c>
      <x:c r="T97" s="1255" t="str">
        <x:f>IF($C97="","",IFERROR(INDEX('23 RCC-004 MASR Registry'!$T$14:$T$163,MATCH($C97,'23 RCC-004 MASR Registry'!$B$14:$B$163,0)),""))</x:f>
      </x:c>
      <x:c r="U97" s="1256" t="str">
        <x:f>IF($C97="","",IFERROR(INDEX('23 RCC-004 MASR Registry'!$U$14:$U$163,MATCH($C97,'23 RCC-004 MASR Registry'!$B$14:$B$163,0)),""))</x:f>
      </x:c>
      <x:c r="V97" s="1252" t="str">
        <x:f>IF($C97="","",IFERROR(INDEX('23 RCC-004 MASR Registry'!$V$14:$V$163,MATCH($C97,'23 RCC-004 MASR Registry'!$B$14:$B$163,0)),""))</x:f>
      </x:c>
      <x:c r="W97" s="1242"/>
      <x:c r="X97" s="1256" t="str">
        <x:f>IF($C97="","",COUNTIF('18 RCC-002 Evidence Ledger'!$E$14:$E$213,$C97))</x:f>
      </x:c>
      <x:c r="Y97" s="1242"/>
      <x:c r="Z97" s="1253" t="str">
        <x:f>IF($A97="","",IF(COUNTIF($A$14:$A$213,$A97)&gt;1,"FAIL — DUPLICATE ID",IF(OR($B97="",$C97="",$E97="",$H97="",$Y97="",$AA97="",$AB97=""),"FAIL — INCOMPLETE",IF(AND(OR($Y97="MIAR Review",$Y97="Eligibility Review",$Y97="Candidate Comparison",$Y97="Committee Review",$Y97="Approved for MASR",$Y97="Referred to PEW-004",$Y97="On Watch",$Y97="Rejected",$Y97="Closed",$Y97="Removed"),$K97=""),"FAIL — MASR RECORD REQUIRED",IF(AND(OR($Y97="Eligibility Review",$Y97="Candidate Comparison",$Y97="Committee Review",$Y97="Approved for MASR",$Y97="Referred to PEW-004",$Y97="On Watch"),NOT(OR($M97="ELIGIBLE",$M97="ELIGIBLE WITH EXCEPTION",$M97="CERTIFIED HOLDING"))),"FAIL — ELIGIBILITY",IF(AND(OR($Y97="Candidate Comparison",$Y97="Committee Review",$Y97="Approved for MASR",$Y97="Referred to PEW-004",$Y97="On Watch"),$X97=0),"FAIL — EVIDENCE",IF(AND(OR($Y97="Candidate Comparison",$Y97="Committee Review",$Y97="Approved for MASR",$Y97="Referred to PEW-004",$Y97="On Watch"),OR($O97&lt;&gt;"Active",$P97&lt;&gt;"CURRENT")),"FAIL — MIAR GATE",IF(AND(OR($Y97="Approved for MASR",$Y97="Referred to PEW-004",$Y97="On Watch",$Y97="Rejected",$Y97="Closed",$Y97="Removed"),OR($AD97="",$AD97="Pending")),"FAIL — COMMITTEE DISPOSITION",IF(AND($Y97="Referred to PEW-004",OR($AF97&lt;&gt;"Yes — Refer to PEW-004",$AG97="",$AJ97="")),"FAIL — PEW REFERRAL","PASS — STAGE GATE")))))))))</x:f>
      </x:c>
      <x:c r="AA97" s="1242"/>
      <x:c r="AB97" s="1251"/>
      <x:c r="AC97" s="1257" t="str">
        <x:f>IF($B97="","",IF($AQ97&lt;&gt;"",$AQ97-$B97,TODAY()-$B97))</x:f>
      </x:c>
      <x:c r="AD97" s="1242"/>
      <x:c r="AE97" s="1251"/>
      <x:c r="AF97" s="1242"/>
      <x:c r="AG97" s="1242"/>
      <x:c r="AH97" s="1255" t="str">
        <x:f>IF($AG97="","",IFERROR(INDEX('10 Candidate Comparison'!$T$14:$T$33,MATCH($AG97,'10 Candidate Comparison'!$A$14:$A$33,0)),""))</x:f>
      </x:c>
      <x:c r="AI97" s="1252" t="str">
        <x:f>IF($AG97="","",IFERROR(INDEX('10 Candidate Comparison'!$U$14:$U$33,MATCH($AG97,'10 Candidate Comparison'!$A$14:$A$33,0)),""))</x:f>
      </x:c>
      <x:c r="AJ97" s="1252" t="str">
        <x:f>IF($AG97="","",IFERROR(INDEX('10 Candidate Comparison'!$Y$14:$Y$33,MATCH($AG97,'10 Candidate Comparison'!$A$14:$A$33,0)),""))</x:f>
      </x:c>
      <x:c r="AK97" s="1253" t="str">
        <x:f>IF($A97="","",IF($Z97="FAIL — DUPLICATE ID","DUPLICATE CANDIDATE ID",IF($Z97="FAIL — INCOMPLETE","INCOMPLETE",IF($Z97="FAIL — MASR RECORD REQUIRED","MASR RECORD REQUIRED",IF($Z97="FAIL — ELIGIBILITY","ELIGIBILITY BLOCK",IF($Z97="FAIL — EVIDENCE","EVIDENCE REQUIRED",IF($Z97="FAIL — MIAR GATE","MIAR GATE BLOCK",IF($Z97="FAIL — COMMITTEE DISPOSITION","COMMITTEE DECISION REQUIRED",IF($Z97="FAIL — PEW REFERRAL","PEW REFERRAL INCOMPLETE",IF(AND(OR($Y97="Rejected",$Y97="Closed",$Y97="Removed"),OR($AO97="",$AP97="",$AQ97="")),"CLOSURE REQUIRED",IF(AND($AB97&lt;TODAY(),NOT(OR($Y97="Rejected",$Y97="Closed",$Y97="Removed"))),"OVERDUE",IF(OR($Y97="Rejected",$Y97="Closed",$Y97="Removed"),"CLOSED","OPEN — ON TRACK"))))))))))))</x:f>
      </x:c>
      <x:c r="AL97" s="1253" t="str">
        <x:f>IF($AK97="","",IFERROR(INDEX('97 RCC Lists'!$AM$5:$AM$16,MATCH($AK97,'97 RCC Lists'!$AL$5:$AL$16,0)),"Review candidate exception"))</x:f>
      </x:c>
      <x:c r="AM97" s="1242"/>
      <x:c r="AN97" s="1242"/>
      <x:c r="AO97" s="1242"/>
      <x:c r="AP97" s="1242"/>
      <x:c r="AQ97" s="1251"/>
    </x:row>
    <x:row r="98" ht="32" customHeight="1">
      <x:c r="A98" s="1242"/>
      <x:c r="B98" s="1251"/>
      <x:c r="C98" s="1242"/>
      <x:c r="D98" s="1243" t="str">
        <x:f>IF($C98="","",IFERROR(INDEX('23 RCC-004 MASR Registry'!$C$14:$C$163,MATCH($C98,'23 RCC-004 MASR Registry'!$B$14:$B$163,0)),""))</x:f>
      </x:c>
      <x:c r="E98" s="1242"/>
      <x:c r="F98" s="1242"/>
      <x:c r="G98" s="1242"/>
      <x:c r="H98" s="1242"/>
      <x:c r="I98" s="1243" t="str">
        <x:f>IF($C98="","",IFERROR(INDEX('23 RCC-004 MASR Registry'!$G$14:$G$163,MATCH($C98,'23 RCC-004 MASR Registry'!$B$14:$B$163,0)),""))</x:f>
      </x:c>
      <x:c r="J98" s="1243" t="str">
        <x:f>IF($C98="","",IFERROR(INDEX('23 RCC-004 MASR Registry'!$H$14:$H$163,MATCH($C98,'23 RCC-004 MASR Registry'!$B$14:$B$163,0)),""))</x:f>
      </x:c>
      <x:c r="K98" s="1243" t="str">
        <x:f>IF($C98="","",IFERROR(INDEX('23 RCC-004 MASR Registry'!$D$14:$D$163,MATCH($C98,'23 RCC-004 MASR Registry'!$B$14:$B$163,0)),""))</x:f>
      </x:c>
      <x:c r="L98" s="1243" t="str">
        <x:f>IF($C98="","",IFERROR(INDEX('23 RCC-004 MASR Registry'!$E$14:$E$163,MATCH($C98,'23 RCC-004 MASR Registry'!$B$14:$B$163,0)),""))</x:f>
      </x:c>
      <x:c r="M98" s="1243" t="str">
        <x:f>IF($C98="","",IFERROR(INDEX('23 RCC-004 MASR Registry'!$X$14:$X$163,MATCH($C98,'23 RCC-004 MASR Registry'!$B$14:$B$163,0)),""))</x:f>
      </x:c>
      <x:c r="N98" s="1243" t="str">
        <x:f>IF($C98="","",IFERROR(INDEX('23 RCC-004 MASR Registry'!$Y$14:$Y$163,MATCH($C98,'23 RCC-004 MASR Registry'!$B$14:$B$163,0)),""))</x:f>
      </x:c>
      <x:c r="O98" s="1243" t="str">
        <x:f>IF($C98="","",IFERROR(INDEX('23 RCC-004 MASR Registry'!$L$14:$L$163,MATCH($C98,'23 RCC-004 MASR Registry'!$B$14:$B$163,0)),""))</x:f>
      </x:c>
      <x:c r="P98" s="1243" t="str">
        <x:f>IF($C98="","",IFERROR(INDEX('23 RCC-004 MASR Registry'!$M$14:$M$163,MATCH($C98,'23 RCC-004 MASR Registry'!$B$14:$B$163,0)),""))</x:f>
      </x:c>
      <x:c r="Q98" s="1246" t="str">
        <x:f>IF($C98="","",IFERROR(INDEX('23 RCC-004 MASR Registry'!$N$14:$N$163,MATCH($C98,'23 RCC-004 MASR Registry'!$B$14:$B$163,0)),""))</x:f>
      </x:c>
      <x:c r="R98" s="1246" t="str">
        <x:f>IF($C98="","",IFERROR(INDEX('23 RCC-004 MASR Registry'!$O$14:$O$163,MATCH($C98,'23 RCC-004 MASR Registry'!$B$14:$B$163,0)),""))</x:f>
      </x:c>
      <x:c r="S98" s="1246" t="str">
        <x:f>IF($C98="","",IFERROR(INDEX('23 RCC-004 MASR Registry'!$W$14:$W$163,MATCH($C98,'23 RCC-004 MASR Registry'!$B$14:$B$163,0)),""))</x:f>
      </x:c>
      <x:c r="T98" s="1246" t="str">
        <x:f>IF($C98="","",IFERROR(INDEX('23 RCC-004 MASR Registry'!$T$14:$T$163,MATCH($C98,'23 RCC-004 MASR Registry'!$B$14:$B$163,0)),""))</x:f>
      </x:c>
      <x:c r="U98" s="1247" t="str">
        <x:f>IF($C98="","",IFERROR(INDEX('23 RCC-004 MASR Registry'!$U$14:$U$163,MATCH($C98,'23 RCC-004 MASR Registry'!$B$14:$B$163,0)),""))</x:f>
      </x:c>
      <x:c r="V98" s="1243" t="str">
        <x:f>IF($C98="","",IFERROR(INDEX('23 RCC-004 MASR Registry'!$V$14:$V$163,MATCH($C98,'23 RCC-004 MASR Registry'!$B$14:$B$163,0)),""))</x:f>
      </x:c>
      <x:c r="W98" s="1242"/>
      <x:c r="X98" s="1247" t="str">
        <x:f>IF($C98="","",COUNTIF('18 RCC-002 Evidence Ledger'!$E$14:$E$213,$C98))</x:f>
      </x:c>
      <x:c r="Y98" s="1242"/>
      <x:c r="Z98" s="1244" t="str">
        <x:f>IF($A98="","",IF(COUNTIF($A$14:$A$213,$A98)&gt;1,"FAIL — DUPLICATE ID",IF(OR($B98="",$C98="",$E98="",$H98="",$Y98="",$AA98="",$AB98=""),"FAIL — INCOMPLETE",IF(AND(OR($Y98="MIAR Review",$Y98="Eligibility Review",$Y98="Candidate Comparison",$Y98="Committee Review",$Y98="Approved for MASR",$Y98="Referred to PEW-004",$Y98="On Watch",$Y98="Rejected",$Y98="Closed",$Y98="Removed"),$K98=""),"FAIL — MASR RECORD REQUIRED",IF(AND(OR($Y98="Eligibility Review",$Y98="Candidate Comparison",$Y98="Committee Review",$Y98="Approved for MASR",$Y98="Referred to PEW-004",$Y98="On Watch"),NOT(OR($M98="ELIGIBLE",$M98="ELIGIBLE WITH EXCEPTION",$M98="CERTIFIED HOLDING"))),"FAIL — ELIGIBILITY",IF(AND(OR($Y98="Candidate Comparison",$Y98="Committee Review",$Y98="Approved for MASR",$Y98="Referred to PEW-004",$Y98="On Watch"),$X98=0),"FAIL — EVIDENCE",IF(AND(OR($Y98="Candidate Comparison",$Y98="Committee Review",$Y98="Approved for MASR",$Y98="Referred to PEW-004",$Y98="On Watch"),OR($O98&lt;&gt;"Active",$P98&lt;&gt;"CURRENT")),"FAIL — MIAR GATE",IF(AND(OR($Y98="Approved for MASR",$Y98="Referred to PEW-004",$Y98="On Watch",$Y98="Rejected",$Y98="Closed",$Y98="Removed"),OR($AD98="",$AD98="Pending")),"FAIL — COMMITTEE DISPOSITION",IF(AND($Y98="Referred to PEW-004",OR($AF98&lt;&gt;"Yes — Refer to PEW-004",$AG98="",$AJ98="")),"FAIL — PEW REFERRAL","PASS — STAGE GATE")))))))))</x:f>
      </x:c>
      <x:c r="AA98" s="1242"/>
      <x:c r="AB98" s="1251"/>
      <x:c r="AC98" s="1250" t="str">
        <x:f>IF($B98="","",IF($AQ98&lt;&gt;"",$AQ98-$B98,TODAY()-$B98))</x:f>
      </x:c>
      <x:c r="AD98" s="1242"/>
      <x:c r="AE98" s="1251"/>
      <x:c r="AF98" s="1242"/>
      <x:c r="AG98" s="1242"/>
      <x:c r="AH98" s="1246" t="str">
        <x:f>IF($AG98="","",IFERROR(INDEX('10 Candidate Comparison'!$T$14:$T$33,MATCH($AG98,'10 Candidate Comparison'!$A$14:$A$33,0)),""))</x:f>
      </x:c>
      <x:c r="AI98" s="1243" t="str">
        <x:f>IF($AG98="","",IFERROR(INDEX('10 Candidate Comparison'!$U$14:$U$33,MATCH($AG98,'10 Candidate Comparison'!$A$14:$A$33,0)),""))</x:f>
      </x:c>
      <x:c r="AJ98" s="1243" t="str">
        <x:f>IF($AG98="","",IFERROR(INDEX('10 Candidate Comparison'!$Y$14:$Y$33,MATCH($AG98,'10 Candidate Comparison'!$A$14:$A$33,0)),""))</x:f>
      </x:c>
      <x:c r="AK98" s="1244" t="str">
        <x:f>IF($A98="","",IF($Z98="FAIL — DUPLICATE ID","DUPLICATE CANDIDATE ID",IF($Z98="FAIL — INCOMPLETE","INCOMPLETE",IF($Z98="FAIL — MASR RECORD REQUIRED","MASR RECORD REQUIRED",IF($Z98="FAIL — ELIGIBILITY","ELIGIBILITY BLOCK",IF($Z98="FAIL — EVIDENCE","EVIDENCE REQUIRED",IF($Z98="FAIL — MIAR GATE","MIAR GATE BLOCK",IF($Z98="FAIL — COMMITTEE DISPOSITION","COMMITTEE DECISION REQUIRED",IF($Z98="FAIL — PEW REFERRAL","PEW REFERRAL INCOMPLETE",IF(AND(OR($Y98="Rejected",$Y98="Closed",$Y98="Removed"),OR($AO98="",$AP98="",$AQ98="")),"CLOSURE REQUIRED",IF(AND($AB98&lt;TODAY(),NOT(OR($Y98="Rejected",$Y98="Closed",$Y98="Removed"))),"OVERDUE",IF(OR($Y98="Rejected",$Y98="Closed",$Y98="Removed"),"CLOSED","OPEN — ON TRACK"))))))))))))</x:f>
      </x:c>
      <x:c r="AL98" s="1244" t="str">
        <x:f>IF($AK98="","",IFERROR(INDEX('97 RCC Lists'!$AM$5:$AM$16,MATCH($AK98,'97 RCC Lists'!$AL$5:$AL$16,0)),"Review candidate exception"))</x:f>
      </x:c>
      <x:c r="AM98" s="1242"/>
      <x:c r="AN98" s="1242"/>
      <x:c r="AO98" s="1242"/>
      <x:c r="AP98" s="1242"/>
      <x:c r="AQ98" s="1251"/>
    </x:row>
    <x:row r="99" ht="32" customHeight="1">
      <x:c r="A99" s="1242"/>
      <x:c r="B99" s="1251"/>
      <x:c r="C99" s="1242"/>
      <x:c r="D99" s="1252" t="str">
        <x:f>IF($C99="","",IFERROR(INDEX('23 RCC-004 MASR Registry'!$C$14:$C$163,MATCH($C99,'23 RCC-004 MASR Registry'!$B$14:$B$163,0)),""))</x:f>
      </x:c>
      <x:c r="E99" s="1242"/>
      <x:c r="F99" s="1242"/>
      <x:c r="G99" s="1242"/>
      <x:c r="H99" s="1242"/>
      <x:c r="I99" s="1252" t="str">
        <x:f>IF($C99="","",IFERROR(INDEX('23 RCC-004 MASR Registry'!$G$14:$G$163,MATCH($C99,'23 RCC-004 MASR Registry'!$B$14:$B$163,0)),""))</x:f>
      </x:c>
      <x:c r="J99" s="1252" t="str">
        <x:f>IF($C99="","",IFERROR(INDEX('23 RCC-004 MASR Registry'!$H$14:$H$163,MATCH($C99,'23 RCC-004 MASR Registry'!$B$14:$B$163,0)),""))</x:f>
      </x:c>
      <x:c r="K99" s="1252" t="str">
        <x:f>IF($C99="","",IFERROR(INDEX('23 RCC-004 MASR Registry'!$D$14:$D$163,MATCH($C99,'23 RCC-004 MASR Registry'!$B$14:$B$163,0)),""))</x:f>
      </x:c>
      <x:c r="L99" s="1252" t="str">
        <x:f>IF($C99="","",IFERROR(INDEX('23 RCC-004 MASR Registry'!$E$14:$E$163,MATCH($C99,'23 RCC-004 MASR Registry'!$B$14:$B$163,0)),""))</x:f>
      </x:c>
      <x:c r="M99" s="1252" t="str">
        <x:f>IF($C99="","",IFERROR(INDEX('23 RCC-004 MASR Registry'!$X$14:$X$163,MATCH($C99,'23 RCC-004 MASR Registry'!$B$14:$B$163,0)),""))</x:f>
      </x:c>
      <x:c r="N99" s="1252" t="str">
        <x:f>IF($C99="","",IFERROR(INDEX('23 RCC-004 MASR Registry'!$Y$14:$Y$163,MATCH($C99,'23 RCC-004 MASR Registry'!$B$14:$B$163,0)),""))</x:f>
      </x:c>
      <x:c r="O99" s="1252" t="str">
        <x:f>IF($C99="","",IFERROR(INDEX('23 RCC-004 MASR Registry'!$L$14:$L$163,MATCH($C99,'23 RCC-004 MASR Registry'!$B$14:$B$163,0)),""))</x:f>
      </x:c>
      <x:c r="P99" s="1252" t="str">
        <x:f>IF($C99="","",IFERROR(INDEX('23 RCC-004 MASR Registry'!$M$14:$M$163,MATCH($C99,'23 RCC-004 MASR Registry'!$B$14:$B$163,0)),""))</x:f>
      </x:c>
      <x:c r="Q99" s="1255" t="str">
        <x:f>IF($C99="","",IFERROR(INDEX('23 RCC-004 MASR Registry'!$N$14:$N$163,MATCH($C99,'23 RCC-004 MASR Registry'!$B$14:$B$163,0)),""))</x:f>
      </x:c>
      <x:c r="R99" s="1255" t="str">
        <x:f>IF($C99="","",IFERROR(INDEX('23 RCC-004 MASR Registry'!$O$14:$O$163,MATCH($C99,'23 RCC-004 MASR Registry'!$B$14:$B$163,0)),""))</x:f>
      </x:c>
      <x:c r="S99" s="1255" t="str">
        <x:f>IF($C99="","",IFERROR(INDEX('23 RCC-004 MASR Registry'!$W$14:$W$163,MATCH($C99,'23 RCC-004 MASR Registry'!$B$14:$B$163,0)),""))</x:f>
      </x:c>
      <x:c r="T99" s="1255" t="str">
        <x:f>IF($C99="","",IFERROR(INDEX('23 RCC-004 MASR Registry'!$T$14:$T$163,MATCH($C99,'23 RCC-004 MASR Registry'!$B$14:$B$163,0)),""))</x:f>
      </x:c>
      <x:c r="U99" s="1256" t="str">
        <x:f>IF($C99="","",IFERROR(INDEX('23 RCC-004 MASR Registry'!$U$14:$U$163,MATCH($C99,'23 RCC-004 MASR Registry'!$B$14:$B$163,0)),""))</x:f>
      </x:c>
      <x:c r="V99" s="1252" t="str">
        <x:f>IF($C99="","",IFERROR(INDEX('23 RCC-004 MASR Registry'!$V$14:$V$163,MATCH($C99,'23 RCC-004 MASR Registry'!$B$14:$B$163,0)),""))</x:f>
      </x:c>
      <x:c r="W99" s="1242"/>
      <x:c r="X99" s="1256" t="str">
        <x:f>IF($C99="","",COUNTIF('18 RCC-002 Evidence Ledger'!$E$14:$E$213,$C99))</x:f>
      </x:c>
      <x:c r="Y99" s="1242"/>
      <x:c r="Z99" s="1253" t="str">
        <x:f>IF($A99="","",IF(COUNTIF($A$14:$A$213,$A99)&gt;1,"FAIL — DUPLICATE ID",IF(OR($B99="",$C99="",$E99="",$H99="",$Y99="",$AA99="",$AB99=""),"FAIL — INCOMPLETE",IF(AND(OR($Y99="MIAR Review",$Y99="Eligibility Review",$Y99="Candidate Comparison",$Y99="Committee Review",$Y99="Approved for MASR",$Y99="Referred to PEW-004",$Y99="On Watch",$Y99="Rejected",$Y99="Closed",$Y99="Removed"),$K99=""),"FAIL — MASR RECORD REQUIRED",IF(AND(OR($Y99="Eligibility Review",$Y99="Candidate Comparison",$Y99="Committee Review",$Y99="Approved for MASR",$Y99="Referred to PEW-004",$Y99="On Watch"),NOT(OR($M99="ELIGIBLE",$M99="ELIGIBLE WITH EXCEPTION",$M99="CERTIFIED HOLDING"))),"FAIL — ELIGIBILITY",IF(AND(OR($Y99="Candidate Comparison",$Y99="Committee Review",$Y99="Approved for MASR",$Y99="Referred to PEW-004",$Y99="On Watch"),$X99=0),"FAIL — EVIDENCE",IF(AND(OR($Y99="Candidate Comparison",$Y99="Committee Review",$Y99="Approved for MASR",$Y99="Referred to PEW-004",$Y99="On Watch"),OR($O99&lt;&gt;"Active",$P99&lt;&gt;"CURRENT")),"FAIL — MIAR GATE",IF(AND(OR($Y99="Approved for MASR",$Y99="Referred to PEW-004",$Y99="On Watch",$Y99="Rejected",$Y99="Closed",$Y99="Removed"),OR($AD99="",$AD99="Pending")),"FAIL — COMMITTEE DISPOSITION",IF(AND($Y99="Referred to PEW-004",OR($AF99&lt;&gt;"Yes — Refer to PEW-004",$AG99="",$AJ99="")),"FAIL — PEW REFERRAL","PASS — STAGE GATE")))))))))</x:f>
      </x:c>
      <x:c r="AA99" s="1242"/>
      <x:c r="AB99" s="1251"/>
      <x:c r="AC99" s="1257" t="str">
        <x:f>IF($B99="","",IF($AQ99&lt;&gt;"",$AQ99-$B99,TODAY()-$B99))</x:f>
      </x:c>
      <x:c r="AD99" s="1242"/>
      <x:c r="AE99" s="1251"/>
      <x:c r="AF99" s="1242"/>
      <x:c r="AG99" s="1242"/>
      <x:c r="AH99" s="1255" t="str">
        <x:f>IF($AG99="","",IFERROR(INDEX('10 Candidate Comparison'!$T$14:$T$33,MATCH($AG99,'10 Candidate Comparison'!$A$14:$A$33,0)),""))</x:f>
      </x:c>
      <x:c r="AI99" s="1252" t="str">
        <x:f>IF($AG99="","",IFERROR(INDEX('10 Candidate Comparison'!$U$14:$U$33,MATCH($AG99,'10 Candidate Comparison'!$A$14:$A$33,0)),""))</x:f>
      </x:c>
      <x:c r="AJ99" s="1252" t="str">
        <x:f>IF($AG99="","",IFERROR(INDEX('10 Candidate Comparison'!$Y$14:$Y$33,MATCH($AG99,'10 Candidate Comparison'!$A$14:$A$33,0)),""))</x:f>
      </x:c>
      <x:c r="AK99" s="1253" t="str">
        <x:f>IF($A99="","",IF($Z99="FAIL — DUPLICATE ID","DUPLICATE CANDIDATE ID",IF($Z99="FAIL — INCOMPLETE","INCOMPLETE",IF($Z99="FAIL — MASR RECORD REQUIRED","MASR RECORD REQUIRED",IF($Z99="FAIL — ELIGIBILITY","ELIGIBILITY BLOCK",IF($Z99="FAIL — EVIDENCE","EVIDENCE REQUIRED",IF($Z99="FAIL — MIAR GATE","MIAR GATE BLOCK",IF($Z99="FAIL — COMMITTEE DISPOSITION","COMMITTEE DECISION REQUIRED",IF($Z99="FAIL — PEW REFERRAL","PEW REFERRAL INCOMPLETE",IF(AND(OR($Y99="Rejected",$Y99="Closed",$Y99="Removed"),OR($AO99="",$AP99="",$AQ99="")),"CLOSURE REQUIRED",IF(AND($AB99&lt;TODAY(),NOT(OR($Y99="Rejected",$Y99="Closed",$Y99="Removed"))),"OVERDUE",IF(OR($Y99="Rejected",$Y99="Closed",$Y99="Removed"),"CLOSED","OPEN — ON TRACK"))))))))))))</x:f>
      </x:c>
      <x:c r="AL99" s="1253" t="str">
        <x:f>IF($AK99="","",IFERROR(INDEX('97 RCC Lists'!$AM$5:$AM$16,MATCH($AK99,'97 RCC Lists'!$AL$5:$AL$16,0)),"Review candidate exception"))</x:f>
      </x:c>
      <x:c r="AM99" s="1242"/>
      <x:c r="AN99" s="1242"/>
      <x:c r="AO99" s="1242"/>
      <x:c r="AP99" s="1242"/>
      <x:c r="AQ99" s="1251"/>
    </x:row>
    <x:row r="100" ht="32" customHeight="1">
      <x:c r="A100" s="1242"/>
      <x:c r="B100" s="1251"/>
      <x:c r="C100" s="1242"/>
      <x:c r="D100" s="1243" t="str">
        <x:f>IF($C100="","",IFERROR(INDEX('23 RCC-004 MASR Registry'!$C$14:$C$163,MATCH($C100,'23 RCC-004 MASR Registry'!$B$14:$B$163,0)),""))</x:f>
      </x:c>
      <x:c r="E100" s="1242"/>
      <x:c r="F100" s="1242"/>
      <x:c r="G100" s="1242"/>
      <x:c r="H100" s="1242"/>
      <x:c r="I100" s="1243" t="str">
        <x:f>IF($C100="","",IFERROR(INDEX('23 RCC-004 MASR Registry'!$G$14:$G$163,MATCH($C100,'23 RCC-004 MASR Registry'!$B$14:$B$163,0)),""))</x:f>
      </x:c>
      <x:c r="J100" s="1243" t="str">
        <x:f>IF($C100="","",IFERROR(INDEX('23 RCC-004 MASR Registry'!$H$14:$H$163,MATCH($C100,'23 RCC-004 MASR Registry'!$B$14:$B$163,0)),""))</x:f>
      </x:c>
      <x:c r="K100" s="1243" t="str">
        <x:f>IF($C100="","",IFERROR(INDEX('23 RCC-004 MASR Registry'!$D$14:$D$163,MATCH($C100,'23 RCC-004 MASR Registry'!$B$14:$B$163,0)),""))</x:f>
      </x:c>
      <x:c r="L100" s="1243" t="str">
        <x:f>IF($C100="","",IFERROR(INDEX('23 RCC-004 MASR Registry'!$E$14:$E$163,MATCH($C100,'23 RCC-004 MASR Registry'!$B$14:$B$163,0)),""))</x:f>
      </x:c>
      <x:c r="M100" s="1243" t="str">
        <x:f>IF($C100="","",IFERROR(INDEX('23 RCC-004 MASR Registry'!$X$14:$X$163,MATCH($C100,'23 RCC-004 MASR Registry'!$B$14:$B$163,0)),""))</x:f>
      </x:c>
      <x:c r="N100" s="1243" t="str">
        <x:f>IF($C100="","",IFERROR(INDEX('23 RCC-004 MASR Registry'!$Y$14:$Y$163,MATCH($C100,'23 RCC-004 MASR Registry'!$B$14:$B$163,0)),""))</x:f>
      </x:c>
      <x:c r="O100" s="1243" t="str">
        <x:f>IF($C100="","",IFERROR(INDEX('23 RCC-004 MASR Registry'!$L$14:$L$163,MATCH($C100,'23 RCC-004 MASR Registry'!$B$14:$B$163,0)),""))</x:f>
      </x:c>
      <x:c r="P100" s="1243" t="str">
        <x:f>IF($C100="","",IFERROR(INDEX('23 RCC-004 MASR Registry'!$M$14:$M$163,MATCH($C100,'23 RCC-004 MASR Registry'!$B$14:$B$163,0)),""))</x:f>
      </x:c>
      <x:c r="Q100" s="1246" t="str">
        <x:f>IF($C100="","",IFERROR(INDEX('23 RCC-004 MASR Registry'!$N$14:$N$163,MATCH($C100,'23 RCC-004 MASR Registry'!$B$14:$B$163,0)),""))</x:f>
      </x:c>
      <x:c r="R100" s="1246" t="str">
        <x:f>IF($C100="","",IFERROR(INDEX('23 RCC-004 MASR Registry'!$O$14:$O$163,MATCH($C100,'23 RCC-004 MASR Registry'!$B$14:$B$163,0)),""))</x:f>
      </x:c>
      <x:c r="S100" s="1246" t="str">
        <x:f>IF($C100="","",IFERROR(INDEX('23 RCC-004 MASR Registry'!$W$14:$W$163,MATCH($C100,'23 RCC-004 MASR Registry'!$B$14:$B$163,0)),""))</x:f>
      </x:c>
      <x:c r="T100" s="1246" t="str">
        <x:f>IF($C100="","",IFERROR(INDEX('23 RCC-004 MASR Registry'!$T$14:$T$163,MATCH($C100,'23 RCC-004 MASR Registry'!$B$14:$B$163,0)),""))</x:f>
      </x:c>
      <x:c r="U100" s="1247" t="str">
        <x:f>IF($C100="","",IFERROR(INDEX('23 RCC-004 MASR Registry'!$U$14:$U$163,MATCH($C100,'23 RCC-004 MASR Registry'!$B$14:$B$163,0)),""))</x:f>
      </x:c>
      <x:c r="V100" s="1243" t="str">
        <x:f>IF($C100="","",IFERROR(INDEX('23 RCC-004 MASR Registry'!$V$14:$V$163,MATCH($C100,'23 RCC-004 MASR Registry'!$B$14:$B$163,0)),""))</x:f>
      </x:c>
      <x:c r="W100" s="1242"/>
      <x:c r="X100" s="1247" t="str">
        <x:f>IF($C100="","",COUNTIF('18 RCC-002 Evidence Ledger'!$E$14:$E$213,$C100))</x:f>
      </x:c>
      <x:c r="Y100" s="1242"/>
      <x:c r="Z100" s="1244" t="str">
        <x:f>IF($A100="","",IF(COUNTIF($A$14:$A$213,$A100)&gt;1,"FAIL — DUPLICATE ID",IF(OR($B100="",$C100="",$E100="",$H100="",$Y100="",$AA100="",$AB100=""),"FAIL — INCOMPLETE",IF(AND(OR($Y100="MIAR Review",$Y100="Eligibility Review",$Y100="Candidate Comparison",$Y100="Committee Review",$Y100="Approved for MASR",$Y100="Referred to PEW-004",$Y100="On Watch",$Y100="Rejected",$Y100="Closed",$Y100="Removed"),$K100=""),"FAIL — MASR RECORD REQUIRED",IF(AND(OR($Y100="Eligibility Review",$Y100="Candidate Comparison",$Y100="Committee Review",$Y100="Approved for MASR",$Y100="Referred to PEW-004",$Y100="On Watch"),NOT(OR($M100="ELIGIBLE",$M100="ELIGIBLE WITH EXCEPTION",$M100="CERTIFIED HOLDING"))),"FAIL — ELIGIBILITY",IF(AND(OR($Y100="Candidate Comparison",$Y100="Committee Review",$Y100="Approved for MASR",$Y100="Referred to PEW-004",$Y100="On Watch"),$X100=0),"FAIL — EVIDENCE",IF(AND(OR($Y100="Candidate Comparison",$Y100="Committee Review",$Y100="Approved for MASR",$Y100="Referred to PEW-004",$Y100="On Watch"),OR($O100&lt;&gt;"Active",$P100&lt;&gt;"CURRENT")),"FAIL — MIAR GATE",IF(AND(OR($Y100="Approved for MASR",$Y100="Referred to PEW-004",$Y100="On Watch",$Y100="Rejected",$Y100="Closed",$Y100="Removed"),OR($AD100="",$AD100="Pending")),"FAIL — COMMITTEE DISPOSITION",IF(AND($Y100="Referred to PEW-004",OR($AF100&lt;&gt;"Yes — Refer to PEW-004",$AG100="",$AJ100="")),"FAIL — PEW REFERRAL","PASS — STAGE GATE")))))))))</x:f>
      </x:c>
      <x:c r="AA100" s="1242"/>
      <x:c r="AB100" s="1251"/>
      <x:c r="AC100" s="1250" t="str">
        <x:f>IF($B100="","",IF($AQ100&lt;&gt;"",$AQ100-$B100,TODAY()-$B100))</x:f>
      </x:c>
      <x:c r="AD100" s="1242"/>
      <x:c r="AE100" s="1251"/>
      <x:c r="AF100" s="1242"/>
      <x:c r="AG100" s="1242"/>
      <x:c r="AH100" s="1246" t="str">
        <x:f>IF($AG100="","",IFERROR(INDEX('10 Candidate Comparison'!$T$14:$T$33,MATCH($AG100,'10 Candidate Comparison'!$A$14:$A$33,0)),""))</x:f>
      </x:c>
      <x:c r="AI100" s="1243" t="str">
        <x:f>IF($AG100="","",IFERROR(INDEX('10 Candidate Comparison'!$U$14:$U$33,MATCH($AG100,'10 Candidate Comparison'!$A$14:$A$33,0)),""))</x:f>
      </x:c>
      <x:c r="AJ100" s="1243" t="str">
        <x:f>IF($AG100="","",IFERROR(INDEX('10 Candidate Comparison'!$Y$14:$Y$33,MATCH($AG100,'10 Candidate Comparison'!$A$14:$A$33,0)),""))</x:f>
      </x:c>
      <x:c r="AK100" s="1244" t="str">
        <x:f>IF($A100="","",IF($Z100="FAIL — DUPLICATE ID","DUPLICATE CANDIDATE ID",IF($Z100="FAIL — INCOMPLETE","INCOMPLETE",IF($Z100="FAIL — MASR RECORD REQUIRED","MASR RECORD REQUIRED",IF($Z100="FAIL — ELIGIBILITY","ELIGIBILITY BLOCK",IF($Z100="FAIL — EVIDENCE","EVIDENCE REQUIRED",IF($Z100="FAIL — MIAR GATE","MIAR GATE BLOCK",IF($Z100="FAIL — COMMITTEE DISPOSITION","COMMITTEE DECISION REQUIRED",IF($Z100="FAIL — PEW REFERRAL","PEW REFERRAL INCOMPLETE",IF(AND(OR($Y100="Rejected",$Y100="Closed",$Y100="Removed"),OR($AO100="",$AP100="",$AQ100="")),"CLOSURE REQUIRED",IF(AND($AB100&lt;TODAY(),NOT(OR($Y100="Rejected",$Y100="Closed",$Y100="Removed"))),"OVERDUE",IF(OR($Y100="Rejected",$Y100="Closed",$Y100="Removed"),"CLOSED","OPEN — ON TRACK"))))))))))))</x:f>
      </x:c>
      <x:c r="AL100" s="1244" t="str">
        <x:f>IF($AK100="","",IFERROR(INDEX('97 RCC Lists'!$AM$5:$AM$16,MATCH($AK100,'97 RCC Lists'!$AL$5:$AL$16,0)),"Review candidate exception"))</x:f>
      </x:c>
      <x:c r="AM100" s="1242"/>
      <x:c r="AN100" s="1242"/>
      <x:c r="AO100" s="1242"/>
      <x:c r="AP100" s="1242"/>
      <x:c r="AQ100" s="1251"/>
    </x:row>
    <x:row r="101" ht="32" customHeight="1">
      <x:c r="A101" s="1242"/>
      <x:c r="B101" s="1251"/>
      <x:c r="C101" s="1242"/>
      <x:c r="D101" s="1252" t="str">
        <x:f>IF($C101="","",IFERROR(INDEX('23 RCC-004 MASR Registry'!$C$14:$C$163,MATCH($C101,'23 RCC-004 MASR Registry'!$B$14:$B$163,0)),""))</x:f>
      </x:c>
      <x:c r="E101" s="1242"/>
      <x:c r="F101" s="1242"/>
      <x:c r="G101" s="1242"/>
      <x:c r="H101" s="1242"/>
      <x:c r="I101" s="1252" t="str">
        <x:f>IF($C101="","",IFERROR(INDEX('23 RCC-004 MASR Registry'!$G$14:$G$163,MATCH($C101,'23 RCC-004 MASR Registry'!$B$14:$B$163,0)),""))</x:f>
      </x:c>
      <x:c r="J101" s="1252" t="str">
        <x:f>IF($C101="","",IFERROR(INDEX('23 RCC-004 MASR Registry'!$H$14:$H$163,MATCH($C101,'23 RCC-004 MASR Registry'!$B$14:$B$163,0)),""))</x:f>
      </x:c>
      <x:c r="K101" s="1252" t="str">
        <x:f>IF($C101="","",IFERROR(INDEX('23 RCC-004 MASR Registry'!$D$14:$D$163,MATCH($C101,'23 RCC-004 MASR Registry'!$B$14:$B$163,0)),""))</x:f>
      </x:c>
      <x:c r="L101" s="1252" t="str">
        <x:f>IF($C101="","",IFERROR(INDEX('23 RCC-004 MASR Registry'!$E$14:$E$163,MATCH($C101,'23 RCC-004 MASR Registry'!$B$14:$B$163,0)),""))</x:f>
      </x:c>
      <x:c r="M101" s="1252" t="str">
        <x:f>IF($C101="","",IFERROR(INDEX('23 RCC-004 MASR Registry'!$X$14:$X$163,MATCH($C101,'23 RCC-004 MASR Registry'!$B$14:$B$163,0)),""))</x:f>
      </x:c>
      <x:c r="N101" s="1252" t="str">
        <x:f>IF($C101="","",IFERROR(INDEX('23 RCC-004 MASR Registry'!$Y$14:$Y$163,MATCH($C101,'23 RCC-004 MASR Registry'!$B$14:$B$163,0)),""))</x:f>
      </x:c>
      <x:c r="O101" s="1252" t="str">
        <x:f>IF($C101="","",IFERROR(INDEX('23 RCC-004 MASR Registry'!$L$14:$L$163,MATCH($C101,'23 RCC-004 MASR Registry'!$B$14:$B$163,0)),""))</x:f>
      </x:c>
      <x:c r="P101" s="1252" t="str">
        <x:f>IF($C101="","",IFERROR(INDEX('23 RCC-004 MASR Registry'!$M$14:$M$163,MATCH($C101,'23 RCC-004 MASR Registry'!$B$14:$B$163,0)),""))</x:f>
      </x:c>
      <x:c r="Q101" s="1255" t="str">
        <x:f>IF($C101="","",IFERROR(INDEX('23 RCC-004 MASR Registry'!$N$14:$N$163,MATCH($C101,'23 RCC-004 MASR Registry'!$B$14:$B$163,0)),""))</x:f>
      </x:c>
      <x:c r="R101" s="1255" t="str">
        <x:f>IF($C101="","",IFERROR(INDEX('23 RCC-004 MASR Registry'!$O$14:$O$163,MATCH($C101,'23 RCC-004 MASR Registry'!$B$14:$B$163,0)),""))</x:f>
      </x:c>
      <x:c r="S101" s="1255" t="str">
        <x:f>IF($C101="","",IFERROR(INDEX('23 RCC-004 MASR Registry'!$W$14:$W$163,MATCH($C101,'23 RCC-004 MASR Registry'!$B$14:$B$163,0)),""))</x:f>
      </x:c>
      <x:c r="T101" s="1255" t="str">
        <x:f>IF($C101="","",IFERROR(INDEX('23 RCC-004 MASR Registry'!$T$14:$T$163,MATCH($C101,'23 RCC-004 MASR Registry'!$B$14:$B$163,0)),""))</x:f>
      </x:c>
      <x:c r="U101" s="1256" t="str">
        <x:f>IF($C101="","",IFERROR(INDEX('23 RCC-004 MASR Registry'!$U$14:$U$163,MATCH($C101,'23 RCC-004 MASR Registry'!$B$14:$B$163,0)),""))</x:f>
      </x:c>
      <x:c r="V101" s="1252" t="str">
        <x:f>IF($C101="","",IFERROR(INDEX('23 RCC-004 MASR Registry'!$V$14:$V$163,MATCH($C101,'23 RCC-004 MASR Registry'!$B$14:$B$163,0)),""))</x:f>
      </x:c>
      <x:c r="W101" s="1242"/>
      <x:c r="X101" s="1256" t="str">
        <x:f>IF($C101="","",COUNTIF('18 RCC-002 Evidence Ledger'!$E$14:$E$213,$C101))</x:f>
      </x:c>
      <x:c r="Y101" s="1242"/>
      <x:c r="Z101" s="1253" t="str">
        <x:f>IF($A101="","",IF(COUNTIF($A$14:$A$213,$A101)&gt;1,"FAIL — DUPLICATE ID",IF(OR($B101="",$C101="",$E101="",$H101="",$Y101="",$AA101="",$AB101=""),"FAIL — INCOMPLETE",IF(AND(OR($Y101="MIAR Review",$Y101="Eligibility Review",$Y101="Candidate Comparison",$Y101="Committee Review",$Y101="Approved for MASR",$Y101="Referred to PEW-004",$Y101="On Watch",$Y101="Rejected",$Y101="Closed",$Y101="Removed"),$K101=""),"FAIL — MASR RECORD REQUIRED",IF(AND(OR($Y101="Eligibility Review",$Y101="Candidate Comparison",$Y101="Committee Review",$Y101="Approved for MASR",$Y101="Referred to PEW-004",$Y101="On Watch"),NOT(OR($M101="ELIGIBLE",$M101="ELIGIBLE WITH EXCEPTION",$M101="CERTIFIED HOLDING"))),"FAIL — ELIGIBILITY",IF(AND(OR($Y101="Candidate Comparison",$Y101="Committee Review",$Y101="Approved for MASR",$Y101="Referred to PEW-004",$Y101="On Watch"),$X101=0),"FAIL — EVIDENCE",IF(AND(OR($Y101="Candidate Comparison",$Y101="Committee Review",$Y101="Approved for MASR",$Y101="Referred to PEW-004",$Y101="On Watch"),OR($O101&lt;&gt;"Active",$P101&lt;&gt;"CURRENT")),"FAIL — MIAR GATE",IF(AND(OR($Y101="Approved for MASR",$Y101="Referred to PEW-004",$Y101="On Watch",$Y101="Rejected",$Y101="Closed",$Y101="Removed"),OR($AD101="",$AD101="Pending")),"FAIL — COMMITTEE DISPOSITION",IF(AND($Y101="Referred to PEW-004",OR($AF101&lt;&gt;"Yes — Refer to PEW-004",$AG101="",$AJ101="")),"FAIL — PEW REFERRAL","PASS — STAGE GATE")))))))))</x:f>
      </x:c>
      <x:c r="AA101" s="1242"/>
      <x:c r="AB101" s="1251"/>
      <x:c r="AC101" s="1257" t="str">
        <x:f>IF($B101="","",IF($AQ101&lt;&gt;"",$AQ101-$B101,TODAY()-$B101))</x:f>
      </x:c>
      <x:c r="AD101" s="1242"/>
      <x:c r="AE101" s="1251"/>
      <x:c r="AF101" s="1242"/>
      <x:c r="AG101" s="1242"/>
      <x:c r="AH101" s="1255" t="str">
        <x:f>IF($AG101="","",IFERROR(INDEX('10 Candidate Comparison'!$T$14:$T$33,MATCH($AG101,'10 Candidate Comparison'!$A$14:$A$33,0)),""))</x:f>
      </x:c>
      <x:c r="AI101" s="1252" t="str">
        <x:f>IF($AG101="","",IFERROR(INDEX('10 Candidate Comparison'!$U$14:$U$33,MATCH($AG101,'10 Candidate Comparison'!$A$14:$A$33,0)),""))</x:f>
      </x:c>
      <x:c r="AJ101" s="1252" t="str">
        <x:f>IF($AG101="","",IFERROR(INDEX('10 Candidate Comparison'!$Y$14:$Y$33,MATCH($AG101,'10 Candidate Comparison'!$A$14:$A$33,0)),""))</x:f>
      </x:c>
      <x:c r="AK101" s="1253" t="str">
        <x:f>IF($A101="","",IF($Z101="FAIL — DUPLICATE ID","DUPLICATE CANDIDATE ID",IF($Z101="FAIL — INCOMPLETE","INCOMPLETE",IF($Z101="FAIL — MASR RECORD REQUIRED","MASR RECORD REQUIRED",IF($Z101="FAIL — ELIGIBILITY","ELIGIBILITY BLOCK",IF($Z101="FAIL — EVIDENCE","EVIDENCE REQUIRED",IF($Z101="FAIL — MIAR GATE","MIAR GATE BLOCK",IF($Z101="FAIL — COMMITTEE DISPOSITION","COMMITTEE DECISION REQUIRED",IF($Z101="FAIL — PEW REFERRAL","PEW REFERRAL INCOMPLETE",IF(AND(OR($Y101="Rejected",$Y101="Closed",$Y101="Removed"),OR($AO101="",$AP101="",$AQ101="")),"CLOSURE REQUIRED",IF(AND($AB101&lt;TODAY(),NOT(OR($Y101="Rejected",$Y101="Closed",$Y101="Removed"))),"OVERDUE",IF(OR($Y101="Rejected",$Y101="Closed",$Y101="Removed"),"CLOSED","OPEN — ON TRACK"))))))))))))</x:f>
      </x:c>
      <x:c r="AL101" s="1253" t="str">
        <x:f>IF($AK101="","",IFERROR(INDEX('97 RCC Lists'!$AM$5:$AM$16,MATCH($AK101,'97 RCC Lists'!$AL$5:$AL$16,0)),"Review candidate exception"))</x:f>
      </x:c>
      <x:c r="AM101" s="1242"/>
      <x:c r="AN101" s="1242"/>
      <x:c r="AO101" s="1242"/>
      <x:c r="AP101" s="1242"/>
      <x:c r="AQ101" s="1251"/>
    </x:row>
    <x:row r="102" ht="32" customHeight="1">
      <x:c r="A102" s="1242"/>
      <x:c r="B102" s="1251"/>
      <x:c r="C102" s="1242"/>
      <x:c r="D102" s="1243" t="str">
        <x:f>IF($C102="","",IFERROR(INDEX('23 RCC-004 MASR Registry'!$C$14:$C$163,MATCH($C102,'23 RCC-004 MASR Registry'!$B$14:$B$163,0)),""))</x:f>
      </x:c>
      <x:c r="E102" s="1242"/>
      <x:c r="F102" s="1242"/>
      <x:c r="G102" s="1242"/>
      <x:c r="H102" s="1242"/>
      <x:c r="I102" s="1243" t="str">
        <x:f>IF($C102="","",IFERROR(INDEX('23 RCC-004 MASR Registry'!$G$14:$G$163,MATCH($C102,'23 RCC-004 MASR Registry'!$B$14:$B$163,0)),""))</x:f>
      </x:c>
      <x:c r="J102" s="1243" t="str">
        <x:f>IF($C102="","",IFERROR(INDEX('23 RCC-004 MASR Registry'!$H$14:$H$163,MATCH($C102,'23 RCC-004 MASR Registry'!$B$14:$B$163,0)),""))</x:f>
      </x:c>
      <x:c r="K102" s="1243" t="str">
        <x:f>IF($C102="","",IFERROR(INDEX('23 RCC-004 MASR Registry'!$D$14:$D$163,MATCH($C102,'23 RCC-004 MASR Registry'!$B$14:$B$163,0)),""))</x:f>
      </x:c>
      <x:c r="L102" s="1243" t="str">
        <x:f>IF($C102="","",IFERROR(INDEX('23 RCC-004 MASR Registry'!$E$14:$E$163,MATCH($C102,'23 RCC-004 MASR Registry'!$B$14:$B$163,0)),""))</x:f>
      </x:c>
      <x:c r="M102" s="1243" t="str">
        <x:f>IF($C102="","",IFERROR(INDEX('23 RCC-004 MASR Registry'!$X$14:$X$163,MATCH($C102,'23 RCC-004 MASR Registry'!$B$14:$B$163,0)),""))</x:f>
      </x:c>
      <x:c r="N102" s="1243" t="str">
        <x:f>IF($C102="","",IFERROR(INDEX('23 RCC-004 MASR Registry'!$Y$14:$Y$163,MATCH($C102,'23 RCC-004 MASR Registry'!$B$14:$B$163,0)),""))</x:f>
      </x:c>
      <x:c r="O102" s="1243" t="str">
        <x:f>IF($C102="","",IFERROR(INDEX('23 RCC-004 MASR Registry'!$L$14:$L$163,MATCH($C102,'23 RCC-004 MASR Registry'!$B$14:$B$163,0)),""))</x:f>
      </x:c>
      <x:c r="P102" s="1243" t="str">
        <x:f>IF($C102="","",IFERROR(INDEX('23 RCC-004 MASR Registry'!$M$14:$M$163,MATCH($C102,'23 RCC-004 MASR Registry'!$B$14:$B$163,0)),""))</x:f>
      </x:c>
      <x:c r="Q102" s="1246" t="str">
        <x:f>IF($C102="","",IFERROR(INDEX('23 RCC-004 MASR Registry'!$N$14:$N$163,MATCH($C102,'23 RCC-004 MASR Registry'!$B$14:$B$163,0)),""))</x:f>
      </x:c>
      <x:c r="R102" s="1246" t="str">
        <x:f>IF($C102="","",IFERROR(INDEX('23 RCC-004 MASR Registry'!$O$14:$O$163,MATCH($C102,'23 RCC-004 MASR Registry'!$B$14:$B$163,0)),""))</x:f>
      </x:c>
      <x:c r="S102" s="1246" t="str">
        <x:f>IF($C102="","",IFERROR(INDEX('23 RCC-004 MASR Registry'!$W$14:$W$163,MATCH($C102,'23 RCC-004 MASR Registry'!$B$14:$B$163,0)),""))</x:f>
      </x:c>
      <x:c r="T102" s="1246" t="str">
        <x:f>IF($C102="","",IFERROR(INDEX('23 RCC-004 MASR Registry'!$T$14:$T$163,MATCH($C102,'23 RCC-004 MASR Registry'!$B$14:$B$163,0)),""))</x:f>
      </x:c>
      <x:c r="U102" s="1247" t="str">
        <x:f>IF($C102="","",IFERROR(INDEX('23 RCC-004 MASR Registry'!$U$14:$U$163,MATCH($C102,'23 RCC-004 MASR Registry'!$B$14:$B$163,0)),""))</x:f>
      </x:c>
      <x:c r="V102" s="1243" t="str">
        <x:f>IF($C102="","",IFERROR(INDEX('23 RCC-004 MASR Registry'!$V$14:$V$163,MATCH($C102,'23 RCC-004 MASR Registry'!$B$14:$B$163,0)),""))</x:f>
      </x:c>
      <x:c r="W102" s="1242"/>
      <x:c r="X102" s="1247" t="str">
        <x:f>IF($C102="","",COUNTIF('18 RCC-002 Evidence Ledger'!$E$14:$E$213,$C102))</x:f>
      </x:c>
      <x:c r="Y102" s="1242"/>
      <x:c r="Z102" s="1244" t="str">
        <x:f>IF($A102="","",IF(COUNTIF($A$14:$A$213,$A102)&gt;1,"FAIL — DUPLICATE ID",IF(OR($B102="",$C102="",$E102="",$H102="",$Y102="",$AA102="",$AB102=""),"FAIL — INCOMPLETE",IF(AND(OR($Y102="MIAR Review",$Y102="Eligibility Review",$Y102="Candidate Comparison",$Y102="Committee Review",$Y102="Approved for MASR",$Y102="Referred to PEW-004",$Y102="On Watch",$Y102="Rejected",$Y102="Closed",$Y102="Removed"),$K102=""),"FAIL — MASR RECORD REQUIRED",IF(AND(OR($Y102="Eligibility Review",$Y102="Candidate Comparison",$Y102="Committee Review",$Y102="Approved for MASR",$Y102="Referred to PEW-004",$Y102="On Watch"),NOT(OR($M102="ELIGIBLE",$M102="ELIGIBLE WITH EXCEPTION",$M102="CERTIFIED HOLDING"))),"FAIL — ELIGIBILITY",IF(AND(OR($Y102="Candidate Comparison",$Y102="Committee Review",$Y102="Approved for MASR",$Y102="Referred to PEW-004",$Y102="On Watch"),$X102=0),"FAIL — EVIDENCE",IF(AND(OR($Y102="Candidate Comparison",$Y102="Committee Review",$Y102="Approved for MASR",$Y102="Referred to PEW-004",$Y102="On Watch"),OR($O102&lt;&gt;"Active",$P102&lt;&gt;"CURRENT")),"FAIL — MIAR GATE",IF(AND(OR($Y102="Approved for MASR",$Y102="Referred to PEW-004",$Y102="On Watch",$Y102="Rejected",$Y102="Closed",$Y102="Removed"),OR($AD102="",$AD102="Pending")),"FAIL — COMMITTEE DISPOSITION",IF(AND($Y102="Referred to PEW-004",OR($AF102&lt;&gt;"Yes — Refer to PEW-004",$AG102="",$AJ102="")),"FAIL — PEW REFERRAL","PASS — STAGE GATE")))))))))</x:f>
      </x:c>
      <x:c r="AA102" s="1242"/>
      <x:c r="AB102" s="1251"/>
      <x:c r="AC102" s="1250" t="str">
        <x:f>IF($B102="","",IF($AQ102&lt;&gt;"",$AQ102-$B102,TODAY()-$B102))</x:f>
      </x:c>
      <x:c r="AD102" s="1242"/>
      <x:c r="AE102" s="1251"/>
      <x:c r="AF102" s="1242"/>
      <x:c r="AG102" s="1242"/>
      <x:c r="AH102" s="1246" t="str">
        <x:f>IF($AG102="","",IFERROR(INDEX('10 Candidate Comparison'!$T$14:$T$33,MATCH($AG102,'10 Candidate Comparison'!$A$14:$A$33,0)),""))</x:f>
      </x:c>
      <x:c r="AI102" s="1243" t="str">
        <x:f>IF($AG102="","",IFERROR(INDEX('10 Candidate Comparison'!$U$14:$U$33,MATCH($AG102,'10 Candidate Comparison'!$A$14:$A$33,0)),""))</x:f>
      </x:c>
      <x:c r="AJ102" s="1243" t="str">
        <x:f>IF($AG102="","",IFERROR(INDEX('10 Candidate Comparison'!$Y$14:$Y$33,MATCH($AG102,'10 Candidate Comparison'!$A$14:$A$33,0)),""))</x:f>
      </x:c>
      <x:c r="AK102" s="1244" t="str">
        <x:f>IF($A102="","",IF($Z102="FAIL — DUPLICATE ID","DUPLICATE CANDIDATE ID",IF($Z102="FAIL — INCOMPLETE","INCOMPLETE",IF($Z102="FAIL — MASR RECORD REQUIRED","MASR RECORD REQUIRED",IF($Z102="FAIL — ELIGIBILITY","ELIGIBILITY BLOCK",IF($Z102="FAIL — EVIDENCE","EVIDENCE REQUIRED",IF($Z102="FAIL — MIAR GATE","MIAR GATE BLOCK",IF($Z102="FAIL — COMMITTEE DISPOSITION","COMMITTEE DECISION REQUIRED",IF($Z102="FAIL — PEW REFERRAL","PEW REFERRAL INCOMPLETE",IF(AND(OR($Y102="Rejected",$Y102="Closed",$Y102="Removed"),OR($AO102="",$AP102="",$AQ102="")),"CLOSURE REQUIRED",IF(AND($AB102&lt;TODAY(),NOT(OR($Y102="Rejected",$Y102="Closed",$Y102="Removed"))),"OVERDUE",IF(OR($Y102="Rejected",$Y102="Closed",$Y102="Removed"),"CLOSED","OPEN — ON TRACK"))))))))))))</x:f>
      </x:c>
      <x:c r="AL102" s="1244" t="str">
        <x:f>IF($AK102="","",IFERROR(INDEX('97 RCC Lists'!$AM$5:$AM$16,MATCH($AK102,'97 RCC Lists'!$AL$5:$AL$16,0)),"Review candidate exception"))</x:f>
      </x:c>
      <x:c r="AM102" s="1242"/>
      <x:c r="AN102" s="1242"/>
      <x:c r="AO102" s="1242"/>
      <x:c r="AP102" s="1242"/>
      <x:c r="AQ102" s="1251"/>
    </x:row>
    <x:row r="103" ht="32" customHeight="1">
      <x:c r="A103" s="1242"/>
      <x:c r="B103" s="1251"/>
      <x:c r="C103" s="1242"/>
      <x:c r="D103" s="1252" t="str">
        <x:f>IF($C103="","",IFERROR(INDEX('23 RCC-004 MASR Registry'!$C$14:$C$163,MATCH($C103,'23 RCC-004 MASR Registry'!$B$14:$B$163,0)),""))</x:f>
      </x:c>
      <x:c r="E103" s="1242"/>
      <x:c r="F103" s="1242"/>
      <x:c r="G103" s="1242"/>
      <x:c r="H103" s="1242"/>
      <x:c r="I103" s="1252" t="str">
        <x:f>IF($C103="","",IFERROR(INDEX('23 RCC-004 MASR Registry'!$G$14:$G$163,MATCH($C103,'23 RCC-004 MASR Registry'!$B$14:$B$163,0)),""))</x:f>
      </x:c>
      <x:c r="J103" s="1252" t="str">
        <x:f>IF($C103="","",IFERROR(INDEX('23 RCC-004 MASR Registry'!$H$14:$H$163,MATCH($C103,'23 RCC-004 MASR Registry'!$B$14:$B$163,0)),""))</x:f>
      </x:c>
      <x:c r="K103" s="1252" t="str">
        <x:f>IF($C103="","",IFERROR(INDEX('23 RCC-004 MASR Registry'!$D$14:$D$163,MATCH($C103,'23 RCC-004 MASR Registry'!$B$14:$B$163,0)),""))</x:f>
      </x:c>
      <x:c r="L103" s="1252" t="str">
        <x:f>IF($C103="","",IFERROR(INDEX('23 RCC-004 MASR Registry'!$E$14:$E$163,MATCH($C103,'23 RCC-004 MASR Registry'!$B$14:$B$163,0)),""))</x:f>
      </x:c>
      <x:c r="M103" s="1252" t="str">
        <x:f>IF($C103="","",IFERROR(INDEX('23 RCC-004 MASR Registry'!$X$14:$X$163,MATCH($C103,'23 RCC-004 MASR Registry'!$B$14:$B$163,0)),""))</x:f>
      </x:c>
      <x:c r="N103" s="1252" t="str">
        <x:f>IF($C103="","",IFERROR(INDEX('23 RCC-004 MASR Registry'!$Y$14:$Y$163,MATCH($C103,'23 RCC-004 MASR Registry'!$B$14:$B$163,0)),""))</x:f>
      </x:c>
      <x:c r="O103" s="1252" t="str">
        <x:f>IF($C103="","",IFERROR(INDEX('23 RCC-004 MASR Registry'!$L$14:$L$163,MATCH($C103,'23 RCC-004 MASR Registry'!$B$14:$B$163,0)),""))</x:f>
      </x:c>
      <x:c r="P103" s="1252" t="str">
        <x:f>IF($C103="","",IFERROR(INDEX('23 RCC-004 MASR Registry'!$M$14:$M$163,MATCH($C103,'23 RCC-004 MASR Registry'!$B$14:$B$163,0)),""))</x:f>
      </x:c>
      <x:c r="Q103" s="1255" t="str">
        <x:f>IF($C103="","",IFERROR(INDEX('23 RCC-004 MASR Registry'!$N$14:$N$163,MATCH($C103,'23 RCC-004 MASR Registry'!$B$14:$B$163,0)),""))</x:f>
      </x:c>
      <x:c r="R103" s="1255" t="str">
        <x:f>IF($C103="","",IFERROR(INDEX('23 RCC-004 MASR Registry'!$O$14:$O$163,MATCH($C103,'23 RCC-004 MASR Registry'!$B$14:$B$163,0)),""))</x:f>
      </x:c>
      <x:c r="S103" s="1255" t="str">
        <x:f>IF($C103="","",IFERROR(INDEX('23 RCC-004 MASR Registry'!$W$14:$W$163,MATCH($C103,'23 RCC-004 MASR Registry'!$B$14:$B$163,0)),""))</x:f>
      </x:c>
      <x:c r="T103" s="1255" t="str">
        <x:f>IF($C103="","",IFERROR(INDEX('23 RCC-004 MASR Registry'!$T$14:$T$163,MATCH($C103,'23 RCC-004 MASR Registry'!$B$14:$B$163,0)),""))</x:f>
      </x:c>
      <x:c r="U103" s="1256" t="str">
        <x:f>IF($C103="","",IFERROR(INDEX('23 RCC-004 MASR Registry'!$U$14:$U$163,MATCH($C103,'23 RCC-004 MASR Registry'!$B$14:$B$163,0)),""))</x:f>
      </x:c>
      <x:c r="V103" s="1252" t="str">
        <x:f>IF($C103="","",IFERROR(INDEX('23 RCC-004 MASR Registry'!$V$14:$V$163,MATCH($C103,'23 RCC-004 MASR Registry'!$B$14:$B$163,0)),""))</x:f>
      </x:c>
      <x:c r="W103" s="1242"/>
      <x:c r="X103" s="1256" t="str">
        <x:f>IF($C103="","",COUNTIF('18 RCC-002 Evidence Ledger'!$E$14:$E$213,$C103))</x:f>
      </x:c>
      <x:c r="Y103" s="1242"/>
      <x:c r="Z103" s="1253" t="str">
        <x:f>IF($A103="","",IF(COUNTIF($A$14:$A$213,$A103)&gt;1,"FAIL — DUPLICATE ID",IF(OR($B103="",$C103="",$E103="",$H103="",$Y103="",$AA103="",$AB103=""),"FAIL — INCOMPLETE",IF(AND(OR($Y103="MIAR Review",$Y103="Eligibility Review",$Y103="Candidate Comparison",$Y103="Committee Review",$Y103="Approved for MASR",$Y103="Referred to PEW-004",$Y103="On Watch",$Y103="Rejected",$Y103="Closed",$Y103="Removed"),$K103=""),"FAIL — MASR RECORD REQUIRED",IF(AND(OR($Y103="Eligibility Review",$Y103="Candidate Comparison",$Y103="Committee Review",$Y103="Approved for MASR",$Y103="Referred to PEW-004",$Y103="On Watch"),NOT(OR($M103="ELIGIBLE",$M103="ELIGIBLE WITH EXCEPTION",$M103="CERTIFIED HOLDING"))),"FAIL — ELIGIBILITY",IF(AND(OR($Y103="Candidate Comparison",$Y103="Committee Review",$Y103="Approved for MASR",$Y103="Referred to PEW-004",$Y103="On Watch"),$X103=0),"FAIL — EVIDENCE",IF(AND(OR($Y103="Candidate Comparison",$Y103="Committee Review",$Y103="Approved for MASR",$Y103="Referred to PEW-004",$Y103="On Watch"),OR($O103&lt;&gt;"Active",$P103&lt;&gt;"CURRENT")),"FAIL — MIAR GATE",IF(AND(OR($Y103="Approved for MASR",$Y103="Referred to PEW-004",$Y103="On Watch",$Y103="Rejected",$Y103="Closed",$Y103="Removed"),OR($AD103="",$AD103="Pending")),"FAIL — COMMITTEE DISPOSITION",IF(AND($Y103="Referred to PEW-004",OR($AF103&lt;&gt;"Yes — Refer to PEW-004",$AG103="",$AJ103="")),"FAIL — PEW REFERRAL","PASS — STAGE GATE")))))))))</x:f>
      </x:c>
      <x:c r="AA103" s="1242"/>
      <x:c r="AB103" s="1251"/>
      <x:c r="AC103" s="1257" t="str">
        <x:f>IF($B103="","",IF($AQ103&lt;&gt;"",$AQ103-$B103,TODAY()-$B103))</x:f>
      </x:c>
      <x:c r="AD103" s="1242"/>
      <x:c r="AE103" s="1251"/>
      <x:c r="AF103" s="1242"/>
      <x:c r="AG103" s="1242"/>
      <x:c r="AH103" s="1255" t="str">
        <x:f>IF($AG103="","",IFERROR(INDEX('10 Candidate Comparison'!$T$14:$T$33,MATCH($AG103,'10 Candidate Comparison'!$A$14:$A$33,0)),""))</x:f>
      </x:c>
      <x:c r="AI103" s="1252" t="str">
        <x:f>IF($AG103="","",IFERROR(INDEX('10 Candidate Comparison'!$U$14:$U$33,MATCH($AG103,'10 Candidate Comparison'!$A$14:$A$33,0)),""))</x:f>
      </x:c>
      <x:c r="AJ103" s="1252" t="str">
        <x:f>IF($AG103="","",IFERROR(INDEX('10 Candidate Comparison'!$Y$14:$Y$33,MATCH($AG103,'10 Candidate Comparison'!$A$14:$A$33,0)),""))</x:f>
      </x:c>
      <x:c r="AK103" s="1253" t="str">
        <x:f>IF($A103="","",IF($Z103="FAIL — DUPLICATE ID","DUPLICATE CANDIDATE ID",IF($Z103="FAIL — INCOMPLETE","INCOMPLETE",IF($Z103="FAIL — MASR RECORD REQUIRED","MASR RECORD REQUIRED",IF($Z103="FAIL — ELIGIBILITY","ELIGIBILITY BLOCK",IF($Z103="FAIL — EVIDENCE","EVIDENCE REQUIRED",IF($Z103="FAIL — MIAR GATE","MIAR GATE BLOCK",IF($Z103="FAIL — COMMITTEE DISPOSITION","COMMITTEE DECISION REQUIRED",IF($Z103="FAIL — PEW REFERRAL","PEW REFERRAL INCOMPLETE",IF(AND(OR($Y103="Rejected",$Y103="Closed",$Y103="Removed"),OR($AO103="",$AP103="",$AQ103="")),"CLOSURE REQUIRED",IF(AND($AB103&lt;TODAY(),NOT(OR($Y103="Rejected",$Y103="Closed",$Y103="Removed"))),"OVERDUE",IF(OR($Y103="Rejected",$Y103="Closed",$Y103="Removed"),"CLOSED","OPEN — ON TRACK"))))))))))))</x:f>
      </x:c>
      <x:c r="AL103" s="1253" t="str">
        <x:f>IF($AK103="","",IFERROR(INDEX('97 RCC Lists'!$AM$5:$AM$16,MATCH($AK103,'97 RCC Lists'!$AL$5:$AL$16,0)),"Review candidate exception"))</x:f>
      </x:c>
      <x:c r="AM103" s="1242"/>
      <x:c r="AN103" s="1242"/>
      <x:c r="AO103" s="1242"/>
      <x:c r="AP103" s="1242"/>
      <x:c r="AQ103" s="1251"/>
    </x:row>
    <x:row r="104" ht="32" customHeight="1">
      <x:c r="A104" s="1242"/>
      <x:c r="B104" s="1251"/>
      <x:c r="C104" s="1242"/>
      <x:c r="D104" s="1243" t="str">
        <x:f>IF($C104="","",IFERROR(INDEX('23 RCC-004 MASR Registry'!$C$14:$C$163,MATCH($C104,'23 RCC-004 MASR Registry'!$B$14:$B$163,0)),""))</x:f>
      </x:c>
      <x:c r="E104" s="1242"/>
      <x:c r="F104" s="1242"/>
      <x:c r="G104" s="1242"/>
      <x:c r="H104" s="1242"/>
      <x:c r="I104" s="1243" t="str">
        <x:f>IF($C104="","",IFERROR(INDEX('23 RCC-004 MASR Registry'!$G$14:$G$163,MATCH($C104,'23 RCC-004 MASR Registry'!$B$14:$B$163,0)),""))</x:f>
      </x:c>
      <x:c r="J104" s="1243" t="str">
        <x:f>IF($C104="","",IFERROR(INDEX('23 RCC-004 MASR Registry'!$H$14:$H$163,MATCH($C104,'23 RCC-004 MASR Registry'!$B$14:$B$163,0)),""))</x:f>
      </x:c>
      <x:c r="K104" s="1243" t="str">
        <x:f>IF($C104="","",IFERROR(INDEX('23 RCC-004 MASR Registry'!$D$14:$D$163,MATCH($C104,'23 RCC-004 MASR Registry'!$B$14:$B$163,0)),""))</x:f>
      </x:c>
      <x:c r="L104" s="1243" t="str">
        <x:f>IF($C104="","",IFERROR(INDEX('23 RCC-004 MASR Registry'!$E$14:$E$163,MATCH($C104,'23 RCC-004 MASR Registry'!$B$14:$B$163,0)),""))</x:f>
      </x:c>
      <x:c r="M104" s="1243" t="str">
        <x:f>IF($C104="","",IFERROR(INDEX('23 RCC-004 MASR Registry'!$X$14:$X$163,MATCH($C104,'23 RCC-004 MASR Registry'!$B$14:$B$163,0)),""))</x:f>
      </x:c>
      <x:c r="N104" s="1243" t="str">
        <x:f>IF($C104="","",IFERROR(INDEX('23 RCC-004 MASR Registry'!$Y$14:$Y$163,MATCH($C104,'23 RCC-004 MASR Registry'!$B$14:$B$163,0)),""))</x:f>
      </x:c>
      <x:c r="O104" s="1243" t="str">
        <x:f>IF($C104="","",IFERROR(INDEX('23 RCC-004 MASR Registry'!$L$14:$L$163,MATCH($C104,'23 RCC-004 MASR Registry'!$B$14:$B$163,0)),""))</x:f>
      </x:c>
      <x:c r="P104" s="1243" t="str">
        <x:f>IF($C104="","",IFERROR(INDEX('23 RCC-004 MASR Registry'!$M$14:$M$163,MATCH($C104,'23 RCC-004 MASR Registry'!$B$14:$B$163,0)),""))</x:f>
      </x:c>
      <x:c r="Q104" s="1246" t="str">
        <x:f>IF($C104="","",IFERROR(INDEX('23 RCC-004 MASR Registry'!$N$14:$N$163,MATCH($C104,'23 RCC-004 MASR Registry'!$B$14:$B$163,0)),""))</x:f>
      </x:c>
      <x:c r="R104" s="1246" t="str">
        <x:f>IF($C104="","",IFERROR(INDEX('23 RCC-004 MASR Registry'!$O$14:$O$163,MATCH($C104,'23 RCC-004 MASR Registry'!$B$14:$B$163,0)),""))</x:f>
      </x:c>
      <x:c r="S104" s="1246" t="str">
        <x:f>IF($C104="","",IFERROR(INDEX('23 RCC-004 MASR Registry'!$W$14:$W$163,MATCH($C104,'23 RCC-004 MASR Registry'!$B$14:$B$163,0)),""))</x:f>
      </x:c>
      <x:c r="T104" s="1246" t="str">
        <x:f>IF($C104="","",IFERROR(INDEX('23 RCC-004 MASR Registry'!$T$14:$T$163,MATCH($C104,'23 RCC-004 MASR Registry'!$B$14:$B$163,0)),""))</x:f>
      </x:c>
      <x:c r="U104" s="1247" t="str">
        <x:f>IF($C104="","",IFERROR(INDEX('23 RCC-004 MASR Registry'!$U$14:$U$163,MATCH($C104,'23 RCC-004 MASR Registry'!$B$14:$B$163,0)),""))</x:f>
      </x:c>
      <x:c r="V104" s="1243" t="str">
        <x:f>IF($C104="","",IFERROR(INDEX('23 RCC-004 MASR Registry'!$V$14:$V$163,MATCH($C104,'23 RCC-004 MASR Registry'!$B$14:$B$163,0)),""))</x:f>
      </x:c>
      <x:c r="W104" s="1242"/>
      <x:c r="X104" s="1247" t="str">
        <x:f>IF($C104="","",COUNTIF('18 RCC-002 Evidence Ledger'!$E$14:$E$213,$C104))</x:f>
      </x:c>
      <x:c r="Y104" s="1242"/>
      <x:c r="Z104" s="1244" t="str">
        <x:f>IF($A104="","",IF(COUNTIF($A$14:$A$213,$A104)&gt;1,"FAIL — DUPLICATE ID",IF(OR($B104="",$C104="",$E104="",$H104="",$Y104="",$AA104="",$AB104=""),"FAIL — INCOMPLETE",IF(AND(OR($Y104="MIAR Review",$Y104="Eligibility Review",$Y104="Candidate Comparison",$Y104="Committee Review",$Y104="Approved for MASR",$Y104="Referred to PEW-004",$Y104="On Watch",$Y104="Rejected",$Y104="Closed",$Y104="Removed"),$K104=""),"FAIL — MASR RECORD REQUIRED",IF(AND(OR($Y104="Eligibility Review",$Y104="Candidate Comparison",$Y104="Committee Review",$Y104="Approved for MASR",$Y104="Referred to PEW-004",$Y104="On Watch"),NOT(OR($M104="ELIGIBLE",$M104="ELIGIBLE WITH EXCEPTION",$M104="CERTIFIED HOLDING"))),"FAIL — ELIGIBILITY",IF(AND(OR($Y104="Candidate Comparison",$Y104="Committee Review",$Y104="Approved for MASR",$Y104="Referred to PEW-004",$Y104="On Watch"),$X104=0),"FAIL — EVIDENCE",IF(AND(OR($Y104="Candidate Comparison",$Y104="Committee Review",$Y104="Approved for MASR",$Y104="Referred to PEW-004",$Y104="On Watch"),OR($O104&lt;&gt;"Active",$P104&lt;&gt;"CURRENT")),"FAIL — MIAR GATE",IF(AND(OR($Y104="Approved for MASR",$Y104="Referred to PEW-004",$Y104="On Watch",$Y104="Rejected",$Y104="Closed",$Y104="Removed"),OR($AD104="",$AD104="Pending")),"FAIL — COMMITTEE DISPOSITION",IF(AND($Y104="Referred to PEW-004",OR($AF104&lt;&gt;"Yes — Refer to PEW-004",$AG104="",$AJ104="")),"FAIL — PEW REFERRAL","PASS — STAGE GATE")))))))))</x:f>
      </x:c>
      <x:c r="AA104" s="1242"/>
      <x:c r="AB104" s="1251"/>
      <x:c r="AC104" s="1250" t="str">
        <x:f>IF($B104="","",IF($AQ104&lt;&gt;"",$AQ104-$B104,TODAY()-$B104))</x:f>
      </x:c>
      <x:c r="AD104" s="1242"/>
      <x:c r="AE104" s="1251"/>
      <x:c r="AF104" s="1242"/>
      <x:c r="AG104" s="1242"/>
      <x:c r="AH104" s="1246" t="str">
        <x:f>IF($AG104="","",IFERROR(INDEX('10 Candidate Comparison'!$T$14:$T$33,MATCH($AG104,'10 Candidate Comparison'!$A$14:$A$33,0)),""))</x:f>
      </x:c>
      <x:c r="AI104" s="1243" t="str">
        <x:f>IF($AG104="","",IFERROR(INDEX('10 Candidate Comparison'!$U$14:$U$33,MATCH($AG104,'10 Candidate Comparison'!$A$14:$A$33,0)),""))</x:f>
      </x:c>
      <x:c r="AJ104" s="1243" t="str">
        <x:f>IF($AG104="","",IFERROR(INDEX('10 Candidate Comparison'!$Y$14:$Y$33,MATCH($AG104,'10 Candidate Comparison'!$A$14:$A$33,0)),""))</x:f>
      </x:c>
      <x:c r="AK104" s="1244" t="str">
        <x:f>IF($A104="","",IF($Z104="FAIL — DUPLICATE ID","DUPLICATE CANDIDATE ID",IF($Z104="FAIL — INCOMPLETE","INCOMPLETE",IF($Z104="FAIL — MASR RECORD REQUIRED","MASR RECORD REQUIRED",IF($Z104="FAIL — ELIGIBILITY","ELIGIBILITY BLOCK",IF($Z104="FAIL — EVIDENCE","EVIDENCE REQUIRED",IF($Z104="FAIL — MIAR GATE","MIAR GATE BLOCK",IF($Z104="FAIL — COMMITTEE DISPOSITION","COMMITTEE DECISION REQUIRED",IF($Z104="FAIL — PEW REFERRAL","PEW REFERRAL INCOMPLETE",IF(AND(OR($Y104="Rejected",$Y104="Closed",$Y104="Removed"),OR($AO104="",$AP104="",$AQ104="")),"CLOSURE REQUIRED",IF(AND($AB104&lt;TODAY(),NOT(OR($Y104="Rejected",$Y104="Closed",$Y104="Removed"))),"OVERDUE",IF(OR($Y104="Rejected",$Y104="Closed",$Y104="Removed"),"CLOSED","OPEN — ON TRACK"))))))))))))</x:f>
      </x:c>
      <x:c r="AL104" s="1244" t="str">
        <x:f>IF($AK104="","",IFERROR(INDEX('97 RCC Lists'!$AM$5:$AM$16,MATCH($AK104,'97 RCC Lists'!$AL$5:$AL$16,0)),"Review candidate exception"))</x:f>
      </x:c>
      <x:c r="AM104" s="1242"/>
      <x:c r="AN104" s="1242"/>
      <x:c r="AO104" s="1242"/>
      <x:c r="AP104" s="1242"/>
      <x:c r="AQ104" s="1251"/>
    </x:row>
    <x:row r="105" ht="32" customHeight="1">
      <x:c r="A105" s="1242"/>
      <x:c r="B105" s="1251"/>
      <x:c r="C105" s="1242"/>
      <x:c r="D105" s="1252" t="str">
        <x:f>IF($C105="","",IFERROR(INDEX('23 RCC-004 MASR Registry'!$C$14:$C$163,MATCH($C105,'23 RCC-004 MASR Registry'!$B$14:$B$163,0)),""))</x:f>
      </x:c>
      <x:c r="E105" s="1242"/>
      <x:c r="F105" s="1242"/>
      <x:c r="G105" s="1242"/>
      <x:c r="H105" s="1242"/>
      <x:c r="I105" s="1252" t="str">
        <x:f>IF($C105="","",IFERROR(INDEX('23 RCC-004 MASR Registry'!$G$14:$G$163,MATCH($C105,'23 RCC-004 MASR Registry'!$B$14:$B$163,0)),""))</x:f>
      </x:c>
      <x:c r="J105" s="1252" t="str">
        <x:f>IF($C105="","",IFERROR(INDEX('23 RCC-004 MASR Registry'!$H$14:$H$163,MATCH($C105,'23 RCC-004 MASR Registry'!$B$14:$B$163,0)),""))</x:f>
      </x:c>
      <x:c r="K105" s="1252" t="str">
        <x:f>IF($C105="","",IFERROR(INDEX('23 RCC-004 MASR Registry'!$D$14:$D$163,MATCH($C105,'23 RCC-004 MASR Registry'!$B$14:$B$163,0)),""))</x:f>
      </x:c>
      <x:c r="L105" s="1252" t="str">
        <x:f>IF($C105="","",IFERROR(INDEX('23 RCC-004 MASR Registry'!$E$14:$E$163,MATCH($C105,'23 RCC-004 MASR Registry'!$B$14:$B$163,0)),""))</x:f>
      </x:c>
      <x:c r="M105" s="1252" t="str">
        <x:f>IF($C105="","",IFERROR(INDEX('23 RCC-004 MASR Registry'!$X$14:$X$163,MATCH($C105,'23 RCC-004 MASR Registry'!$B$14:$B$163,0)),""))</x:f>
      </x:c>
      <x:c r="N105" s="1252" t="str">
        <x:f>IF($C105="","",IFERROR(INDEX('23 RCC-004 MASR Registry'!$Y$14:$Y$163,MATCH($C105,'23 RCC-004 MASR Registry'!$B$14:$B$163,0)),""))</x:f>
      </x:c>
      <x:c r="O105" s="1252" t="str">
        <x:f>IF($C105="","",IFERROR(INDEX('23 RCC-004 MASR Registry'!$L$14:$L$163,MATCH($C105,'23 RCC-004 MASR Registry'!$B$14:$B$163,0)),""))</x:f>
      </x:c>
      <x:c r="P105" s="1252" t="str">
        <x:f>IF($C105="","",IFERROR(INDEX('23 RCC-004 MASR Registry'!$M$14:$M$163,MATCH($C105,'23 RCC-004 MASR Registry'!$B$14:$B$163,0)),""))</x:f>
      </x:c>
      <x:c r="Q105" s="1255" t="str">
        <x:f>IF($C105="","",IFERROR(INDEX('23 RCC-004 MASR Registry'!$N$14:$N$163,MATCH($C105,'23 RCC-004 MASR Registry'!$B$14:$B$163,0)),""))</x:f>
      </x:c>
      <x:c r="R105" s="1255" t="str">
        <x:f>IF($C105="","",IFERROR(INDEX('23 RCC-004 MASR Registry'!$O$14:$O$163,MATCH($C105,'23 RCC-004 MASR Registry'!$B$14:$B$163,0)),""))</x:f>
      </x:c>
      <x:c r="S105" s="1255" t="str">
        <x:f>IF($C105="","",IFERROR(INDEX('23 RCC-004 MASR Registry'!$W$14:$W$163,MATCH($C105,'23 RCC-004 MASR Registry'!$B$14:$B$163,0)),""))</x:f>
      </x:c>
      <x:c r="T105" s="1255" t="str">
        <x:f>IF($C105="","",IFERROR(INDEX('23 RCC-004 MASR Registry'!$T$14:$T$163,MATCH($C105,'23 RCC-004 MASR Registry'!$B$14:$B$163,0)),""))</x:f>
      </x:c>
      <x:c r="U105" s="1256" t="str">
        <x:f>IF($C105="","",IFERROR(INDEX('23 RCC-004 MASR Registry'!$U$14:$U$163,MATCH($C105,'23 RCC-004 MASR Registry'!$B$14:$B$163,0)),""))</x:f>
      </x:c>
      <x:c r="V105" s="1252" t="str">
        <x:f>IF($C105="","",IFERROR(INDEX('23 RCC-004 MASR Registry'!$V$14:$V$163,MATCH($C105,'23 RCC-004 MASR Registry'!$B$14:$B$163,0)),""))</x:f>
      </x:c>
      <x:c r="W105" s="1242"/>
      <x:c r="X105" s="1256" t="str">
        <x:f>IF($C105="","",COUNTIF('18 RCC-002 Evidence Ledger'!$E$14:$E$213,$C105))</x:f>
      </x:c>
      <x:c r="Y105" s="1242"/>
      <x:c r="Z105" s="1253" t="str">
        <x:f>IF($A105="","",IF(COUNTIF($A$14:$A$213,$A105)&gt;1,"FAIL — DUPLICATE ID",IF(OR($B105="",$C105="",$E105="",$H105="",$Y105="",$AA105="",$AB105=""),"FAIL — INCOMPLETE",IF(AND(OR($Y105="MIAR Review",$Y105="Eligibility Review",$Y105="Candidate Comparison",$Y105="Committee Review",$Y105="Approved for MASR",$Y105="Referred to PEW-004",$Y105="On Watch",$Y105="Rejected",$Y105="Closed",$Y105="Removed"),$K105=""),"FAIL — MASR RECORD REQUIRED",IF(AND(OR($Y105="Eligibility Review",$Y105="Candidate Comparison",$Y105="Committee Review",$Y105="Approved for MASR",$Y105="Referred to PEW-004",$Y105="On Watch"),NOT(OR($M105="ELIGIBLE",$M105="ELIGIBLE WITH EXCEPTION",$M105="CERTIFIED HOLDING"))),"FAIL — ELIGIBILITY",IF(AND(OR($Y105="Candidate Comparison",$Y105="Committee Review",$Y105="Approved for MASR",$Y105="Referred to PEW-004",$Y105="On Watch"),$X105=0),"FAIL — EVIDENCE",IF(AND(OR($Y105="Candidate Comparison",$Y105="Committee Review",$Y105="Approved for MASR",$Y105="Referred to PEW-004",$Y105="On Watch"),OR($O105&lt;&gt;"Active",$P105&lt;&gt;"CURRENT")),"FAIL — MIAR GATE",IF(AND(OR($Y105="Approved for MASR",$Y105="Referred to PEW-004",$Y105="On Watch",$Y105="Rejected",$Y105="Closed",$Y105="Removed"),OR($AD105="",$AD105="Pending")),"FAIL — COMMITTEE DISPOSITION",IF(AND($Y105="Referred to PEW-004",OR($AF105&lt;&gt;"Yes — Refer to PEW-004",$AG105="",$AJ105="")),"FAIL — PEW REFERRAL","PASS — STAGE GATE")))))))))</x:f>
      </x:c>
      <x:c r="AA105" s="1242"/>
      <x:c r="AB105" s="1251"/>
      <x:c r="AC105" s="1257" t="str">
        <x:f>IF($B105="","",IF($AQ105&lt;&gt;"",$AQ105-$B105,TODAY()-$B105))</x:f>
      </x:c>
      <x:c r="AD105" s="1242"/>
      <x:c r="AE105" s="1251"/>
      <x:c r="AF105" s="1242"/>
      <x:c r="AG105" s="1242"/>
      <x:c r="AH105" s="1255" t="str">
        <x:f>IF($AG105="","",IFERROR(INDEX('10 Candidate Comparison'!$T$14:$T$33,MATCH($AG105,'10 Candidate Comparison'!$A$14:$A$33,0)),""))</x:f>
      </x:c>
      <x:c r="AI105" s="1252" t="str">
        <x:f>IF($AG105="","",IFERROR(INDEX('10 Candidate Comparison'!$U$14:$U$33,MATCH($AG105,'10 Candidate Comparison'!$A$14:$A$33,0)),""))</x:f>
      </x:c>
      <x:c r="AJ105" s="1252" t="str">
        <x:f>IF($AG105="","",IFERROR(INDEX('10 Candidate Comparison'!$Y$14:$Y$33,MATCH($AG105,'10 Candidate Comparison'!$A$14:$A$33,0)),""))</x:f>
      </x:c>
      <x:c r="AK105" s="1253" t="str">
        <x:f>IF($A105="","",IF($Z105="FAIL — DUPLICATE ID","DUPLICATE CANDIDATE ID",IF($Z105="FAIL — INCOMPLETE","INCOMPLETE",IF($Z105="FAIL — MASR RECORD REQUIRED","MASR RECORD REQUIRED",IF($Z105="FAIL — ELIGIBILITY","ELIGIBILITY BLOCK",IF($Z105="FAIL — EVIDENCE","EVIDENCE REQUIRED",IF($Z105="FAIL — MIAR GATE","MIAR GATE BLOCK",IF($Z105="FAIL — COMMITTEE DISPOSITION","COMMITTEE DECISION REQUIRED",IF($Z105="FAIL — PEW REFERRAL","PEW REFERRAL INCOMPLETE",IF(AND(OR($Y105="Rejected",$Y105="Closed",$Y105="Removed"),OR($AO105="",$AP105="",$AQ105="")),"CLOSURE REQUIRED",IF(AND($AB105&lt;TODAY(),NOT(OR($Y105="Rejected",$Y105="Closed",$Y105="Removed"))),"OVERDUE",IF(OR($Y105="Rejected",$Y105="Closed",$Y105="Removed"),"CLOSED","OPEN — ON TRACK"))))))))))))</x:f>
      </x:c>
      <x:c r="AL105" s="1253" t="str">
        <x:f>IF($AK105="","",IFERROR(INDEX('97 RCC Lists'!$AM$5:$AM$16,MATCH($AK105,'97 RCC Lists'!$AL$5:$AL$16,0)),"Review candidate exception"))</x:f>
      </x:c>
      <x:c r="AM105" s="1242"/>
      <x:c r="AN105" s="1242"/>
      <x:c r="AO105" s="1242"/>
      <x:c r="AP105" s="1242"/>
      <x:c r="AQ105" s="1251"/>
    </x:row>
    <x:row r="106" ht="32" customHeight="1">
      <x:c r="A106" s="1242"/>
      <x:c r="B106" s="1251"/>
      <x:c r="C106" s="1242"/>
      <x:c r="D106" s="1243" t="str">
        <x:f>IF($C106="","",IFERROR(INDEX('23 RCC-004 MASR Registry'!$C$14:$C$163,MATCH($C106,'23 RCC-004 MASR Registry'!$B$14:$B$163,0)),""))</x:f>
      </x:c>
      <x:c r="E106" s="1242"/>
      <x:c r="F106" s="1242"/>
      <x:c r="G106" s="1242"/>
      <x:c r="H106" s="1242"/>
      <x:c r="I106" s="1243" t="str">
        <x:f>IF($C106="","",IFERROR(INDEX('23 RCC-004 MASR Registry'!$G$14:$G$163,MATCH($C106,'23 RCC-004 MASR Registry'!$B$14:$B$163,0)),""))</x:f>
      </x:c>
      <x:c r="J106" s="1243" t="str">
        <x:f>IF($C106="","",IFERROR(INDEX('23 RCC-004 MASR Registry'!$H$14:$H$163,MATCH($C106,'23 RCC-004 MASR Registry'!$B$14:$B$163,0)),""))</x:f>
      </x:c>
      <x:c r="K106" s="1243" t="str">
        <x:f>IF($C106="","",IFERROR(INDEX('23 RCC-004 MASR Registry'!$D$14:$D$163,MATCH($C106,'23 RCC-004 MASR Registry'!$B$14:$B$163,0)),""))</x:f>
      </x:c>
      <x:c r="L106" s="1243" t="str">
        <x:f>IF($C106="","",IFERROR(INDEX('23 RCC-004 MASR Registry'!$E$14:$E$163,MATCH($C106,'23 RCC-004 MASR Registry'!$B$14:$B$163,0)),""))</x:f>
      </x:c>
      <x:c r="M106" s="1243" t="str">
        <x:f>IF($C106="","",IFERROR(INDEX('23 RCC-004 MASR Registry'!$X$14:$X$163,MATCH($C106,'23 RCC-004 MASR Registry'!$B$14:$B$163,0)),""))</x:f>
      </x:c>
      <x:c r="N106" s="1243" t="str">
        <x:f>IF($C106="","",IFERROR(INDEX('23 RCC-004 MASR Registry'!$Y$14:$Y$163,MATCH($C106,'23 RCC-004 MASR Registry'!$B$14:$B$163,0)),""))</x:f>
      </x:c>
      <x:c r="O106" s="1243" t="str">
        <x:f>IF($C106="","",IFERROR(INDEX('23 RCC-004 MASR Registry'!$L$14:$L$163,MATCH($C106,'23 RCC-004 MASR Registry'!$B$14:$B$163,0)),""))</x:f>
      </x:c>
      <x:c r="P106" s="1243" t="str">
        <x:f>IF($C106="","",IFERROR(INDEX('23 RCC-004 MASR Registry'!$M$14:$M$163,MATCH($C106,'23 RCC-004 MASR Registry'!$B$14:$B$163,0)),""))</x:f>
      </x:c>
      <x:c r="Q106" s="1246" t="str">
        <x:f>IF($C106="","",IFERROR(INDEX('23 RCC-004 MASR Registry'!$N$14:$N$163,MATCH($C106,'23 RCC-004 MASR Registry'!$B$14:$B$163,0)),""))</x:f>
      </x:c>
      <x:c r="R106" s="1246" t="str">
        <x:f>IF($C106="","",IFERROR(INDEX('23 RCC-004 MASR Registry'!$O$14:$O$163,MATCH($C106,'23 RCC-004 MASR Registry'!$B$14:$B$163,0)),""))</x:f>
      </x:c>
      <x:c r="S106" s="1246" t="str">
        <x:f>IF($C106="","",IFERROR(INDEX('23 RCC-004 MASR Registry'!$W$14:$W$163,MATCH($C106,'23 RCC-004 MASR Registry'!$B$14:$B$163,0)),""))</x:f>
      </x:c>
      <x:c r="T106" s="1246" t="str">
        <x:f>IF($C106="","",IFERROR(INDEX('23 RCC-004 MASR Registry'!$T$14:$T$163,MATCH($C106,'23 RCC-004 MASR Registry'!$B$14:$B$163,0)),""))</x:f>
      </x:c>
      <x:c r="U106" s="1247" t="str">
        <x:f>IF($C106="","",IFERROR(INDEX('23 RCC-004 MASR Registry'!$U$14:$U$163,MATCH($C106,'23 RCC-004 MASR Registry'!$B$14:$B$163,0)),""))</x:f>
      </x:c>
      <x:c r="V106" s="1243" t="str">
        <x:f>IF($C106="","",IFERROR(INDEX('23 RCC-004 MASR Registry'!$V$14:$V$163,MATCH($C106,'23 RCC-004 MASR Registry'!$B$14:$B$163,0)),""))</x:f>
      </x:c>
      <x:c r="W106" s="1242"/>
      <x:c r="X106" s="1247" t="str">
        <x:f>IF($C106="","",COUNTIF('18 RCC-002 Evidence Ledger'!$E$14:$E$213,$C106))</x:f>
      </x:c>
      <x:c r="Y106" s="1242"/>
      <x:c r="Z106" s="1244" t="str">
        <x:f>IF($A106="","",IF(COUNTIF($A$14:$A$213,$A106)&gt;1,"FAIL — DUPLICATE ID",IF(OR($B106="",$C106="",$E106="",$H106="",$Y106="",$AA106="",$AB106=""),"FAIL — INCOMPLETE",IF(AND(OR($Y106="MIAR Review",$Y106="Eligibility Review",$Y106="Candidate Comparison",$Y106="Committee Review",$Y106="Approved for MASR",$Y106="Referred to PEW-004",$Y106="On Watch",$Y106="Rejected",$Y106="Closed",$Y106="Removed"),$K106=""),"FAIL — MASR RECORD REQUIRED",IF(AND(OR($Y106="Eligibility Review",$Y106="Candidate Comparison",$Y106="Committee Review",$Y106="Approved for MASR",$Y106="Referred to PEW-004",$Y106="On Watch"),NOT(OR($M106="ELIGIBLE",$M106="ELIGIBLE WITH EXCEPTION",$M106="CERTIFIED HOLDING"))),"FAIL — ELIGIBILITY",IF(AND(OR($Y106="Candidate Comparison",$Y106="Committee Review",$Y106="Approved for MASR",$Y106="Referred to PEW-004",$Y106="On Watch"),$X106=0),"FAIL — EVIDENCE",IF(AND(OR($Y106="Candidate Comparison",$Y106="Committee Review",$Y106="Approved for MASR",$Y106="Referred to PEW-004",$Y106="On Watch"),OR($O106&lt;&gt;"Active",$P106&lt;&gt;"CURRENT")),"FAIL — MIAR GATE",IF(AND(OR($Y106="Approved for MASR",$Y106="Referred to PEW-004",$Y106="On Watch",$Y106="Rejected",$Y106="Closed",$Y106="Removed"),OR($AD106="",$AD106="Pending")),"FAIL — COMMITTEE DISPOSITION",IF(AND($Y106="Referred to PEW-004",OR($AF106&lt;&gt;"Yes — Refer to PEW-004",$AG106="",$AJ106="")),"FAIL — PEW REFERRAL","PASS — STAGE GATE")))))))))</x:f>
      </x:c>
      <x:c r="AA106" s="1242"/>
      <x:c r="AB106" s="1251"/>
      <x:c r="AC106" s="1250" t="str">
        <x:f>IF($B106="","",IF($AQ106&lt;&gt;"",$AQ106-$B106,TODAY()-$B106))</x:f>
      </x:c>
      <x:c r="AD106" s="1242"/>
      <x:c r="AE106" s="1251"/>
      <x:c r="AF106" s="1242"/>
      <x:c r="AG106" s="1242"/>
      <x:c r="AH106" s="1246" t="str">
        <x:f>IF($AG106="","",IFERROR(INDEX('10 Candidate Comparison'!$T$14:$T$33,MATCH($AG106,'10 Candidate Comparison'!$A$14:$A$33,0)),""))</x:f>
      </x:c>
      <x:c r="AI106" s="1243" t="str">
        <x:f>IF($AG106="","",IFERROR(INDEX('10 Candidate Comparison'!$U$14:$U$33,MATCH($AG106,'10 Candidate Comparison'!$A$14:$A$33,0)),""))</x:f>
      </x:c>
      <x:c r="AJ106" s="1243" t="str">
        <x:f>IF($AG106="","",IFERROR(INDEX('10 Candidate Comparison'!$Y$14:$Y$33,MATCH($AG106,'10 Candidate Comparison'!$A$14:$A$33,0)),""))</x:f>
      </x:c>
      <x:c r="AK106" s="1244" t="str">
        <x:f>IF($A106="","",IF($Z106="FAIL — DUPLICATE ID","DUPLICATE CANDIDATE ID",IF($Z106="FAIL — INCOMPLETE","INCOMPLETE",IF($Z106="FAIL — MASR RECORD REQUIRED","MASR RECORD REQUIRED",IF($Z106="FAIL — ELIGIBILITY","ELIGIBILITY BLOCK",IF($Z106="FAIL — EVIDENCE","EVIDENCE REQUIRED",IF($Z106="FAIL — MIAR GATE","MIAR GATE BLOCK",IF($Z106="FAIL — COMMITTEE DISPOSITION","COMMITTEE DECISION REQUIRED",IF($Z106="FAIL — PEW REFERRAL","PEW REFERRAL INCOMPLETE",IF(AND(OR($Y106="Rejected",$Y106="Closed",$Y106="Removed"),OR($AO106="",$AP106="",$AQ106="")),"CLOSURE REQUIRED",IF(AND($AB106&lt;TODAY(),NOT(OR($Y106="Rejected",$Y106="Closed",$Y106="Removed"))),"OVERDUE",IF(OR($Y106="Rejected",$Y106="Closed",$Y106="Removed"),"CLOSED","OPEN — ON TRACK"))))))))))))</x:f>
      </x:c>
      <x:c r="AL106" s="1244" t="str">
        <x:f>IF($AK106="","",IFERROR(INDEX('97 RCC Lists'!$AM$5:$AM$16,MATCH($AK106,'97 RCC Lists'!$AL$5:$AL$16,0)),"Review candidate exception"))</x:f>
      </x:c>
      <x:c r="AM106" s="1242"/>
      <x:c r="AN106" s="1242"/>
      <x:c r="AO106" s="1242"/>
      <x:c r="AP106" s="1242"/>
      <x:c r="AQ106" s="1251"/>
    </x:row>
    <x:row r="107" ht="32" customHeight="1">
      <x:c r="A107" s="1242"/>
      <x:c r="B107" s="1251"/>
      <x:c r="C107" s="1242"/>
      <x:c r="D107" s="1252" t="str">
        <x:f>IF($C107="","",IFERROR(INDEX('23 RCC-004 MASR Registry'!$C$14:$C$163,MATCH($C107,'23 RCC-004 MASR Registry'!$B$14:$B$163,0)),""))</x:f>
      </x:c>
      <x:c r="E107" s="1242"/>
      <x:c r="F107" s="1242"/>
      <x:c r="G107" s="1242"/>
      <x:c r="H107" s="1242"/>
      <x:c r="I107" s="1252" t="str">
        <x:f>IF($C107="","",IFERROR(INDEX('23 RCC-004 MASR Registry'!$G$14:$G$163,MATCH($C107,'23 RCC-004 MASR Registry'!$B$14:$B$163,0)),""))</x:f>
      </x:c>
      <x:c r="J107" s="1252" t="str">
        <x:f>IF($C107="","",IFERROR(INDEX('23 RCC-004 MASR Registry'!$H$14:$H$163,MATCH($C107,'23 RCC-004 MASR Registry'!$B$14:$B$163,0)),""))</x:f>
      </x:c>
      <x:c r="K107" s="1252" t="str">
        <x:f>IF($C107="","",IFERROR(INDEX('23 RCC-004 MASR Registry'!$D$14:$D$163,MATCH($C107,'23 RCC-004 MASR Registry'!$B$14:$B$163,0)),""))</x:f>
      </x:c>
      <x:c r="L107" s="1252" t="str">
        <x:f>IF($C107="","",IFERROR(INDEX('23 RCC-004 MASR Registry'!$E$14:$E$163,MATCH($C107,'23 RCC-004 MASR Registry'!$B$14:$B$163,0)),""))</x:f>
      </x:c>
      <x:c r="M107" s="1252" t="str">
        <x:f>IF($C107="","",IFERROR(INDEX('23 RCC-004 MASR Registry'!$X$14:$X$163,MATCH($C107,'23 RCC-004 MASR Registry'!$B$14:$B$163,0)),""))</x:f>
      </x:c>
      <x:c r="N107" s="1252" t="str">
        <x:f>IF($C107="","",IFERROR(INDEX('23 RCC-004 MASR Registry'!$Y$14:$Y$163,MATCH($C107,'23 RCC-004 MASR Registry'!$B$14:$B$163,0)),""))</x:f>
      </x:c>
      <x:c r="O107" s="1252" t="str">
        <x:f>IF($C107="","",IFERROR(INDEX('23 RCC-004 MASR Registry'!$L$14:$L$163,MATCH($C107,'23 RCC-004 MASR Registry'!$B$14:$B$163,0)),""))</x:f>
      </x:c>
      <x:c r="P107" s="1252" t="str">
        <x:f>IF($C107="","",IFERROR(INDEX('23 RCC-004 MASR Registry'!$M$14:$M$163,MATCH($C107,'23 RCC-004 MASR Registry'!$B$14:$B$163,0)),""))</x:f>
      </x:c>
      <x:c r="Q107" s="1255" t="str">
        <x:f>IF($C107="","",IFERROR(INDEX('23 RCC-004 MASR Registry'!$N$14:$N$163,MATCH($C107,'23 RCC-004 MASR Registry'!$B$14:$B$163,0)),""))</x:f>
      </x:c>
      <x:c r="R107" s="1255" t="str">
        <x:f>IF($C107="","",IFERROR(INDEX('23 RCC-004 MASR Registry'!$O$14:$O$163,MATCH($C107,'23 RCC-004 MASR Registry'!$B$14:$B$163,0)),""))</x:f>
      </x:c>
      <x:c r="S107" s="1255" t="str">
        <x:f>IF($C107="","",IFERROR(INDEX('23 RCC-004 MASR Registry'!$W$14:$W$163,MATCH($C107,'23 RCC-004 MASR Registry'!$B$14:$B$163,0)),""))</x:f>
      </x:c>
      <x:c r="T107" s="1255" t="str">
        <x:f>IF($C107="","",IFERROR(INDEX('23 RCC-004 MASR Registry'!$T$14:$T$163,MATCH($C107,'23 RCC-004 MASR Registry'!$B$14:$B$163,0)),""))</x:f>
      </x:c>
      <x:c r="U107" s="1256" t="str">
        <x:f>IF($C107="","",IFERROR(INDEX('23 RCC-004 MASR Registry'!$U$14:$U$163,MATCH($C107,'23 RCC-004 MASR Registry'!$B$14:$B$163,0)),""))</x:f>
      </x:c>
      <x:c r="V107" s="1252" t="str">
        <x:f>IF($C107="","",IFERROR(INDEX('23 RCC-004 MASR Registry'!$V$14:$V$163,MATCH($C107,'23 RCC-004 MASR Registry'!$B$14:$B$163,0)),""))</x:f>
      </x:c>
      <x:c r="W107" s="1242"/>
      <x:c r="X107" s="1256" t="str">
        <x:f>IF($C107="","",COUNTIF('18 RCC-002 Evidence Ledger'!$E$14:$E$213,$C107))</x:f>
      </x:c>
      <x:c r="Y107" s="1242"/>
      <x:c r="Z107" s="1253" t="str">
        <x:f>IF($A107="","",IF(COUNTIF($A$14:$A$213,$A107)&gt;1,"FAIL — DUPLICATE ID",IF(OR($B107="",$C107="",$E107="",$H107="",$Y107="",$AA107="",$AB107=""),"FAIL — INCOMPLETE",IF(AND(OR($Y107="MIAR Review",$Y107="Eligibility Review",$Y107="Candidate Comparison",$Y107="Committee Review",$Y107="Approved for MASR",$Y107="Referred to PEW-004",$Y107="On Watch",$Y107="Rejected",$Y107="Closed",$Y107="Removed"),$K107=""),"FAIL — MASR RECORD REQUIRED",IF(AND(OR($Y107="Eligibility Review",$Y107="Candidate Comparison",$Y107="Committee Review",$Y107="Approved for MASR",$Y107="Referred to PEW-004",$Y107="On Watch"),NOT(OR($M107="ELIGIBLE",$M107="ELIGIBLE WITH EXCEPTION",$M107="CERTIFIED HOLDING"))),"FAIL — ELIGIBILITY",IF(AND(OR($Y107="Candidate Comparison",$Y107="Committee Review",$Y107="Approved for MASR",$Y107="Referred to PEW-004",$Y107="On Watch"),$X107=0),"FAIL — EVIDENCE",IF(AND(OR($Y107="Candidate Comparison",$Y107="Committee Review",$Y107="Approved for MASR",$Y107="Referred to PEW-004",$Y107="On Watch"),OR($O107&lt;&gt;"Active",$P107&lt;&gt;"CURRENT")),"FAIL — MIAR GATE",IF(AND(OR($Y107="Approved for MASR",$Y107="Referred to PEW-004",$Y107="On Watch",$Y107="Rejected",$Y107="Closed",$Y107="Removed"),OR($AD107="",$AD107="Pending")),"FAIL — COMMITTEE DISPOSITION",IF(AND($Y107="Referred to PEW-004",OR($AF107&lt;&gt;"Yes — Refer to PEW-004",$AG107="",$AJ107="")),"FAIL — PEW REFERRAL","PASS — STAGE GATE")))))))))</x:f>
      </x:c>
      <x:c r="AA107" s="1242"/>
      <x:c r="AB107" s="1251"/>
      <x:c r="AC107" s="1257" t="str">
        <x:f>IF($B107="","",IF($AQ107&lt;&gt;"",$AQ107-$B107,TODAY()-$B107))</x:f>
      </x:c>
      <x:c r="AD107" s="1242"/>
      <x:c r="AE107" s="1251"/>
      <x:c r="AF107" s="1242"/>
      <x:c r="AG107" s="1242"/>
      <x:c r="AH107" s="1255" t="str">
        <x:f>IF($AG107="","",IFERROR(INDEX('10 Candidate Comparison'!$T$14:$T$33,MATCH($AG107,'10 Candidate Comparison'!$A$14:$A$33,0)),""))</x:f>
      </x:c>
      <x:c r="AI107" s="1252" t="str">
        <x:f>IF($AG107="","",IFERROR(INDEX('10 Candidate Comparison'!$U$14:$U$33,MATCH($AG107,'10 Candidate Comparison'!$A$14:$A$33,0)),""))</x:f>
      </x:c>
      <x:c r="AJ107" s="1252" t="str">
        <x:f>IF($AG107="","",IFERROR(INDEX('10 Candidate Comparison'!$Y$14:$Y$33,MATCH($AG107,'10 Candidate Comparison'!$A$14:$A$33,0)),""))</x:f>
      </x:c>
      <x:c r="AK107" s="1253" t="str">
        <x:f>IF($A107="","",IF($Z107="FAIL — DUPLICATE ID","DUPLICATE CANDIDATE ID",IF($Z107="FAIL — INCOMPLETE","INCOMPLETE",IF($Z107="FAIL — MASR RECORD REQUIRED","MASR RECORD REQUIRED",IF($Z107="FAIL — ELIGIBILITY","ELIGIBILITY BLOCK",IF($Z107="FAIL — EVIDENCE","EVIDENCE REQUIRED",IF($Z107="FAIL — MIAR GATE","MIAR GATE BLOCK",IF($Z107="FAIL — COMMITTEE DISPOSITION","COMMITTEE DECISION REQUIRED",IF($Z107="FAIL — PEW REFERRAL","PEW REFERRAL INCOMPLETE",IF(AND(OR($Y107="Rejected",$Y107="Closed",$Y107="Removed"),OR($AO107="",$AP107="",$AQ107="")),"CLOSURE REQUIRED",IF(AND($AB107&lt;TODAY(),NOT(OR($Y107="Rejected",$Y107="Closed",$Y107="Removed"))),"OVERDUE",IF(OR($Y107="Rejected",$Y107="Closed",$Y107="Removed"),"CLOSED","OPEN — ON TRACK"))))))))))))</x:f>
      </x:c>
      <x:c r="AL107" s="1253" t="str">
        <x:f>IF($AK107="","",IFERROR(INDEX('97 RCC Lists'!$AM$5:$AM$16,MATCH($AK107,'97 RCC Lists'!$AL$5:$AL$16,0)),"Review candidate exception"))</x:f>
      </x:c>
      <x:c r="AM107" s="1242"/>
      <x:c r="AN107" s="1242"/>
      <x:c r="AO107" s="1242"/>
      <x:c r="AP107" s="1242"/>
      <x:c r="AQ107" s="1251"/>
    </x:row>
    <x:row r="108" ht="32" customHeight="1">
      <x:c r="A108" s="1242"/>
      <x:c r="B108" s="1251"/>
      <x:c r="C108" s="1242"/>
      <x:c r="D108" s="1243" t="str">
        <x:f>IF($C108="","",IFERROR(INDEX('23 RCC-004 MASR Registry'!$C$14:$C$163,MATCH($C108,'23 RCC-004 MASR Registry'!$B$14:$B$163,0)),""))</x:f>
      </x:c>
      <x:c r="E108" s="1242"/>
      <x:c r="F108" s="1242"/>
      <x:c r="G108" s="1242"/>
      <x:c r="H108" s="1242"/>
      <x:c r="I108" s="1243" t="str">
        <x:f>IF($C108="","",IFERROR(INDEX('23 RCC-004 MASR Registry'!$G$14:$G$163,MATCH($C108,'23 RCC-004 MASR Registry'!$B$14:$B$163,0)),""))</x:f>
      </x:c>
      <x:c r="J108" s="1243" t="str">
        <x:f>IF($C108="","",IFERROR(INDEX('23 RCC-004 MASR Registry'!$H$14:$H$163,MATCH($C108,'23 RCC-004 MASR Registry'!$B$14:$B$163,0)),""))</x:f>
      </x:c>
      <x:c r="K108" s="1243" t="str">
        <x:f>IF($C108="","",IFERROR(INDEX('23 RCC-004 MASR Registry'!$D$14:$D$163,MATCH($C108,'23 RCC-004 MASR Registry'!$B$14:$B$163,0)),""))</x:f>
      </x:c>
      <x:c r="L108" s="1243" t="str">
        <x:f>IF($C108="","",IFERROR(INDEX('23 RCC-004 MASR Registry'!$E$14:$E$163,MATCH($C108,'23 RCC-004 MASR Registry'!$B$14:$B$163,0)),""))</x:f>
      </x:c>
      <x:c r="M108" s="1243" t="str">
        <x:f>IF($C108="","",IFERROR(INDEX('23 RCC-004 MASR Registry'!$X$14:$X$163,MATCH($C108,'23 RCC-004 MASR Registry'!$B$14:$B$163,0)),""))</x:f>
      </x:c>
      <x:c r="N108" s="1243" t="str">
        <x:f>IF($C108="","",IFERROR(INDEX('23 RCC-004 MASR Registry'!$Y$14:$Y$163,MATCH($C108,'23 RCC-004 MASR Registry'!$B$14:$B$163,0)),""))</x:f>
      </x:c>
      <x:c r="O108" s="1243" t="str">
        <x:f>IF($C108="","",IFERROR(INDEX('23 RCC-004 MASR Registry'!$L$14:$L$163,MATCH($C108,'23 RCC-004 MASR Registry'!$B$14:$B$163,0)),""))</x:f>
      </x:c>
      <x:c r="P108" s="1243" t="str">
        <x:f>IF($C108="","",IFERROR(INDEX('23 RCC-004 MASR Registry'!$M$14:$M$163,MATCH($C108,'23 RCC-004 MASR Registry'!$B$14:$B$163,0)),""))</x:f>
      </x:c>
      <x:c r="Q108" s="1246" t="str">
        <x:f>IF($C108="","",IFERROR(INDEX('23 RCC-004 MASR Registry'!$N$14:$N$163,MATCH($C108,'23 RCC-004 MASR Registry'!$B$14:$B$163,0)),""))</x:f>
      </x:c>
      <x:c r="R108" s="1246" t="str">
        <x:f>IF($C108="","",IFERROR(INDEX('23 RCC-004 MASR Registry'!$O$14:$O$163,MATCH($C108,'23 RCC-004 MASR Registry'!$B$14:$B$163,0)),""))</x:f>
      </x:c>
      <x:c r="S108" s="1246" t="str">
        <x:f>IF($C108="","",IFERROR(INDEX('23 RCC-004 MASR Registry'!$W$14:$W$163,MATCH($C108,'23 RCC-004 MASR Registry'!$B$14:$B$163,0)),""))</x:f>
      </x:c>
      <x:c r="T108" s="1246" t="str">
        <x:f>IF($C108="","",IFERROR(INDEX('23 RCC-004 MASR Registry'!$T$14:$T$163,MATCH($C108,'23 RCC-004 MASR Registry'!$B$14:$B$163,0)),""))</x:f>
      </x:c>
      <x:c r="U108" s="1247" t="str">
        <x:f>IF($C108="","",IFERROR(INDEX('23 RCC-004 MASR Registry'!$U$14:$U$163,MATCH($C108,'23 RCC-004 MASR Registry'!$B$14:$B$163,0)),""))</x:f>
      </x:c>
      <x:c r="V108" s="1243" t="str">
        <x:f>IF($C108="","",IFERROR(INDEX('23 RCC-004 MASR Registry'!$V$14:$V$163,MATCH($C108,'23 RCC-004 MASR Registry'!$B$14:$B$163,0)),""))</x:f>
      </x:c>
      <x:c r="W108" s="1242"/>
      <x:c r="X108" s="1247" t="str">
        <x:f>IF($C108="","",COUNTIF('18 RCC-002 Evidence Ledger'!$E$14:$E$213,$C108))</x:f>
      </x:c>
      <x:c r="Y108" s="1242"/>
      <x:c r="Z108" s="1244" t="str">
        <x:f>IF($A108="","",IF(COUNTIF($A$14:$A$213,$A108)&gt;1,"FAIL — DUPLICATE ID",IF(OR($B108="",$C108="",$E108="",$H108="",$Y108="",$AA108="",$AB108=""),"FAIL — INCOMPLETE",IF(AND(OR($Y108="MIAR Review",$Y108="Eligibility Review",$Y108="Candidate Comparison",$Y108="Committee Review",$Y108="Approved for MASR",$Y108="Referred to PEW-004",$Y108="On Watch",$Y108="Rejected",$Y108="Closed",$Y108="Removed"),$K108=""),"FAIL — MASR RECORD REQUIRED",IF(AND(OR($Y108="Eligibility Review",$Y108="Candidate Comparison",$Y108="Committee Review",$Y108="Approved for MASR",$Y108="Referred to PEW-004",$Y108="On Watch"),NOT(OR($M108="ELIGIBLE",$M108="ELIGIBLE WITH EXCEPTION",$M108="CERTIFIED HOLDING"))),"FAIL — ELIGIBILITY",IF(AND(OR($Y108="Candidate Comparison",$Y108="Committee Review",$Y108="Approved for MASR",$Y108="Referred to PEW-004",$Y108="On Watch"),$X108=0),"FAIL — EVIDENCE",IF(AND(OR($Y108="Candidate Comparison",$Y108="Committee Review",$Y108="Approved for MASR",$Y108="Referred to PEW-004",$Y108="On Watch"),OR($O108&lt;&gt;"Active",$P108&lt;&gt;"CURRENT")),"FAIL — MIAR GATE",IF(AND(OR($Y108="Approved for MASR",$Y108="Referred to PEW-004",$Y108="On Watch",$Y108="Rejected",$Y108="Closed",$Y108="Removed"),OR($AD108="",$AD108="Pending")),"FAIL — COMMITTEE DISPOSITION",IF(AND($Y108="Referred to PEW-004",OR($AF108&lt;&gt;"Yes — Refer to PEW-004",$AG108="",$AJ108="")),"FAIL — PEW REFERRAL","PASS — STAGE GATE")))))))))</x:f>
      </x:c>
      <x:c r="AA108" s="1242"/>
      <x:c r="AB108" s="1251"/>
      <x:c r="AC108" s="1250" t="str">
        <x:f>IF($B108="","",IF($AQ108&lt;&gt;"",$AQ108-$B108,TODAY()-$B108))</x:f>
      </x:c>
      <x:c r="AD108" s="1242"/>
      <x:c r="AE108" s="1251"/>
      <x:c r="AF108" s="1242"/>
      <x:c r="AG108" s="1242"/>
      <x:c r="AH108" s="1246" t="str">
        <x:f>IF($AG108="","",IFERROR(INDEX('10 Candidate Comparison'!$T$14:$T$33,MATCH($AG108,'10 Candidate Comparison'!$A$14:$A$33,0)),""))</x:f>
      </x:c>
      <x:c r="AI108" s="1243" t="str">
        <x:f>IF($AG108="","",IFERROR(INDEX('10 Candidate Comparison'!$U$14:$U$33,MATCH($AG108,'10 Candidate Comparison'!$A$14:$A$33,0)),""))</x:f>
      </x:c>
      <x:c r="AJ108" s="1243" t="str">
        <x:f>IF($AG108="","",IFERROR(INDEX('10 Candidate Comparison'!$Y$14:$Y$33,MATCH($AG108,'10 Candidate Comparison'!$A$14:$A$33,0)),""))</x:f>
      </x:c>
      <x:c r="AK108" s="1244" t="str">
        <x:f>IF($A108="","",IF($Z108="FAIL — DUPLICATE ID","DUPLICATE CANDIDATE ID",IF($Z108="FAIL — INCOMPLETE","INCOMPLETE",IF($Z108="FAIL — MASR RECORD REQUIRED","MASR RECORD REQUIRED",IF($Z108="FAIL — ELIGIBILITY","ELIGIBILITY BLOCK",IF($Z108="FAIL — EVIDENCE","EVIDENCE REQUIRED",IF($Z108="FAIL — MIAR GATE","MIAR GATE BLOCK",IF($Z108="FAIL — COMMITTEE DISPOSITION","COMMITTEE DECISION REQUIRED",IF($Z108="FAIL — PEW REFERRAL","PEW REFERRAL INCOMPLETE",IF(AND(OR($Y108="Rejected",$Y108="Closed",$Y108="Removed"),OR($AO108="",$AP108="",$AQ108="")),"CLOSURE REQUIRED",IF(AND($AB108&lt;TODAY(),NOT(OR($Y108="Rejected",$Y108="Closed",$Y108="Removed"))),"OVERDUE",IF(OR($Y108="Rejected",$Y108="Closed",$Y108="Removed"),"CLOSED","OPEN — ON TRACK"))))))))))))</x:f>
      </x:c>
      <x:c r="AL108" s="1244" t="str">
        <x:f>IF($AK108="","",IFERROR(INDEX('97 RCC Lists'!$AM$5:$AM$16,MATCH($AK108,'97 RCC Lists'!$AL$5:$AL$16,0)),"Review candidate exception"))</x:f>
      </x:c>
      <x:c r="AM108" s="1242"/>
      <x:c r="AN108" s="1242"/>
      <x:c r="AO108" s="1242"/>
      <x:c r="AP108" s="1242"/>
      <x:c r="AQ108" s="1251"/>
    </x:row>
    <x:row r="109" ht="32" customHeight="1">
      <x:c r="A109" s="1242"/>
      <x:c r="B109" s="1251"/>
      <x:c r="C109" s="1242"/>
      <x:c r="D109" s="1252" t="str">
        <x:f>IF($C109="","",IFERROR(INDEX('23 RCC-004 MASR Registry'!$C$14:$C$163,MATCH($C109,'23 RCC-004 MASR Registry'!$B$14:$B$163,0)),""))</x:f>
      </x:c>
      <x:c r="E109" s="1242"/>
      <x:c r="F109" s="1242"/>
      <x:c r="G109" s="1242"/>
      <x:c r="H109" s="1242"/>
      <x:c r="I109" s="1252" t="str">
        <x:f>IF($C109="","",IFERROR(INDEX('23 RCC-004 MASR Registry'!$G$14:$G$163,MATCH($C109,'23 RCC-004 MASR Registry'!$B$14:$B$163,0)),""))</x:f>
      </x:c>
      <x:c r="J109" s="1252" t="str">
        <x:f>IF($C109="","",IFERROR(INDEX('23 RCC-004 MASR Registry'!$H$14:$H$163,MATCH($C109,'23 RCC-004 MASR Registry'!$B$14:$B$163,0)),""))</x:f>
      </x:c>
      <x:c r="K109" s="1252" t="str">
        <x:f>IF($C109="","",IFERROR(INDEX('23 RCC-004 MASR Registry'!$D$14:$D$163,MATCH($C109,'23 RCC-004 MASR Registry'!$B$14:$B$163,0)),""))</x:f>
      </x:c>
      <x:c r="L109" s="1252" t="str">
        <x:f>IF($C109="","",IFERROR(INDEX('23 RCC-004 MASR Registry'!$E$14:$E$163,MATCH($C109,'23 RCC-004 MASR Registry'!$B$14:$B$163,0)),""))</x:f>
      </x:c>
      <x:c r="M109" s="1252" t="str">
        <x:f>IF($C109="","",IFERROR(INDEX('23 RCC-004 MASR Registry'!$X$14:$X$163,MATCH($C109,'23 RCC-004 MASR Registry'!$B$14:$B$163,0)),""))</x:f>
      </x:c>
      <x:c r="N109" s="1252" t="str">
        <x:f>IF($C109="","",IFERROR(INDEX('23 RCC-004 MASR Registry'!$Y$14:$Y$163,MATCH($C109,'23 RCC-004 MASR Registry'!$B$14:$B$163,0)),""))</x:f>
      </x:c>
      <x:c r="O109" s="1252" t="str">
        <x:f>IF($C109="","",IFERROR(INDEX('23 RCC-004 MASR Registry'!$L$14:$L$163,MATCH($C109,'23 RCC-004 MASR Registry'!$B$14:$B$163,0)),""))</x:f>
      </x:c>
      <x:c r="P109" s="1252" t="str">
        <x:f>IF($C109="","",IFERROR(INDEX('23 RCC-004 MASR Registry'!$M$14:$M$163,MATCH($C109,'23 RCC-004 MASR Registry'!$B$14:$B$163,0)),""))</x:f>
      </x:c>
      <x:c r="Q109" s="1255" t="str">
        <x:f>IF($C109="","",IFERROR(INDEX('23 RCC-004 MASR Registry'!$N$14:$N$163,MATCH($C109,'23 RCC-004 MASR Registry'!$B$14:$B$163,0)),""))</x:f>
      </x:c>
      <x:c r="R109" s="1255" t="str">
        <x:f>IF($C109="","",IFERROR(INDEX('23 RCC-004 MASR Registry'!$O$14:$O$163,MATCH($C109,'23 RCC-004 MASR Registry'!$B$14:$B$163,0)),""))</x:f>
      </x:c>
      <x:c r="S109" s="1255" t="str">
        <x:f>IF($C109="","",IFERROR(INDEX('23 RCC-004 MASR Registry'!$W$14:$W$163,MATCH($C109,'23 RCC-004 MASR Registry'!$B$14:$B$163,0)),""))</x:f>
      </x:c>
      <x:c r="T109" s="1255" t="str">
        <x:f>IF($C109="","",IFERROR(INDEX('23 RCC-004 MASR Registry'!$T$14:$T$163,MATCH($C109,'23 RCC-004 MASR Registry'!$B$14:$B$163,0)),""))</x:f>
      </x:c>
      <x:c r="U109" s="1256" t="str">
        <x:f>IF($C109="","",IFERROR(INDEX('23 RCC-004 MASR Registry'!$U$14:$U$163,MATCH($C109,'23 RCC-004 MASR Registry'!$B$14:$B$163,0)),""))</x:f>
      </x:c>
      <x:c r="V109" s="1252" t="str">
        <x:f>IF($C109="","",IFERROR(INDEX('23 RCC-004 MASR Registry'!$V$14:$V$163,MATCH($C109,'23 RCC-004 MASR Registry'!$B$14:$B$163,0)),""))</x:f>
      </x:c>
      <x:c r="W109" s="1242"/>
      <x:c r="X109" s="1256" t="str">
        <x:f>IF($C109="","",COUNTIF('18 RCC-002 Evidence Ledger'!$E$14:$E$213,$C109))</x:f>
      </x:c>
      <x:c r="Y109" s="1242"/>
      <x:c r="Z109" s="1253" t="str">
        <x:f>IF($A109="","",IF(COUNTIF($A$14:$A$213,$A109)&gt;1,"FAIL — DUPLICATE ID",IF(OR($B109="",$C109="",$E109="",$H109="",$Y109="",$AA109="",$AB109=""),"FAIL — INCOMPLETE",IF(AND(OR($Y109="MIAR Review",$Y109="Eligibility Review",$Y109="Candidate Comparison",$Y109="Committee Review",$Y109="Approved for MASR",$Y109="Referred to PEW-004",$Y109="On Watch",$Y109="Rejected",$Y109="Closed",$Y109="Removed"),$K109=""),"FAIL — MASR RECORD REQUIRED",IF(AND(OR($Y109="Eligibility Review",$Y109="Candidate Comparison",$Y109="Committee Review",$Y109="Approved for MASR",$Y109="Referred to PEW-004",$Y109="On Watch"),NOT(OR($M109="ELIGIBLE",$M109="ELIGIBLE WITH EXCEPTION",$M109="CERTIFIED HOLDING"))),"FAIL — ELIGIBILITY",IF(AND(OR($Y109="Candidate Comparison",$Y109="Committee Review",$Y109="Approved for MASR",$Y109="Referred to PEW-004",$Y109="On Watch"),$X109=0),"FAIL — EVIDENCE",IF(AND(OR($Y109="Candidate Comparison",$Y109="Committee Review",$Y109="Approved for MASR",$Y109="Referred to PEW-004",$Y109="On Watch"),OR($O109&lt;&gt;"Active",$P109&lt;&gt;"CURRENT")),"FAIL — MIAR GATE",IF(AND(OR($Y109="Approved for MASR",$Y109="Referred to PEW-004",$Y109="On Watch",$Y109="Rejected",$Y109="Closed",$Y109="Removed"),OR($AD109="",$AD109="Pending")),"FAIL — COMMITTEE DISPOSITION",IF(AND($Y109="Referred to PEW-004",OR($AF109&lt;&gt;"Yes — Refer to PEW-004",$AG109="",$AJ109="")),"FAIL — PEW REFERRAL","PASS — STAGE GATE")))))))))</x:f>
      </x:c>
      <x:c r="AA109" s="1242"/>
      <x:c r="AB109" s="1251"/>
      <x:c r="AC109" s="1257" t="str">
        <x:f>IF($B109="","",IF($AQ109&lt;&gt;"",$AQ109-$B109,TODAY()-$B109))</x:f>
      </x:c>
      <x:c r="AD109" s="1242"/>
      <x:c r="AE109" s="1251"/>
      <x:c r="AF109" s="1242"/>
      <x:c r="AG109" s="1242"/>
      <x:c r="AH109" s="1255" t="str">
        <x:f>IF($AG109="","",IFERROR(INDEX('10 Candidate Comparison'!$T$14:$T$33,MATCH($AG109,'10 Candidate Comparison'!$A$14:$A$33,0)),""))</x:f>
      </x:c>
      <x:c r="AI109" s="1252" t="str">
        <x:f>IF($AG109="","",IFERROR(INDEX('10 Candidate Comparison'!$U$14:$U$33,MATCH($AG109,'10 Candidate Comparison'!$A$14:$A$33,0)),""))</x:f>
      </x:c>
      <x:c r="AJ109" s="1252" t="str">
        <x:f>IF($AG109="","",IFERROR(INDEX('10 Candidate Comparison'!$Y$14:$Y$33,MATCH($AG109,'10 Candidate Comparison'!$A$14:$A$33,0)),""))</x:f>
      </x:c>
      <x:c r="AK109" s="1253" t="str">
        <x:f>IF($A109="","",IF($Z109="FAIL — DUPLICATE ID","DUPLICATE CANDIDATE ID",IF($Z109="FAIL — INCOMPLETE","INCOMPLETE",IF($Z109="FAIL — MASR RECORD REQUIRED","MASR RECORD REQUIRED",IF($Z109="FAIL — ELIGIBILITY","ELIGIBILITY BLOCK",IF($Z109="FAIL — EVIDENCE","EVIDENCE REQUIRED",IF($Z109="FAIL — MIAR GATE","MIAR GATE BLOCK",IF($Z109="FAIL — COMMITTEE DISPOSITION","COMMITTEE DECISION REQUIRED",IF($Z109="FAIL — PEW REFERRAL","PEW REFERRAL INCOMPLETE",IF(AND(OR($Y109="Rejected",$Y109="Closed",$Y109="Removed"),OR($AO109="",$AP109="",$AQ109="")),"CLOSURE REQUIRED",IF(AND($AB109&lt;TODAY(),NOT(OR($Y109="Rejected",$Y109="Closed",$Y109="Removed"))),"OVERDUE",IF(OR($Y109="Rejected",$Y109="Closed",$Y109="Removed"),"CLOSED","OPEN — ON TRACK"))))))))))))</x:f>
      </x:c>
      <x:c r="AL109" s="1253" t="str">
        <x:f>IF($AK109="","",IFERROR(INDEX('97 RCC Lists'!$AM$5:$AM$16,MATCH($AK109,'97 RCC Lists'!$AL$5:$AL$16,0)),"Review candidate exception"))</x:f>
      </x:c>
      <x:c r="AM109" s="1242"/>
      <x:c r="AN109" s="1242"/>
      <x:c r="AO109" s="1242"/>
      <x:c r="AP109" s="1242"/>
      <x:c r="AQ109" s="1251"/>
    </x:row>
    <x:row r="110" ht="32" customHeight="1">
      <x:c r="A110" s="1242"/>
      <x:c r="B110" s="1251"/>
      <x:c r="C110" s="1242"/>
      <x:c r="D110" s="1243" t="str">
        <x:f>IF($C110="","",IFERROR(INDEX('23 RCC-004 MASR Registry'!$C$14:$C$163,MATCH($C110,'23 RCC-004 MASR Registry'!$B$14:$B$163,0)),""))</x:f>
      </x:c>
      <x:c r="E110" s="1242"/>
      <x:c r="F110" s="1242"/>
      <x:c r="G110" s="1242"/>
      <x:c r="H110" s="1242"/>
      <x:c r="I110" s="1243" t="str">
        <x:f>IF($C110="","",IFERROR(INDEX('23 RCC-004 MASR Registry'!$G$14:$G$163,MATCH($C110,'23 RCC-004 MASR Registry'!$B$14:$B$163,0)),""))</x:f>
      </x:c>
      <x:c r="J110" s="1243" t="str">
        <x:f>IF($C110="","",IFERROR(INDEX('23 RCC-004 MASR Registry'!$H$14:$H$163,MATCH($C110,'23 RCC-004 MASR Registry'!$B$14:$B$163,0)),""))</x:f>
      </x:c>
      <x:c r="K110" s="1243" t="str">
        <x:f>IF($C110="","",IFERROR(INDEX('23 RCC-004 MASR Registry'!$D$14:$D$163,MATCH($C110,'23 RCC-004 MASR Registry'!$B$14:$B$163,0)),""))</x:f>
      </x:c>
      <x:c r="L110" s="1243" t="str">
        <x:f>IF($C110="","",IFERROR(INDEX('23 RCC-004 MASR Registry'!$E$14:$E$163,MATCH($C110,'23 RCC-004 MASR Registry'!$B$14:$B$163,0)),""))</x:f>
      </x:c>
      <x:c r="M110" s="1243" t="str">
        <x:f>IF($C110="","",IFERROR(INDEX('23 RCC-004 MASR Registry'!$X$14:$X$163,MATCH($C110,'23 RCC-004 MASR Registry'!$B$14:$B$163,0)),""))</x:f>
      </x:c>
      <x:c r="N110" s="1243" t="str">
        <x:f>IF($C110="","",IFERROR(INDEX('23 RCC-004 MASR Registry'!$Y$14:$Y$163,MATCH($C110,'23 RCC-004 MASR Registry'!$B$14:$B$163,0)),""))</x:f>
      </x:c>
      <x:c r="O110" s="1243" t="str">
        <x:f>IF($C110="","",IFERROR(INDEX('23 RCC-004 MASR Registry'!$L$14:$L$163,MATCH($C110,'23 RCC-004 MASR Registry'!$B$14:$B$163,0)),""))</x:f>
      </x:c>
      <x:c r="P110" s="1243" t="str">
        <x:f>IF($C110="","",IFERROR(INDEX('23 RCC-004 MASR Registry'!$M$14:$M$163,MATCH($C110,'23 RCC-004 MASR Registry'!$B$14:$B$163,0)),""))</x:f>
      </x:c>
      <x:c r="Q110" s="1246" t="str">
        <x:f>IF($C110="","",IFERROR(INDEX('23 RCC-004 MASR Registry'!$N$14:$N$163,MATCH($C110,'23 RCC-004 MASR Registry'!$B$14:$B$163,0)),""))</x:f>
      </x:c>
      <x:c r="R110" s="1246" t="str">
        <x:f>IF($C110="","",IFERROR(INDEX('23 RCC-004 MASR Registry'!$O$14:$O$163,MATCH($C110,'23 RCC-004 MASR Registry'!$B$14:$B$163,0)),""))</x:f>
      </x:c>
      <x:c r="S110" s="1246" t="str">
        <x:f>IF($C110="","",IFERROR(INDEX('23 RCC-004 MASR Registry'!$W$14:$W$163,MATCH($C110,'23 RCC-004 MASR Registry'!$B$14:$B$163,0)),""))</x:f>
      </x:c>
      <x:c r="T110" s="1246" t="str">
        <x:f>IF($C110="","",IFERROR(INDEX('23 RCC-004 MASR Registry'!$T$14:$T$163,MATCH($C110,'23 RCC-004 MASR Registry'!$B$14:$B$163,0)),""))</x:f>
      </x:c>
      <x:c r="U110" s="1247" t="str">
        <x:f>IF($C110="","",IFERROR(INDEX('23 RCC-004 MASR Registry'!$U$14:$U$163,MATCH($C110,'23 RCC-004 MASR Registry'!$B$14:$B$163,0)),""))</x:f>
      </x:c>
      <x:c r="V110" s="1243" t="str">
        <x:f>IF($C110="","",IFERROR(INDEX('23 RCC-004 MASR Registry'!$V$14:$V$163,MATCH($C110,'23 RCC-004 MASR Registry'!$B$14:$B$163,0)),""))</x:f>
      </x:c>
      <x:c r="W110" s="1242"/>
      <x:c r="X110" s="1247" t="str">
        <x:f>IF($C110="","",COUNTIF('18 RCC-002 Evidence Ledger'!$E$14:$E$213,$C110))</x:f>
      </x:c>
      <x:c r="Y110" s="1242"/>
      <x:c r="Z110" s="1244" t="str">
        <x:f>IF($A110="","",IF(COUNTIF($A$14:$A$213,$A110)&gt;1,"FAIL — DUPLICATE ID",IF(OR($B110="",$C110="",$E110="",$H110="",$Y110="",$AA110="",$AB110=""),"FAIL — INCOMPLETE",IF(AND(OR($Y110="MIAR Review",$Y110="Eligibility Review",$Y110="Candidate Comparison",$Y110="Committee Review",$Y110="Approved for MASR",$Y110="Referred to PEW-004",$Y110="On Watch",$Y110="Rejected",$Y110="Closed",$Y110="Removed"),$K110=""),"FAIL — MASR RECORD REQUIRED",IF(AND(OR($Y110="Eligibility Review",$Y110="Candidate Comparison",$Y110="Committee Review",$Y110="Approved for MASR",$Y110="Referred to PEW-004",$Y110="On Watch"),NOT(OR($M110="ELIGIBLE",$M110="ELIGIBLE WITH EXCEPTION",$M110="CERTIFIED HOLDING"))),"FAIL — ELIGIBILITY",IF(AND(OR($Y110="Candidate Comparison",$Y110="Committee Review",$Y110="Approved for MASR",$Y110="Referred to PEW-004",$Y110="On Watch"),$X110=0),"FAIL — EVIDENCE",IF(AND(OR($Y110="Candidate Comparison",$Y110="Committee Review",$Y110="Approved for MASR",$Y110="Referred to PEW-004",$Y110="On Watch"),OR($O110&lt;&gt;"Active",$P110&lt;&gt;"CURRENT")),"FAIL — MIAR GATE",IF(AND(OR($Y110="Approved for MASR",$Y110="Referred to PEW-004",$Y110="On Watch",$Y110="Rejected",$Y110="Closed",$Y110="Removed"),OR($AD110="",$AD110="Pending")),"FAIL — COMMITTEE DISPOSITION",IF(AND($Y110="Referred to PEW-004",OR($AF110&lt;&gt;"Yes — Refer to PEW-004",$AG110="",$AJ110="")),"FAIL — PEW REFERRAL","PASS — STAGE GATE")))))))))</x:f>
      </x:c>
      <x:c r="AA110" s="1242"/>
      <x:c r="AB110" s="1251"/>
      <x:c r="AC110" s="1250" t="str">
        <x:f>IF($B110="","",IF($AQ110&lt;&gt;"",$AQ110-$B110,TODAY()-$B110))</x:f>
      </x:c>
      <x:c r="AD110" s="1242"/>
      <x:c r="AE110" s="1251"/>
      <x:c r="AF110" s="1242"/>
      <x:c r="AG110" s="1242"/>
      <x:c r="AH110" s="1246" t="str">
        <x:f>IF($AG110="","",IFERROR(INDEX('10 Candidate Comparison'!$T$14:$T$33,MATCH($AG110,'10 Candidate Comparison'!$A$14:$A$33,0)),""))</x:f>
      </x:c>
      <x:c r="AI110" s="1243" t="str">
        <x:f>IF($AG110="","",IFERROR(INDEX('10 Candidate Comparison'!$U$14:$U$33,MATCH($AG110,'10 Candidate Comparison'!$A$14:$A$33,0)),""))</x:f>
      </x:c>
      <x:c r="AJ110" s="1243" t="str">
        <x:f>IF($AG110="","",IFERROR(INDEX('10 Candidate Comparison'!$Y$14:$Y$33,MATCH($AG110,'10 Candidate Comparison'!$A$14:$A$33,0)),""))</x:f>
      </x:c>
      <x:c r="AK110" s="1244" t="str">
        <x:f>IF($A110="","",IF($Z110="FAIL — DUPLICATE ID","DUPLICATE CANDIDATE ID",IF($Z110="FAIL — INCOMPLETE","INCOMPLETE",IF($Z110="FAIL — MASR RECORD REQUIRED","MASR RECORD REQUIRED",IF($Z110="FAIL — ELIGIBILITY","ELIGIBILITY BLOCK",IF($Z110="FAIL — EVIDENCE","EVIDENCE REQUIRED",IF($Z110="FAIL — MIAR GATE","MIAR GATE BLOCK",IF($Z110="FAIL — COMMITTEE DISPOSITION","COMMITTEE DECISION REQUIRED",IF($Z110="FAIL — PEW REFERRAL","PEW REFERRAL INCOMPLETE",IF(AND(OR($Y110="Rejected",$Y110="Closed",$Y110="Removed"),OR($AO110="",$AP110="",$AQ110="")),"CLOSURE REQUIRED",IF(AND($AB110&lt;TODAY(),NOT(OR($Y110="Rejected",$Y110="Closed",$Y110="Removed"))),"OVERDUE",IF(OR($Y110="Rejected",$Y110="Closed",$Y110="Removed"),"CLOSED","OPEN — ON TRACK"))))))))))))</x:f>
      </x:c>
      <x:c r="AL110" s="1244" t="str">
        <x:f>IF($AK110="","",IFERROR(INDEX('97 RCC Lists'!$AM$5:$AM$16,MATCH($AK110,'97 RCC Lists'!$AL$5:$AL$16,0)),"Review candidate exception"))</x:f>
      </x:c>
      <x:c r="AM110" s="1242"/>
      <x:c r="AN110" s="1242"/>
      <x:c r="AO110" s="1242"/>
      <x:c r="AP110" s="1242"/>
      <x:c r="AQ110" s="1251"/>
    </x:row>
    <x:row r="111" ht="32" customHeight="1">
      <x:c r="A111" s="1242"/>
      <x:c r="B111" s="1251"/>
      <x:c r="C111" s="1242"/>
      <x:c r="D111" s="1252" t="str">
        <x:f>IF($C111="","",IFERROR(INDEX('23 RCC-004 MASR Registry'!$C$14:$C$163,MATCH($C111,'23 RCC-004 MASR Registry'!$B$14:$B$163,0)),""))</x:f>
      </x:c>
      <x:c r="E111" s="1242"/>
      <x:c r="F111" s="1242"/>
      <x:c r="G111" s="1242"/>
      <x:c r="H111" s="1242"/>
      <x:c r="I111" s="1252" t="str">
        <x:f>IF($C111="","",IFERROR(INDEX('23 RCC-004 MASR Registry'!$G$14:$G$163,MATCH($C111,'23 RCC-004 MASR Registry'!$B$14:$B$163,0)),""))</x:f>
      </x:c>
      <x:c r="J111" s="1252" t="str">
        <x:f>IF($C111="","",IFERROR(INDEX('23 RCC-004 MASR Registry'!$H$14:$H$163,MATCH($C111,'23 RCC-004 MASR Registry'!$B$14:$B$163,0)),""))</x:f>
      </x:c>
      <x:c r="K111" s="1252" t="str">
        <x:f>IF($C111="","",IFERROR(INDEX('23 RCC-004 MASR Registry'!$D$14:$D$163,MATCH($C111,'23 RCC-004 MASR Registry'!$B$14:$B$163,0)),""))</x:f>
      </x:c>
      <x:c r="L111" s="1252" t="str">
        <x:f>IF($C111="","",IFERROR(INDEX('23 RCC-004 MASR Registry'!$E$14:$E$163,MATCH($C111,'23 RCC-004 MASR Registry'!$B$14:$B$163,0)),""))</x:f>
      </x:c>
      <x:c r="M111" s="1252" t="str">
        <x:f>IF($C111="","",IFERROR(INDEX('23 RCC-004 MASR Registry'!$X$14:$X$163,MATCH($C111,'23 RCC-004 MASR Registry'!$B$14:$B$163,0)),""))</x:f>
      </x:c>
      <x:c r="N111" s="1252" t="str">
        <x:f>IF($C111="","",IFERROR(INDEX('23 RCC-004 MASR Registry'!$Y$14:$Y$163,MATCH($C111,'23 RCC-004 MASR Registry'!$B$14:$B$163,0)),""))</x:f>
      </x:c>
      <x:c r="O111" s="1252" t="str">
        <x:f>IF($C111="","",IFERROR(INDEX('23 RCC-004 MASR Registry'!$L$14:$L$163,MATCH($C111,'23 RCC-004 MASR Registry'!$B$14:$B$163,0)),""))</x:f>
      </x:c>
      <x:c r="P111" s="1252" t="str">
        <x:f>IF($C111="","",IFERROR(INDEX('23 RCC-004 MASR Registry'!$M$14:$M$163,MATCH($C111,'23 RCC-004 MASR Registry'!$B$14:$B$163,0)),""))</x:f>
      </x:c>
      <x:c r="Q111" s="1255" t="str">
        <x:f>IF($C111="","",IFERROR(INDEX('23 RCC-004 MASR Registry'!$N$14:$N$163,MATCH($C111,'23 RCC-004 MASR Registry'!$B$14:$B$163,0)),""))</x:f>
      </x:c>
      <x:c r="R111" s="1255" t="str">
        <x:f>IF($C111="","",IFERROR(INDEX('23 RCC-004 MASR Registry'!$O$14:$O$163,MATCH($C111,'23 RCC-004 MASR Registry'!$B$14:$B$163,0)),""))</x:f>
      </x:c>
      <x:c r="S111" s="1255" t="str">
        <x:f>IF($C111="","",IFERROR(INDEX('23 RCC-004 MASR Registry'!$W$14:$W$163,MATCH($C111,'23 RCC-004 MASR Registry'!$B$14:$B$163,0)),""))</x:f>
      </x:c>
      <x:c r="T111" s="1255" t="str">
        <x:f>IF($C111="","",IFERROR(INDEX('23 RCC-004 MASR Registry'!$T$14:$T$163,MATCH($C111,'23 RCC-004 MASR Registry'!$B$14:$B$163,0)),""))</x:f>
      </x:c>
      <x:c r="U111" s="1256" t="str">
        <x:f>IF($C111="","",IFERROR(INDEX('23 RCC-004 MASR Registry'!$U$14:$U$163,MATCH($C111,'23 RCC-004 MASR Registry'!$B$14:$B$163,0)),""))</x:f>
      </x:c>
      <x:c r="V111" s="1252" t="str">
        <x:f>IF($C111="","",IFERROR(INDEX('23 RCC-004 MASR Registry'!$V$14:$V$163,MATCH($C111,'23 RCC-004 MASR Registry'!$B$14:$B$163,0)),""))</x:f>
      </x:c>
      <x:c r="W111" s="1242"/>
      <x:c r="X111" s="1256" t="str">
        <x:f>IF($C111="","",COUNTIF('18 RCC-002 Evidence Ledger'!$E$14:$E$213,$C111))</x:f>
      </x:c>
      <x:c r="Y111" s="1242"/>
      <x:c r="Z111" s="1253" t="str">
        <x:f>IF($A111="","",IF(COUNTIF($A$14:$A$213,$A111)&gt;1,"FAIL — DUPLICATE ID",IF(OR($B111="",$C111="",$E111="",$H111="",$Y111="",$AA111="",$AB111=""),"FAIL — INCOMPLETE",IF(AND(OR($Y111="MIAR Review",$Y111="Eligibility Review",$Y111="Candidate Comparison",$Y111="Committee Review",$Y111="Approved for MASR",$Y111="Referred to PEW-004",$Y111="On Watch",$Y111="Rejected",$Y111="Closed",$Y111="Removed"),$K111=""),"FAIL — MASR RECORD REQUIRED",IF(AND(OR($Y111="Eligibility Review",$Y111="Candidate Comparison",$Y111="Committee Review",$Y111="Approved for MASR",$Y111="Referred to PEW-004",$Y111="On Watch"),NOT(OR($M111="ELIGIBLE",$M111="ELIGIBLE WITH EXCEPTION",$M111="CERTIFIED HOLDING"))),"FAIL — ELIGIBILITY",IF(AND(OR($Y111="Candidate Comparison",$Y111="Committee Review",$Y111="Approved for MASR",$Y111="Referred to PEW-004",$Y111="On Watch"),$X111=0),"FAIL — EVIDENCE",IF(AND(OR($Y111="Candidate Comparison",$Y111="Committee Review",$Y111="Approved for MASR",$Y111="Referred to PEW-004",$Y111="On Watch"),OR($O111&lt;&gt;"Active",$P111&lt;&gt;"CURRENT")),"FAIL — MIAR GATE",IF(AND(OR($Y111="Approved for MASR",$Y111="Referred to PEW-004",$Y111="On Watch",$Y111="Rejected",$Y111="Closed",$Y111="Removed"),OR($AD111="",$AD111="Pending")),"FAIL — COMMITTEE DISPOSITION",IF(AND($Y111="Referred to PEW-004",OR($AF111&lt;&gt;"Yes — Refer to PEW-004",$AG111="",$AJ111="")),"FAIL — PEW REFERRAL","PASS — STAGE GATE")))))))))</x:f>
      </x:c>
      <x:c r="AA111" s="1242"/>
      <x:c r="AB111" s="1251"/>
      <x:c r="AC111" s="1257" t="str">
        <x:f>IF($B111="","",IF($AQ111&lt;&gt;"",$AQ111-$B111,TODAY()-$B111))</x:f>
      </x:c>
      <x:c r="AD111" s="1242"/>
      <x:c r="AE111" s="1251"/>
      <x:c r="AF111" s="1242"/>
      <x:c r="AG111" s="1242"/>
      <x:c r="AH111" s="1255" t="str">
        <x:f>IF($AG111="","",IFERROR(INDEX('10 Candidate Comparison'!$T$14:$T$33,MATCH($AG111,'10 Candidate Comparison'!$A$14:$A$33,0)),""))</x:f>
      </x:c>
      <x:c r="AI111" s="1252" t="str">
        <x:f>IF($AG111="","",IFERROR(INDEX('10 Candidate Comparison'!$U$14:$U$33,MATCH($AG111,'10 Candidate Comparison'!$A$14:$A$33,0)),""))</x:f>
      </x:c>
      <x:c r="AJ111" s="1252" t="str">
        <x:f>IF($AG111="","",IFERROR(INDEX('10 Candidate Comparison'!$Y$14:$Y$33,MATCH($AG111,'10 Candidate Comparison'!$A$14:$A$33,0)),""))</x:f>
      </x:c>
      <x:c r="AK111" s="1253" t="str">
        <x:f>IF($A111="","",IF($Z111="FAIL — DUPLICATE ID","DUPLICATE CANDIDATE ID",IF($Z111="FAIL — INCOMPLETE","INCOMPLETE",IF($Z111="FAIL — MASR RECORD REQUIRED","MASR RECORD REQUIRED",IF($Z111="FAIL — ELIGIBILITY","ELIGIBILITY BLOCK",IF($Z111="FAIL — EVIDENCE","EVIDENCE REQUIRED",IF($Z111="FAIL — MIAR GATE","MIAR GATE BLOCK",IF($Z111="FAIL — COMMITTEE DISPOSITION","COMMITTEE DECISION REQUIRED",IF($Z111="FAIL — PEW REFERRAL","PEW REFERRAL INCOMPLETE",IF(AND(OR($Y111="Rejected",$Y111="Closed",$Y111="Removed"),OR($AO111="",$AP111="",$AQ111="")),"CLOSURE REQUIRED",IF(AND($AB111&lt;TODAY(),NOT(OR($Y111="Rejected",$Y111="Closed",$Y111="Removed"))),"OVERDUE",IF(OR($Y111="Rejected",$Y111="Closed",$Y111="Removed"),"CLOSED","OPEN — ON TRACK"))))))))))))</x:f>
      </x:c>
      <x:c r="AL111" s="1253" t="str">
        <x:f>IF($AK111="","",IFERROR(INDEX('97 RCC Lists'!$AM$5:$AM$16,MATCH($AK111,'97 RCC Lists'!$AL$5:$AL$16,0)),"Review candidate exception"))</x:f>
      </x:c>
      <x:c r="AM111" s="1242"/>
      <x:c r="AN111" s="1242"/>
      <x:c r="AO111" s="1242"/>
      <x:c r="AP111" s="1242"/>
      <x:c r="AQ111" s="1251"/>
    </x:row>
    <x:row r="112" ht="32" customHeight="1">
      <x:c r="A112" s="1242"/>
      <x:c r="B112" s="1251"/>
      <x:c r="C112" s="1242"/>
      <x:c r="D112" s="1243" t="str">
        <x:f>IF($C112="","",IFERROR(INDEX('23 RCC-004 MASR Registry'!$C$14:$C$163,MATCH($C112,'23 RCC-004 MASR Registry'!$B$14:$B$163,0)),""))</x:f>
      </x:c>
      <x:c r="E112" s="1242"/>
      <x:c r="F112" s="1242"/>
      <x:c r="G112" s="1242"/>
      <x:c r="H112" s="1242"/>
      <x:c r="I112" s="1243" t="str">
        <x:f>IF($C112="","",IFERROR(INDEX('23 RCC-004 MASR Registry'!$G$14:$G$163,MATCH($C112,'23 RCC-004 MASR Registry'!$B$14:$B$163,0)),""))</x:f>
      </x:c>
      <x:c r="J112" s="1243" t="str">
        <x:f>IF($C112="","",IFERROR(INDEX('23 RCC-004 MASR Registry'!$H$14:$H$163,MATCH($C112,'23 RCC-004 MASR Registry'!$B$14:$B$163,0)),""))</x:f>
      </x:c>
      <x:c r="K112" s="1243" t="str">
        <x:f>IF($C112="","",IFERROR(INDEX('23 RCC-004 MASR Registry'!$D$14:$D$163,MATCH($C112,'23 RCC-004 MASR Registry'!$B$14:$B$163,0)),""))</x:f>
      </x:c>
      <x:c r="L112" s="1243" t="str">
        <x:f>IF($C112="","",IFERROR(INDEX('23 RCC-004 MASR Registry'!$E$14:$E$163,MATCH($C112,'23 RCC-004 MASR Registry'!$B$14:$B$163,0)),""))</x:f>
      </x:c>
      <x:c r="M112" s="1243" t="str">
        <x:f>IF($C112="","",IFERROR(INDEX('23 RCC-004 MASR Registry'!$X$14:$X$163,MATCH($C112,'23 RCC-004 MASR Registry'!$B$14:$B$163,0)),""))</x:f>
      </x:c>
      <x:c r="N112" s="1243" t="str">
        <x:f>IF($C112="","",IFERROR(INDEX('23 RCC-004 MASR Registry'!$Y$14:$Y$163,MATCH($C112,'23 RCC-004 MASR Registry'!$B$14:$B$163,0)),""))</x:f>
      </x:c>
      <x:c r="O112" s="1243" t="str">
        <x:f>IF($C112="","",IFERROR(INDEX('23 RCC-004 MASR Registry'!$L$14:$L$163,MATCH($C112,'23 RCC-004 MASR Registry'!$B$14:$B$163,0)),""))</x:f>
      </x:c>
      <x:c r="P112" s="1243" t="str">
        <x:f>IF($C112="","",IFERROR(INDEX('23 RCC-004 MASR Registry'!$M$14:$M$163,MATCH($C112,'23 RCC-004 MASR Registry'!$B$14:$B$163,0)),""))</x:f>
      </x:c>
      <x:c r="Q112" s="1246" t="str">
        <x:f>IF($C112="","",IFERROR(INDEX('23 RCC-004 MASR Registry'!$N$14:$N$163,MATCH($C112,'23 RCC-004 MASR Registry'!$B$14:$B$163,0)),""))</x:f>
      </x:c>
      <x:c r="R112" s="1246" t="str">
        <x:f>IF($C112="","",IFERROR(INDEX('23 RCC-004 MASR Registry'!$O$14:$O$163,MATCH($C112,'23 RCC-004 MASR Registry'!$B$14:$B$163,0)),""))</x:f>
      </x:c>
      <x:c r="S112" s="1246" t="str">
        <x:f>IF($C112="","",IFERROR(INDEX('23 RCC-004 MASR Registry'!$W$14:$W$163,MATCH($C112,'23 RCC-004 MASR Registry'!$B$14:$B$163,0)),""))</x:f>
      </x:c>
      <x:c r="T112" s="1246" t="str">
        <x:f>IF($C112="","",IFERROR(INDEX('23 RCC-004 MASR Registry'!$T$14:$T$163,MATCH($C112,'23 RCC-004 MASR Registry'!$B$14:$B$163,0)),""))</x:f>
      </x:c>
      <x:c r="U112" s="1247" t="str">
        <x:f>IF($C112="","",IFERROR(INDEX('23 RCC-004 MASR Registry'!$U$14:$U$163,MATCH($C112,'23 RCC-004 MASR Registry'!$B$14:$B$163,0)),""))</x:f>
      </x:c>
      <x:c r="V112" s="1243" t="str">
        <x:f>IF($C112="","",IFERROR(INDEX('23 RCC-004 MASR Registry'!$V$14:$V$163,MATCH($C112,'23 RCC-004 MASR Registry'!$B$14:$B$163,0)),""))</x:f>
      </x:c>
      <x:c r="W112" s="1242"/>
      <x:c r="X112" s="1247" t="str">
        <x:f>IF($C112="","",COUNTIF('18 RCC-002 Evidence Ledger'!$E$14:$E$213,$C112))</x:f>
      </x:c>
      <x:c r="Y112" s="1242"/>
      <x:c r="Z112" s="1244" t="str">
        <x:f>IF($A112="","",IF(COUNTIF($A$14:$A$213,$A112)&gt;1,"FAIL — DUPLICATE ID",IF(OR($B112="",$C112="",$E112="",$H112="",$Y112="",$AA112="",$AB112=""),"FAIL — INCOMPLETE",IF(AND(OR($Y112="MIAR Review",$Y112="Eligibility Review",$Y112="Candidate Comparison",$Y112="Committee Review",$Y112="Approved for MASR",$Y112="Referred to PEW-004",$Y112="On Watch",$Y112="Rejected",$Y112="Closed",$Y112="Removed"),$K112=""),"FAIL — MASR RECORD REQUIRED",IF(AND(OR($Y112="Eligibility Review",$Y112="Candidate Comparison",$Y112="Committee Review",$Y112="Approved for MASR",$Y112="Referred to PEW-004",$Y112="On Watch"),NOT(OR($M112="ELIGIBLE",$M112="ELIGIBLE WITH EXCEPTION",$M112="CERTIFIED HOLDING"))),"FAIL — ELIGIBILITY",IF(AND(OR($Y112="Candidate Comparison",$Y112="Committee Review",$Y112="Approved for MASR",$Y112="Referred to PEW-004",$Y112="On Watch"),$X112=0),"FAIL — EVIDENCE",IF(AND(OR($Y112="Candidate Comparison",$Y112="Committee Review",$Y112="Approved for MASR",$Y112="Referred to PEW-004",$Y112="On Watch"),OR($O112&lt;&gt;"Active",$P112&lt;&gt;"CURRENT")),"FAIL — MIAR GATE",IF(AND(OR($Y112="Approved for MASR",$Y112="Referred to PEW-004",$Y112="On Watch",$Y112="Rejected",$Y112="Closed",$Y112="Removed"),OR($AD112="",$AD112="Pending")),"FAIL — COMMITTEE DISPOSITION",IF(AND($Y112="Referred to PEW-004",OR($AF112&lt;&gt;"Yes — Refer to PEW-004",$AG112="",$AJ112="")),"FAIL — PEW REFERRAL","PASS — STAGE GATE")))))))))</x:f>
      </x:c>
      <x:c r="AA112" s="1242"/>
      <x:c r="AB112" s="1251"/>
      <x:c r="AC112" s="1250" t="str">
        <x:f>IF($B112="","",IF($AQ112&lt;&gt;"",$AQ112-$B112,TODAY()-$B112))</x:f>
      </x:c>
      <x:c r="AD112" s="1242"/>
      <x:c r="AE112" s="1251"/>
      <x:c r="AF112" s="1242"/>
      <x:c r="AG112" s="1242"/>
      <x:c r="AH112" s="1246" t="str">
        <x:f>IF($AG112="","",IFERROR(INDEX('10 Candidate Comparison'!$T$14:$T$33,MATCH($AG112,'10 Candidate Comparison'!$A$14:$A$33,0)),""))</x:f>
      </x:c>
      <x:c r="AI112" s="1243" t="str">
        <x:f>IF($AG112="","",IFERROR(INDEX('10 Candidate Comparison'!$U$14:$U$33,MATCH($AG112,'10 Candidate Comparison'!$A$14:$A$33,0)),""))</x:f>
      </x:c>
      <x:c r="AJ112" s="1243" t="str">
        <x:f>IF($AG112="","",IFERROR(INDEX('10 Candidate Comparison'!$Y$14:$Y$33,MATCH($AG112,'10 Candidate Comparison'!$A$14:$A$33,0)),""))</x:f>
      </x:c>
      <x:c r="AK112" s="1244" t="str">
        <x:f>IF($A112="","",IF($Z112="FAIL — DUPLICATE ID","DUPLICATE CANDIDATE ID",IF($Z112="FAIL — INCOMPLETE","INCOMPLETE",IF($Z112="FAIL — MASR RECORD REQUIRED","MASR RECORD REQUIRED",IF($Z112="FAIL — ELIGIBILITY","ELIGIBILITY BLOCK",IF($Z112="FAIL — EVIDENCE","EVIDENCE REQUIRED",IF($Z112="FAIL — MIAR GATE","MIAR GATE BLOCK",IF($Z112="FAIL — COMMITTEE DISPOSITION","COMMITTEE DECISION REQUIRED",IF($Z112="FAIL — PEW REFERRAL","PEW REFERRAL INCOMPLETE",IF(AND(OR($Y112="Rejected",$Y112="Closed",$Y112="Removed"),OR($AO112="",$AP112="",$AQ112="")),"CLOSURE REQUIRED",IF(AND($AB112&lt;TODAY(),NOT(OR($Y112="Rejected",$Y112="Closed",$Y112="Removed"))),"OVERDUE",IF(OR($Y112="Rejected",$Y112="Closed",$Y112="Removed"),"CLOSED","OPEN — ON TRACK"))))))))))))</x:f>
      </x:c>
      <x:c r="AL112" s="1244" t="str">
        <x:f>IF($AK112="","",IFERROR(INDEX('97 RCC Lists'!$AM$5:$AM$16,MATCH($AK112,'97 RCC Lists'!$AL$5:$AL$16,0)),"Review candidate exception"))</x:f>
      </x:c>
      <x:c r="AM112" s="1242"/>
      <x:c r="AN112" s="1242"/>
      <x:c r="AO112" s="1242"/>
      <x:c r="AP112" s="1242"/>
      <x:c r="AQ112" s="1251"/>
    </x:row>
    <x:row r="113" ht="32" customHeight="1">
      <x:c r="A113" s="1242"/>
      <x:c r="B113" s="1251"/>
      <x:c r="C113" s="1242"/>
      <x:c r="D113" s="1252" t="str">
        <x:f>IF($C113="","",IFERROR(INDEX('23 RCC-004 MASR Registry'!$C$14:$C$163,MATCH($C113,'23 RCC-004 MASR Registry'!$B$14:$B$163,0)),""))</x:f>
      </x:c>
      <x:c r="E113" s="1242"/>
      <x:c r="F113" s="1242"/>
      <x:c r="G113" s="1242"/>
      <x:c r="H113" s="1242"/>
      <x:c r="I113" s="1252" t="str">
        <x:f>IF($C113="","",IFERROR(INDEX('23 RCC-004 MASR Registry'!$G$14:$G$163,MATCH($C113,'23 RCC-004 MASR Registry'!$B$14:$B$163,0)),""))</x:f>
      </x:c>
      <x:c r="J113" s="1252" t="str">
        <x:f>IF($C113="","",IFERROR(INDEX('23 RCC-004 MASR Registry'!$H$14:$H$163,MATCH($C113,'23 RCC-004 MASR Registry'!$B$14:$B$163,0)),""))</x:f>
      </x:c>
      <x:c r="K113" s="1252" t="str">
        <x:f>IF($C113="","",IFERROR(INDEX('23 RCC-004 MASR Registry'!$D$14:$D$163,MATCH($C113,'23 RCC-004 MASR Registry'!$B$14:$B$163,0)),""))</x:f>
      </x:c>
      <x:c r="L113" s="1252" t="str">
        <x:f>IF($C113="","",IFERROR(INDEX('23 RCC-004 MASR Registry'!$E$14:$E$163,MATCH($C113,'23 RCC-004 MASR Registry'!$B$14:$B$163,0)),""))</x:f>
      </x:c>
      <x:c r="M113" s="1252" t="str">
        <x:f>IF($C113="","",IFERROR(INDEX('23 RCC-004 MASR Registry'!$X$14:$X$163,MATCH($C113,'23 RCC-004 MASR Registry'!$B$14:$B$163,0)),""))</x:f>
      </x:c>
      <x:c r="N113" s="1252" t="str">
        <x:f>IF($C113="","",IFERROR(INDEX('23 RCC-004 MASR Registry'!$Y$14:$Y$163,MATCH($C113,'23 RCC-004 MASR Registry'!$B$14:$B$163,0)),""))</x:f>
      </x:c>
      <x:c r="O113" s="1252" t="str">
        <x:f>IF($C113="","",IFERROR(INDEX('23 RCC-004 MASR Registry'!$L$14:$L$163,MATCH($C113,'23 RCC-004 MASR Registry'!$B$14:$B$163,0)),""))</x:f>
      </x:c>
      <x:c r="P113" s="1252" t="str">
        <x:f>IF($C113="","",IFERROR(INDEX('23 RCC-004 MASR Registry'!$M$14:$M$163,MATCH($C113,'23 RCC-004 MASR Registry'!$B$14:$B$163,0)),""))</x:f>
      </x:c>
      <x:c r="Q113" s="1255" t="str">
        <x:f>IF($C113="","",IFERROR(INDEX('23 RCC-004 MASR Registry'!$N$14:$N$163,MATCH($C113,'23 RCC-004 MASR Registry'!$B$14:$B$163,0)),""))</x:f>
      </x:c>
      <x:c r="R113" s="1255" t="str">
        <x:f>IF($C113="","",IFERROR(INDEX('23 RCC-004 MASR Registry'!$O$14:$O$163,MATCH($C113,'23 RCC-004 MASR Registry'!$B$14:$B$163,0)),""))</x:f>
      </x:c>
      <x:c r="S113" s="1255" t="str">
        <x:f>IF($C113="","",IFERROR(INDEX('23 RCC-004 MASR Registry'!$W$14:$W$163,MATCH($C113,'23 RCC-004 MASR Registry'!$B$14:$B$163,0)),""))</x:f>
      </x:c>
      <x:c r="T113" s="1255" t="str">
        <x:f>IF($C113="","",IFERROR(INDEX('23 RCC-004 MASR Registry'!$T$14:$T$163,MATCH($C113,'23 RCC-004 MASR Registry'!$B$14:$B$163,0)),""))</x:f>
      </x:c>
      <x:c r="U113" s="1256" t="str">
        <x:f>IF($C113="","",IFERROR(INDEX('23 RCC-004 MASR Registry'!$U$14:$U$163,MATCH($C113,'23 RCC-004 MASR Registry'!$B$14:$B$163,0)),""))</x:f>
      </x:c>
      <x:c r="V113" s="1252" t="str">
        <x:f>IF($C113="","",IFERROR(INDEX('23 RCC-004 MASR Registry'!$V$14:$V$163,MATCH($C113,'23 RCC-004 MASR Registry'!$B$14:$B$163,0)),""))</x:f>
      </x:c>
      <x:c r="W113" s="1242"/>
      <x:c r="X113" s="1256" t="str">
        <x:f>IF($C113="","",COUNTIF('18 RCC-002 Evidence Ledger'!$E$14:$E$213,$C113))</x:f>
      </x:c>
      <x:c r="Y113" s="1242"/>
      <x:c r="Z113" s="1253" t="str">
        <x:f>IF($A113="","",IF(COUNTIF($A$14:$A$213,$A113)&gt;1,"FAIL — DUPLICATE ID",IF(OR($B113="",$C113="",$E113="",$H113="",$Y113="",$AA113="",$AB113=""),"FAIL — INCOMPLETE",IF(AND(OR($Y113="MIAR Review",$Y113="Eligibility Review",$Y113="Candidate Comparison",$Y113="Committee Review",$Y113="Approved for MASR",$Y113="Referred to PEW-004",$Y113="On Watch",$Y113="Rejected",$Y113="Closed",$Y113="Removed"),$K113=""),"FAIL — MASR RECORD REQUIRED",IF(AND(OR($Y113="Eligibility Review",$Y113="Candidate Comparison",$Y113="Committee Review",$Y113="Approved for MASR",$Y113="Referred to PEW-004",$Y113="On Watch"),NOT(OR($M113="ELIGIBLE",$M113="ELIGIBLE WITH EXCEPTION",$M113="CERTIFIED HOLDING"))),"FAIL — ELIGIBILITY",IF(AND(OR($Y113="Candidate Comparison",$Y113="Committee Review",$Y113="Approved for MASR",$Y113="Referred to PEW-004",$Y113="On Watch"),$X113=0),"FAIL — EVIDENCE",IF(AND(OR($Y113="Candidate Comparison",$Y113="Committee Review",$Y113="Approved for MASR",$Y113="Referred to PEW-004",$Y113="On Watch"),OR($O113&lt;&gt;"Active",$P113&lt;&gt;"CURRENT")),"FAIL — MIAR GATE",IF(AND(OR($Y113="Approved for MASR",$Y113="Referred to PEW-004",$Y113="On Watch",$Y113="Rejected",$Y113="Closed",$Y113="Removed"),OR($AD113="",$AD113="Pending")),"FAIL — COMMITTEE DISPOSITION",IF(AND($Y113="Referred to PEW-004",OR($AF113&lt;&gt;"Yes — Refer to PEW-004",$AG113="",$AJ113="")),"FAIL — PEW REFERRAL","PASS — STAGE GATE")))))))))</x:f>
      </x:c>
      <x:c r="AA113" s="1242"/>
      <x:c r="AB113" s="1251"/>
      <x:c r="AC113" s="1257" t="str">
        <x:f>IF($B113="","",IF($AQ113&lt;&gt;"",$AQ113-$B113,TODAY()-$B113))</x:f>
      </x:c>
      <x:c r="AD113" s="1242"/>
      <x:c r="AE113" s="1251"/>
      <x:c r="AF113" s="1242"/>
      <x:c r="AG113" s="1242"/>
      <x:c r="AH113" s="1255" t="str">
        <x:f>IF($AG113="","",IFERROR(INDEX('10 Candidate Comparison'!$T$14:$T$33,MATCH($AG113,'10 Candidate Comparison'!$A$14:$A$33,0)),""))</x:f>
      </x:c>
      <x:c r="AI113" s="1252" t="str">
        <x:f>IF($AG113="","",IFERROR(INDEX('10 Candidate Comparison'!$U$14:$U$33,MATCH($AG113,'10 Candidate Comparison'!$A$14:$A$33,0)),""))</x:f>
      </x:c>
      <x:c r="AJ113" s="1252" t="str">
        <x:f>IF($AG113="","",IFERROR(INDEX('10 Candidate Comparison'!$Y$14:$Y$33,MATCH($AG113,'10 Candidate Comparison'!$A$14:$A$33,0)),""))</x:f>
      </x:c>
      <x:c r="AK113" s="1253" t="str">
        <x:f>IF($A113="","",IF($Z113="FAIL — DUPLICATE ID","DUPLICATE CANDIDATE ID",IF($Z113="FAIL — INCOMPLETE","INCOMPLETE",IF($Z113="FAIL — MASR RECORD REQUIRED","MASR RECORD REQUIRED",IF($Z113="FAIL — ELIGIBILITY","ELIGIBILITY BLOCK",IF($Z113="FAIL — EVIDENCE","EVIDENCE REQUIRED",IF($Z113="FAIL — MIAR GATE","MIAR GATE BLOCK",IF($Z113="FAIL — COMMITTEE DISPOSITION","COMMITTEE DECISION REQUIRED",IF($Z113="FAIL — PEW REFERRAL","PEW REFERRAL INCOMPLETE",IF(AND(OR($Y113="Rejected",$Y113="Closed",$Y113="Removed"),OR($AO113="",$AP113="",$AQ113="")),"CLOSURE REQUIRED",IF(AND($AB113&lt;TODAY(),NOT(OR($Y113="Rejected",$Y113="Closed",$Y113="Removed"))),"OVERDUE",IF(OR($Y113="Rejected",$Y113="Closed",$Y113="Removed"),"CLOSED","OPEN — ON TRACK"))))))))))))</x:f>
      </x:c>
      <x:c r="AL113" s="1253" t="str">
        <x:f>IF($AK113="","",IFERROR(INDEX('97 RCC Lists'!$AM$5:$AM$16,MATCH($AK113,'97 RCC Lists'!$AL$5:$AL$16,0)),"Review candidate exception"))</x:f>
      </x:c>
      <x:c r="AM113" s="1242"/>
      <x:c r="AN113" s="1242"/>
      <x:c r="AO113" s="1242"/>
      <x:c r="AP113" s="1242"/>
      <x:c r="AQ113" s="1251"/>
    </x:row>
    <x:row r="114" ht="32" customHeight="1">
      <x:c r="A114" s="1242"/>
      <x:c r="B114" s="1251"/>
      <x:c r="C114" s="1242"/>
      <x:c r="D114" s="1243" t="str">
        <x:f>IF($C114="","",IFERROR(INDEX('23 RCC-004 MASR Registry'!$C$14:$C$163,MATCH($C114,'23 RCC-004 MASR Registry'!$B$14:$B$163,0)),""))</x:f>
      </x:c>
      <x:c r="E114" s="1242"/>
      <x:c r="F114" s="1242"/>
      <x:c r="G114" s="1242"/>
      <x:c r="H114" s="1242"/>
      <x:c r="I114" s="1243" t="str">
        <x:f>IF($C114="","",IFERROR(INDEX('23 RCC-004 MASR Registry'!$G$14:$G$163,MATCH($C114,'23 RCC-004 MASR Registry'!$B$14:$B$163,0)),""))</x:f>
      </x:c>
      <x:c r="J114" s="1243" t="str">
        <x:f>IF($C114="","",IFERROR(INDEX('23 RCC-004 MASR Registry'!$H$14:$H$163,MATCH($C114,'23 RCC-004 MASR Registry'!$B$14:$B$163,0)),""))</x:f>
      </x:c>
      <x:c r="K114" s="1243" t="str">
        <x:f>IF($C114="","",IFERROR(INDEX('23 RCC-004 MASR Registry'!$D$14:$D$163,MATCH($C114,'23 RCC-004 MASR Registry'!$B$14:$B$163,0)),""))</x:f>
      </x:c>
      <x:c r="L114" s="1243" t="str">
        <x:f>IF($C114="","",IFERROR(INDEX('23 RCC-004 MASR Registry'!$E$14:$E$163,MATCH($C114,'23 RCC-004 MASR Registry'!$B$14:$B$163,0)),""))</x:f>
      </x:c>
      <x:c r="M114" s="1243" t="str">
        <x:f>IF($C114="","",IFERROR(INDEX('23 RCC-004 MASR Registry'!$X$14:$X$163,MATCH($C114,'23 RCC-004 MASR Registry'!$B$14:$B$163,0)),""))</x:f>
      </x:c>
      <x:c r="N114" s="1243" t="str">
        <x:f>IF($C114="","",IFERROR(INDEX('23 RCC-004 MASR Registry'!$Y$14:$Y$163,MATCH($C114,'23 RCC-004 MASR Registry'!$B$14:$B$163,0)),""))</x:f>
      </x:c>
      <x:c r="O114" s="1243" t="str">
        <x:f>IF($C114="","",IFERROR(INDEX('23 RCC-004 MASR Registry'!$L$14:$L$163,MATCH($C114,'23 RCC-004 MASR Registry'!$B$14:$B$163,0)),""))</x:f>
      </x:c>
      <x:c r="P114" s="1243" t="str">
        <x:f>IF($C114="","",IFERROR(INDEX('23 RCC-004 MASR Registry'!$M$14:$M$163,MATCH($C114,'23 RCC-004 MASR Registry'!$B$14:$B$163,0)),""))</x:f>
      </x:c>
      <x:c r="Q114" s="1246" t="str">
        <x:f>IF($C114="","",IFERROR(INDEX('23 RCC-004 MASR Registry'!$N$14:$N$163,MATCH($C114,'23 RCC-004 MASR Registry'!$B$14:$B$163,0)),""))</x:f>
      </x:c>
      <x:c r="R114" s="1246" t="str">
        <x:f>IF($C114="","",IFERROR(INDEX('23 RCC-004 MASR Registry'!$O$14:$O$163,MATCH($C114,'23 RCC-004 MASR Registry'!$B$14:$B$163,0)),""))</x:f>
      </x:c>
      <x:c r="S114" s="1246" t="str">
        <x:f>IF($C114="","",IFERROR(INDEX('23 RCC-004 MASR Registry'!$W$14:$W$163,MATCH($C114,'23 RCC-004 MASR Registry'!$B$14:$B$163,0)),""))</x:f>
      </x:c>
      <x:c r="T114" s="1246" t="str">
        <x:f>IF($C114="","",IFERROR(INDEX('23 RCC-004 MASR Registry'!$T$14:$T$163,MATCH($C114,'23 RCC-004 MASR Registry'!$B$14:$B$163,0)),""))</x:f>
      </x:c>
      <x:c r="U114" s="1247" t="str">
        <x:f>IF($C114="","",IFERROR(INDEX('23 RCC-004 MASR Registry'!$U$14:$U$163,MATCH($C114,'23 RCC-004 MASR Registry'!$B$14:$B$163,0)),""))</x:f>
      </x:c>
      <x:c r="V114" s="1243" t="str">
        <x:f>IF($C114="","",IFERROR(INDEX('23 RCC-004 MASR Registry'!$V$14:$V$163,MATCH($C114,'23 RCC-004 MASR Registry'!$B$14:$B$163,0)),""))</x:f>
      </x:c>
      <x:c r="W114" s="1242"/>
      <x:c r="X114" s="1247" t="str">
        <x:f>IF($C114="","",COUNTIF('18 RCC-002 Evidence Ledger'!$E$14:$E$213,$C114))</x:f>
      </x:c>
      <x:c r="Y114" s="1242"/>
      <x:c r="Z114" s="1244" t="str">
        <x:f>IF($A114="","",IF(COUNTIF($A$14:$A$213,$A114)&gt;1,"FAIL — DUPLICATE ID",IF(OR($B114="",$C114="",$E114="",$H114="",$Y114="",$AA114="",$AB114=""),"FAIL — INCOMPLETE",IF(AND(OR($Y114="MIAR Review",$Y114="Eligibility Review",$Y114="Candidate Comparison",$Y114="Committee Review",$Y114="Approved for MASR",$Y114="Referred to PEW-004",$Y114="On Watch",$Y114="Rejected",$Y114="Closed",$Y114="Removed"),$K114=""),"FAIL — MASR RECORD REQUIRED",IF(AND(OR($Y114="Eligibility Review",$Y114="Candidate Comparison",$Y114="Committee Review",$Y114="Approved for MASR",$Y114="Referred to PEW-004",$Y114="On Watch"),NOT(OR($M114="ELIGIBLE",$M114="ELIGIBLE WITH EXCEPTION",$M114="CERTIFIED HOLDING"))),"FAIL — ELIGIBILITY",IF(AND(OR($Y114="Candidate Comparison",$Y114="Committee Review",$Y114="Approved for MASR",$Y114="Referred to PEW-004",$Y114="On Watch"),$X114=0),"FAIL — EVIDENCE",IF(AND(OR($Y114="Candidate Comparison",$Y114="Committee Review",$Y114="Approved for MASR",$Y114="Referred to PEW-004",$Y114="On Watch"),OR($O114&lt;&gt;"Active",$P114&lt;&gt;"CURRENT")),"FAIL — MIAR GATE",IF(AND(OR($Y114="Approved for MASR",$Y114="Referred to PEW-004",$Y114="On Watch",$Y114="Rejected",$Y114="Closed",$Y114="Removed"),OR($AD114="",$AD114="Pending")),"FAIL — COMMITTEE DISPOSITION",IF(AND($Y114="Referred to PEW-004",OR($AF114&lt;&gt;"Yes — Refer to PEW-004",$AG114="",$AJ114="")),"FAIL — PEW REFERRAL","PASS — STAGE GATE")))))))))</x:f>
      </x:c>
      <x:c r="AA114" s="1242"/>
      <x:c r="AB114" s="1251"/>
      <x:c r="AC114" s="1250" t="str">
        <x:f>IF($B114="","",IF($AQ114&lt;&gt;"",$AQ114-$B114,TODAY()-$B114))</x:f>
      </x:c>
      <x:c r="AD114" s="1242"/>
      <x:c r="AE114" s="1251"/>
      <x:c r="AF114" s="1242"/>
      <x:c r="AG114" s="1242"/>
      <x:c r="AH114" s="1246" t="str">
        <x:f>IF($AG114="","",IFERROR(INDEX('10 Candidate Comparison'!$T$14:$T$33,MATCH($AG114,'10 Candidate Comparison'!$A$14:$A$33,0)),""))</x:f>
      </x:c>
      <x:c r="AI114" s="1243" t="str">
        <x:f>IF($AG114="","",IFERROR(INDEX('10 Candidate Comparison'!$U$14:$U$33,MATCH($AG114,'10 Candidate Comparison'!$A$14:$A$33,0)),""))</x:f>
      </x:c>
      <x:c r="AJ114" s="1243" t="str">
        <x:f>IF($AG114="","",IFERROR(INDEX('10 Candidate Comparison'!$Y$14:$Y$33,MATCH($AG114,'10 Candidate Comparison'!$A$14:$A$33,0)),""))</x:f>
      </x:c>
      <x:c r="AK114" s="1244" t="str">
        <x:f>IF($A114="","",IF($Z114="FAIL — DUPLICATE ID","DUPLICATE CANDIDATE ID",IF($Z114="FAIL — INCOMPLETE","INCOMPLETE",IF($Z114="FAIL — MASR RECORD REQUIRED","MASR RECORD REQUIRED",IF($Z114="FAIL — ELIGIBILITY","ELIGIBILITY BLOCK",IF($Z114="FAIL — EVIDENCE","EVIDENCE REQUIRED",IF($Z114="FAIL — MIAR GATE","MIAR GATE BLOCK",IF($Z114="FAIL — COMMITTEE DISPOSITION","COMMITTEE DECISION REQUIRED",IF($Z114="FAIL — PEW REFERRAL","PEW REFERRAL INCOMPLETE",IF(AND(OR($Y114="Rejected",$Y114="Closed",$Y114="Removed"),OR($AO114="",$AP114="",$AQ114="")),"CLOSURE REQUIRED",IF(AND($AB114&lt;TODAY(),NOT(OR($Y114="Rejected",$Y114="Closed",$Y114="Removed"))),"OVERDUE",IF(OR($Y114="Rejected",$Y114="Closed",$Y114="Removed"),"CLOSED","OPEN — ON TRACK"))))))))))))</x:f>
      </x:c>
      <x:c r="AL114" s="1244" t="str">
        <x:f>IF($AK114="","",IFERROR(INDEX('97 RCC Lists'!$AM$5:$AM$16,MATCH($AK114,'97 RCC Lists'!$AL$5:$AL$16,0)),"Review candidate exception"))</x:f>
      </x:c>
      <x:c r="AM114" s="1242"/>
      <x:c r="AN114" s="1242"/>
      <x:c r="AO114" s="1242"/>
      <x:c r="AP114" s="1242"/>
      <x:c r="AQ114" s="1251"/>
    </x:row>
    <x:row r="115" ht="32" customHeight="1">
      <x:c r="A115" s="1242"/>
      <x:c r="B115" s="1251"/>
      <x:c r="C115" s="1242"/>
      <x:c r="D115" s="1252" t="str">
        <x:f>IF($C115="","",IFERROR(INDEX('23 RCC-004 MASR Registry'!$C$14:$C$163,MATCH($C115,'23 RCC-004 MASR Registry'!$B$14:$B$163,0)),""))</x:f>
      </x:c>
      <x:c r="E115" s="1242"/>
      <x:c r="F115" s="1242"/>
      <x:c r="G115" s="1242"/>
      <x:c r="H115" s="1242"/>
      <x:c r="I115" s="1252" t="str">
        <x:f>IF($C115="","",IFERROR(INDEX('23 RCC-004 MASR Registry'!$G$14:$G$163,MATCH($C115,'23 RCC-004 MASR Registry'!$B$14:$B$163,0)),""))</x:f>
      </x:c>
      <x:c r="J115" s="1252" t="str">
        <x:f>IF($C115="","",IFERROR(INDEX('23 RCC-004 MASR Registry'!$H$14:$H$163,MATCH($C115,'23 RCC-004 MASR Registry'!$B$14:$B$163,0)),""))</x:f>
      </x:c>
      <x:c r="K115" s="1252" t="str">
        <x:f>IF($C115="","",IFERROR(INDEX('23 RCC-004 MASR Registry'!$D$14:$D$163,MATCH($C115,'23 RCC-004 MASR Registry'!$B$14:$B$163,0)),""))</x:f>
      </x:c>
      <x:c r="L115" s="1252" t="str">
        <x:f>IF($C115="","",IFERROR(INDEX('23 RCC-004 MASR Registry'!$E$14:$E$163,MATCH($C115,'23 RCC-004 MASR Registry'!$B$14:$B$163,0)),""))</x:f>
      </x:c>
      <x:c r="M115" s="1252" t="str">
        <x:f>IF($C115="","",IFERROR(INDEX('23 RCC-004 MASR Registry'!$X$14:$X$163,MATCH($C115,'23 RCC-004 MASR Registry'!$B$14:$B$163,0)),""))</x:f>
      </x:c>
      <x:c r="N115" s="1252" t="str">
        <x:f>IF($C115="","",IFERROR(INDEX('23 RCC-004 MASR Registry'!$Y$14:$Y$163,MATCH($C115,'23 RCC-004 MASR Registry'!$B$14:$B$163,0)),""))</x:f>
      </x:c>
      <x:c r="O115" s="1252" t="str">
        <x:f>IF($C115="","",IFERROR(INDEX('23 RCC-004 MASR Registry'!$L$14:$L$163,MATCH($C115,'23 RCC-004 MASR Registry'!$B$14:$B$163,0)),""))</x:f>
      </x:c>
      <x:c r="P115" s="1252" t="str">
        <x:f>IF($C115="","",IFERROR(INDEX('23 RCC-004 MASR Registry'!$M$14:$M$163,MATCH($C115,'23 RCC-004 MASR Registry'!$B$14:$B$163,0)),""))</x:f>
      </x:c>
      <x:c r="Q115" s="1255" t="str">
        <x:f>IF($C115="","",IFERROR(INDEX('23 RCC-004 MASR Registry'!$N$14:$N$163,MATCH($C115,'23 RCC-004 MASR Registry'!$B$14:$B$163,0)),""))</x:f>
      </x:c>
      <x:c r="R115" s="1255" t="str">
        <x:f>IF($C115="","",IFERROR(INDEX('23 RCC-004 MASR Registry'!$O$14:$O$163,MATCH($C115,'23 RCC-004 MASR Registry'!$B$14:$B$163,0)),""))</x:f>
      </x:c>
      <x:c r="S115" s="1255" t="str">
        <x:f>IF($C115="","",IFERROR(INDEX('23 RCC-004 MASR Registry'!$W$14:$W$163,MATCH($C115,'23 RCC-004 MASR Registry'!$B$14:$B$163,0)),""))</x:f>
      </x:c>
      <x:c r="T115" s="1255" t="str">
        <x:f>IF($C115="","",IFERROR(INDEX('23 RCC-004 MASR Registry'!$T$14:$T$163,MATCH($C115,'23 RCC-004 MASR Registry'!$B$14:$B$163,0)),""))</x:f>
      </x:c>
      <x:c r="U115" s="1256" t="str">
        <x:f>IF($C115="","",IFERROR(INDEX('23 RCC-004 MASR Registry'!$U$14:$U$163,MATCH($C115,'23 RCC-004 MASR Registry'!$B$14:$B$163,0)),""))</x:f>
      </x:c>
      <x:c r="V115" s="1252" t="str">
        <x:f>IF($C115="","",IFERROR(INDEX('23 RCC-004 MASR Registry'!$V$14:$V$163,MATCH($C115,'23 RCC-004 MASR Registry'!$B$14:$B$163,0)),""))</x:f>
      </x:c>
      <x:c r="W115" s="1242"/>
      <x:c r="X115" s="1256" t="str">
        <x:f>IF($C115="","",COUNTIF('18 RCC-002 Evidence Ledger'!$E$14:$E$213,$C115))</x:f>
      </x:c>
      <x:c r="Y115" s="1242"/>
      <x:c r="Z115" s="1253" t="str">
        <x:f>IF($A115="","",IF(COUNTIF($A$14:$A$213,$A115)&gt;1,"FAIL — DUPLICATE ID",IF(OR($B115="",$C115="",$E115="",$H115="",$Y115="",$AA115="",$AB115=""),"FAIL — INCOMPLETE",IF(AND(OR($Y115="MIAR Review",$Y115="Eligibility Review",$Y115="Candidate Comparison",$Y115="Committee Review",$Y115="Approved for MASR",$Y115="Referred to PEW-004",$Y115="On Watch",$Y115="Rejected",$Y115="Closed",$Y115="Removed"),$K115=""),"FAIL — MASR RECORD REQUIRED",IF(AND(OR($Y115="Eligibility Review",$Y115="Candidate Comparison",$Y115="Committee Review",$Y115="Approved for MASR",$Y115="Referred to PEW-004",$Y115="On Watch"),NOT(OR($M115="ELIGIBLE",$M115="ELIGIBLE WITH EXCEPTION",$M115="CERTIFIED HOLDING"))),"FAIL — ELIGIBILITY",IF(AND(OR($Y115="Candidate Comparison",$Y115="Committee Review",$Y115="Approved for MASR",$Y115="Referred to PEW-004",$Y115="On Watch"),$X115=0),"FAIL — EVIDENCE",IF(AND(OR($Y115="Candidate Comparison",$Y115="Committee Review",$Y115="Approved for MASR",$Y115="Referred to PEW-004",$Y115="On Watch"),OR($O115&lt;&gt;"Active",$P115&lt;&gt;"CURRENT")),"FAIL — MIAR GATE",IF(AND(OR($Y115="Approved for MASR",$Y115="Referred to PEW-004",$Y115="On Watch",$Y115="Rejected",$Y115="Closed",$Y115="Removed"),OR($AD115="",$AD115="Pending")),"FAIL — COMMITTEE DISPOSITION",IF(AND($Y115="Referred to PEW-004",OR($AF115&lt;&gt;"Yes — Refer to PEW-004",$AG115="",$AJ115="")),"FAIL — PEW REFERRAL","PASS — STAGE GATE")))))))))</x:f>
      </x:c>
      <x:c r="AA115" s="1242"/>
      <x:c r="AB115" s="1251"/>
      <x:c r="AC115" s="1257" t="str">
        <x:f>IF($B115="","",IF($AQ115&lt;&gt;"",$AQ115-$B115,TODAY()-$B115))</x:f>
      </x:c>
      <x:c r="AD115" s="1242"/>
      <x:c r="AE115" s="1251"/>
      <x:c r="AF115" s="1242"/>
      <x:c r="AG115" s="1242"/>
      <x:c r="AH115" s="1255" t="str">
        <x:f>IF($AG115="","",IFERROR(INDEX('10 Candidate Comparison'!$T$14:$T$33,MATCH($AG115,'10 Candidate Comparison'!$A$14:$A$33,0)),""))</x:f>
      </x:c>
      <x:c r="AI115" s="1252" t="str">
        <x:f>IF($AG115="","",IFERROR(INDEX('10 Candidate Comparison'!$U$14:$U$33,MATCH($AG115,'10 Candidate Comparison'!$A$14:$A$33,0)),""))</x:f>
      </x:c>
      <x:c r="AJ115" s="1252" t="str">
        <x:f>IF($AG115="","",IFERROR(INDEX('10 Candidate Comparison'!$Y$14:$Y$33,MATCH($AG115,'10 Candidate Comparison'!$A$14:$A$33,0)),""))</x:f>
      </x:c>
      <x:c r="AK115" s="1253" t="str">
        <x:f>IF($A115="","",IF($Z115="FAIL — DUPLICATE ID","DUPLICATE CANDIDATE ID",IF($Z115="FAIL — INCOMPLETE","INCOMPLETE",IF($Z115="FAIL — MASR RECORD REQUIRED","MASR RECORD REQUIRED",IF($Z115="FAIL — ELIGIBILITY","ELIGIBILITY BLOCK",IF($Z115="FAIL — EVIDENCE","EVIDENCE REQUIRED",IF($Z115="FAIL — MIAR GATE","MIAR GATE BLOCK",IF($Z115="FAIL — COMMITTEE DISPOSITION","COMMITTEE DECISION REQUIRED",IF($Z115="FAIL — PEW REFERRAL","PEW REFERRAL INCOMPLETE",IF(AND(OR($Y115="Rejected",$Y115="Closed",$Y115="Removed"),OR($AO115="",$AP115="",$AQ115="")),"CLOSURE REQUIRED",IF(AND($AB115&lt;TODAY(),NOT(OR($Y115="Rejected",$Y115="Closed",$Y115="Removed"))),"OVERDUE",IF(OR($Y115="Rejected",$Y115="Closed",$Y115="Removed"),"CLOSED","OPEN — ON TRACK"))))))))))))</x:f>
      </x:c>
      <x:c r="AL115" s="1253" t="str">
        <x:f>IF($AK115="","",IFERROR(INDEX('97 RCC Lists'!$AM$5:$AM$16,MATCH($AK115,'97 RCC Lists'!$AL$5:$AL$16,0)),"Review candidate exception"))</x:f>
      </x:c>
      <x:c r="AM115" s="1242"/>
      <x:c r="AN115" s="1242"/>
      <x:c r="AO115" s="1242"/>
      <x:c r="AP115" s="1242"/>
      <x:c r="AQ115" s="1251"/>
    </x:row>
    <x:row r="116" ht="32" customHeight="1">
      <x:c r="A116" s="1242"/>
      <x:c r="B116" s="1251"/>
      <x:c r="C116" s="1242"/>
      <x:c r="D116" s="1243" t="str">
        <x:f>IF($C116="","",IFERROR(INDEX('23 RCC-004 MASR Registry'!$C$14:$C$163,MATCH($C116,'23 RCC-004 MASR Registry'!$B$14:$B$163,0)),""))</x:f>
      </x:c>
      <x:c r="E116" s="1242"/>
      <x:c r="F116" s="1242"/>
      <x:c r="G116" s="1242"/>
      <x:c r="H116" s="1242"/>
      <x:c r="I116" s="1243" t="str">
        <x:f>IF($C116="","",IFERROR(INDEX('23 RCC-004 MASR Registry'!$G$14:$G$163,MATCH($C116,'23 RCC-004 MASR Registry'!$B$14:$B$163,0)),""))</x:f>
      </x:c>
      <x:c r="J116" s="1243" t="str">
        <x:f>IF($C116="","",IFERROR(INDEX('23 RCC-004 MASR Registry'!$H$14:$H$163,MATCH($C116,'23 RCC-004 MASR Registry'!$B$14:$B$163,0)),""))</x:f>
      </x:c>
      <x:c r="K116" s="1243" t="str">
        <x:f>IF($C116="","",IFERROR(INDEX('23 RCC-004 MASR Registry'!$D$14:$D$163,MATCH($C116,'23 RCC-004 MASR Registry'!$B$14:$B$163,0)),""))</x:f>
      </x:c>
      <x:c r="L116" s="1243" t="str">
        <x:f>IF($C116="","",IFERROR(INDEX('23 RCC-004 MASR Registry'!$E$14:$E$163,MATCH($C116,'23 RCC-004 MASR Registry'!$B$14:$B$163,0)),""))</x:f>
      </x:c>
      <x:c r="M116" s="1243" t="str">
        <x:f>IF($C116="","",IFERROR(INDEX('23 RCC-004 MASR Registry'!$X$14:$X$163,MATCH($C116,'23 RCC-004 MASR Registry'!$B$14:$B$163,0)),""))</x:f>
      </x:c>
      <x:c r="N116" s="1243" t="str">
        <x:f>IF($C116="","",IFERROR(INDEX('23 RCC-004 MASR Registry'!$Y$14:$Y$163,MATCH($C116,'23 RCC-004 MASR Registry'!$B$14:$B$163,0)),""))</x:f>
      </x:c>
      <x:c r="O116" s="1243" t="str">
        <x:f>IF($C116="","",IFERROR(INDEX('23 RCC-004 MASR Registry'!$L$14:$L$163,MATCH($C116,'23 RCC-004 MASR Registry'!$B$14:$B$163,0)),""))</x:f>
      </x:c>
      <x:c r="P116" s="1243" t="str">
        <x:f>IF($C116="","",IFERROR(INDEX('23 RCC-004 MASR Registry'!$M$14:$M$163,MATCH($C116,'23 RCC-004 MASR Registry'!$B$14:$B$163,0)),""))</x:f>
      </x:c>
      <x:c r="Q116" s="1246" t="str">
        <x:f>IF($C116="","",IFERROR(INDEX('23 RCC-004 MASR Registry'!$N$14:$N$163,MATCH($C116,'23 RCC-004 MASR Registry'!$B$14:$B$163,0)),""))</x:f>
      </x:c>
      <x:c r="R116" s="1246" t="str">
        <x:f>IF($C116="","",IFERROR(INDEX('23 RCC-004 MASR Registry'!$O$14:$O$163,MATCH($C116,'23 RCC-004 MASR Registry'!$B$14:$B$163,0)),""))</x:f>
      </x:c>
      <x:c r="S116" s="1246" t="str">
        <x:f>IF($C116="","",IFERROR(INDEX('23 RCC-004 MASR Registry'!$W$14:$W$163,MATCH($C116,'23 RCC-004 MASR Registry'!$B$14:$B$163,0)),""))</x:f>
      </x:c>
      <x:c r="T116" s="1246" t="str">
        <x:f>IF($C116="","",IFERROR(INDEX('23 RCC-004 MASR Registry'!$T$14:$T$163,MATCH($C116,'23 RCC-004 MASR Registry'!$B$14:$B$163,0)),""))</x:f>
      </x:c>
      <x:c r="U116" s="1247" t="str">
        <x:f>IF($C116="","",IFERROR(INDEX('23 RCC-004 MASR Registry'!$U$14:$U$163,MATCH($C116,'23 RCC-004 MASR Registry'!$B$14:$B$163,0)),""))</x:f>
      </x:c>
      <x:c r="V116" s="1243" t="str">
        <x:f>IF($C116="","",IFERROR(INDEX('23 RCC-004 MASR Registry'!$V$14:$V$163,MATCH($C116,'23 RCC-004 MASR Registry'!$B$14:$B$163,0)),""))</x:f>
      </x:c>
      <x:c r="W116" s="1242"/>
      <x:c r="X116" s="1247" t="str">
        <x:f>IF($C116="","",COUNTIF('18 RCC-002 Evidence Ledger'!$E$14:$E$213,$C116))</x:f>
      </x:c>
      <x:c r="Y116" s="1242"/>
      <x:c r="Z116" s="1244" t="str">
        <x:f>IF($A116="","",IF(COUNTIF($A$14:$A$213,$A116)&gt;1,"FAIL — DUPLICATE ID",IF(OR($B116="",$C116="",$E116="",$H116="",$Y116="",$AA116="",$AB116=""),"FAIL — INCOMPLETE",IF(AND(OR($Y116="MIAR Review",$Y116="Eligibility Review",$Y116="Candidate Comparison",$Y116="Committee Review",$Y116="Approved for MASR",$Y116="Referred to PEW-004",$Y116="On Watch",$Y116="Rejected",$Y116="Closed",$Y116="Removed"),$K116=""),"FAIL — MASR RECORD REQUIRED",IF(AND(OR($Y116="Eligibility Review",$Y116="Candidate Comparison",$Y116="Committee Review",$Y116="Approved for MASR",$Y116="Referred to PEW-004",$Y116="On Watch"),NOT(OR($M116="ELIGIBLE",$M116="ELIGIBLE WITH EXCEPTION",$M116="CERTIFIED HOLDING"))),"FAIL — ELIGIBILITY",IF(AND(OR($Y116="Candidate Comparison",$Y116="Committee Review",$Y116="Approved for MASR",$Y116="Referred to PEW-004",$Y116="On Watch"),$X116=0),"FAIL — EVIDENCE",IF(AND(OR($Y116="Candidate Comparison",$Y116="Committee Review",$Y116="Approved for MASR",$Y116="Referred to PEW-004",$Y116="On Watch"),OR($O116&lt;&gt;"Active",$P116&lt;&gt;"CURRENT")),"FAIL — MIAR GATE",IF(AND(OR($Y116="Approved for MASR",$Y116="Referred to PEW-004",$Y116="On Watch",$Y116="Rejected",$Y116="Closed",$Y116="Removed"),OR($AD116="",$AD116="Pending")),"FAIL — COMMITTEE DISPOSITION",IF(AND($Y116="Referred to PEW-004",OR($AF116&lt;&gt;"Yes — Refer to PEW-004",$AG116="",$AJ116="")),"FAIL — PEW REFERRAL","PASS — STAGE GATE")))))))))</x:f>
      </x:c>
      <x:c r="AA116" s="1242"/>
      <x:c r="AB116" s="1251"/>
      <x:c r="AC116" s="1250" t="str">
        <x:f>IF($B116="","",IF($AQ116&lt;&gt;"",$AQ116-$B116,TODAY()-$B116))</x:f>
      </x:c>
      <x:c r="AD116" s="1242"/>
      <x:c r="AE116" s="1251"/>
      <x:c r="AF116" s="1242"/>
      <x:c r="AG116" s="1242"/>
      <x:c r="AH116" s="1246" t="str">
        <x:f>IF($AG116="","",IFERROR(INDEX('10 Candidate Comparison'!$T$14:$T$33,MATCH($AG116,'10 Candidate Comparison'!$A$14:$A$33,0)),""))</x:f>
      </x:c>
      <x:c r="AI116" s="1243" t="str">
        <x:f>IF($AG116="","",IFERROR(INDEX('10 Candidate Comparison'!$U$14:$U$33,MATCH($AG116,'10 Candidate Comparison'!$A$14:$A$33,0)),""))</x:f>
      </x:c>
      <x:c r="AJ116" s="1243" t="str">
        <x:f>IF($AG116="","",IFERROR(INDEX('10 Candidate Comparison'!$Y$14:$Y$33,MATCH($AG116,'10 Candidate Comparison'!$A$14:$A$33,0)),""))</x:f>
      </x:c>
      <x:c r="AK116" s="1244" t="str">
        <x:f>IF($A116="","",IF($Z116="FAIL — DUPLICATE ID","DUPLICATE CANDIDATE ID",IF($Z116="FAIL — INCOMPLETE","INCOMPLETE",IF($Z116="FAIL — MASR RECORD REQUIRED","MASR RECORD REQUIRED",IF($Z116="FAIL — ELIGIBILITY","ELIGIBILITY BLOCK",IF($Z116="FAIL — EVIDENCE","EVIDENCE REQUIRED",IF($Z116="FAIL — MIAR GATE","MIAR GATE BLOCK",IF($Z116="FAIL — COMMITTEE DISPOSITION","COMMITTEE DECISION REQUIRED",IF($Z116="FAIL — PEW REFERRAL","PEW REFERRAL INCOMPLETE",IF(AND(OR($Y116="Rejected",$Y116="Closed",$Y116="Removed"),OR($AO116="",$AP116="",$AQ116="")),"CLOSURE REQUIRED",IF(AND($AB116&lt;TODAY(),NOT(OR($Y116="Rejected",$Y116="Closed",$Y116="Removed"))),"OVERDUE",IF(OR($Y116="Rejected",$Y116="Closed",$Y116="Removed"),"CLOSED","OPEN — ON TRACK"))))))))))))</x:f>
      </x:c>
      <x:c r="AL116" s="1244" t="str">
        <x:f>IF($AK116="","",IFERROR(INDEX('97 RCC Lists'!$AM$5:$AM$16,MATCH($AK116,'97 RCC Lists'!$AL$5:$AL$16,0)),"Review candidate exception"))</x:f>
      </x:c>
      <x:c r="AM116" s="1242"/>
      <x:c r="AN116" s="1242"/>
      <x:c r="AO116" s="1242"/>
      <x:c r="AP116" s="1242"/>
      <x:c r="AQ116" s="1251"/>
    </x:row>
    <x:row r="117" ht="32" customHeight="1">
      <x:c r="A117" s="1242"/>
      <x:c r="B117" s="1251"/>
      <x:c r="C117" s="1242"/>
      <x:c r="D117" s="1252" t="str">
        <x:f>IF($C117="","",IFERROR(INDEX('23 RCC-004 MASR Registry'!$C$14:$C$163,MATCH($C117,'23 RCC-004 MASR Registry'!$B$14:$B$163,0)),""))</x:f>
      </x:c>
      <x:c r="E117" s="1242"/>
      <x:c r="F117" s="1242"/>
      <x:c r="G117" s="1242"/>
      <x:c r="H117" s="1242"/>
      <x:c r="I117" s="1252" t="str">
        <x:f>IF($C117="","",IFERROR(INDEX('23 RCC-004 MASR Registry'!$G$14:$G$163,MATCH($C117,'23 RCC-004 MASR Registry'!$B$14:$B$163,0)),""))</x:f>
      </x:c>
      <x:c r="J117" s="1252" t="str">
        <x:f>IF($C117="","",IFERROR(INDEX('23 RCC-004 MASR Registry'!$H$14:$H$163,MATCH($C117,'23 RCC-004 MASR Registry'!$B$14:$B$163,0)),""))</x:f>
      </x:c>
      <x:c r="K117" s="1252" t="str">
        <x:f>IF($C117="","",IFERROR(INDEX('23 RCC-004 MASR Registry'!$D$14:$D$163,MATCH($C117,'23 RCC-004 MASR Registry'!$B$14:$B$163,0)),""))</x:f>
      </x:c>
      <x:c r="L117" s="1252" t="str">
        <x:f>IF($C117="","",IFERROR(INDEX('23 RCC-004 MASR Registry'!$E$14:$E$163,MATCH($C117,'23 RCC-004 MASR Registry'!$B$14:$B$163,0)),""))</x:f>
      </x:c>
      <x:c r="M117" s="1252" t="str">
        <x:f>IF($C117="","",IFERROR(INDEX('23 RCC-004 MASR Registry'!$X$14:$X$163,MATCH($C117,'23 RCC-004 MASR Registry'!$B$14:$B$163,0)),""))</x:f>
      </x:c>
      <x:c r="N117" s="1252" t="str">
        <x:f>IF($C117="","",IFERROR(INDEX('23 RCC-004 MASR Registry'!$Y$14:$Y$163,MATCH($C117,'23 RCC-004 MASR Registry'!$B$14:$B$163,0)),""))</x:f>
      </x:c>
      <x:c r="O117" s="1252" t="str">
        <x:f>IF($C117="","",IFERROR(INDEX('23 RCC-004 MASR Registry'!$L$14:$L$163,MATCH($C117,'23 RCC-004 MASR Registry'!$B$14:$B$163,0)),""))</x:f>
      </x:c>
      <x:c r="P117" s="1252" t="str">
        <x:f>IF($C117="","",IFERROR(INDEX('23 RCC-004 MASR Registry'!$M$14:$M$163,MATCH($C117,'23 RCC-004 MASR Registry'!$B$14:$B$163,0)),""))</x:f>
      </x:c>
      <x:c r="Q117" s="1255" t="str">
        <x:f>IF($C117="","",IFERROR(INDEX('23 RCC-004 MASR Registry'!$N$14:$N$163,MATCH($C117,'23 RCC-004 MASR Registry'!$B$14:$B$163,0)),""))</x:f>
      </x:c>
      <x:c r="R117" s="1255" t="str">
        <x:f>IF($C117="","",IFERROR(INDEX('23 RCC-004 MASR Registry'!$O$14:$O$163,MATCH($C117,'23 RCC-004 MASR Registry'!$B$14:$B$163,0)),""))</x:f>
      </x:c>
      <x:c r="S117" s="1255" t="str">
        <x:f>IF($C117="","",IFERROR(INDEX('23 RCC-004 MASR Registry'!$W$14:$W$163,MATCH($C117,'23 RCC-004 MASR Registry'!$B$14:$B$163,0)),""))</x:f>
      </x:c>
      <x:c r="T117" s="1255" t="str">
        <x:f>IF($C117="","",IFERROR(INDEX('23 RCC-004 MASR Registry'!$T$14:$T$163,MATCH($C117,'23 RCC-004 MASR Registry'!$B$14:$B$163,0)),""))</x:f>
      </x:c>
      <x:c r="U117" s="1256" t="str">
        <x:f>IF($C117="","",IFERROR(INDEX('23 RCC-004 MASR Registry'!$U$14:$U$163,MATCH($C117,'23 RCC-004 MASR Registry'!$B$14:$B$163,0)),""))</x:f>
      </x:c>
      <x:c r="V117" s="1252" t="str">
        <x:f>IF($C117="","",IFERROR(INDEX('23 RCC-004 MASR Registry'!$V$14:$V$163,MATCH($C117,'23 RCC-004 MASR Registry'!$B$14:$B$163,0)),""))</x:f>
      </x:c>
      <x:c r="W117" s="1242"/>
      <x:c r="X117" s="1256" t="str">
        <x:f>IF($C117="","",COUNTIF('18 RCC-002 Evidence Ledger'!$E$14:$E$213,$C117))</x:f>
      </x:c>
      <x:c r="Y117" s="1242"/>
      <x:c r="Z117" s="1253" t="str">
        <x:f>IF($A117="","",IF(COUNTIF($A$14:$A$213,$A117)&gt;1,"FAIL — DUPLICATE ID",IF(OR($B117="",$C117="",$E117="",$H117="",$Y117="",$AA117="",$AB117=""),"FAIL — INCOMPLETE",IF(AND(OR($Y117="MIAR Review",$Y117="Eligibility Review",$Y117="Candidate Comparison",$Y117="Committee Review",$Y117="Approved for MASR",$Y117="Referred to PEW-004",$Y117="On Watch",$Y117="Rejected",$Y117="Closed",$Y117="Removed"),$K117=""),"FAIL — MASR RECORD REQUIRED",IF(AND(OR($Y117="Eligibility Review",$Y117="Candidate Comparison",$Y117="Committee Review",$Y117="Approved for MASR",$Y117="Referred to PEW-004",$Y117="On Watch"),NOT(OR($M117="ELIGIBLE",$M117="ELIGIBLE WITH EXCEPTION",$M117="CERTIFIED HOLDING"))),"FAIL — ELIGIBILITY",IF(AND(OR($Y117="Candidate Comparison",$Y117="Committee Review",$Y117="Approved for MASR",$Y117="Referred to PEW-004",$Y117="On Watch"),$X117=0),"FAIL — EVIDENCE",IF(AND(OR($Y117="Candidate Comparison",$Y117="Committee Review",$Y117="Approved for MASR",$Y117="Referred to PEW-004",$Y117="On Watch"),OR($O117&lt;&gt;"Active",$P117&lt;&gt;"CURRENT")),"FAIL — MIAR GATE",IF(AND(OR($Y117="Approved for MASR",$Y117="Referred to PEW-004",$Y117="On Watch",$Y117="Rejected",$Y117="Closed",$Y117="Removed"),OR($AD117="",$AD117="Pending")),"FAIL — COMMITTEE DISPOSITION",IF(AND($Y117="Referred to PEW-004",OR($AF117&lt;&gt;"Yes — Refer to PEW-004",$AG117="",$AJ117="")),"FAIL — PEW REFERRAL","PASS — STAGE GATE")))))))))</x:f>
      </x:c>
      <x:c r="AA117" s="1242"/>
      <x:c r="AB117" s="1251"/>
      <x:c r="AC117" s="1257" t="str">
        <x:f>IF($B117="","",IF($AQ117&lt;&gt;"",$AQ117-$B117,TODAY()-$B117))</x:f>
      </x:c>
      <x:c r="AD117" s="1242"/>
      <x:c r="AE117" s="1251"/>
      <x:c r="AF117" s="1242"/>
      <x:c r="AG117" s="1242"/>
      <x:c r="AH117" s="1255" t="str">
        <x:f>IF($AG117="","",IFERROR(INDEX('10 Candidate Comparison'!$T$14:$T$33,MATCH($AG117,'10 Candidate Comparison'!$A$14:$A$33,0)),""))</x:f>
      </x:c>
      <x:c r="AI117" s="1252" t="str">
        <x:f>IF($AG117="","",IFERROR(INDEX('10 Candidate Comparison'!$U$14:$U$33,MATCH($AG117,'10 Candidate Comparison'!$A$14:$A$33,0)),""))</x:f>
      </x:c>
      <x:c r="AJ117" s="1252" t="str">
        <x:f>IF($AG117="","",IFERROR(INDEX('10 Candidate Comparison'!$Y$14:$Y$33,MATCH($AG117,'10 Candidate Comparison'!$A$14:$A$33,0)),""))</x:f>
      </x:c>
      <x:c r="AK117" s="1253" t="str">
        <x:f>IF($A117="","",IF($Z117="FAIL — DUPLICATE ID","DUPLICATE CANDIDATE ID",IF($Z117="FAIL — INCOMPLETE","INCOMPLETE",IF($Z117="FAIL — MASR RECORD REQUIRED","MASR RECORD REQUIRED",IF($Z117="FAIL — ELIGIBILITY","ELIGIBILITY BLOCK",IF($Z117="FAIL — EVIDENCE","EVIDENCE REQUIRED",IF($Z117="FAIL — MIAR GATE","MIAR GATE BLOCK",IF($Z117="FAIL — COMMITTEE DISPOSITION","COMMITTEE DECISION REQUIRED",IF($Z117="FAIL — PEW REFERRAL","PEW REFERRAL INCOMPLETE",IF(AND(OR($Y117="Rejected",$Y117="Closed",$Y117="Removed"),OR($AO117="",$AP117="",$AQ117="")),"CLOSURE REQUIRED",IF(AND($AB117&lt;TODAY(),NOT(OR($Y117="Rejected",$Y117="Closed",$Y117="Removed"))),"OVERDUE",IF(OR($Y117="Rejected",$Y117="Closed",$Y117="Removed"),"CLOSED","OPEN — ON TRACK"))))))))))))</x:f>
      </x:c>
      <x:c r="AL117" s="1253" t="str">
        <x:f>IF($AK117="","",IFERROR(INDEX('97 RCC Lists'!$AM$5:$AM$16,MATCH($AK117,'97 RCC Lists'!$AL$5:$AL$16,0)),"Review candidate exception"))</x:f>
      </x:c>
      <x:c r="AM117" s="1242"/>
      <x:c r="AN117" s="1242"/>
      <x:c r="AO117" s="1242"/>
      <x:c r="AP117" s="1242"/>
      <x:c r="AQ117" s="1251"/>
    </x:row>
    <x:row r="118" ht="32" customHeight="1">
      <x:c r="A118" s="1242"/>
      <x:c r="B118" s="1251"/>
      <x:c r="C118" s="1242"/>
      <x:c r="D118" s="1243" t="str">
        <x:f>IF($C118="","",IFERROR(INDEX('23 RCC-004 MASR Registry'!$C$14:$C$163,MATCH($C118,'23 RCC-004 MASR Registry'!$B$14:$B$163,0)),""))</x:f>
      </x:c>
      <x:c r="E118" s="1242"/>
      <x:c r="F118" s="1242"/>
      <x:c r="G118" s="1242"/>
      <x:c r="H118" s="1242"/>
      <x:c r="I118" s="1243" t="str">
        <x:f>IF($C118="","",IFERROR(INDEX('23 RCC-004 MASR Registry'!$G$14:$G$163,MATCH($C118,'23 RCC-004 MASR Registry'!$B$14:$B$163,0)),""))</x:f>
      </x:c>
      <x:c r="J118" s="1243" t="str">
        <x:f>IF($C118="","",IFERROR(INDEX('23 RCC-004 MASR Registry'!$H$14:$H$163,MATCH($C118,'23 RCC-004 MASR Registry'!$B$14:$B$163,0)),""))</x:f>
      </x:c>
      <x:c r="K118" s="1243" t="str">
        <x:f>IF($C118="","",IFERROR(INDEX('23 RCC-004 MASR Registry'!$D$14:$D$163,MATCH($C118,'23 RCC-004 MASR Registry'!$B$14:$B$163,0)),""))</x:f>
      </x:c>
      <x:c r="L118" s="1243" t="str">
        <x:f>IF($C118="","",IFERROR(INDEX('23 RCC-004 MASR Registry'!$E$14:$E$163,MATCH($C118,'23 RCC-004 MASR Registry'!$B$14:$B$163,0)),""))</x:f>
      </x:c>
      <x:c r="M118" s="1243" t="str">
        <x:f>IF($C118="","",IFERROR(INDEX('23 RCC-004 MASR Registry'!$X$14:$X$163,MATCH($C118,'23 RCC-004 MASR Registry'!$B$14:$B$163,0)),""))</x:f>
      </x:c>
      <x:c r="N118" s="1243" t="str">
        <x:f>IF($C118="","",IFERROR(INDEX('23 RCC-004 MASR Registry'!$Y$14:$Y$163,MATCH($C118,'23 RCC-004 MASR Registry'!$B$14:$B$163,0)),""))</x:f>
      </x:c>
      <x:c r="O118" s="1243" t="str">
        <x:f>IF($C118="","",IFERROR(INDEX('23 RCC-004 MASR Registry'!$L$14:$L$163,MATCH($C118,'23 RCC-004 MASR Registry'!$B$14:$B$163,0)),""))</x:f>
      </x:c>
      <x:c r="P118" s="1243" t="str">
        <x:f>IF($C118="","",IFERROR(INDEX('23 RCC-004 MASR Registry'!$M$14:$M$163,MATCH($C118,'23 RCC-004 MASR Registry'!$B$14:$B$163,0)),""))</x:f>
      </x:c>
      <x:c r="Q118" s="1246" t="str">
        <x:f>IF($C118="","",IFERROR(INDEX('23 RCC-004 MASR Registry'!$N$14:$N$163,MATCH($C118,'23 RCC-004 MASR Registry'!$B$14:$B$163,0)),""))</x:f>
      </x:c>
      <x:c r="R118" s="1246" t="str">
        <x:f>IF($C118="","",IFERROR(INDEX('23 RCC-004 MASR Registry'!$O$14:$O$163,MATCH($C118,'23 RCC-004 MASR Registry'!$B$14:$B$163,0)),""))</x:f>
      </x:c>
      <x:c r="S118" s="1246" t="str">
        <x:f>IF($C118="","",IFERROR(INDEX('23 RCC-004 MASR Registry'!$W$14:$W$163,MATCH($C118,'23 RCC-004 MASR Registry'!$B$14:$B$163,0)),""))</x:f>
      </x:c>
      <x:c r="T118" s="1246" t="str">
        <x:f>IF($C118="","",IFERROR(INDEX('23 RCC-004 MASR Registry'!$T$14:$T$163,MATCH($C118,'23 RCC-004 MASR Registry'!$B$14:$B$163,0)),""))</x:f>
      </x:c>
      <x:c r="U118" s="1247" t="str">
        <x:f>IF($C118="","",IFERROR(INDEX('23 RCC-004 MASR Registry'!$U$14:$U$163,MATCH($C118,'23 RCC-004 MASR Registry'!$B$14:$B$163,0)),""))</x:f>
      </x:c>
      <x:c r="V118" s="1243" t="str">
        <x:f>IF($C118="","",IFERROR(INDEX('23 RCC-004 MASR Registry'!$V$14:$V$163,MATCH($C118,'23 RCC-004 MASR Registry'!$B$14:$B$163,0)),""))</x:f>
      </x:c>
      <x:c r="W118" s="1242"/>
      <x:c r="X118" s="1247" t="str">
        <x:f>IF($C118="","",COUNTIF('18 RCC-002 Evidence Ledger'!$E$14:$E$213,$C118))</x:f>
      </x:c>
      <x:c r="Y118" s="1242"/>
      <x:c r="Z118" s="1244" t="str">
        <x:f>IF($A118="","",IF(COUNTIF($A$14:$A$213,$A118)&gt;1,"FAIL — DUPLICATE ID",IF(OR($B118="",$C118="",$E118="",$H118="",$Y118="",$AA118="",$AB118=""),"FAIL — INCOMPLETE",IF(AND(OR($Y118="MIAR Review",$Y118="Eligibility Review",$Y118="Candidate Comparison",$Y118="Committee Review",$Y118="Approved for MASR",$Y118="Referred to PEW-004",$Y118="On Watch",$Y118="Rejected",$Y118="Closed",$Y118="Removed"),$K118=""),"FAIL — MASR RECORD REQUIRED",IF(AND(OR($Y118="Eligibility Review",$Y118="Candidate Comparison",$Y118="Committee Review",$Y118="Approved for MASR",$Y118="Referred to PEW-004",$Y118="On Watch"),NOT(OR($M118="ELIGIBLE",$M118="ELIGIBLE WITH EXCEPTION",$M118="CERTIFIED HOLDING"))),"FAIL — ELIGIBILITY",IF(AND(OR($Y118="Candidate Comparison",$Y118="Committee Review",$Y118="Approved for MASR",$Y118="Referred to PEW-004",$Y118="On Watch"),$X118=0),"FAIL — EVIDENCE",IF(AND(OR($Y118="Candidate Comparison",$Y118="Committee Review",$Y118="Approved for MASR",$Y118="Referred to PEW-004",$Y118="On Watch"),OR($O118&lt;&gt;"Active",$P118&lt;&gt;"CURRENT")),"FAIL — MIAR GATE",IF(AND(OR($Y118="Approved for MASR",$Y118="Referred to PEW-004",$Y118="On Watch",$Y118="Rejected",$Y118="Closed",$Y118="Removed"),OR($AD118="",$AD118="Pending")),"FAIL — COMMITTEE DISPOSITION",IF(AND($Y118="Referred to PEW-004",OR($AF118&lt;&gt;"Yes — Refer to PEW-004",$AG118="",$AJ118="")),"FAIL — PEW REFERRAL","PASS — STAGE GATE")))))))))</x:f>
      </x:c>
      <x:c r="AA118" s="1242"/>
      <x:c r="AB118" s="1251"/>
      <x:c r="AC118" s="1250" t="str">
        <x:f>IF($B118="","",IF($AQ118&lt;&gt;"",$AQ118-$B118,TODAY()-$B118))</x:f>
      </x:c>
      <x:c r="AD118" s="1242"/>
      <x:c r="AE118" s="1251"/>
      <x:c r="AF118" s="1242"/>
      <x:c r="AG118" s="1242"/>
      <x:c r="AH118" s="1246" t="str">
        <x:f>IF($AG118="","",IFERROR(INDEX('10 Candidate Comparison'!$T$14:$T$33,MATCH($AG118,'10 Candidate Comparison'!$A$14:$A$33,0)),""))</x:f>
      </x:c>
      <x:c r="AI118" s="1243" t="str">
        <x:f>IF($AG118="","",IFERROR(INDEX('10 Candidate Comparison'!$U$14:$U$33,MATCH($AG118,'10 Candidate Comparison'!$A$14:$A$33,0)),""))</x:f>
      </x:c>
      <x:c r="AJ118" s="1243" t="str">
        <x:f>IF($AG118="","",IFERROR(INDEX('10 Candidate Comparison'!$Y$14:$Y$33,MATCH($AG118,'10 Candidate Comparison'!$A$14:$A$33,0)),""))</x:f>
      </x:c>
      <x:c r="AK118" s="1244" t="str">
        <x:f>IF($A118="","",IF($Z118="FAIL — DUPLICATE ID","DUPLICATE CANDIDATE ID",IF($Z118="FAIL — INCOMPLETE","INCOMPLETE",IF($Z118="FAIL — MASR RECORD REQUIRED","MASR RECORD REQUIRED",IF($Z118="FAIL — ELIGIBILITY","ELIGIBILITY BLOCK",IF($Z118="FAIL — EVIDENCE","EVIDENCE REQUIRED",IF($Z118="FAIL — MIAR GATE","MIAR GATE BLOCK",IF($Z118="FAIL — COMMITTEE DISPOSITION","COMMITTEE DECISION REQUIRED",IF($Z118="FAIL — PEW REFERRAL","PEW REFERRAL INCOMPLETE",IF(AND(OR($Y118="Rejected",$Y118="Closed",$Y118="Removed"),OR($AO118="",$AP118="",$AQ118="")),"CLOSURE REQUIRED",IF(AND($AB118&lt;TODAY(),NOT(OR($Y118="Rejected",$Y118="Closed",$Y118="Removed"))),"OVERDUE",IF(OR($Y118="Rejected",$Y118="Closed",$Y118="Removed"),"CLOSED","OPEN — ON TRACK"))))))))))))</x:f>
      </x:c>
      <x:c r="AL118" s="1244" t="str">
        <x:f>IF($AK118="","",IFERROR(INDEX('97 RCC Lists'!$AM$5:$AM$16,MATCH($AK118,'97 RCC Lists'!$AL$5:$AL$16,0)),"Review candidate exception"))</x:f>
      </x:c>
      <x:c r="AM118" s="1242"/>
      <x:c r="AN118" s="1242"/>
      <x:c r="AO118" s="1242"/>
      <x:c r="AP118" s="1242"/>
      <x:c r="AQ118" s="1251"/>
    </x:row>
    <x:row r="119" ht="32" customHeight="1">
      <x:c r="A119" s="1242"/>
      <x:c r="B119" s="1251"/>
      <x:c r="C119" s="1242"/>
      <x:c r="D119" s="1252" t="str">
        <x:f>IF($C119="","",IFERROR(INDEX('23 RCC-004 MASR Registry'!$C$14:$C$163,MATCH($C119,'23 RCC-004 MASR Registry'!$B$14:$B$163,0)),""))</x:f>
      </x:c>
      <x:c r="E119" s="1242"/>
      <x:c r="F119" s="1242"/>
      <x:c r="G119" s="1242"/>
      <x:c r="H119" s="1242"/>
      <x:c r="I119" s="1252" t="str">
        <x:f>IF($C119="","",IFERROR(INDEX('23 RCC-004 MASR Registry'!$G$14:$G$163,MATCH($C119,'23 RCC-004 MASR Registry'!$B$14:$B$163,0)),""))</x:f>
      </x:c>
      <x:c r="J119" s="1252" t="str">
        <x:f>IF($C119="","",IFERROR(INDEX('23 RCC-004 MASR Registry'!$H$14:$H$163,MATCH($C119,'23 RCC-004 MASR Registry'!$B$14:$B$163,0)),""))</x:f>
      </x:c>
      <x:c r="K119" s="1252" t="str">
        <x:f>IF($C119="","",IFERROR(INDEX('23 RCC-004 MASR Registry'!$D$14:$D$163,MATCH($C119,'23 RCC-004 MASR Registry'!$B$14:$B$163,0)),""))</x:f>
      </x:c>
      <x:c r="L119" s="1252" t="str">
        <x:f>IF($C119="","",IFERROR(INDEX('23 RCC-004 MASR Registry'!$E$14:$E$163,MATCH($C119,'23 RCC-004 MASR Registry'!$B$14:$B$163,0)),""))</x:f>
      </x:c>
      <x:c r="M119" s="1252" t="str">
        <x:f>IF($C119="","",IFERROR(INDEX('23 RCC-004 MASR Registry'!$X$14:$X$163,MATCH($C119,'23 RCC-004 MASR Registry'!$B$14:$B$163,0)),""))</x:f>
      </x:c>
      <x:c r="N119" s="1252" t="str">
        <x:f>IF($C119="","",IFERROR(INDEX('23 RCC-004 MASR Registry'!$Y$14:$Y$163,MATCH($C119,'23 RCC-004 MASR Registry'!$B$14:$B$163,0)),""))</x:f>
      </x:c>
      <x:c r="O119" s="1252" t="str">
        <x:f>IF($C119="","",IFERROR(INDEX('23 RCC-004 MASR Registry'!$L$14:$L$163,MATCH($C119,'23 RCC-004 MASR Registry'!$B$14:$B$163,0)),""))</x:f>
      </x:c>
      <x:c r="P119" s="1252" t="str">
        <x:f>IF($C119="","",IFERROR(INDEX('23 RCC-004 MASR Registry'!$M$14:$M$163,MATCH($C119,'23 RCC-004 MASR Registry'!$B$14:$B$163,0)),""))</x:f>
      </x:c>
      <x:c r="Q119" s="1255" t="str">
        <x:f>IF($C119="","",IFERROR(INDEX('23 RCC-004 MASR Registry'!$N$14:$N$163,MATCH($C119,'23 RCC-004 MASR Registry'!$B$14:$B$163,0)),""))</x:f>
      </x:c>
      <x:c r="R119" s="1255" t="str">
        <x:f>IF($C119="","",IFERROR(INDEX('23 RCC-004 MASR Registry'!$O$14:$O$163,MATCH($C119,'23 RCC-004 MASR Registry'!$B$14:$B$163,0)),""))</x:f>
      </x:c>
      <x:c r="S119" s="1255" t="str">
        <x:f>IF($C119="","",IFERROR(INDEX('23 RCC-004 MASR Registry'!$W$14:$W$163,MATCH($C119,'23 RCC-004 MASR Registry'!$B$14:$B$163,0)),""))</x:f>
      </x:c>
      <x:c r="T119" s="1255" t="str">
        <x:f>IF($C119="","",IFERROR(INDEX('23 RCC-004 MASR Registry'!$T$14:$T$163,MATCH($C119,'23 RCC-004 MASR Registry'!$B$14:$B$163,0)),""))</x:f>
      </x:c>
      <x:c r="U119" s="1256" t="str">
        <x:f>IF($C119="","",IFERROR(INDEX('23 RCC-004 MASR Registry'!$U$14:$U$163,MATCH($C119,'23 RCC-004 MASR Registry'!$B$14:$B$163,0)),""))</x:f>
      </x:c>
      <x:c r="V119" s="1252" t="str">
        <x:f>IF($C119="","",IFERROR(INDEX('23 RCC-004 MASR Registry'!$V$14:$V$163,MATCH($C119,'23 RCC-004 MASR Registry'!$B$14:$B$163,0)),""))</x:f>
      </x:c>
      <x:c r="W119" s="1242"/>
      <x:c r="X119" s="1256" t="str">
        <x:f>IF($C119="","",COUNTIF('18 RCC-002 Evidence Ledger'!$E$14:$E$213,$C119))</x:f>
      </x:c>
      <x:c r="Y119" s="1242"/>
      <x:c r="Z119" s="1253" t="str">
        <x:f>IF($A119="","",IF(COUNTIF($A$14:$A$213,$A119)&gt;1,"FAIL — DUPLICATE ID",IF(OR($B119="",$C119="",$E119="",$H119="",$Y119="",$AA119="",$AB119=""),"FAIL — INCOMPLETE",IF(AND(OR($Y119="MIAR Review",$Y119="Eligibility Review",$Y119="Candidate Comparison",$Y119="Committee Review",$Y119="Approved for MASR",$Y119="Referred to PEW-004",$Y119="On Watch",$Y119="Rejected",$Y119="Closed",$Y119="Removed"),$K119=""),"FAIL — MASR RECORD REQUIRED",IF(AND(OR($Y119="Eligibility Review",$Y119="Candidate Comparison",$Y119="Committee Review",$Y119="Approved for MASR",$Y119="Referred to PEW-004",$Y119="On Watch"),NOT(OR($M119="ELIGIBLE",$M119="ELIGIBLE WITH EXCEPTION",$M119="CERTIFIED HOLDING"))),"FAIL — ELIGIBILITY",IF(AND(OR($Y119="Candidate Comparison",$Y119="Committee Review",$Y119="Approved for MASR",$Y119="Referred to PEW-004",$Y119="On Watch"),$X119=0),"FAIL — EVIDENCE",IF(AND(OR($Y119="Candidate Comparison",$Y119="Committee Review",$Y119="Approved for MASR",$Y119="Referred to PEW-004",$Y119="On Watch"),OR($O119&lt;&gt;"Active",$P119&lt;&gt;"CURRENT")),"FAIL — MIAR GATE",IF(AND(OR($Y119="Approved for MASR",$Y119="Referred to PEW-004",$Y119="On Watch",$Y119="Rejected",$Y119="Closed",$Y119="Removed"),OR($AD119="",$AD119="Pending")),"FAIL — COMMITTEE DISPOSITION",IF(AND($Y119="Referred to PEW-004",OR($AF119&lt;&gt;"Yes — Refer to PEW-004",$AG119="",$AJ119="")),"FAIL — PEW REFERRAL","PASS — STAGE GATE")))))))))</x:f>
      </x:c>
      <x:c r="AA119" s="1242"/>
      <x:c r="AB119" s="1251"/>
      <x:c r="AC119" s="1257" t="str">
        <x:f>IF($B119="","",IF($AQ119&lt;&gt;"",$AQ119-$B119,TODAY()-$B119))</x:f>
      </x:c>
      <x:c r="AD119" s="1242"/>
      <x:c r="AE119" s="1251"/>
      <x:c r="AF119" s="1242"/>
      <x:c r="AG119" s="1242"/>
      <x:c r="AH119" s="1255" t="str">
        <x:f>IF($AG119="","",IFERROR(INDEX('10 Candidate Comparison'!$T$14:$T$33,MATCH($AG119,'10 Candidate Comparison'!$A$14:$A$33,0)),""))</x:f>
      </x:c>
      <x:c r="AI119" s="1252" t="str">
        <x:f>IF($AG119="","",IFERROR(INDEX('10 Candidate Comparison'!$U$14:$U$33,MATCH($AG119,'10 Candidate Comparison'!$A$14:$A$33,0)),""))</x:f>
      </x:c>
      <x:c r="AJ119" s="1252" t="str">
        <x:f>IF($AG119="","",IFERROR(INDEX('10 Candidate Comparison'!$Y$14:$Y$33,MATCH($AG119,'10 Candidate Comparison'!$A$14:$A$33,0)),""))</x:f>
      </x:c>
      <x:c r="AK119" s="1253" t="str">
        <x:f>IF($A119="","",IF($Z119="FAIL — DUPLICATE ID","DUPLICATE CANDIDATE ID",IF($Z119="FAIL — INCOMPLETE","INCOMPLETE",IF($Z119="FAIL — MASR RECORD REQUIRED","MASR RECORD REQUIRED",IF($Z119="FAIL — ELIGIBILITY","ELIGIBILITY BLOCK",IF($Z119="FAIL — EVIDENCE","EVIDENCE REQUIRED",IF($Z119="FAIL — MIAR GATE","MIAR GATE BLOCK",IF($Z119="FAIL — COMMITTEE DISPOSITION","COMMITTEE DECISION REQUIRED",IF($Z119="FAIL — PEW REFERRAL","PEW REFERRAL INCOMPLETE",IF(AND(OR($Y119="Rejected",$Y119="Closed",$Y119="Removed"),OR($AO119="",$AP119="",$AQ119="")),"CLOSURE REQUIRED",IF(AND($AB119&lt;TODAY(),NOT(OR($Y119="Rejected",$Y119="Closed",$Y119="Removed"))),"OVERDUE",IF(OR($Y119="Rejected",$Y119="Closed",$Y119="Removed"),"CLOSED","OPEN — ON TRACK"))))))))))))</x:f>
      </x:c>
      <x:c r="AL119" s="1253" t="str">
        <x:f>IF($AK119="","",IFERROR(INDEX('97 RCC Lists'!$AM$5:$AM$16,MATCH($AK119,'97 RCC Lists'!$AL$5:$AL$16,0)),"Review candidate exception"))</x:f>
      </x:c>
      <x:c r="AM119" s="1242"/>
      <x:c r="AN119" s="1242"/>
      <x:c r="AO119" s="1242"/>
      <x:c r="AP119" s="1242"/>
      <x:c r="AQ119" s="1251"/>
    </x:row>
    <x:row r="120" ht="32" customHeight="1">
      <x:c r="A120" s="1242"/>
      <x:c r="B120" s="1251"/>
      <x:c r="C120" s="1242"/>
      <x:c r="D120" s="1243" t="str">
        <x:f>IF($C120="","",IFERROR(INDEX('23 RCC-004 MASR Registry'!$C$14:$C$163,MATCH($C120,'23 RCC-004 MASR Registry'!$B$14:$B$163,0)),""))</x:f>
      </x:c>
      <x:c r="E120" s="1242"/>
      <x:c r="F120" s="1242"/>
      <x:c r="G120" s="1242"/>
      <x:c r="H120" s="1242"/>
      <x:c r="I120" s="1243" t="str">
        <x:f>IF($C120="","",IFERROR(INDEX('23 RCC-004 MASR Registry'!$G$14:$G$163,MATCH($C120,'23 RCC-004 MASR Registry'!$B$14:$B$163,0)),""))</x:f>
      </x:c>
      <x:c r="J120" s="1243" t="str">
        <x:f>IF($C120="","",IFERROR(INDEX('23 RCC-004 MASR Registry'!$H$14:$H$163,MATCH($C120,'23 RCC-004 MASR Registry'!$B$14:$B$163,0)),""))</x:f>
      </x:c>
      <x:c r="K120" s="1243" t="str">
        <x:f>IF($C120="","",IFERROR(INDEX('23 RCC-004 MASR Registry'!$D$14:$D$163,MATCH($C120,'23 RCC-004 MASR Registry'!$B$14:$B$163,0)),""))</x:f>
      </x:c>
      <x:c r="L120" s="1243" t="str">
        <x:f>IF($C120="","",IFERROR(INDEX('23 RCC-004 MASR Registry'!$E$14:$E$163,MATCH($C120,'23 RCC-004 MASR Registry'!$B$14:$B$163,0)),""))</x:f>
      </x:c>
      <x:c r="M120" s="1243" t="str">
        <x:f>IF($C120="","",IFERROR(INDEX('23 RCC-004 MASR Registry'!$X$14:$X$163,MATCH($C120,'23 RCC-004 MASR Registry'!$B$14:$B$163,0)),""))</x:f>
      </x:c>
      <x:c r="N120" s="1243" t="str">
        <x:f>IF($C120="","",IFERROR(INDEX('23 RCC-004 MASR Registry'!$Y$14:$Y$163,MATCH($C120,'23 RCC-004 MASR Registry'!$B$14:$B$163,0)),""))</x:f>
      </x:c>
      <x:c r="O120" s="1243" t="str">
        <x:f>IF($C120="","",IFERROR(INDEX('23 RCC-004 MASR Registry'!$L$14:$L$163,MATCH($C120,'23 RCC-004 MASR Registry'!$B$14:$B$163,0)),""))</x:f>
      </x:c>
      <x:c r="P120" s="1243" t="str">
        <x:f>IF($C120="","",IFERROR(INDEX('23 RCC-004 MASR Registry'!$M$14:$M$163,MATCH($C120,'23 RCC-004 MASR Registry'!$B$14:$B$163,0)),""))</x:f>
      </x:c>
      <x:c r="Q120" s="1246" t="str">
        <x:f>IF($C120="","",IFERROR(INDEX('23 RCC-004 MASR Registry'!$N$14:$N$163,MATCH($C120,'23 RCC-004 MASR Registry'!$B$14:$B$163,0)),""))</x:f>
      </x:c>
      <x:c r="R120" s="1246" t="str">
        <x:f>IF($C120="","",IFERROR(INDEX('23 RCC-004 MASR Registry'!$O$14:$O$163,MATCH($C120,'23 RCC-004 MASR Registry'!$B$14:$B$163,0)),""))</x:f>
      </x:c>
      <x:c r="S120" s="1246" t="str">
        <x:f>IF($C120="","",IFERROR(INDEX('23 RCC-004 MASR Registry'!$W$14:$W$163,MATCH($C120,'23 RCC-004 MASR Registry'!$B$14:$B$163,0)),""))</x:f>
      </x:c>
      <x:c r="T120" s="1246" t="str">
        <x:f>IF($C120="","",IFERROR(INDEX('23 RCC-004 MASR Registry'!$T$14:$T$163,MATCH($C120,'23 RCC-004 MASR Registry'!$B$14:$B$163,0)),""))</x:f>
      </x:c>
      <x:c r="U120" s="1247" t="str">
        <x:f>IF($C120="","",IFERROR(INDEX('23 RCC-004 MASR Registry'!$U$14:$U$163,MATCH($C120,'23 RCC-004 MASR Registry'!$B$14:$B$163,0)),""))</x:f>
      </x:c>
      <x:c r="V120" s="1243" t="str">
        <x:f>IF($C120="","",IFERROR(INDEX('23 RCC-004 MASR Registry'!$V$14:$V$163,MATCH($C120,'23 RCC-004 MASR Registry'!$B$14:$B$163,0)),""))</x:f>
      </x:c>
      <x:c r="W120" s="1242"/>
      <x:c r="X120" s="1247" t="str">
        <x:f>IF($C120="","",COUNTIF('18 RCC-002 Evidence Ledger'!$E$14:$E$213,$C120))</x:f>
      </x:c>
      <x:c r="Y120" s="1242"/>
      <x:c r="Z120" s="1244" t="str">
        <x:f>IF($A120="","",IF(COUNTIF($A$14:$A$213,$A120)&gt;1,"FAIL — DUPLICATE ID",IF(OR($B120="",$C120="",$E120="",$H120="",$Y120="",$AA120="",$AB120=""),"FAIL — INCOMPLETE",IF(AND(OR($Y120="MIAR Review",$Y120="Eligibility Review",$Y120="Candidate Comparison",$Y120="Committee Review",$Y120="Approved for MASR",$Y120="Referred to PEW-004",$Y120="On Watch",$Y120="Rejected",$Y120="Closed",$Y120="Removed"),$K120=""),"FAIL — MASR RECORD REQUIRED",IF(AND(OR($Y120="Eligibility Review",$Y120="Candidate Comparison",$Y120="Committee Review",$Y120="Approved for MASR",$Y120="Referred to PEW-004",$Y120="On Watch"),NOT(OR($M120="ELIGIBLE",$M120="ELIGIBLE WITH EXCEPTION",$M120="CERTIFIED HOLDING"))),"FAIL — ELIGIBILITY",IF(AND(OR($Y120="Candidate Comparison",$Y120="Committee Review",$Y120="Approved for MASR",$Y120="Referred to PEW-004",$Y120="On Watch"),$X120=0),"FAIL — EVIDENCE",IF(AND(OR($Y120="Candidate Comparison",$Y120="Committee Review",$Y120="Approved for MASR",$Y120="Referred to PEW-004",$Y120="On Watch"),OR($O120&lt;&gt;"Active",$P120&lt;&gt;"CURRENT")),"FAIL — MIAR GATE",IF(AND(OR($Y120="Approved for MASR",$Y120="Referred to PEW-004",$Y120="On Watch",$Y120="Rejected",$Y120="Closed",$Y120="Removed"),OR($AD120="",$AD120="Pending")),"FAIL — COMMITTEE DISPOSITION",IF(AND($Y120="Referred to PEW-004",OR($AF120&lt;&gt;"Yes — Refer to PEW-004",$AG120="",$AJ120="")),"FAIL — PEW REFERRAL","PASS — STAGE GATE")))))))))</x:f>
      </x:c>
      <x:c r="AA120" s="1242"/>
      <x:c r="AB120" s="1251"/>
      <x:c r="AC120" s="1250" t="str">
        <x:f>IF($B120="","",IF($AQ120&lt;&gt;"",$AQ120-$B120,TODAY()-$B120))</x:f>
      </x:c>
      <x:c r="AD120" s="1242"/>
      <x:c r="AE120" s="1251"/>
      <x:c r="AF120" s="1242"/>
      <x:c r="AG120" s="1242"/>
      <x:c r="AH120" s="1246" t="str">
        <x:f>IF($AG120="","",IFERROR(INDEX('10 Candidate Comparison'!$T$14:$T$33,MATCH($AG120,'10 Candidate Comparison'!$A$14:$A$33,0)),""))</x:f>
      </x:c>
      <x:c r="AI120" s="1243" t="str">
        <x:f>IF($AG120="","",IFERROR(INDEX('10 Candidate Comparison'!$U$14:$U$33,MATCH($AG120,'10 Candidate Comparison'!$A$14:$A$33,0)),""))</x:f>
      </x:c>
      <x:c r="AJ120" s="1243" t="str">
        <x:f>IF($AG120="","",IFERROR(INDEX('10 Candidate Comparison'!$Y$14:$Y$33,MATCH($AG120,'10 Candidate Comparison'!$A$14:$A$33,0)),""))</x:f>
      </x:c>
      <x:c r="AK120" s="1244" t="str">
        <x:f>IF($A120="","",IF($Z120="FAIL — DUPLICATE ID","DUPLICATE CANDIDATE ID",IF($Z120="FAIL — INCOMPLETE","INCOMPLETE",IF($Z120="FAIL — MASR RECORD REQUIRED","MASR RECORD REQUIRED",IF($Z120="FAIL — ELIGIBILITY","ELIGIBILITY BLOCK",IF($Z120="FAIL — EVIDENCE","EVIDENCE REQUIRED",IF($Z120="FAIL — MIAR GATE","MIAR GATE BLOCK",IF($Z120="FAIL — COMMITTEE DISPOSITION","COMMITTEE DECISION REQUIRED",IF($Z120="FAIL — PEW REFERRAL","PEW REFERRAL INCOMPLETE",IF(AND(OR($Y120="Rejected",$Y120="Closed",$Y120="Removed"),OR($AO120="",$AP120="",$AQ120="")),"CLOSURE REQUIRED",IF(AND($AB120&lt;TODAY(),NOT(OR($Y120="Rejected",$Y120="Closed",$Y120="Removed"))),"OVERDUE",IF(OR($Y120="Rejected",$Y120="Closed",$Y120="Removed"),"CLOSED","OPEN — ON TRACK"))))))))))))</x:f>
      </x:c>
      <x:c r="AL120" s="1244" t="str">
        <x:f>IF($AK120="","",IFERROR(INDEX('97 RCC Lists'!$AM$5:$AM$16,MATCH($AK120,'97 RCC Lists'!$AL$5:$AL$16,0)),"Review candidate exception"))</x:f>
      </x:c>
      <x:c r="AM120" s="1242"/>
      <x:c r="AN120" s="1242"/>
      <x:c r="AO120" s="1242"/>
      <x:c r="AP120" s="1242"/>
      <x:c r="AQ120" s="1251"/>
    </x:row>
    <x:row r="121" ht="32" customHeight="1">
      <x:c r="A121" s="1242"/>
      <x:c r="B121" s="1251"/>
      <x:c r="C121" s="1242"/>
      <x:c r="D121" s="1252" t="str">
        <x:f>IF($C121="","",IFERROR(INDEX('23 RCC-004 MASR Registry'!$C$14:$C$163,MATCH($C121,'23 RCC-004 MASR Registry'!$B$14:$B$163,0)),""))</x:f>
      </x:c>
      <x:c r="E121" s="1242"/>
      <x:c r="F121" s="1242"/>
      <x:c r="G121" s="1242"/>
      <x:c r="H121" s="1242"/>
      <x:c r="I121" s="1252" t="str">
        <x:f>IF($C121="","",IFERROR(INDEX('23 RCC-004 MASR Registry'!$G$14:$G$163,MATCH($C121,'23 RCC-004 MASR Registry'!$B$14:$B$163,0)),""))</x:f>
      </x:c>
      <x:c r="J121" s="1252" t="str">
        <x:f>IF($C121="","",IFERROR(INDEX('23 RCC-004 MASR Registry'!$H$14:$H$163,MATCH($C121,'23 RCC-004 MASR Registry'!$B$14:$B$163,0)),""))</x:f>
      </x:c>
      <x:c r="K121" s="1252" t="str">
        <x:f>IF($C121="","",IFERROR(INDEX('23 RCC-004 MASR Registry'!$D$14:$D$163,MATCH($C121,'23 RCC-004 MASR Registry'!$B$14:$B$163,0)),""))</x:f>
      </x:c>
      <x:c r="L121" s="1252" t="str">
        <x:f>IF($C121="","",IFERROR(INDEX('23 RCC-004 MASR Registry'!$E$14:$E$163,MATCH($C121,'23 RCC-004 MASR Registry'!$B$14:$B$163,0)),""))</x:f>
      </x:c>
      <x:c r="M121" s="1252" t="str">
        <x:f>IF($C121="","",IFERROR(INDEX('23 RCC-004 MASR Registry'!$X$14:$X$163,MATCH($C121,'23 RCC-004 MASR Registry'!$B$14:$B$163,0)),""))</x:f>
      </x:c>
      <x:c r="N121" s="1252" t="str">
        <x:f>IF($C121="","",IFERROR(INDEX('23 RCC-004 MASR Registry'!$Y$14:$Y$163,MATCH($C121,'23 RCC-004 MASR Registry'!$B$14:$B$163,0)),""))</x:f>
      </x:c>
      <x:c r="O121" s="1252" t="str">
        <x:f>IF($C121="","",IFERROR(INDEX('23 RCC-004 MASR Registry'!$L$14:$L$163,MATCH($C121,'23 RCC-004 MASR Registry'!$B$14:$B$163,0)),""))</x:f>
      </x:c>
      <x:c r="P121" s="1252" t="str">
        <x:f>IF($C121="","",IFERROR(INDEX('23 RCC-004 MASR Registry'!$M$14:$M$163,MATCH($C121,'23 RCC-004 MASR Registry'!$B$14:$B$163,0)),""))</x:f>
      </x:c>
      <x:c r="Q121" s="1255" t="str">
        <x:f>IF($C121="","",IFERROR(INDEX('23 RCC-004 MASR Registry'!$N$14:$N$163,MATCH($C121,'23 RCC-004 MASR Registry'!$B$14:$B$163,0)),""))</x:f>
      </x:c>
      <x:c r="R121" s="1255" t="str">
        <x:f>IF($C121="","",IFERROR(INDEX('23 RCC-004 MASR Registry'!$O$14:$O$163,MATCH($C121,'23 RCC-004 MASR Registry'!$B$14:$B$163,0)),""))</x:f>
      </x:c>
      <x:c r="S121" s="1255" t="str">
        <x:f>IF($C121="","",IFERROR(INDEX('23 RCC-004 MASR Registry'!$W$14:$W$163,MATCH($C121,'23 RCC-004 MASR Registry'!$B$14:$B$163,0)),""))</x:f>
      </x:c>
      <x:c r="T121" s="1255" t="str">
        <x:f>IF($C121="","",IFERROR(INDEX('23 RCC-004 MASR Registry'!$T$14:$T$163,MATCH($C121,'23 RCC-004 MASR Registry'!$B$14:$B$163,0)),""))</x:f>
      </x:c>
      <x:c r="U121" s="1256" t="str">
        <x:f>IF($C121="","",IFERROR(INDEX('23 RCC-004 MASR Registry'!$U$14:$U$163,MATCH($C121,'23 RCC-004 MASR Registry'!$B$14:$B$163,0)),""))</x:f>
      </x:c>
      <x:c r="V121" s="1252" t="str">
        <x:f>IF($C121="","",IFERROR(INDEX('23 RCC-004 MASR Registry'!$V$14:$V$163,MATCH($C121,'23 RCC-004 MASR Registry'!$B$14:$B$163,0)),""))</x:f>
      </x:c>
      <x:c r="W121" s="1242"/>
      <x:c r="X121" s="1256" t="str">
        <x:f>IF($C121="","",COUNTIF('18 RCC-002 Evidence Ledger'!$E$14:$E$213,$C121))</x:f>
      </x:c>
      <x:c r="Y121" s="1242"/>
      <x:c r="Z121" s="1253" t="str">
        <x:f>IF($A121="","",IF(COUNTIF($A$14:$A$213,$A121)&gt;1,"FAIL — DUPLICATE ID",IF(OR($B121="",$C121="",$E121="",$H121="",$Y121="",$AA121="",$AB121=""),"FAIL — INCOMPLETE",IF(AND(OR($Y121="MIAR Review",$Y121="Eligibility Review",$Y121="Candidate Comparison",$Y121="Committee Review",$Y121="Approved for MASR",$Y121="Referred to PEW-004",$Y121="On Watch",$Y121="Rejected",$Y121="Closed",$Y121="Removed"),$K121=""),"FAIL — MASR RECORD REQUIRED",IF(AND(OR($Y121="Eligibility Review",$Y121="Candidate Comparison",$Y121="Committee Review",$Y121="Approved for MASR",$Y121="Referred to PEW-004",$Y121="On Watch"),NOT(OR($M121="ELIGIBLE",$M121="ELIGIBLE WITH EXCEPTION",$M121="CERTIFIED HOLDING"))),"FAIL — ELIGIBILITY",IF(AND(OR($Y121="Candidate Comparison",$Y121="Committee Review",$Y121="Approved for MASR",$Y121="Referred to PEW-004",$Y121="On Watch"),$X121=0),"FAIL — EVIDENCE",IF(AND(OR($Y121="Candidate Comparison",$Y121="Committee Review",$Y121="Approved for MASR",$Y121="Referred to PEW-004",$Y121="On Watch"),OR($O121&lt;&gt;"Active",$P121&lt;&gt;"CURRENT")),"FAIL — MIAR GATE",IF(AND(OR($Y121="Approved for MASR",$Y121="Referred to PEW-004",$Y121="On Watch",$Y121="Rejected",$Y121="Closed",$Y121="Removed"),OR($AD121="",$AD121="Pending")),"FAIL — COMMITTEE DISPOSITION",IF(AND($Y121="Referred to PEW-004",OR($AF121&lt;&gt;"Yes — Refer to PEW-004",$AG121="",$AJ121="")),"FAIL — PEW REFERRAL","PASS — STAGE GATE")))))))))</x:f>
      </x:c>
      <x:c r="AA121" s="1242"/>
      <x:c r="AB121" s="1251"/>
      <x:c r="AC121" s="1257" t="str">
        <x:f>IF($B121="","",IF($AQ121&lt;&gt;"",$AQ121-$B121,TODAY()-$B121))</x:f>
      </x:c>
      <x:c r="AD121" s="1242"/>
      <x:c r="AE121" s="1251"/>
      <x:c r="AF121" s="1242"/>
      <x:c r="AG121" s="1242"/>
      <x:c r="AH121" s="1255" t="str">
        <x:f>IF($AG121="","",IFERROR(INDEX('10 Candidate Comparison'!$T$14:$T$33,MATCH($AG121,'10 Candidate Comparison'!$A$14:$A$33,0)),""))</x:f>
      </x:c>
      <x:c r="AI121" s="1252" t="str">
        <x:f>IF($AG121="","",IFERROR(INDEX('10 Candidate Comparison'!$U$14:$U$33,MATCH($AG121,'10 Candidate Comparison'!$A$14:$A$33,0)),""))</x:f>
      </x:c>
      <x:c r="AJ121" s="1252" t="str">
        <x:f>IF($AG121="","",IFERROR(INDEX('10 Candidate Comparison'!$Y$14:$Y$33,MATCH($AG121,'10 Candidate Comparison'!$A$14:$A$33,0)),""))</x:f>
      </x:c>
      <x:c r="AK121" s="1253" t="str">
        <x:f>IF($A121="","",IF($Z121="FAIL — DUPLICATE ID","DUPLICATE CANDIDATE ID",IF($Z121="FAIL — INCOMPLETE","INCOMPLETE",IF($Z121="FAIL — MASR RECORD REQUIRED","MASR RECORD REQUIRED",IF($Z121="FAIL — ELIGIBILITY","ELIGIBILITY BLOCK",IF($Z121="FAIL — EVIDENCE","EVIDENCE REQUIRED",IF($Z121="FAIL — MIAR GATE","MIAR GATE BLOCK",IF($Z121="FAIL — COMMITTEE DISPOSITION","COMMITTEE DECISION REQUIRED",IF($Z121="FAIL — PEW REFERRAL","PEW REFERRAL INCOMPLETE",IF(AND(OR($Y121="Rejected",$Y121="Closed",$Y121="Removed"),OR($AO121="",$AP121="",$AQ121="")),"CLOSURE REQUIRED",IF(AND($AB121&lt;TODAY(),NOT(OR($Y121="Rejected",$Y121="Closed",$Y121="Removed"))),"OVERDUE",IF(OR($Y121="Rejected",$Y121="Closed",$Y121="Removed"),"CLOSED","OPEN — ON TRACK"))))))))))))</x:f>
      </x:c>
      <x:c r="AL121" s="1253" t="str">
        <x:f>IF($AK121="","",IFERROR(INDEX('97 RCC Lists'!$AM$5:$AM$16,MATCH($AK121,'97 RCC Lists'!$AL$5:$AL$16,0)),"Review candidate exception"))</x:f>
      </x:c>
      <x:c r="AM121" s="1242"/>
      <x:c r="AN121" s="1242"/>
      <x:c r="AO121" s="1242"/>
      <x:c r="AP121" s="1242"/>
      <x:c r="AQ121" s="1251"/>
    </x:row>
    <x:row r="122" ht="32" customHeight="1">
      <x:c r="A122" s="1242"/>
      <x:c r="B122" s="1251"/>
      <x:c r="C122" s="1242"/>
      <x:c r="D122" s="1243" t="str">
        <x:f>IF($C122="","",IFERROR(INDEX('23 RCC-004 MASR Registry'!$C$14:$C$163,MATCH($C122,'23 RCC-004 MASR Registry'!$B$14:$B$163,0)),""))</x:f>
      </x:c>
      <x:c r="E122" s="1242"/>
      <x:c r="F122" s="1242"/>
      <x:c r="G122" s="1242"/>
      <x:c r="H122" s="1242"/>
      <x:c r="I122" s="1243" t="str">
        <x:f>IF($C122="","",IFERROR(INDEX('23 RCC-004 MASR Registry'!$G$14:$G$163,MATCH($C122,'23 RCC-004 MASR Registry'!$B$14:$B$163,0)),""))</x:f>
      </x:c>
      <x:c r="J122" s="1243" t="str">
        <x:f>IF($C122="","",IFERROR(INDEX('23 RCC-004 MASR Registry'!$H$14:$H$163,MATCH($C122,'23 RCC-004 MASR Registry'!$B$14:$B$163,0)),""))</x:f>
      </x:c>
      <x:c r="K122" s="1243" t="str">
        <x:f>IF($C122="","",IFERROR(INDEX('23 RCC-004 MASR Registry'!$D$14:$D$163,MATCH($C122,'23 RCC-004 MASR Registry'!$B$14:$B$163,0)),""))</x:f>
      </x:c>
      <x:c r="L122" s="1243" t="str">
        <x:f>IF($C122="","",IFERROR(INDEX('23 RCC-004 MASR Registry'!$E$14:$E$163,MATCH($C122,'23 RCC-004 MASR Registry'!$B$14:$B$163,0)),""))</x:f>
      </x:c>
      <x:c r="M122" s="1243" t="str">
        <x:f>IF($C122="","",IFERROR(INDEX('23 RCC-004 MASR Registry'!$X$14:$X$163,MATCH($C122,'23 RCC-004 MASR Registry'!$B$14:$B$163,0)),""))</x:f>
      </x:c>
      <x:c r="N122" s="1243" t="str">
        <x:f>IF($C122="","",IFERROR(INDEX('23 RCC-004 MASR Registry'!$Y$14:$Y$163,MATCH($C122,'23 RCC-004 MASR Registry'!$B$14:$B$163,0)),""))</x:f>
      </x:c>
      <x:c r="O122" s="1243" t="str">
        <x:f>IF($C122="","",IFERROR(INDEX('23 RCC-004 MASR Registry'!$L$14:$L$163,MATCH($C122,'23 RCC-004 MASR Registry'!$B$14:$B$163,0)),""))</x:f>
      </x:c>
      <x:c r="P122" s="1243" t="str">
        <x:f>IF($C122="","",IFERROR(INDEX('23 RCC-004 MASR Registry'!$M$14:$M$163,MATCH($C122,'23 RCC-004 MASR Registry'!$B$14:$B$163,0)),""))</x:f>
      </x:c>
      <x:c r="Q122" s="1246" t="str">
        <x:f>IF($C122="","",IFERROR(INDEX('23 RCC-004 MASR Registry'!$N$14:$N$163,MATCH($C122,'23 RCC-004 MASR Registry'!$B$14:$B$163,0)),""))</x:f>
      </x:c>
      <x:c r="R122" s="1246" t="str">
        <x:f>IF($C122="","",IFERROR(INDEX('23 RCC-004 MASR Registry'!$O$14:$O$163,MATCH($C122,'23 RCC-004 MASR Registry'!$B$14:$B$163,0)),""))</x:f>
      </x:c>
      <x:c r="S122" s="1246" t="str">
        <x:f>IF($C122="","",IFERROR(INDEX('23 RCC-004 MASR Registry'!$W$14:$W$163,MATCH($C122,'23 RCC-004 MASR Registry'!$B$14:$B$163,0)),""))</x:f>
      </x:c>
      <x:c r="T122" s="1246" t="str">
        <x:f>IF($C122="","",IFERROR(INDEX('23 RCC-004 MASR Registry'!$T$14:$T$163,MATCH($C122,'23 RCC-004 MASR Registry'!$B$14:$B$163,0)),""))</x:f>
      </x:c>
      <x:c r="U122" s="1247" t="str">
        <x:f>IF($C122="","",IFERROR(INDEX('23 RCC-004 MASR Registry'!$U$14:$U$163,MATCH($C122,'23 RCC-004 MASR Registry'!$B$14:$B$163,0)),""))</x:f>
      </x:c>
      <x:c r="V122" s="1243" t="str">
        <x:f>IF($C122="","",IFERROR(INDEX('23 RCC-004 MASR Registry'!$V$14:$V$163,MATCH($C122,'23 RCC-004 MASR Registry'!$B$14:$B$163,0)),""))</x:f>
      </x:c>
      <x:c r="W122" s="1242"/>
      <x:c r="X122" s="1247" t="str">
        <x:f>IF($C122="","",COUNTIF('18 RCC-002 Evidence Ledger'!$E$14:$E$213,$C122))</x:f>
      </x:c>
      <x:c r="Y122" s="1242"/>
      <x:c r="Z122" s="1244" t="str">
        <x:f>IF($A122="","",IF(COUNTIF($A$14:$A$213,$A122)&gt;1,"FAIL — DUPLICATE ID",IF(OR($B122="",$C122="",$E122="",$H122="",$Y122="",$AA122="",$AB122=""),"FAIL — INCOMPLETE",IF(AND(OR($Y122="MIAR Review",$Y122="Eligibility Review",$Y122="Candidate Comparison",$Y122="Committee Review",$Y122="Approved for MASR",$Y122="Referred to PEW-004",$Y122="On Watch",$Y122="Rejected",$Y122="Closed",$Y122="Removed"),$K122=""),"FAIL — MASR RECORD REQUIRED",IF(AND(OR($Y122="Eligibility Review",$Y122="Candidate Comparison",$Y122="Committee Review",$Y122="Approved for MASR",$Y122="Referred to PEW-004",$Y122="On Watch"),NOT(OR($M122="ELIGIBLE",$M122="ELIGIBLE WITH EXCEPTION",$M122="CERTIFIED HOLDING"))),"FAIL — ELIGIBILITY",IF(AND(OR($Y122="Candidate Comparison",$Y122="Committee Review",$Y122="Approved for MASR",$Y122="Referred to PEW-004",$Y122="On Watch"),$X122=0),"FAIL — EVIDENCE",IF(AND(OR($Y122="Candidate Comparison",$Y122="Committee Review",$Y122="Approved for MASR",$Y122="Referred to PEW-004",$Y122="On Watch"),OR($O122&lt;&gt;"Active",$P122&lt;&gt;"CURRENT")),"FAIL — MIAR GATE",IF(AND(OR($Y122="Approved for MASR",$Y122="Referred to PEW-004",$Y122="On Watch",$Y122="Rejected",$Y122="Closed",$Y122="Removed"),OR($AD122="",$AD122="Pending")),"FAIL — COMMITTEE DISPOSITION",IF(AND($Y122="Referred to PEW-004",OR($AF122&lt;&gt;"Yes — Refer to PEW-004",$AG122="",$AJ122="")),"FAIL — PEW REFERRAL","PASS — STAGE GATE")))))))))</x:f>
      </x:c>
      <x:c r="AA122" s="1242"/>
      <x:c r="AB122" s="1251"/>
      <x:c r="AC122" s="1250" t="str">
        <x:f>IF($B122="","",IF($AQ122&lt;&gt;"",$AQ122-$B122,TODAY()-$B122))</x:f>
      </x:c>
      <x:c r="AD122" s="1242"/>
      <x:c r="AE122" s="1251"/>
      <x:c r="AF122" s="1242"/>
      <x:c r="AG122" s="1242"/>
      <x:c r="AH122" s="1246" t="str">
        <x:f>IF($AG122="","",IFERROR(INDEX('10 Candidate Comparison'!$T$14:$T$33,MATCH($AG122,'10 Candidate Comparison'!$A$14:$A$33,0)),""))</x:f>
      </x:c>
      <x:c r="AI122" s="1243" t="str">
        <x:f>IF($AG122="","",IFERROR(INDEX('10 Candidate Comparison'!$U$14:$U$33,MATCH($AG122,'10 Candidate Comparison'!$A$14:$A$33,0)),""))</x:f>
      </x:c>
      <x:c r="AJ122" s="1243" t="str">
        <x:f>IF($AG122="","",IFERROR(INDEX('10 Candidate Comparison'!$Y$14:$Y$33,MATCH($AG122,'10 Candidate Comparison'!$A$14:$A$33,0)),""))</x:f>
      </x:c>
      <x:c r="AK122" s="1244" t="str">
        <x:f>IF($A122="","",IF($Z122="FAIL — DUPLICATE ID","DUPLICATE CANDIDATE ID",IF($Z122="FAIL — INCOMPLETE","INCOMPLETE",IF($Z122="FAIL — MASR RECORD REQUIRED","MASR RECORD REQUIRED",IF($Z122="FAIL — ELIGIBILITY","ELIGIBILITY BLOCK",IF($Z122="FAIL — EVIDENCE","EVIDENCE REQUIRED",IF($Z122="FAIL — MIAR GATE","MIAR GATE BLOCK",IF($Z122="FAIL — COMMITTEE DISPOSITION","COMMITTEE DECISION REQUIRED",IF($Z122="FAIL — PEW REFERRAL","PEW REFERRAL INCOMPLETE",IF(AND(OR($Y122="Rejected",$Y122="Closed",$Y122="Removed"),OR($AO122="",$AP122="",$AQ122="")),"CLOSURE REQUIRED",IF(AND($AB122&lt;TODAY(),NOT(OR($Y122="Rejected",$Y122="Closed",$Y122="Removed"))),"OVERDUE",IF(OR($Y122="Rejected",$Y122="Closed",$Y122="Removed"),"CLOSED","OPEN — ON TRACK"))))))))))))</x:f>
      </x:c>
      <x:c r="AL122" s="1244" t="str">
        <x:f>IF($AK122="","",IFERROR(INDEX('97 RCC Lists'!$AM$5:$AM$16,MATCH($AK122,'97 RCC Lists'!$AL$5:$AL$16,0)),"Review candidate exception"))</x:f>
      </x:c>
      <x:c r="AM122" s="1242"/>
      <x:c r="AN122" s="1242"/>
      <x:c r="AO122" s="1242"/>
      <x:c r="AP122" s="1242"/>
      <x:c r="AQ122" s="1251"/>
    </x:row>
    <x:row r="123" ht="32" customHeight="1">
      <x:c r="A123" s="1242"/>
      <x:c r="B123" s="1251"/>
      <x:c r="C123" s="1242"/>
      <x:c r="D123" s="1252" t="str">
        <x:f>IF($C123="","",IFERROR(INDEX('23 RCC-004 MASR Registry'!$C$14:$C$163,MATCH($C123,'23 RCC-004 MASR Registry'!$B$14:$B$163,0)),""))</x:f>
      </x:c>
      <x:c r="E123" s="1242"/>
      <x:c r="F123" s="1242"/>
      <x:c r="G123" s="1242"/>
      <x:c r="H123" s="1242"/>
      <x:c r="I123" s="1252" t="str">
        <x:f>IF($C123="","",IFERROR(INDEX('23 RCC-004 MASR Registry'!$G$14:$G$163,MATCH($C123,'23 RCC-004 MASR Registry'!$B$14:$B$163,0)),""))</x:f>
      </x:c>
      <x:c r="J123" s="1252" t="str">
        <x:f>IF($C123="","",IFERROR(INDEX('23 RCC-004 MASR Registry'!$H$14:$H$163,MATCH($C123,'23 RCC-004 MASR Registry'!$B$14:$B$163,0)),""))</x:f>
      </x:c>
      <x:c r="K123" s="1252" t="str">
        <x:f>IF($C123="","",IFERROR(INDEX('23 RCC-004 MASR Registry'!$D$14:$D$163,MATCH($C123,'23 RCC-004 MASR Registry'!$B$14:$B$163,0)),""))</x:f>
      </x:c>
      <x:c r="L123" s="1252" t="str">
        <x:f>IF($C123="","",IFERROR(INDEX('23 RCC-004 MASR Registry'!$E$14:$E$163,MATCH($C123,'23 RCC-004 MASR Registry'!$B$14:$B$163,0)),""))</x:f>
      </x:c>
      <x:c r="M123" s="1252" t="str">
        <x:f>IF($C123="","",IFERROR(INDEX('23 RCC-004 MASR Registry'!$X$14:$X$163,MATCH($C123,'23 RCC-004 MASR Registry'!$B$14:$B$163,0)),""))</x:f>
      </x:c>
      <x:c r="N123" s="1252" t="str">
        <x:f>IF($C123="","",IFERROR(INDEX('23 RCC-004 MASR Registry'!$Y$14:$Y$163,MATCH($C123,'23 RCC-004 MASR Registry'!$B$14:$B$163,0)),""))</x:f>
      </x:c>
      <x:c r="O123" s="1252" t="str">
        <x:f>IF($C123="","",IFERROR(INDEX('23 RCC-004 MASR Registry'!$L$14:$L$163,MATCH($C123,'23 RCC-004 MASR Registry'!$B$14:$B$163,0)),""))</x:f>
      </x:c>
      <x:c r="P123" s="1252" t="str">
        <x:f>IF($C123="","",IFERROR(INDEX('23 RCC-004 MASR Registry'!$M$14:$M$163,MATCH($C123,'23 RCC-004 MASR Registry'!$B$14:$B$163,0)),""))</x:f>
      </x:c>
      <x:c r="Q123" s="1255" t="str">
        <x:f>IF($C123="","",IFERROR(INDEX('23 RCC-004 MASR Registry'!$N$14:$N$163,MATCH($C123,'23 RCC-004 MASR Registry'!$B$14:$B$163,0)),""))</x:f>
      </x:c>
      <x:c r="R123" s="1255" t="str">
        <x:f>IF($C123="","",IFERROR(INDEX('23 RCC-004 MASR Registry'!$O$14:$O$163,MATCH($C123,'23 RCC-004 MASR Registry'!$B$14:$B$163,0)),""))</x:f>
      </x:c>
      <x:c r="S123" s="1255" t="str">
        <x:f>IF($C123="","",IFERROR(INDEX('23 RCC-004 MASR Registry'!$W$14:$W$163,MATCH($C123,'23 RCC-004 MASR Registry'!$B$14:$B$163,0)),""))</x:f>
      </x:c>
      <x:c r="T123" s="1255" t="str">
        <x:f>IF($C123="","",IFERROR(INDEX('23 RCC-004 MASR Registry'!$T$14:$T$163,MATCH($C123,'23 RCC-004 MASR Registry'!$B$14:$B$163,0)),""))</x:f>
      </x:c>
      <x:c r="U123" s="1256" t="str">
        <x:f>IF($C123="","",IFERROR(INDEX('23 RCC-004 MASR Registry'!$U$14:$U$163,MATCH($C123,'23 RCC-004 MASR Registry'!$B$14:$B$163,0)),""))</x:f>
      </x:c>
      <x:c r="V123" s="1252" t="str">
        <x:f>IF($C123="","",IFERROR(INDEX('23 RCC-004 MASR Registry'!$V$14:$V$163,MATCH($C123,'23 RCC-004 MASR Registry'!$B$14:$B$163,0)),""))</x:f>
      </x:c>
      <x:c r="W123" s="1242"/>
      <x:c r="X123" s="1256" t="str">
        <x:f>IF($C123="","",COUNTIF('18 RCC-002 Evidence Ledger'!$E$14:$E$213,$C123))</x:f>
      </x:c>
      <x:c r="Y123" s="1242"/>
      <x:c r="Z123" s="1253" t="str">
        <x:f>IF($A123="","",IF(COUNTIF($A$14:$A$213,$A123)&gt;1,"FAIL — DUPLICATE ID",IF(OR($B123="",$C123="",$E123="",$H123="",$Y123="",$AA123="",$AB123=""),"FAIL — INCOMPLETE",IF(AND(OR($Y123="MIAR Review",$Y123="Eligibility Review",$Y123="Candidate Comparison",$Y123="Committee Review",$Y123="Approved for MASR",$Y123="Referred to PEW-004",$Y123="On Watch",$Y123="Rejected",$Y123="Closed",$Y123="Removed"),$K123=""),"FAIL — MASR RECORD REQUIRED",IF(AND(OR($Y123="Eligibility Review",$Y123="Candidate Comparison",$Y123="Committee Review",$Y123="Approved for MASR",$Y123="Referred to PEW-004",$Y123="On Watch"),NOT(OR($M123="ELIGIBLE",$M123="ELIGIBLE WITH EXCEPTION",$M123="CERTIFIED HOLDING"))),"FAIL — ELIGIBILITY",IF(AND(OR($Y123="Candidate Comparison",$Y123="Committee Review",$Y123="Approved for MASR",$Y123="Referred to PEW-004",$Y123="On Watch"),$X123=0),"FAIL — EVIDENCE",IF(AND(OR($Y123="Candidate Comparison",$Y123="Committee Review",$Y123="Approved for MASR",$Y123="Referred to PEW-004",$Y123="On Watch"),OR($O123&lt;&gt;"Active",$P123&lt;&gt;"CURRENT")),"FAIL — MIAR GATE",IF(AND(OR($Y123="Approved for MASR",$Y123="Referred to PEW-004",$Y123="On Watch",$Y123="Rejected",$Y123="Closed",$Y123="Removed"),OR($AD123="",$AD123="Pending")),"FAIL — COMMITTEE DISPOSITION",IF(AND($Y123="Referred to PEW-004",OR($AF123&lt;&gt;"Yes — Refer to PEW-004",$AG123="",$AJ123="")),"FAIL — PEW REFERRAL","PASS — STAGE GATE")))))))))</x:f>
      </x:c>
      <x:c r="AA123" s="1242"/>
      <x:c r="AB123" s="1251"/>
      <x:c r="AC123" s="1257" t="str">
        <x:f>IF($B123="","",IF($AQ123&lt;&gt;"",$AQ123-$B123,TODAY()-$B123))</x:f>
      </x:c>
      <x:c r="AD123" s="1242"/>
      <x:c r="AE123" s="1251"/>
      <x:c r="AF123" s="1242"/>
      <x:c r="AG123" s="1242"/>
      <x:c r="AH123" s="1255" t="str">
        <x:f>IF($AG123="","",IFERROR(INDEX('10 Candidate Comparison'!$T$14:$T$33,MATCH($AG123,'10 Candidate Comparison'!$A$14:$A$33,0)),""))</x:f>
      </x:c>
      <x:c r="AI123" s="1252" t="str">
        <x:f>IF($AG123="","",IFERROR(INDEX('10 Candidate Comparison'!$U$14:$U$33,MATCH($AG123,'10 Candidate Comparison'!$A$14:$A$33,0)),""))</x:f>
      </x:c>
      <x:c r="AJ123" s="1252" t="str">
        <x:f>IF($AG123="","",IFERROR(INDEX('10 Candidate Comparison'!$Y$14:$Y$33,MATCH($AG123,'10 Candidate Comparison'!$A$14:$A$33,0)),""))</x:f>
      </x:c>
      <x:c r="AK123" s="1253" t="str">
        <x:f>IF($A123="","",IF($Z123="FAIL — DUPLICATE ID","DUPLICATE CANDIDATE ID",IF($Z123="FAIL — INCOMPLETE","INCOMPLETE",IF($Z123="FAIL — MASR RECORD REQUIRED","MASR RECORD REQUIRED",IF($Z123="FAIL — ELIGIBILITY","ELIGIBILITY BLOCK",IF($Z123="FAIL — EVIDENCE","EVIDENCE REQUIRED",IF($Z123="FAIL — MIAR GATE","MIAR GATE BLOCK",IF($Z123="FAIL — COMMITTEE DISPOSITION","COMMITTEE DECISION REQUIRED",IF($Z123="FAIL — PEW REFERRAL","PEW REFERRAL INCOMPLETE",IF(AND(OR($Y123="Rejected",$Y123="Closed",$Y123="Removed"),OR($AO123="",$AP123="",$AQ123="")),"CLOSURE REQUIRED",IF(AND($AB123&lt;TODAY(),NOT(OR($Y123="Rejected",$Y123="Closed",$Y123="Removed"))),"OVERDUE",IF(OR($Y123="Rejected",$Y123="Closed",$Y123="Removed"),"CLOSED","OPEN — ON TRACK"))))))))))))</x:f>
      </x:c>
      <x:c r="AL123" s="1253" t="str">
        <x:f>IF($AK123="","",IFERROR(INDEX('97 RCC Lists'!$AM$5:$AM$16,MATCH($AK123,'97 RCC Lists'!$AL$5:$AL$16,0)),"Review candidate exception"))</x:f>
      </x:c>
      <x:c r="AM123" s="1242"/>
      <x:c r="AN123" s="1242"/>
      <x:c r="AO123" s="1242"/>
      <x:c r="AP123" s="1242"/>
      <x:c r="AQ123" s="1251"/>
    </x:row>
    <x:row r="124" ht="32" customHeight="1">
      <x:c r="A124" s="1242"/>
      <x:c r="B124" s="1251"/>
      <x:c r="C124" s="1242"/>
      <x:c r="D124" s="1243" t="str">
        <x:f>IF($C124="","",IFERROR(INDEX('23 RCC-004 MASR Registry'!$C$14:$C$163,MATCH($C124,'23 RCC-004 MASR Registry'!$B$14:$B$163,0)),""))</x:f>
      </x:c>
      <x:c r="E124" s="1242"/>
      <x:c r="F124" s="1242"/>
      <x:c r="G124" s="1242"/>
      <x:c r="H124" s="1242"/>
      <x:c r="I124" s="1243" t="str">
        <x:f>IF($C124="","",IFERROR(INDEX('23 RCC-004 MASR Registry'!$G$14:$G$163,MATCH($C124,'23 RCC-004 MASR Registry'!$B$14:$B$163,0)),""))</x:f>
      </x:c>
      <x:c r="J124" s="1243" t="str">
        <x:f>IF($C124="","",IFERROR(INDEX('23 RCC-004 MASR Registry'!$H$14:$H$163,MATCH($C124,'23 RCC-004 MASR Registry'!$B$14:$B$163,0)),""))</x:f>
      </x:c>
      <x:c r="K124" s="1243" t="str">
        <x:f>IF($C124="","",IFERROR(INDEX('23 RCC-004 MASR Registry'!$D$14:$D$163,MATCH($C124,'23 RCC-004 MASR Registry'!$B$14:$B$163,0)),""))</x:f>
      </x:c>
      <x:c r="L124" s="1243" t="str">
        <x:f>IF($C124="","",IFERROR(INDEX('23 RCC-004 MASR Registry'!$E$14:$E$163,MATCH($C124,'23 RCC-004 MASR Registry'!$B$14:$B$163,0)),""))</x:f>
      </x:c>
      <x:c r="M124" s="1243" t="str">
        <x:f>IF($C124="","",IFERROR(INDEX('23 RCC-004 MASR Registry'!$X$14:$X$163,MATCH($C124,'23 RCC-004 MASR Registry'!$B$14:$B$163,0)),""))</x:f>
      </x:c>
      <x:c r="N124" s="1243" t="str">
        <x:f>IF($C124="","",IFERROR(INDEX('23 RCC-004 MASR Registry'!$Y$14:$Y$163,MATCH($C124,'23 RCC-004 MASR Registry'!$B$14:$B$163,0)),""))</x:f>
      </x:c>
      <x:c r="O124" s="1243" t="str">
        <x:f>IF($C124="","",IFERROR(INDEX('23 RCC-004 MASR Registry'!$L$14:$L$163,MATCH($C124,'23 RCC-004 MASR Registry'!$B$14:$B$163,0)),""))</x:f>
      </x:c>
      <x:c r="P124" s="1243" t="str">
        <x:f>IF($C124="","",IFERROR(INDEX('23 RCC-004 MASR Registry'!$M$14:$M$163,MATCH($C124,'23 RCC-004 MASR Registry'!$B$14:$B$163,0)),""))</x:f>
      </x:c>
      <x:c r="Q124" s="1246" t="str">
        <x:f>IF($C124="","",IFERROR(INDEX('23 RCC-004 MASR Registry'!$N$14:$N$163,MATCH($C124,'23 RCC-004 MASR Registry'!$B$14:$B$163,0)),""))</x:f>
      </x:c>
      <x:c r="R124" s="1246" t="str">
        <x:f>IF($C124="","",IFERROR(INDEX('23 RCC-004 MASR Registry'!$O$14:$O$163,MATCH($C124,'23 RCC-004 MASR Registry'!$B$14:$B$163,0)),""))</x:f>
      </x:c>
      <x:c r="S124" s="1246" t="str">
        <x:f>IF($C124="","",IFERROR(INDEX('23 RCC-004 MASR Registry'!$W$14:$W$163,MATCH($C124,'23 RCC-004 MASR Registry'!$B$14:$B$163,0)),""))</x:f>
      </x:c>
      <x:c r="T124" s="1246" t="str">
        <x:f>IF($C124="","",IFERROR(INDEX('23 RCC-004 MASR Registry'!$T$14:$T$163,MATCH($C124,'23 RCC-004 MASR Registry'!$B$14:$B$163,0)),""))</x:f>
      </x:c>
      <x:c r="U124" s="1247" t="str">
        <x:f>IF($C124="","",IFERROR(INDEX('23 RCC-004 MASR Registry'!$U$14:$U$163,MATCH($C124,'23 RCC-004 MASR Registry'!$B$14:$B$163,0)),""))</x:f>
      </x:c>
      <x:c r="V124" s="1243" t="str">
        <x:f>IF($C124="","",IFERROR(INDEX('23 RCC-004 MASR Registry'!$V$14:$V$163,MATCH($C124,'23 RCC-004 MASR Registry'!$B$14:$B$163,0)),""))</x:f>
      </x:c>
      <x:c r="W124" s="1242"/>
      <x:c r="X124" s="1247" t="str">
        <x:f>IF($C124="","",COUNTIF('18 RCC-002 Evidence Ledger'!$E$14:$E$213,$C124))</x:f>
      </x:c>
      <x:c r="Y124" s="1242"/>
      <x:c r="Z124" s="1244" t="str">
        <x:f>IF($A124="","",IF(COUNTIF($A$14:$A$213,$A124)&gt;1,"FAIL — DUPLICATE ID",IF(OR($B124="",$C124="",$E124="",$H124="",$Y124="",$AA124="",$AB124=""),"FAIL — INCOMPLETE",IF(AND(OR($Y124="MIAR Review",$Y124="Eligibility Review",$Y124="Candidate Comparison",$Y124="Committee Review",$Y124="Approved for MASR",$Y124="Referred to PEW-004",$Y124="On Watch",$Y124="Rejected",$Y124="Closed",$Y124="Removed"),$K124=""),"FAIL — MASR RECORD REQUIRED",IF(AND(OR($Y124="Eligibility Review",$Y124="Candidate Comparison",$Y124="Committee Review",$Y124="Approved for MASR",$Y124="Referred to PEW-004",$Y124="On Watch"),NOT(OR($M124="ELIGIBLE",$M124="ELIGIBLE WITH EXCEPTION",$M124="CERTIFIED HOLDING"))),"FAIL — ELIGIBILITY",IF(AND(OR($Y124="Candidate Comparison",$Y124="Committee Review",$Y124="Approved for MASR",$Y124="Referred to PEW-004",$Y124="On Watch"),$X124=0),"FAIL — EVIDENCE",IF(AND(OR($Y124="Candidate Comparison",$Y124="Committee Review",$Y124="Approved for MASR",$Y124="Referred to PEW-004",$Y124="On Watch"),OR($O124&lt;&gt;"Active",$P124&lt;&gt;"CURRENT")),"FAIL — MIAR GATE",IF(AND(OR($Y124="Approved for MASR",$Y124="Referred to PEW-004",$Y124="On Watch",$Y124="Rejected",$Y124="Closed",$Y124="Removed"),OR($AD124="",$AD124="Pending")),"FAIL — COMMITTEE DISPOSITION",IF(AND($Y124="Referred to PEW-004",OR($AF124&lt;&gt;"Yes — Refer to PEW-004",$AG124="",$AJ124="")),"FAIL — PEW REFERRAL","PASS — STAGE GATE")))))))))</x:f>
      </x:c>
      <x:c r="AA124" s="1242"/>
      <x:c r="AB124" s="1251"/>
      <x:c r="AC124" s="1250" t="str">
        <x:f>IF($B124="","",IF($AQ124&lt;&gt;"",$AQ124-$B124,TODAY()-$B124))</x:f>
      </x:c>
      <x:c r="AD124" s="1242"/>
      <x:c r="AE124" s="1251"/>
      <x:c r="AF124" s="1242"/>
      <x:c r="AG124" s="1242"/>
      <x:c r="AH124" s="1246" t="str">
        <x:f>IF($AG124="","",IFERROR(INDEX('10 Candidate Comparison'!$T$14:$T$33,MATCH($AG124,'10 Candidate Comparison'!$A$14:$A$33,0)),""))</x:f>
      </x:c>
      <x:c r="AI124" s="1243" t="str">
        <x:f>IF($AG124="","",IFERROR(INDEX('10 Candidate Comparison'!$U$14:$U$33,MATCH($AG124,'10 Candidate Comparison'!$A$14:$A$33,0)),""))</x:f>
      </x:c>
      <x:c r="AJ124" s="1243" t="str">
        <x:f>IF($AG124="","",IFERROR(INDEX('10 Candidate Comparison'!$Y$14:$Y$33,MATCH($AG124,'10 Candidate Comparison'!$A$14:$A$33,0)),""))</x:f>
      </x:c>
      <x:c r="AK124" s="1244" t="str">
        <x:f>IF($A124="","",IF($Z124="FAIL — DUPLICATE ID","DUPLICATE CANDIDATE ID",IF($Z124="FAIL — INCOMPLETE","INCOMPLETE",IF($Z124="FAIL — MASR RECORD REQUIRED","MASR RECORD REQUIRED",IF($Z124="FAIL — ELIGIBILITY","ELIGIBILITY BLOCK",IF($Z124="FAIL — EVIDENCE","EVIDENCE REQUIRED",IF($Z124="FAIL — MIAR GATE","MIAR GATE BLOCK",IF($Z124="FAIL — COMMITTEE DISPOSITION","COMMITTEE DECISION REQUIRED",IF($Z124="FAIL — PEW REFERRAL","PEW REFERRAL INCOMPLETE",IF(AND(OR($Y124="Rejected",$Y124="Closed",$Y124="Removed"),OR($AO124="",$AP124="",$AQ124="")),"CLOSURE REQUIRED",IF(AND($AB124&lt;TODAY(),NOT(OR($Y124="Rejected",$Y124="Closed",$Y124="Removed"))),"OVERDUE",IF(OR($Y124="Rejected",$Y124="Closed",$Y124="Removed"),"CLOSED","OPEN — ON TRACK"))))))))))))</x:f>
      </x:c>
      <x:c r="AL124" s="1244" t="str">
        <x:f>IF($AK124="","",IFERROR(INDEX('97 RCC Lists'!$AM$5:$AM$16,MATCH($AK124,'97 RCC Lists'!$AL$5:$AL$16,0)),"Review candidate exception"))</x:f>
      </x:c>
      <x:c r="AM124" s="1242"/>
      <x:c r="AN124" s="1242"/>
      <x:c r="AO124" s="1242"/>
      <x:c r="AP124" s="1242"/>
      <x:c r="AQ124" s="1251"/>
    </x:row>
    <x:row r="125" ht="32" customHeight="1">
      <x:c r="A125" s="1242"/>
      <x:c r="B125" s="1251"/>
      <x:c r="C125" s="1242"/>
      <x:c r="D125" s="1252" t="str">
        <x:f>IF($C125="","",IFERROR(INDEX('23 RCC-004 MASR Registry'!$C$14:$C$163,MATCH($C125,'23 RCC-004 MASR Registry'!$B$14:$B$163,0)),""))</x:f>
      </x:c>
      <x:c r="E125" s="1242"/>
      <x:c r="F125" s="1242"/>
      <x:c r="G125" s="1242"/>
      <x:c r="H125" s="1242"/>
      <x:c r="I125" s="1252" t="str">
        <x:f>IF($C125="","",IFERROR(INDEX('23 RCC-004 MASR Registry'!$G$14:$G$163,MATCH($C125,'23 RCC-004 MASR Registry'!$B$14:$B$163,0)),""))</x:f>
      </x:c>
      <x:c r="J125" s="1252" t="str">
        <x:f>IF($C125="","",IFERROR(INDEX('23 RCC-004 MASR Registry'!$H$14:$H$163,MATCH($C125,'23 RCC-004 MASR Registry'!$B$14:$B$163,0)),""))</x:f>
      </x:c>
      <x:c r="K125" s="1252" t="str">
        <x:f>IF($C125="","",IFERROR(INDEX('23 RCC-004 MASR Registry'!$D$14:$D$163,MATCH($C125,'23 RCC-004 MASR Registry'!$B$14:$B$163,0)),""))</x:f>
      </x:c>
      <x:c r="L125" s="1252" t="str">
        <x:f>IF($C125="","",IFERROR(INDEX('23 RCC-004 MASR Registry'!$E$14:$E$163,MATCH($C125,'23 RCC-004 MASR Registry'!$B$14:$B$163,0)),""))</x:f>
      </x:c>
      <x:c r="M125" s="1252" t="str">
        <x:f>IF($C125="","",IFERROR(INDEX('23 RCC-004 MASR Registry'!$X$14:$X$163,MATCH($C125,'23 RCC-004 MASR Registry'!$B$14:$B$163,0)),""))</x:f>
      </x:c>
      <x:c r="N125" s="1252" t="str">
        <x:f>IF($C125="","",IFERROR(INDEX('23 RCC-004 MASR Registry'!$Y$14:$Y$163,MATCH($C125,'23 RCC-004 MASR Registry'!$B$14:$B$163,0)),""))</x:f>
      </x:c>
      <x:c r="O125" s="1252" t="str">
        <x:f>IF($C125="","",IFERROR(INDEX('23 RCC-004 MASR Registry'!$L$14:$L$163,MATCH($C125,'23 RCC-004 MASR Registry'!$B$14:$B$163,0)),""))</x:f>
      </x:c>
      <x:c r="P125" s="1252" t="str">
        <x:f>IF($C125="","",IFERROR(INDEX('23 RCC-004 MASR Registry'!$M$14:$M$163,MATCH($C125,'23 RCC-004 MASR Registry'!$B$14:$B$163,0)),""))</x:f>
      </x:c>
      <x:c r="Q125" s="1255" t="str">
        <x:f>IF($C125="","",IFERROR(INDEX('23 RCC-004 MASR Registry'!$N$14:$N$163,MATCH($C125,'23 RCC-004 MASR Registry'!$B$14:$B$163,0)),""))</x:f>
      </x:c>
      <x:c r="R125" s="1255" t="str">
        <x:f>IF($C125="","",IFERROR(INDEX('23 RCC-004 MASR Registry'!$O$14:$O$163,MATCH($C125,'23 RCC-004 MASR Registry'!$B$14:$B$163,0)),""))</x:f>
      </x:c>
      <x:c r="S125" s="1255" t="str">
        <x:f>IF($C125="","",IFERROR(INDEX('23 RCC-004 MASR Registry'!$W$14:$W$163,MATCH($C125,'23 RCC-004 MASR Registry'!$B$14:$B$163,0)),""))</x:f>
      </x:c>
      <x:c r="T125" s="1255" t="str">
        <x:f>IF($C125="","",IFERROR(INDEX('23 RCC-004 MASR Registry'!$T$14:$T$163,MATCH($C125,'23 RCC-004 MASR Registry'!$B$14:$B$163,0)),""))</x:f>
      </x:c>
      <x:c r="U125" s="1256" t="str">
        <x:f>IF($C125="","",IFERROR(INDEX('23 RCC-004 MASR Registry'!$U$14:$U$163,MATCH($C125,'23 RCC-004 MASR Registry'!$B$14:$B$163,0)),""))</x:f>
      </x:c>
      <x:c r="V125" s="1252" t="str">
        <x:f>IF($C125="","",IFERROR(INDEX('23 RCC-004 MASR Registry'!$V$14:$V$163,MATCH($C125,'23 RCC-004 MASR Registry'!$B$14:$B$163,0)),""))</x:f>
      </x:c>
      <x:c r="W125" s="1242"/>
      <x:c r="X125" s="1256" t="str">
        <x:f>IF($C125="","",COUNTIF('18 RCC-002 Evidence Ledger'!$E$14:$E$213,$C125))</x:f>
      </x:c>
      <x:c r="Y125" s="1242"/>
      <x:c r="Z125" s="1253" t="str">
        <x:f>IF($A125="","",IF(COUNTIF($A$14:$A$213,$A125)&gt;1,"FAIL — DUPLICATE ID",IF(OR($B125="",$C125="",$E125="",$H125="",$Y125="",$AA125="",$AB125=""),"FAIL — INCOMPLETE",IF(AND(OR($Y125="MIAR Review",$Y125="Eligibility Review",$Y125="Candidate Comparison",$Y125="Committee Review",$Y125="Approved for MASR",$Y125="Referred to PEW-004",$Y125="On Watch",$Y125="Rejected",$Y125="Closed",$Y125="Removed"),$K125=""),"FAIL — MASR RECORD REQUIRED",IF(AND(OR($Y125="Eligibility Review",$Y125="Candidate Comparison",$Y125="Committee Review",$Y125="Approved for MASR",$Y125="Referred to PEW-004",$Y125="On Watch"),NOT(OR($M125="ELIGIBLE",$M125="ELIGIBLE WITH EXCEPTION",$M125="CERTIFIED HOLDING"))),"FAIL — ELIGIBILITY",IF(AND(OR($Y125="Candidate Comparison",$Y125="Committee Review",$Y125="Approved for MASR",$Y125="Referred to PEW-004",$Y125="On Watch"),$X125=0),"FAIL — EVIDENCE",IF(AND(OR($Y125="Candidate Comparison",$Y125="Committee Review",$Y125="Approved for MASR",$Y125="Referred to PEW-004",$Y125="On Watch"),OR($O125&lt;&gt;"Active",$P125&lt;&gt;"CURRENT")),"FAIL — MIAR GATE",IF(AND(OR($Y125="Approved for MASR",$Y125="Referred to PEW-004",$Y125="On Watch",$Y125="Rejected",$Y125="Closed",$Y125="Removed"),OR($AD125="",$AD125="Pending")),"FAIL — COMMITTEE DISPOSITION",IF(AND($Y125="Referred to PEW-004",OR($AF125&lt;&gt;"Yes — Refer to PEW-004",$AG125="",$AJ125="")),"FAIL — PEW REFERRAL","PASS — STAGE GATE")))))))))</x:f>
      </x:c>
      <x:c r="AA125" s="1242"/>
      <x:c r="AB125" s="1251"/>
      <x:c r="AC125" s="1257" t="str">
        <x:f>IF($B125="","",IF($AQ125&lt;&gt;"",$AQ125-$B125,TODAY()-$B125))</x:f>
      </x:c>
      <x:c r="AD125" s="1242"/>
      <x:c r="AE125" s="1251"/>
      <x:c r="AF125" s="1242"/>
      <x:c r="AG125" s="1242"/>
      <x:c r="AH125" s="1255" t="str">
        <x:f>IF($AG125="","",IFERROR(INDEX('10 Candidate Comparison'!$T$14:$T$33,MATCH($AG125,'10 Candidate Comparison'!$A$14:$A$33,0)),""))</x:f>
      </x:c>
      <x:c r="AI125" s="1252" t="str">
        <x:f>IF($AG125="","",IFERROR(INDEX('10 Candidate Comparison'!$U$14:$U$33,MATCH($AG125,'10 Candidate Comparison'!$A$14:$A$33,0)),""))</x:f>
      </x:c>
      <x:c r="AJ125" s="1252" t="str">
        <x:f>IF($AG125="","",IFERROR(INDEX('10 Candidate Comparison'!$Y$14:$Y$33,MATCH($AG125,'10 Candidate Comparison'!$A$14:$A$33,0)),""))</x:f>
      </x:c>
      <x:c r="AK125" s="1253" t="str">
        <x:f>IF($A125="","",IF($Z125="FAIL — DUPLICATE ID","DUPLICATE CANDIDATE ID",IF($Z125="FAIL — INCOMPLETE","INCOMPLETE",IF($Z125="FAIL — MASR RECORD REQUIRED","MASR RECORD REQUIRED",IF($Z125="FAIL — ELIGIBILITY","ELIGIBILITY BLOCK",IF($Z125="FAIL — EVIDENCE","EVIDENCE REQUIRED",IF($Z125="FAIL — MIAR GATE","MIAR GATE BLOCK",IF($Z125="FAIL — COMMITTEE DISPOSITION","COMMITTEE DECISION REQUIRED",IF($Z125="FAIL — PEW REFERRAL","PEW REFERRAL INCOMPLETE",IF(AND(OR($Y125="Rejected",$Y125="Closed",$Y125="Removed"),OR($AO125="",$AP125="",$AQ125="")),"CLOSURE REQUIRED",IF(AND($AB125&lt;TODAY(),NOT(OR($Y125="Rejected",$Y125="Closed",$Y125="Removed"))),"OVERDUE",IF(OR($Y125="Rejected",$Y125="Closed",$Y125="Removed"),"CLOSED","OPEN — ON TRACK"))))))))))))</x:f>
      </x:c>
      <x:c r="AL125" s="1253" t="str">
        <x:f>IF($AK125="","",IFERROR(INDEX('97 RCC Lists'!$AM$5:$AM$16,MATCH($AK125,'97 RCC Lists'!$AL$5:$AL$16,0)),"Review candidate exception"))</x:f>
      </x:c>
      <x:c r="AM125" s="1242"/>
      <x:c r="AN125" s="1242"/>
      <x:c r="AO125" s="1242"/>
      <x:c r="AP125" s="1242"/>
      <x:c r="AQ125" s="1251"/>
    </x:row>
    <x:row r="126" ht="32" customHeight="1">
      <x:c r="A126" s="1242"/>
      <x:c r="B126" s="1251"/>
      <x:c r="C126" s="1242"/>
      <x:c r="D126" s="1243" t="str">
        <x:f>IF($C126="","",IFERROR(INDEX('23 RCC-004 MASR Registry'!$C$14:$C$163,MATCH($C126,'23 RCC-004 MASR Registry'!$B$14:$B$163,0)),""))</x:f>
      </x:c>
      <x:c r="E126" s="1242"/>
      <x:c r="F126" s="1242"/>
      <x:c r="G126" s="1242"/>
      <x:c r="H126" s="1242"/>
      <x:c r="I126" s="1243" t="str">
        <x:f>IF($C126="","",IFERROR(INDEX('23 RCC-004 MASR Registry'!$G$14:$G$163,MATCH($C126,'23 RCC-004 MASR Registry'!$B$14:$B$163,0)),""))</x:f>
      </x:c>
      <x:c r="J126" s="1243" t="str">
        <x:f>IF($C126="","",IFERROR(INDEX('23 RCC-004 MASR Registry'!$H$14:$H$163,MATCH($C126,'23 RCC-004 MASR Registry'!$B$14:$B$163,0)),""))</x:f>
      </x:c>
      <x:c r="K126" s="1243" t="str">
        <x:f>IF($C126="","",IFERROR(INDEX('23 RCC-004 MASR Registry'!$D$14:$D$163,MATCH($C126,'23 RCC-004 MASR Registry'!$B$14:$B$163,0)),""))</x:f>
      </x:c>
      <x:c r="L126" s="1243" t="str">
        <x:f>IF($C126="","",IFERROR(INDEX('23 RCC-004 MASR Registry'!$E$14:$E$163,MATCH($C126,'23 RCC-004 MASR Registry'!$B$14:$B$163,0)),""))</x:f>
      </x:c>
      <x:c r="M126" s="1243" t="str">
        <x:f>IF($C126="","",IFERROR(INDEX('23 RCC-004 MASR Registry'!$X$14:$X$163,MATCH($C126,'23 RCC-004 MASR Registry'!$B$14:$B$163,0)),""))</x:f>
      </x:c>
      <x:c r="N126" s="1243" t="str">
        <x:f>IF($C126="","",IFERROR(INDEX('23 RCC-004 MASR Registry'!$Y$14:$Y$163,MATCH($C126,'23 RCC-004 MASR Registry'!$B$14:$B$163,0)),""))</x:f>
      </x:c>
      <x:c r="O126" s="1243" t="str">
        <x:f>IF($C126="","",IFERROR(INDEX('23 RCC-004 MASR Registry'!$L$14:$L$163,MATCH($C126,'23 RCC-004 MASR Registry'!$B$14:$B$163,0)),""))</x:f>
      </x:c>
      <x:c r="P126" s="1243" t="str">
        <x:f>IF($C126="","",IFERROR(INDEX('23 RCC-004 MASR Registry'!$M$14:$M$163,MATCH($C126,'23 RCC-004 MASR Registry'!$B$14:$B$163,0)),""))</x:f>
      </x:c>
      <x:c r="Q126" s="1246" t="str">
        <x:f>IF($C126="","",IFERROR(INDEX('23 RCC-004 MASR Registry'!$N$14:$N$163,MATCH($C126,'23 RCC-004 MASR Registry'!$B$14:$B$163,0)),""))</x:f>
      </x:c>
      <x:c r="R126" s="1246" t="str">
        <x:f>IF($C126="","",IFERROR(INDEX('23 RCC-004 MASR Registry'!$O$14:$O$163,MATCH($C126,'23 RCC-004 MASR Registry'!$B$14:$B$163,0)),""))</x:f>
      </x:c>
      <x:c r="S126" s="1246" t="str">
        <x:f>IF($C126="","",IFERROR(INDEX('23 RCC-004 MASR Registry'!$W$14:$W$163,MATCH($C126,'23 RCC-004 MASR Registry'!$B$14:$B$163,0)),""))</x:f>
      </x:c>
      <x:c r="T126" s="1246" t="str">
        <x:f>IF($C126="","",IFERROR(INDEX('23 RCC-004 MASR Registry'!$T$14:$T$163,MATCH($C126,'23 RCC-004 MASR Registry'!$B$14:$B$163,0)),""))</x:f>
      </x:c>
      <x:c r="U126" s="1247" t="str">
        <x:f>IF($C126="","",IFERROR(INDEX('23 RCC-004 MASR Registry'!$U$14:$U$163,MATCH($C126,'23 RCC-004 MASR Registry'!$B$14:$B$163,0)),""))</x:f>
      </x:c>
      <x:c r="V126" s="1243" t="str">
        <x:f>IF($C126="","",IFERROR(INDEX('23 RCC-004 MASR Registry'!$V$14:$V$163,MATCH($C126,'23 RCC-004 MASR Registry'!$B$14:$B$163,0)),""))</x:f>
      </x:c>
      <x:c r="W126" s="1242"/>
      <x:c r="X126" s="1247" t="str">
        <x:f>IF($C126="","",COUNTIF('18 RCC-002 Evidence Ledger'!$E$14:$E$213,$C126))</x:f>
      </x:c>
      <x:c r="Y126" s="1242"/>
      <x:c r="Z126" s="1244" t="str">
        <x:f>IF($A126="","",IF(COUNTIF($A$14:$A$213,$A126)&gt;1,"FAIL — DUPLICATE ID",IF(OR($B126="",$C126="",$E126="",$H126="",$Y126="",$AA126="",$AB126=""),"FAIL — INCOMPLETE",IF(AND(OR($Y126="MIAR Review",$Y126="Eligibility Review",$Y126="Candidate Comparison",$Y126="Committee Review",$Y126="Approved for MASR",$Y126="Referred to PEW-004",$Y126="On Watch",$Y126="Rejected",$Y126="Closed",$Y126="Removed"),$K126=""),"FAIL — MASR RECORD REQUIRED",IF(AND(OR($Y126="Eligibility Review",$Y126="Candidate Comparison",$Y126="Committee Review",$Y126="Approved for MASR",$Y126="Referred to PEW-004",$Y126="On Watch"),NOT(OR($M126="ELIGIBLE",$M126="ELIGIBLE WITH EXCEPTION",$M126="CERTIFIED HOLDING"))),"FAIL — ELIGIBILITY",IF(AND(OR($Y126="Candidate Comparison",$Y126="Committee Review",$Y126="Approved for MASR",$Y126="Referred to PEW-004",$Y126="On Watch"),$X126=0),"FAIL — EVIDENCE",IF(AND(OR($Y126="Candidate Comparison",$Y126="Committee Review",$Y126="Approved for MASR",$Y126="Referred to PEW-004",$Y126="On Watch"),OR($O126&lt;&gt;"Active",$P126&lt;&gt;"CURRENT")),"FAIL — MIAR GATE",IF(AND(OR($Y126="Approved for MASR",$Y126="Referred to PEW-004",$Y126="On Watch",$Y126="Rejected",$Y126="Closed",$Y126="Removed"),OR($AD126="",$AD126="Pending")),"FAIL — COMMITTEE DISPOSITION",IF(AND($Y126="Referred to PEW-004",OR($AF126&lt;&gt;"Yes — Refer to PEW-004",$AG126="",$AJ126="")),"FAIL — PEW REFERRAL","PASS — STAGE GATE")))))))))</x:f>
      </x:c>
      <x:c r="AA126" s="1242"/>
      <x:c r="AB126" s="1251"/>
      <x:c r="AC126" s="1250" t="str">
        <x:f>IF($B126="","",IF($AQ126&lt;&gt;"",$AQ126-$B126,TODAY()-$B126))</x:f>
      </x:c>
      <x:c r="AD126" s="1242"/>
      <x:c r="AE126" s="1251"/>
      <x:c r="AF126" s="1242"/>
      <x:c r="AG126" s="1242"/>
      <x:c r="AH126" s="1246" t="str">
        <x:f>IF($AG126="","",IFERROR(INDEX('10 Candidate Comparison'!$T$14:$T$33,MATCH($AG126,'10 Candidate Comparison'!$A$14:$A$33,0)),""))</x:f>
      </x:c>
      <x:c r="AI126" s="1243" t="str">
        <x:f>IF($AG126="","",IFERROR(INDEX('10 Candidate Comparison'!$U$14:$U$33,MATCH($AG126,'10 Candidate Comparison'!$A$14:$A$33,0)),""))</x:f>
      </x:c>
      <x:c r="AJ126" s="1243" t="str">
        <x:f>IF($AG126="","",IFERROR(INDEX('10 Candidate Comparison'!$Y$14:$Y$33,MATCH($AG126,'10 Candidate Comparison'!$A$14:$A$33,0)),""))</x:f>
      </x:c>
      <x:c r="AK126" s="1244" t="str">
        <x:f>IF($A126="","",IF($Z126="FAIL — DUPLICATE ID","DUPLICATE CANDIDATE ID",IF($Z126="FAIL — INCOMPLETE","INCOMPLETE",IF($Z126="FAIL — MASR RECORD REQUIRED","MASR RECORD REQUIRED",IF($Z126="FAIL — ELIGIBILITY","ELIGIBILITY BLOCK",IF($Z126="FAIL — EVIDENCE","EVIDENCE REQUIRED",IF($Z126="FAIL — MIAR GATE","MIAR GATE BLOCK",IF($Z126="FAIL — COMMITTEE DISPOSITION","COMMITTEE DECISION REQUIRED",IF($Z126="FAIL — PEW REFERRAL","PEW REFERRAL INCOMPLETE",IF(AND(OR($Y126="Rejected",$Y126="Closed",$Y126="Removed"),OR($AO126="",$AP126="",$AQ126="")),"CLOSURE REQUIRED",IF(AND($AB126&lt;TODAY(),NOT(OR($Y126="Rejected",$Y126="Closed",$Y126="Removed"))),"OVERDUE",IF(OR($Y126="Rejected",$Y126="Closed",$Y126="Removed"),"CLOSED","OPEN — ON TRACK"))))))))))))</x:f>
      </x:c>
      <x:c r="AL126" s="1244" t="str">
        <x:f>IF($AK126="","",IFERROR(INDEX('97 RCC Lists'!$AM$5:$AM$16,MATCH($AK126,'97 RCC Lists'!$AL$5:$AL$16,0)),"Review candidate exception"))</x:f>
      </x:c>
      <x:c r="AM126" s="1242"/>
      <x:c r="AN126" s="1242"/>
      <x:c r="AO126" s="1242"/>
      <x:c r="AP126" s="1242"/>
      <x:c r="AQ126" s="1251"/>
    </x:row>
    <x:row r="127" ht="32" customHeight="1">
      <x:c r="A127" s="1242"/>
      <x:c r="B127" s="1251"/>
      <x:c r="C127" s="1242"/>
      <x:c r="D127" s="1252" t="str">
        <x:f>IF($C127="","",IFERROR(INDEX('23 RCC-004 MASR Registry'!$C$14:$C$163,MATCH($C127,'23 RCC-004 MASR Registry'!$B$14:$B$163,0)),""))</x:f>
      </x:c>
      <x:c r="E127" s="1242"/>
      <x:c r="F127" s="1242"/>
      <x:c r="G127" s="1242"/>
      <x:c r="H127" s="1242"/>
      <x:c r="I127" s="1252" t="str">
        <x:f>IF($C127="","",IFERROR(INDEX('23 RCC-004 MASR Registry'!$G$14:$G$163,MATCH($C127,'23 RCC-004 MASR Registry'!$B$14:$B$163,0)),""))</x:f>
      </x:c>
      <x:c r="J127" s="1252" t="str">
        <x:f>IF($C127="","",IFERROR(INDEX('23 RCC-004 MASR Registry'!$H$14:$H$163,MATCH($C127,'23 RCC-004 MASR Registry'!$B$14:$B$163,0)),""))</x:f>
      </x:c>
      <x:c r="K127" s="1252" t="str">
        <x:f>IF($C127="","",IFERROR(INDEX('23 RCC-004 MASR Registry'!$D$14:$D$163,MATCH($C127,'23 RCC-004 MASR Registry'!$B$14:$B$163,0)),""))</x:f>
      </x:c>
      <x:c r="L127" s="1252" t="str">
        <x:f>IF($C127="","",IFERROR(INDEX('23 RCC-004 MASR Registry'!$E$14:$E$163,MATCH($C127,'23 RCC-004 MASR Registry'!$B$14:$B$163,0)),""))</x:f>
      </x:c>
      <x:c r="M127" s="1252" t="str">
        <x:f>IF($C127="","",IFERROR(INDEX('23 RCC-004 MASR Registry'!$X$14:$X$163,MATCH($C127,'23 RCC-004 MASR Registry'!$B$14:$B$163,0)),""))</x:f>
      </x:c>
      <x:c r="N127" s="1252" t="str">
        <x:f>IF($C127="","",IFERROR(INDEX('23 RCC-004 MASR Registry'!$Y$14:$Y$163,MATCH($C127,'23 RCC-004 MASR Registry'!$B$14:$B$163,0)),""))</x:f>
      </x:c>
      <x:c r="O127" s="1252" t="str">
        <x:f>IF($C127="","",IFERROR(INDEX('23 RCC-004 MASR Registry'!$L$14:$L$163,MATCH($C127,'23 RCC-004 MASR Registry'!$B$14:$B$163,0)),""))</x:f>
      </x:c>
      <x:c r="P127" s="1252" t="str">
        <x:f>IF($C127="","",IFERROR(INDEX('23 RCC-004 MASR Registry'!$M$14:$M$163,MATCH($C127,'23 RCC-004 MASR Registry'!$B$14:$B$163,0)),""))</x:f>
      </x:c>
      <x:c r="Q127" s="1255" t="str">
        <x:f>IF($C127="","",IFERROR(INDEX('23 RCC-004 MASR Registry'!$N$14:$N$163,MATCH($C127,'23 RCC-004 MASR Registry'!$B$14:$B$163,0)),""))</x:f>
      </x:c>
      <x:c r="R127" s="1255" t="str">
        <x:f>IF($C127="","",IFERROR(INDEX('23 RCC-004 MASR Registry'!$O$14:$O$163,MATCH($C127,'23 RCC-004 MASR Registry'!$B$14:$B$163,0)),""))</x:f>
      </x:c>
      <x:c r="S127" s="1255" t="str">
        <x:f>IF($C127="","",IFERROR(INDEX('23 RCC-004 MASR Registry'!$W$14:$W$163,MATCH($C127,'23 RCC-004 MASR Registry'!$B$14:$B$163,0)),""))</x:f>
      </x:c>
      <x:c r="T127" s="1255" t="str">
        <x:f>IF($C127="","",IFERROR(INDEX('23 RCC-004 MASR Registry'!$T$14:$T$163,MATCH($C127,'23 RCC-004 MASR Registry'!$B$14:$B$163,0)),""))</x:f>
      </x:c>
      <x:c r="U127" s="1256" t="str">
        <x:f>IF($C127="","",IFERROR(INDEX('23 RCC-004 MASR Registry'!$U$14:$U$163,MATCH($C127,'23 RCC-004 MASR Registry'!$B$14:$B$163,0)),""))</x:f>
      </x:c>
      <x:c r="V127" s="1252" t="str">
        <x:f>IF($C127="","",IFERROR(INDEX('23 RCC-004 MASR Registry'!$V$14:$V$163,MATCH($C127,'23 RCC-004 MASR Registry'!$B$14:$B$163,0)),""))</x:f>
      </x:c>
      <x:c r="W127" s="1242"/>
      <x:c r="X127" s="1256" t="str">
        <x:f>IF($C127="","",COUNTIF('18 RCC-002 Evidence Ledger'!$E$14:$E$213,$C127))</x:f>
      </x:c>
      <x:c r="Y127" s="1242"/>
      <x:c r="Z127" s="1253" t="str">
        <x:f>IF($A127="","",IF(COUNTIF($A$14:$A$213,$A127)&gt;1,"FAIL — DUPLICATE ID",IF(OR($B127="",$C127="",$E127="",$H127="",$Y127="",$AA127="",$AB127=""),"FAIL — INCOMPLETE",IF(AND(OR($Y127="MIAR Review",$Y127="Eligibility Review",$Y127="Candidate Comparison",$Y127="Committee Review",$Y127="Approved for MASR",$Y127="Referred to PEW-004",$Y127="On Watch",$Y127="Rejected",$Y127="Closed",$Y127="Removed"),$K127=""),"FAIL — MASR RECORD REQUIRED",IF(AND(OR($Y127="Eligibility Review",$Y127="Candidate Comparison",$Y127="Committee Review",$Y127="Approved for MASR",$Y127="Referred to PEW-004",$Y127="On Watch"),NOT(OR($M127="ELIGIBLE",$M127="ELIGIBLE WITH EXCEPTION",$M127="CERTIFIED HOLDING"))),"FAIL — ELIGIBILITY",IF(AND(OR($Y127="Candidate Comparison",$Y127="Committee Review",$Y127="Approved for MASR",$Y127="Referred to PEW-004",$Y127="On Watch"),$X127=0),"FAIL — EVIDENCE",IF(AND(OR($Y127="Candidate Comparison",$Y127="Committee Review",$Y127="Approved for MASR",$Y127="Referred to PEW-004",$Y127="On Watch"),OR($O127&lt;&gt;"Active",$P127&lt;&gt;"CURRENT")),"FAIL — MIAR GATE",IF(AND(OR($Y127="Approved for MASR",$Y127="Referred to PEW-004",$Y127="On Watch",$Y127="Rejected",$Y127="Closed",$Y127="Removed"),OR($AD127="",$AD127="Pending")),"FAIL — COMMITTEE DISPOSITION",IF(AND($Y127="Referred to PEW-004",OR($AF127&lt;&gt;"Yes — Refer to PEW-004",$AG127="",$AJ127="")),"FAIL — PEW REFERRAL","PASS — STAGE GATE")))))))))</x:f>
      </x:c>
      <x:c r="AA127" s="1242"/>
      <x:c r="AB127" s="1251"/>
      <x:c r="AC127" s="1257" t="str">
        <x:f>IF($B127="","",IF($AQ127&lt;&gt;"",$AQ127-$B127,TODAY()-$B127))</x:f>
      </x:c>
      <x:c r="AD127" s="1242"/>
      <x:c r="AE127" s="1251"/>
      <x:c r="AF127" s="1242"/>
      <x:c r="AG127" s="1242"/>
      <x:c r="AH127" s="1255" t="str">
        <x:f>IF($AG127="","",IFERROR(INDEX('10 Candidate Comparison'!$T$14:$T$33,MATCH($AG127,'10 Candidate Comparison'!$A$14:$A$33,0)),""))</x:f>
      </x:c>
      <x:c r="AI127" s="1252" t="str">
        <x:f>IF($AG127="","",IFERROR(INDEX('10 Candidate Comparison'!$U$14:$U$33,MATCH($AG127,'10 Candidate Comparison'!$A$14:$A$33,0)),""))</x:f>
      </x:c>
      <x:c r="AJ127" s="1252" t="str">
        <x:f>IF($AG127="","",IFERROR(INDEX('10 Candidate Comparison'!$Y$14:$Y$33,MATCH($AG127,'10 Candidate Comparison'!$A$14:$A$33,0)),""))</x:f>
      </x:c>
      <x:c r="AK127" s="1253" t="str">
        <x:f>IF($A127="","",IF($Z127="FAIL — DUPLICATE ID","DUPLICATE CANDIDATE ID",IF($Z127="FAIL — INCOMPLETE","INCOMPLETE",IF($Z127="FAIL — MASR RECORD REQUIRED","MASR RECORD REQUIRED",IF($Z127="FAIL — ELIGIBILITY","ELIGIBILITY BLOCK",IF($Z127="FAIL — EVIDENCE","EVIDENCE REQUIRED",IF($Z127="FAIL — MIAR GATE","MIAR GATE BLOCK",IF($Z127="FAIL — COMMITTEE DISPOSITION","COMMITTEE DECISION REQUIRED",IF($Z127="FAIL — PEW REFERRAL","PEW REFERRAL INCOMPLETE",IF(AND(OR($Y127="Rejected",$Y127="Closed",$Y127="Removed"),OR($AO127="",$AP127="",$AQ127="")),"CLOSURE REQUIRED",IF(AND($AB127&lt;TODAY(),NOT(OR($Y127="Rejected",$Y127="Closed",$Y127="Removed"))),"OVERDUE",IF(OR($Y127="Rejected",$Y127="Closed",$Y127="Removed"),"CLOSED","OPEN — ON TRACK"))))))))))))</x:f>
      </x:c>
      <x:c r="AL127" s="1253" t="str">
        <x:f>IF($AK127="","",IFERROR(INDEX('97 RCC Lists'!$AM$5:$AM$16,MATCH($AK127,'97 RCC Lists'!$AL$5:$AL$16,0)),"Review candidate exception"))</x:f>
      </x:c>
      <x:c r="AM127" s="1242"/>
      <x:c r="AN127" s="1242"/>
      <x:c r="AO127" s="1242"/>
      <x:c r="AP127" s="1242"/>
      <x:c r="AQ127" s="1251"/>
    </x:row>
    <x:row r="128" ht="32" customHeight="1">
      <x:c r="A128" s="1242"/>
      <x:c r="B128" s="1251"/>
      <x:c r="C128" s="1242"/>
      <x:c r="D128" s="1243" t="str">
        <x:f>IF($C128="","",IFERROR(INDEX('23 RCC-004 MASR Registry'!$C$14:$C$163,MATCH($C128,'23 RCC-004 MASR Registry'!$B$14:$B$163,0)),""))</x:f>
      </x:c>
      <x:c r="E128" s="1242"/>
      <x:c r="F128" s="1242"/>
      <x:c r="G128" s="1242"/>
      <x:c r="H128" s="1242"/>
      <x:c r="I128" s="1243" t="str">
        <x:f>IF($C128="","",IFERROR(INDEX('23 RCC-004 MASR Registry'!$G$14:$G$163,MATCH($C128,'23 RCC-004 MASR Registry'!$B$14:$B$163,0)),""))</x:f>
      </x:c>
      <x:c r="J128" s="1243" t="str">
        <x:f>IF($C128="","",IFERROR(INDEX('23 RCC-004 MASR Registry'!$H$14:$H$163,MATCH($C128,'23 RCC-004 MASR Registry'!$B$14:$B$163,0)),""))</x:f>
      </x:c>
      <x:c r="K128" s="1243" t="str">
        <x:f>IF($C128="","",IFERROR(INDEX('23 RCC-004 MASR Registry'!$D$14:$D$163,MATCH($C128,'23 RCC-004 MASR Registry'!$B$14:$B$163,0)),""))</x:f>
      </x:c>
      <x:c r="L128" s="1243" t="str">
        <x:f>IF($C128="","",IFERROR(INDEX('23 RCC-004 MASR Registry'!$E$14:$E$163,MATCH($C128,'23 RCC-004 MASR Registry'!$B$14:$B$163,0)),""))</x:f>
      </x:c>
      <x:c r="M128" s="1243" t="str">
        <x:f>IF($C128="","",IFERROR(INDEX('23 RCC-004 MASR Registry'!$X$14:$X$163,MATCH($C128,'23 RCC-004 MASR Registry'!$B$14:$B$163,0)),""))</x:f>
      </x:c>
      <x:c r="N128" s="1243" t="str">
        <x:f>IF($C128="","",IFERROR(INDEX('23 RCC-004 MASR Registry'!$Y$14:$Y$163,MATCH($C128,'23 RCC-004 MASR Registry'!$B$14:$B$163,0)),""))</x:f>
      </x:c>
      <x:c r="O128" s="1243" t="str">
        <x:f>IF($C128="","",IFERROR(INDEX('23 RCC-004 MASR Registry'!$L$14:$L$163,MATCH($C128,'23 RCC-004 MASR Registry'!$B$14:$B$163,0)),""))</x:f>
      </x:c>
      <x:c r="P128" s="1243" t="str">
        <x:f>IF($C128="","",IFERROR(INDEX('23 RCC-004 MASR Registry'!$M$14:$M$163,MATCH($C128,'23 RCC-004 MASR Registry'!$B$14:$B$163,0)),""))</x:f>
      </x:c>
      <x:c r="Q128" s="1246" t="str">
        <x:f>IF($C128="","",IFERROR(INDEX('23 RCC-004 MASR Registry'!$N$14:$N$163,MATCH($C128,'23 RCC-004 MASR Registry'!$B$14:$B$163,0)),""))</x:f>
      </x:c>
      <x:c r="R128" s="1246" t="str">
        <x:f>IF($C128="","",IFERROR(INDEX('23 RCC-004 MASR Registry'!$O$14:$O$163,MATCH($C128,'23 RCC-004 MASR Registry'!$B$14:$B$163,0)),""))</x:f>
      </x:c>
      <x:c r="S128" s="1246" t="str">
        <x:f>IF($C128="","",IFERROR(INDEX('23 RCC-004 MASR Registry'!$W$14:$W$163,MATCH($C128,'23 RCC-004 MASR Registry'!$B$14:$B$163,0)),""))</x:f>
      </x:c>
      <x:c r="T128" s="1246" t="str">
        <x:f>IF($C128="","",IFERROR(INDEX('23 RCC-004 MASR Registry'!$T$14:$T$163,MATCH($C128,'23 RCC-004 MASR Registry'!$B$14:$B$163,0)),""))</x:f>
      </x:c>
      <x:c r="U128" s="1247" t="str">
        <x:f>IF($C128="","",IFERROR(INDEX('23 RCC-004 MASR Registry'!$U$14:$U$163,MATCH($C128,'23 RCC-004 MASR Registry'!$B$14:$B$163,0)),""))</x:f>
      </x:c>
      <x:c r="V128" s="1243" t="str">
        <x:f>IF($C128="","",IFERROR(INDEX('23 RCC-004 MASR Registry'!$V$14:$V$163,MATCH($C128,'23 RCC-004 MASR Registry'!$B$14:$B$163,0)),""))</x:f>
      </x:c>
      <x:c r="W128" s="1242"/>
      <x:c r="X128" s="1247" t="str">
        <x:f>IF($C128="","",COUNTIF('18 RCC-002 Evidence Ledger'!$E$14:$E$213,$C128))</x:f>
      </x:c>
      <x:c r="Y128" s="1242"/>
      <x:c r="Z128" s="1244" t="str">
        <x:f>IF($A128="","",IF(COUNTIF($A$14:$A$213,$A128)&gt;1,"FAIL — DUPLICATE ID",IF(OR($B128="",$C128="",$E128="",$H128="",$Y128="",$AA128="",$AB128=""),"FAIL — INCOMPLETE",IF(AND(OR($Y128="MIAR Review",$Y128="Eligibility Review",$Y128="Candidate Comparison",$Y128="Committee Review",$Y128="Approved for MASR",$Y128="Referred to PEW-004",$Y128="On Watch",$Y128="Rejected",$Y128="Closed",$Y128="Removed"),$K128=""),"FAIL — MASR RECORD REQUIRED",IF(AND(OR($Y128="Eligibility Review",$Y128="Candidate Comparison",$Y128="Committee Review",$Y128="Approved for MASR",$Y128="Referred to PEW-004",$Y128="On Watch"),NOT(OR($M128="ELIGIBLE",$M128="ELIGIBLE WITH EXCEPTION",$M128="CERTIFIED HOLDING"))),"FAIL — ELIGIBILITY",IF(AND(OR($Y128="Candidate Comparison",$Y128="Committee Review",$Y128="Approved for MASR",$Y128="Referred to PEW-004",$Y128="On Watch"),$X128=0),"FAIL — EVIDENCE",IF(AND(OR($Y128="Candidate Comparison",$Y128="Committee Review",$Y128="Approved for MASR",$Y128="Referred to PEW-004",$Y128="On Watch"),OR($O128&lt;&gt;"Active",$P128&lt;&gt;"CURRENT")),"FAIL — MIAR GATE",IF(AND(OR($Y128="Approved for MASR",$Y128="Referred to PEW-004",$Y128="On Watch",$Y128="Rejected",$Y128="Closed",$Y128="Removed"),OR($AD128="",$AD128="Pending")),"FAIL — COMMITTEE DISPOSITION",IF(AND($Y128="Referred to PEW-004",OR($AF128&lt;&gt;"Yes — Refer to PEW-004",$AG128="",$AJ128="")),"FAIL — PEW REFERRAL","PASS — STAGE GATE")))))))))</x:f>
      </x:c>
      <x:c r="AA128" s="1242"/>
      <x:c r="AB128" s="1251"/>
      <x:c r="AC128" s="1250" t="str">
        <x:f>IF($B128="","",IF($AQ128&lt;&gt;"",$AQ128-$B128,TODAY()-$B128))</x:f>
      </x:c>
      <x:c r="AD128" s="1242"/>
      <x:c r="AE128" s="1251"/>
      <x:c r="AF128" s="1242"/>
      <x:c r="AG128" s="1242"/>
      <x:c r="AH128" s="1246" t="str">
        <x:f>IF($AG128="","",IFERROR(INDEX('10 Candidate Comparison'!$T$14:$T$33,MATCH($AG128,'10 Candidate Comparison'!$A$14:$A$33,0)),""))</x:f>
      </x:c>
      <x:c r="AI128" s="1243" t="str">
        <x:f>IF($AG128="","",IFERROR(INDEX('10 Candidate Comparison'!$U$14:$U$33,MATCH($AG128,'10 Candidate Comparison'!$A$14:$A$33,0)),""))</x:f>
      </x:c>
      <x:c r="AJ128" s="1243" t="str">
        <x:f>IF($AG128="","",IFERROR(INDEX('10 Candidate Comparison'!$Y$14:$Y$33,MATCH($AG128,'10 Candidate Comparison'!$A$14:$A$33,0)),""))</x:f>
      </x:c>
      <x:c r="AK128" s="1244" t="str">
        <x:f>IF($A128="","",IF($Z128="FAIL — DUPLICATE ID","DUPLICATE CANDIDATE ID",IF($Z128="FAIL — INCOMPLETE","INCOMPLETE",IF($Z128="FAIL — MASR RECORD REQUIRED","MASR RECORD REQUIRED",IF($Z128="FAIL — ELIGIBILITY","ELIGIBILITY BLOCK",IF($Z128="FAIL — EVIDENCE","EVIDENCE REQUIRED",IF($Z128="FAIL — MIAR GATE","MIAR GATE BLOCK",IF($Z128="FAIL — COMMITTEE DISPOSITION","COMMITTEE DECISION REQUIRED",IF($Z128="FAIL — PEW REFERRAL","PEW REFERRAL INCOMPLETE",IF(AND(OR($Y128="Rejected",$Y128="Closed",$Y128="Removed"),OR($AO128="",$AP128="",$AQ128="")),"CLOSURE REQUIRED",IF(AND($AB128&lt;TODAY(),NOT(OR($Y128="Rejected",$Y128="Closed",$Y128="Removed"))),"OVERDUE",IF(OR($Y128="Rejected",$Y128="Closed",$Y128="Removed"),"CLOSED","OPEN — ON TRACK"))))))))))))</x:f>
      </x:c>
      <x:c r="AL128" s="1244" t="str">
        <x:f>IF($AK128="","",IFERROR(INDEX('97 RCC Lists'!$AM$5:$AM$16,MATCH($AK128,'97 RCC Lists'!$AL$5:$AL$16,0)),"Review candidate exception"))</x:f>
      </x:c>
      <x:c r="AM128" s="1242"/>
      <x:c r="AN128" s="1242"/>
      <x:c r="AO128" s="1242"/>
      <x:c r="AP128" s="1242"/>
      <x:c r="AQ128" s="1251"/>
    </x:row>
    <x:row r="129" ht="32" customHeight="1">
      <x:c r="A129" s="1242"/>
      <x:c r="B129" s="1251"/>
      <x:c r="C129" s="1242"/>
      <x:c r="D129" s="1252" t="str">
        <x:f>IF($C129="","",IFERROR(INDEX('23 RCC-004 MASR Registry'!$C$14:$C$163,MATCH($C129,'23 RCC-004 MASR Registry'!$B$14:$B$163,0)),""))</x:f>
      </x:c>
      <x:c r="E129" s="1242"/>
      <x:c r="F129" s="1242"/>
      <x:c r="G129" s="1242"/>
      <x:c r="H129" s="1242"/>
      <x:c r="I129" s="1252" t="str">
        <x:f>IF($C129="","",IFERROR(INDEX('23 RCC-004 MASR Registry'!$G$14:$G$163,MATCH($C129,'23 RCC-004 MASR Registry'!$B$14:$B$163,0)),""))</x:f>
      </x:c>
      <x:c r="J129" s="1252" t="str">
        <x:f>IF($C129="","",IFERROR(INDEX('23 RCC-004 MASR Registry'!$H$14:$H$163,MATCH($C129,'23 RCC-004 MASR Registry'!$B$14:$B$163,0)),""))</x:f>
      </x:c>
      <x:c r="K129" s="1252" t="str">
        <x:f>IF($C129="","",IFERROR(INDEX('23 RCC-004 MASR Registry'!$D$14:$D$163,MATCH($C129,'23 RCC-004 MASR Registry'!$B$14:$B$163,0)),""))</x:f>
      </x:c>
      <x:c r="L129" s="1252" t="str">
        <x:f>IF($C129="","",IFERROR(INDEX('23 RCC-004 MASR Registry'!$E$14:$E$163,MATCH($C129,'23 RCC-004 MASR Registry'!$B$14:$B$163,0)),""))</x:f>
      </x:c>
      <x:c r="M129" s="1252" t="str">
        <x:f>IF($C129="","",IFERROR(INDEX('23 RCC-004 MASR Registry'!$X$14:$X$163,MATCH($C129,'23 RCC-004 MASR Registry'!$B$14:$B$163,0)),""))</x:f>
      </x:c>
      <x:c r="N129" s="1252" t="str">
        <x:f>IF($C129="","",IFERROR(INDEX('23 RCC-004 MASR Registry'!$Y$14:$Y$163,MATCH($C129,'23 RCC-004 MASR Registry'!$B$14:$B$163,0)),""))</x:f>
      </x:c>
      <x:c r="O129" s="1252" t="str">
        <x:f>IF($C129="","",IFERROR(INDEX('23 RCC-004 MASR Registry'!$L$14:$L$163,MATCH($C129,'23 RCC-004 MASR Registry'!$B$14:$B$163,0)),""))</x:f>
      </x:c>
      <x:c r="P129" s="1252" t="str">
        <x:f>IF($C129="","",IFERROR(INDEX('23 RCC-004 MASR Registry'!$M$14:$M$163,MATCH($C129,'23 RCC-004 MASR Registry'!$B$14:$B$163,0)),""))</x:f>
      </x:c>
      <x:c r="Q129" s="1255" t="str">
        <x:f>IF($C129="","",IFERROR(INDEX('23 RCC-004 MASR Registry'!$N$14:$N$163,MATCH($C129,'23 RCC-004 MASR Registry'!$B$14:$B$163,0)),""))</x:f>
      </x:c>
      <x:c r="R129" s="1255" t="str">
        <x:f>IF($C129="","",IFERROR(INDEX('23 RCC-004 MASR Registry'!$O$14:$O$163,MATCH($C129,'23 RCC-004 MASR Registry'!$B$14:$B$163,0)),""))</x:f>
      </x:c>
      <x:c r="S129" s="1255" t="str">
        <x:f>IF($C129="","",IFERROR(INDEX('23 RCC-004 MASR Registry'!$W$14:$W$163,MATCH($C129,'23 RCC-004 MASR Registry'!$B$14:$B$163,0)),""))</x:f>
      </x:c>
      <x:c r="T129" s="1255" t="str">
        <x:f>IF($C129="","",IFERROR(INDEX('23 RCC-004 MASR Registry'!$T$14:$T$163,MATCH($C129,'23 RCC-004 MASR Registry'!$B$14:$B$163,0)),""))</x:f>
      </x:c>
      <x:c r="U129" s="1256" t="str">
        <x:f>IF($C129="","",IFERROR(INDEX('23 RCC-004 MASR Registry'!$U$14:$U$163,MATCH($C129,'23 RCC-004 MASR Registry'!$B$14:$B$163,0)),""))</x:f>
      </x:c>
      <x:c r="V129" s="1252" t="str">
        <x:f>IF($C129="","",IFERROR(INDEX('23 RCC-004 MASR Registry'!$V$14:$V$163,MATCH($C129,'23 RCC-004 MASR Registry'!$B$14:$B$163,0)),""))</x:f>
      </x:c>
      <x:c r="W129" s="1242"/>
      <x:c r="X129" s="1256" t="str">
        <x:f>IF($C129="","",COUNTIF('18 RCC-002 Evidence Ledger'!$E$14:$E$213,$C129))</x:f>
      </x:c>
      <x:c r="Y129" s="1242"/>
      <x:c r="Z129" s="1253" t="str">
        <x:f>IF($A129="","",IF(COUNTIF($A$14:$A$213,$A129)&gt;1,"FAIL — DUPLICATE ID",IF(OR($B129="",$C129="",$E129="",$H129="",$Y129="",$AA129="",$AB129=""),"FAIL — INCOMPLETE",IF(AND(OR($Y129="MIAR Review",$Y129="Eligibility Review",$Y129="Candidate Comparison",$Y129="Committee Review",$Y129="Approved for MASR",$Y129="Referred to PEW-004",$Y129="On Watch",$Y129="Rejected",$Y129="Closed",$Y129="Removed"),$K129=""),"FAIL — MASR RECORD REQUIRED",IF(AND(OR($Y129="Eligibility Review",$Y129="Candidate Comparison",$Y129="Committee Review",$Y129="Approved for MASR",$Y129="Referred to PEW-004",$Y129="On Watch"),NOT(OR($M129="ELIGIBLE",$M129="ELIGIBLE WITH EXCEPTION",$M129="CERTIFIED HOLDING"))),"FAIL — ELIGIBILITY",IF(AND(OR($Y129="Candidate Comparison",$Y129="Committee Review",$Y129="Approved for MASR",$Y129="Referred to PEW-004",$Y129="On Watch"),$X129=0),"FAIL — EVIDENCE",IF(AND(OR($Y129="Candidate Comparison",$Y129="Committee Review",$Y129="Approved for MASR",$Y129="Referred to PEW-004",$Y129="On Watch"),OR($O129&lt;&gt;"Active",$P129&lt;&gt;"CURRENT")),"FAIL — MIAR GATE",IF(AND(OR($Y129="Approved for MASR",$Y129="Referred to PEW-004",$Y129="On Watch",$Y129="Rejected",$Y129="Closed",$Y129="Removed"),OR($AD129="",$AD129="Pending")),"FAIL — COMMITTEE DISPOSITION",IF(AND($Y129="Referred to PEW-004",OR($AF129&lt;&gt;"Yes — Refer to PEW-004",$AG129="",$AJ129="")),"FAIL — PEW REFERRAL","PASS — STAGE GATE")))))))))</x:f>
      </x:c>
      <x:c r="AA129" s="1242"/>
      <x:c r="AB129" s="1251"/>
      <x:c r="AC129" s="1257" t="str">
        <x:f>IF($B129="","",IF($AQ129&lt;&gt;"",$AQ129-$B129,TODAY()-$B129))</x:f>
      </x:c>
      <x:c r="AD129" s="1242"/>
      <x:c r="AE129" s="1251"/>
      <x:c r="AF129" s="1242"/>
      <x:c r="AG129" s="1242"/>
      <x:c r="AH129" s="1255" t="str">
        <x:f>IF($AG129="","",IFERROR(INDEX('10 Candidate Comparison'!$T$14:$T$33,MATCH($AG129,'10 Candidate Comparison'!$A$14:$A$33,0)),""))</x:f>
      </x:c>
      <x:c r="AI129" s="1252" t="str">
        <x:f>IF($AG129="","",IFERROR(INDEX('10 Candidate Comparison'!$U$14:$U$33,MATCH($AG129,'10 Candidate Comparison'!$A$14:$A$33,0)),""))</x:f>
      </x:c>
      <x:c r="AJ129" s="1252" t="str">
        <x:f>IF($AG129="","",IFERROR(INDEX('10 Candidate Comparison'!$Y$14:$Y$33,MATCH($AG129,'10 Candidate Comparison'!$A$14:$A$33,0)),""))</x:f>
      </x:c>
      <x:c r="AK129" s="1253" t="str">
        <x:f>IF($A129="","",IF($Z129="FAIL — DUPLICATE ID","DUPLICATE CANDIDATE ID",IF($Z129="FAIL — INCOMPLETE","INCOMPLETE",IF($Z129="FAIL — MASR RECORD REQUIRED","MASR RECORD REQUIRED",IF($Z129="FAIL — ELIGIBILITY","ELIGIBILITY BLOCK",IF($Z129="FAIL — EVIDENCE","EVIDENCE REQUIRED",IF($Z129="FAIL — MIAR GATE","MIAR GATE BLOCK",IF($Z129="FAIL — COMMITTEE DISPOSITION","COMMITTEE DECISION REQUIRED",IF($Z129="FAIL — PEW REFERRAL","PEW REFERRAL INCOMPLETE",IF(AND(OR($Y129="Rejected",$Y129="Closed",$Y129="Removed"),OR($AO129="",$AP129="",$AQ129="")),"CLOSURE REQUIRED",IF(AND($AB129&lt;TODAY(),NOT(OR($Y129="Rejected",$Y129="Closed",$Y129="Removed"))),"OVERDUE",IF(OR($Y129="Rejected",$Y129="Closed",$Y129="Removed"),"CLOSED","OPEN — ON TRACK"))))))))))))</x:f>
      </x:c>
      <x:c r="AL129" s="1253" t="str">
        <x:f>IF($AK129="","",IFERROR(INDEX('97 RCC Lists'!$AM$5:$AM$16,MATCH($AK129,'97 RCC Lists'!$AL$5:$AL$16,0)),"Review candidate exception"))</x:f>
      </x:c>
      <x:c r="AM129" s="1242"/>
      <x:c r="AN129" s="1242"/>
      <x:c r="AO129" s="1242"/>
      <x:c r="AP129" s="1242"/>
      <x:c r="AQ129" s="1251"/>
    </x:row>
    <x:row r="130" ht="32" customHeight="1">
      <x:c r="A130" s="1242"/>
      <x:c r="B130" s="1251"/>
      <x:c r="C130" s="1242"/>
      <x:c r="D130" s="1243" t="str">
        <x:f>IF($C130="","",IFERROR(INDEX('23 RCC-004 MASR Registry'!$C$14:$C$163,MATCH($C130,'23 RCC-004 MASR Registry'!$B$14:$B$163,0)),""))</x:f>
      </x:c>
      <x:c r="E130" s="1242"/>
      <x:c r="F130" s="1242"/>
      <x:c r="G130" s="1242"/>
      <x:c r="H130" s="1242"/>
      <x:c r="I130" s="1243" t="str">
        <x:f>IF($C130="","",IFERROR(INDEX('23 RCC-004 MASR Registry'!$G$14:$G$163,MATCH($C130,'23 RCC-004 MASR Registry'!$B$14:$B$163,0)),""))</x:f>
      </x:c>
      <x:c r="J130" s="1243" t="str">
        <x:f>IF($C130="","",IFERROR(INDEX('23 RCC-004 MASR Registry'!$H$14:$H$163,MATCH($C130,'23 RCC-004 MASR Registry'!$B$14:$B$163,0)),""))</x:f>
      </x:c>
      <x:c r="K130" s="1243" t="str">
        <x:f>IF($C130="","",IFERROR(INDEX('23 RCC-004 MASR Registry'!$D$14:$D$163,MATCH($C130,'23 RCC-004 MASR Registry'!$B$14:$B$163,0)),""))</x:f>
      </x:c>
      <x:c r="L130" s="1243" t="str">
        <x:f>IF($C130="","",IFERROR(INDEX('23 RCC-004 MASR Registry'!$E$14:$E$163,MATCH($C130,'23 RCC-004 MASR Registry'!$B$14:$B$163,0)),""))</x:f>
      </x:c>
      <x:c r="M130" s="1243" t="str">
        <x:f>IF($C130="","",IFERROR(INDEX('23 RCC-004 MASR Registry'!$X$14:$X$163,MATCH($C130,'23 RCC-004 MASR Registry'!$B$14:$B$163,0)),""))</x:f>
      </x:c>
      <x:c r="N130" s="1243" t="str">
        <x:f>IF($C130="","",IFERROR(INDEX('23 RCC-004 MASR Registry'!$Y$14:$Y$163,MATCH($C130,'23 RCC-004 MASR Registry'!$B$14:$B$163,0)),""))</x:f>
      </x:c>
      <x:c r="O130" s="1243" t="str">
        <x:f>IF($C130="","",IFERROR(INDEX('23 RCC-004 MASR Registry'!$L$14:$L$163,MATCH($C130,'23 RCC-004 MASR Registry'!$B$14:$B$163,0)),""))</x:f>
      </x:c>
      <x:c r="P130" s="1243" t="str">
        <x:f>IF($C130="","",IFERROR(INDEX('23 RCC-004 MASR Registry'!$M$14:$M$163,MATCH($C130,'23 RCC-004 MASR Registry'!$B$14:$B$163,0)),""))</x:f>
      </x:c>
      <x:c r="Q130" s="1246" t="str">
        <x:f>IF($C130="","",IFERROR(INDEX('23 RCC-004 MASR Registry'!$N$14:$N$163,MATCH($C130,'23 RCC-004 MASR Registry'!$B$14:$B$163,0)),""))</x:f>
      </x:c>
      <x:c r="R130" s="1246" t="str">
        <x:f>IF($C130="","",IFERROR(INDEX('23 RCC-004 MASR Registry'!$O$14:$O$163,MATCH($C130,'23 RCC-004 MASR Registry'!$B$14:$B$163,0)),""))</x:f>
      </x:c>
      <x:c r="S130" s="1246" t="str">
        <x:f>IF($C130="","",IFERROR(INDEX('23 RCC-004 MASR Registry'!$W$14:$W$163,MATCH($C130,'23 RCC-004 MASR Registry'!$B$14:$B$163,0)),""))</x:f>
      </x:c>
      <x:c r="T130" s="1246" t="str">
        <x:f>IF($C130="","",IFERROR(INDEX('23 RCC-004 MASR Registry'!$T$14:$T$163,MATCH($C130,'23 RCC-004 MASR Registry'!$B$14:$B$163,0)),""))</x:f>
      </x:c>
      <x:c r="U130" s="1247" t="str">
        <x:f>IF($C130="","",IFERROR(INDEX('23 RCC-004 MASR Registry'!$U$14:$U$163,MATCH($C130,'23 RCC-004 MASR Registry'!$B$14:$B$163,0)),""))</x:f>
      </x:c>
      <x:c r="V130" s="1243" t="str">
        <x:f>IF($C130="","",IFERROR(INDEX('23 RCC-004 MASR Registry'!$V$14:$V$163,MATCH($C130,'23 RCC-004 MASR Registry'!$B$14:$B$163,0)),""))</x:f>
      </x:c>
      <x:c r="W130" s="1242"/>
      <x:c r="X130" s="1247" t="str">
        <x:f>IF($C130="","",COUNTIF('18 RCC-002 Evidence Ledger'!$E$14:$E$213,$C130))</x:f>
      </x:c>
      <x:c r="Y130" s="1242"/>
      <x:c r="Z130" s="1244" t="str">
        <x:f>IF($A130="","",IF(COUNTIF($A$14:$A$213,$A130)&gt;1,"FAIL — DUPLICATE ID",IF(OR($B130="",$C130="",$E130="",$H130="",$Y130="",$AA130="",$AB130=""),"FAIL — INCOMPLETE",IF(AND(OR($Y130="MIAR Review",$Y130="Eligibility Review",$Y130="Candidate Comparison",$Y130="Committee Review",$Y130="Approved for MASR",$Y130="Referred to PEW-004",$Y130="On Watch",$Y130="Rejected",$Y130="Closed",$Y130="Removed"),$K130=""),"FAIL — MASR RECORD REQUIRED",IF(AND(OR($Y130="Eligibility Review",$Y130="Candidate Comparison",$Y130="Committee Review",$Y130="Approved for MASR",$Y130="Referred to PEW-004",$Y130="On Watch"),NOT(OR($M130="ELIGIBLE",$M130="ELIGIBLE WITH EXCEPTION",$M130="CERTIFIED HOLDING"))),"FAIL — ELIGIBILITY",IF(AND(OR($Y130="Candidate Comparison",$Y130="Committee Review",$Y130="Approved for MASR",$Y130="Referred to PEW-004",$Y130="On Watch"),$X130=0),"FAIL — EVIDENCE",IF(AND(OR($Y130="Candidate Comparison",$Y130="Committee Review",$Y130="Approved for MASR",$Y130="Referred to PEW-004",$Y130="On Watch"),OR($O130&lt;&gt;"Active",$P130&lt;&gt;"CURRENT")),"FAIL — MIAR GATE",IF(AND(OR($Y130="Approved for MASR",$Y130="Referred to PEW-004",$Y130="On Watch",$Y130="Rejected",$Y130="Closed",$Y130="Removed"),OR($AD130="",$AD130="Pending")),"FAIL — COMMITTEE DISPOSITION",IF(AND($Y130="Referred to PEW-004",OR($AF130&lt;&gt;"Yes — Refer to PEW-004",$AG130="",$AJ130="")),"FAIL — PEW REFERRAL","PASS — STAGE GATE")))))))))</x:f>
      </x:c>
      <x:c r="AA130" s="1242"/>
      <x:c r="AB130" s="1251"/>
      <x:c r="AC130" s="1250" t="str">
        <x:f>IF($B130="","",IF($AQ130&lt;&gt;"",$AQ130-$B130,TODAY()-$B130))</x:f>
      </x:c>
      <x:c r="AD130" s="1242"/>
      <x:c r="AE130" s="1251"/>
      <x:c r="AF130" s="1242"/>
      <x:c r="AG130" s="1242"/>
      <x:c r="AH130" s="1246" t="str">
        <x:f>IF($AG130="","",IFERROR(INDEX('10 Candidate Comparison'!$T$14:$T$33,MATCH($AG130,'10 Candidate Comparison'!$A$14:$A$33,0)),""))</x:f>
      </x:c>
      <x:c r="AI130" s="1243" t="str">
        <x:f>IF($AG130="","",IFERROR(INDEX('10 Candidate Comparison'!$U$14:$U$33,MATCH($AG130,'10 Candidate Comparison'!$A$14:$A$33,0)),""))</x:f>
      </x:c>
      <x:c r="AJ130" s="1243" t="str">
        <x:f>IF($AG130="","",IFERROR(INDEX('10 Candidate Comparison'!$Y$14:$Y$33,MATCH($AG130,'10 Candidate Comparison'!$A$14:$A$33,0)),""))</x:f>
      </x:c>
      <x:c r="AK130" s="1244" t="str">
        <x:f>IF($A130="","",IF($Z130="FAIL — DUPLICATE ID","DUPLICATE CANDIDATE ID",IF($Z130="FAIL — INCOMPLETE","INCOMPLETE",IF($Z130="FAIL — MASR RECORD REQUIRED","MASR RECORD REQUIRED",IF($Z130="FAIL — ELIGIBILITY","ELIGIBILITY BLOCK",IF($Z130="FAIL — EVIDENCE","EVIDENCE REQUIRED",IF($Z130="FAIL — MIAR GATE","MIAR GATE BLOCK",IF($Z130="FAIL — COMMITTEE DISPOSITION","COMMITTEE DECISION REQUIRED",IF($Z130="FAIL — PEW REFERRAL","PEW REFERRAL INCOMPLETE",IF(AND(OR($Y130="Rejected",$Y130="Closed",$Y130="Removed"),OR($AO130="",$AP130="",$AQ130="")),"CLOSURE REQUIRED",IF(AND($AB130&lt;TODAY(),NOT(OR($Y130="Rejected",$Y130="Closed",$Y130="Removed"))),"OVERDUE",IF(OR($Y130="Rejected",$Y130="Closed",$Y130="Removed"),"CLOSED","OPEN — ON TRACK"))))))))))))</x:f>
      </x:c>
      <x:c r="AL130" s="1244" t="str">
        <x:f>IF($AK130="","",IFERROR(INDEX('97 RCC Lists'!$AM$5:$AM$16,MATCH($AK130,'97 RCC Lists'!$AL$5:$AL$16,0)),"Review candidate exception"))</x:f>
      </x:c>
      <x:c r="AM130" s="1242"/>
      <x:c r="AN130" s="1242"/>
      <x:c r="AO130" s="1242"/>
      <x:c r="AP130" s="1242"/>
      <x:c r="AQ130" s="1251"/>
    </x:row>
    <x:row r="131" ht="32" customHeight="1">
      <x:c r="A131" s="1242"/>
      <x:c r="B131" s="1251"/>
      <x:c r="C131" s="1242"/>
      <x:c r="D131" s="1252" t="str">
        <x:f>IF($C131="","",IFERROR(INDEX('23 RCC-004 MASR Registry'!$C$14:$C$163,MATCH($C131,'23 RCC-004 MASR Registry'!$B$14:$B$163,0)),""))</x:f>
      </x:c>
      <x:c r="E131" s="1242"/>
      <x:c r="F131" s="1242"/>
      <x:c r="G131" s="1242"/>
      <x:c r="H131" s="1242"/>
      <x:c r="I131" s="1252" t="str">
        <x:f>IF($C131="","",IFERROR(INDEX('23 RCC-004 MASR Registry'!$G$14:$G$163,MATCH($C131,'23 RCC-004 MASR Registry'!$B$14:$B$163,0)),""))</x:f>
      </x:c>
      <x:c r="J131" s="1252" t="str">
        <x:f>IF($C131="","",IFERROR(INDEX('23 RCC-004 MASR Registry'!$H$14:$H$163,MATCH($C131,'23 RCC-004 MASR Registry'!$B$14:$B$163,0)),""))</x:f>
      </x:c>
      <x:c r="K131" s="1252" t="str">
        <x:f>IF($C131="","",IFERROR(INDEX('23 RCC-004 MASR Registry'!$D$14:$D$163,MATCH($C131,'23 RCC-004 MASR Registry'!$B$14:$B$163,0)),""))</x:f>
      </x:c>
      <x:c r="L131" s="1252" t="str">
        <x:f>IF($C131="","",IFERROR(INDEX('23 RCC-004 MASR Registry'!$E$14:$E$163,MATCH($C131,'23 RCC-004 MASR Registry'!$B$14:$B$163,0)),""))</x:f>
      </x:c>
      <x:c r="M131" s="1252" t="str">
        <x:f>IF($C131="","",IFERROR(INDEX('23 RCC-004 MASR Registry'!$X$14:$X$163,MATCH($C131,'23 RCC-004 MASR Registry'!$B$14:$B$163,0)),""))</x:f>
      </x:c>
      <x:c r="N131" s="1252" t="str">
        <x:f>IF($C131="","",IFERROR(INDEX('23 RCC-004 MASR Registry'!$Y$14:$Y$163,MATCH($C131,'23 RCC-004 MASR Registry'!$B$14:$B$163,0)),""))</x:f>
      </x:c>
      <x:c r="O131" s="1252" t="str">
        <x:f>IF($C131="","",IFERROR(INDEX('23 RCC-004 MASR Registry'!$L$14:$L$163,MATCH($C131,'23 RCC-004 MASR Registry'!$B$14:$B$163,0)),""))</x:f>
      </x:c>
      <x:c r="P131" s="1252" t="str">
        <x:f>IF($C131="","",IFERROR(INDEX('23 RCC-004 MASR Registry'!$M$14:$M$163,MATCH($C131,'23 RCC-004 MASR Registry'!$B$14:$B$163,0)),""))</x:f>
      </x:c>
      <x:c r="Q131" s="1255" t="str">
        <x:f>IF($C131="","",IFERROR(INDEX('23 RCC-004 MASR Registry'!$N$14:$N$163,MATCH($C131,'23 RCC-004 MASR Registry'!$B$14:$B$163,0)),""))</x:f>
      </x:c>
      <x:c r="R131" s="1255" t="str">
        <x:f>IF($C131="","",IFERROR(INDEX('23 RCC-004 MASR Registry'!$O$14:$O$163,MATCH($C131,'23 RCC-004 MASR Registry'!$B$14:$B$163,0)),""))</x:f>
      </x:c>
      <x:c r="S131" s="1255" t="str">
        <x:f>IF($C131="","",IFERROR(INDEX('23 RCC-004 MASR Registry'!$W$14:$W$163,MATCH($C131,'23 RCC-004 MASR Registry'!$B$14:$B$163,0)),""))</x:f>
      </x:c>
      <x:c r="T131" s="1255" t="str">
        <x:f>IF($C131="","",IFERROR(INDEX('23 RCC-004 MASR Registry'!$T$14:$T$163,MATCH($C131,'23 RCC-004 MASR Registry'!$B$14:$B$163,0)),""))</x:f>
      </x:c>
      <x:c r="U131" s="1256" t="str">
        <x:f>IF($C131="","",IFERROR(INDEX('23 RCC-004 MASR Registry'!$U$14:$U$163,MATCH($C131,'23 RCC-004 MASR Registry'!$B$14:$B$163,0)),""))</x:f>
      </x:c>
      <x:c r="V131" s="1252" t="str">
        <x:f>IF($C131="","",IFERROR(INDEX('23 RCC-004 MASR Registry'!$V$14:$V$163,MATCH($C131,'23 RCC-004 MASR Registry'!$B$14:$B$163,0)),""))</x:f>
      </x:c>
      <x:c r="W131" s="1242"/>
      <x:c r="X131" s="1256" t="str">
        <x:f>IF($C131="","",COUNTIF('18 RCC-002 Evidence Ledger'!$E$14:$E$213,$C131))</x:f>
      </x:c>
      <x:c r="Y131" s="1242"/>
      <x:c r="Z131" s="1253" t="str">
        <x:f>IF($A131="","",IF(COUNTIF($A$14:$A$213,$A131)&gt;1,"FAIL — DUPLICATE ID",IF(OR($B131="",$C131="",$E131="",$H131="",$Y131="",$AA131="",$AB131=""),"FAIL — INCOMPLETE",IF(AND(OR($Y131="MIAR Review",$Y131="Eligibility Review",$Y131="Candidate Comparison",$Y131="Committee Review",$Y131="Approved for MASR",$Y131="Referred to PEW-004",$Y131="On Watch",$Y131="Rejected",$Y131="Closed",$Y131="Removed"),$K131=""),"FAIL — MASR RECORD REQUIRED",IF(AND(OR($Y131="Eligibility Review",$Y131="Candidate Comparison",$Y131="Committee Review",$Y131="Approved for MASR",$Y131="Referred to PEW-004",$Y131="On Watch"),NOT(OR($M131="ELIGIBLE",$M131="ELIGIBLE WITH EXCEPTION",$M131="CERTIFIED HOLDING"))),"FAIL — ELIGIBILITY",IF(AND(OR($Y131="Candidate Comparison",$Y131="Committee Review",$Y131="Approved for MASR",$Y131="Referred to PEW-004",$Y131="On Watch"),$X131=0),"FAIL — EVIDENCE",IF(AND(OR($Y131="Candidate Comparison",$Y131="Committee Review",$Y131="Approved for MASR",$Y131="Referred to PEW-004",$Y131="On Watch"),OR($O131&lt;&gt;"Active",$P131&lt;&gt;"CURRENT")),"FAIL — MIAR GATE",IF(AND(OR($Y131="Approved for MASR",$Y131="Referred to PEW-004",$Y131="On Watch",$Y131="Rejected",$Y131="Closed",$Y131="Removed"),OR($AD131="",$AD131="Pending")),"FAIL — COMMITTEE DISPOSITION",IF(AND($Y131="Referred to PEW-004",OR($AF131&lt;&gt;"Yes — Refer to PEW-004",$AG131="",$AJ131="")),"FAIL — PEW REFERRAL","PASS — STAGE GATE")))))))))</x:f>
      </x:c>
      <x:c r="AA131" s="1242"/>
      <x:c r="AB131" s="1251"/>
      <x:c r="AC131" s="1257" t="str">
        <x:f>IF($B131="","",IF($AQ131&lt;&gt;"",$AQ131-$B131,TODAY()-$B131))</x:f>
      </x:c>
      <x:c r="AD131" s="1242"/>
      <x:c r="AE131" s="1251"/>
      <x:c r="AF131" s="1242"/>
      <x:c r="AG131" s="1242"/>
      <x:c r="AH131" s="1255" t="str">
        <x:f>IF($AG131="","",IFERROR(INDEX('10 Candidate Comparison'!$T$14:$T$33,MATCH($AG131,'10 Candidate Comparison'!$A$14:$A$33,0)),""))</x:f>
      </x:c>
      <x:c r="AI131" s="1252" t="str">
        <x:f>IF($AG131="","",IFERROR(INDEX('10 Candidate Comparison'!$U$14:$U$33,MATCH($AG131,'10 Candidate Comparison'!$A$14:$A$33,0)),""))</x:f>
      </x:c>
      <x:c r="AJ131" s="1252" t="str">
        <x:f>IF($AG131="","",IFERROR(INDEX('10 Candidate Comparison'!$Y$14:$Y$33,MATCH($AG131,'10 Candidate Comparison'!$A$14:$A$33,0)),""))</x:f>
      </x:c>
      <x:c r="AK131" s="1253" t="str">
        <x:f>IF($A131="","",IF($Z131="FAIL — DUPLICATE ID","DUPLICATE CANDIDATE ID",IF($Z131="FAIL — INCOMPLETE","INCOMPLETE",IF($Z131="FAIL — MASR RECORD REQUIRED","MASR RECORD REQUIRED",IF($Z131="FAIL — ELIGIBILITY","ELIGIBILITY BLOCK",IF($Z131="FAIL — EVIDENCE","EVIDENCE REQUIRED",IF($Z131="FAIL — MIAR GATE","MIAR GATE BLOCK",IF($Z131="FAIL — COMMITTEE DISPOSITION","COMMITTEE DECISION REQUIRED",IF($Z131="FAIL — PEW REFERRAL","PEW REFERRAL INCOMPLETE",IF(AND(OR($Y131="Rejected",$Y131="Closed",$Y131="Removed"),OR($AO131="",$AP131="",$AQ131="")),"CLOSURE REQUIRED",IF(AND($AB131&lt;TODAY(),NOT(OR($Y131="Rejected",$Y131="Closed",$Y131="Removed"))),"OVERDUE",IF(OR($Y131="Rejected",$Y131="Closed",$Y131="Removed"),"CLOSED","OPEN — ON TRACK"))))))))))))</x:f>
      </x:c>
      <x:c r="AL131" s="1253" t="str">
        <x:f>IF($AK131="","",IFERROR(INDEX('97 RCC Lists'!$AM$5:$AM$16,MATCH($AK131,'97 RCC Lists'!$AL$5:$AL$16,0)),"Review candidate exception"))</x:f>
      </x:c>
      <x:c r="AM131" s="1242"/>
      <x:c r="AN131" s="1242"/>
      <x:c r="AO131" s="1242"/>
      <x:c r="AP131" s="1242"/>
      <x:c r="AQ131" s="1251"/>
    </x:row>
    <x:row r="132" ht="32" customHeight="1">
      <x:c r="A132" s="1242"/>
      <x:c r="B132" s="1251"/>
      <x:c r="C132" s="1242"/>
      <x:c r="D132" s="1243" t="str">
        <x:f>IF($C132="","",IFERROR(INDEX('23 RCC-004 MASR Registry'!$C$14:$C$163,MATCH($C132,'23 RCC-004 MASR Registry'!$B$14:$B$163,0)),""))</x:f>
      </x:c>
      <x:c r="E132" s="1242"/>
      <x:c r="F132" s="1242"/>
      <x:c r="G132" s="1242"/>
      <x:c r="H132" s="1242"/>
      <x:c r="I132" s="1243" t="str">
        <x:f>IF($C132="","",IFERROR(INDEX('23 RCC-004 MASR Registry'!$G$14:$G$163,MATCH($C132,'23 RCC-004 MASR Registry'!$B$14:$B$163,0)),""))</x:f>
      </x:c>
      <x:c r="J132" s="1243" t="str">
        <x:f>IF($C132="","",IFERROR(INDEX('23 RCC-004 MASR Registry'!$H$14:$H$163,MATCH($C132,'23 RCC-004 MASR Registry'!$B$14:$B$163,0)),""))</x:f>
      </x:c>
      <x:c r="K132" s="1243" t="str">
        <x:f>IF($C132="","",IFERROR(INDEX('23 RCC-004 MASR Registry'!$D$14:$D$163,MATCH($C132,'23 RCC-004 MASR Registry'!$B$14:$B$163,0)),""))</x:f>
      </x:c>
      <x:c r="L132" s="1243" t="str">
        <x:f>IF($C132="","",IFERROR(INDEX('23 RCC-004 MASR Registry'!$E$14:$E$163,MATCH($C132,'23 RCC-004 MASR Registry'!$B$14:$B$163,0)),""))</x:f>
      </x:c>
      <x:c r="M132" s="1243" t="str">
        <x:f>IF($C132="","",IFERROR(INDEX('23 RCC-004 MASR Registry'!$X$14:$X$163,MATCH($C132,'23 RCC-004 MASR Registry'!$B$14:$B$163,0)),""))</x:f>
      </x:c>
      <x:c r="N132" s="1243" t="str">
        <x:f>IF($C132="","",IFERROR(INDEX('23 RCC-004 MASR Registry'!$Y$14:$Y$163,MATCH($C132,'23 RCC-004 MASR Registry'!$B$14:$B$163,0)),""))</x:f>
      </x:c>
      <x:c r="O132" s="1243" t="str">
        <x:f>IF($C132="","",IFERROR(INDEX('23 RCC-004 MASR Registry'!$L$14:$L$163,MATCH($C132,'23 RCC-004 MASR Registry'!$B$14:$B$163,0)),""))</x:f>
      </x:c>
      <x:c r="P132" s="1243" t="str">
        <x:f>IF($C132="","",IFERROR(INDEX('23 RCC-004 MASR Registry'!$M$14:$M$163,MATCH($C132,'23 RCC-004 MASR Registry'!$B$14:$B$163,0)),""))</x:f>
      </x:c>
      <x:c r="Q132" s="1246" t="str">
        <x:f>IF($C132="","",IFERROR(INDEX('23 RCC-004 MASR Registry'!$N$14:$N$163,MATCH($C132,'23 RCC-004 MASR Registry'!$B$14:$B$163,0)),""))</x:f>
      </x:c>
      <x:c r="R132" s="1246" t="str">
        <x:f>IF($C132="","",IFERROR(INDEX('23 RCC-004 MASR Registry'!$O$14:$O$163,MATCH($C132,'23 RCC-004 MASR Registry'!$B$14:$B$163,0)),""))</x:f>
      </x:c>
      <x:c r="S132" s="1246" t="str">
        <x:f>IF($C132="","",IFERROR(INDEX('23 RCC-004 MASR Registry'!$W$14:$W$163,MATCH($C132,'23 RCC-004 MASR Registry'!$B$14:$B$163,0)),""))</x:f>
      </x:c>
      <x:c r="T132" s="1246" t="str">
        <x:f>IF($C132="","",IFERROR(INDEX('23 RCC-004 MASR Registry'!$T$14:$T$163,MATCH($C132,'23 RCC-004 MASR Registry'!$B$14:$B$163,0)),""))</x:f>
      </x:c>
      <x:c r="U132" s="1247" t="str">
        <x:f>IF($C132="","",IFERROR(INDEX('23 RCC-004 MASR Registry'!$U$14:$U$163,MATCH($C132,'23 RCC-004 MASR Registry'!$B$14:$B$163,0)),""))</x:f>
      </x:c>
      <x:c r="V132" s="1243" t="str">
        <x:f>IF($C132="","",IFERROR(INDEX('23 RCC-004 MASR Registry'!$V$14:$V$163,MATCH($C132,'23 RCC-004 MASR Registry'!$B$14:$B$163,0)),""))</x:f>
      </x:c>
      <x:c r="W132" s="1242"/>
      <x:c r="X132" s="1247" t="str">
        <x:f>IF($C132="","",COUNTIF('18 RCC-002 Evidence Ledger'!$E$14:$E$213,$C132))</x:f>
      </x:c>
      <x:c r="Y132" s="1242"/>
      <x:c r="Z132" s="1244" t="str">
        <x:f>IF($A132="","",IF(COUNTIF($A$14:$A$213,$A132)&gt;1,"FAIL — DUPLICATE ID",IF(OR($B132="",$C132="",$E132="",$H132="",$Y132="",$AA132="",$AB132=""),"FAIL — INCOMPLETE",IF(AND(OR($Y132="MIAR Review",$Y132="Eligibility Review",$Y132="Candidate Comparison",$Y132="Committee Review",$Y132="Approved for MASR",$Y132="Referred to PEW-004",$Y132="On Watch",$Y132="Rejected",$Y132="Closed",$Y132="Removed"),$K132=""),"FAIL — MASR RECORD REQUIRED",IF(AND(OR($Y132="Eligibility Review",$Y132="Candidate Comparison",$Y132="Committee Review",$Y132="Approved for MASR",$Y132="Referred to PEW-004",$Y132="On Watch"),NOT(OR($M132="ELIGIBLE",$M132="ELIGIBLE WITH EXCEPTION",$M132="CERTIFIED HOLDING"))),"FAIL — ELIGIBILITY",IF(AND(OR($Y132="Candidate Comparison",$Y132="Committee Review",$Y132="Approved for MASR",$Y132="Referred to PEW-004",$Y132="On Watch"),$X132=0),"FAIL — EVIDENCE",IF(AND(OR($Y132="Candidate Comparison",$Y132="Committee Review",$Y132="Approved for MASR",$Y132="Referred to PEW-004",$Y132="On Watch"),OR($O132&lt;&gt;"Active",$P132&lt;&gt;"CURRENT")),"FAIL — MIAR GATE",IF(AND(OR($Y132="Approved for MASR",$Y132="Referred to PEW-004",$Y132="On Watch",$Y132="Rejected",$Y132="Closed",$Y132="Removed"),OR($AD132="",$AD132="Pending")),"FAIL — COMMITTEE DISPOSITION",IF(AND($Y132="Referred to PEW-004",OR($AF132&lt;&gt;"Yes — Refer to PEW-004",$AG132="",$AJ132="")),"FAIL — PEW REFERRAL","PASS — STAGE GATE")))))))))</x:f>
      </x:c>
      <x:c r="AA132" s="1242"/>
      <x:c r="AB132" s="1251"/>
      <x:c r="AC132" s="1250" t="str">
        <x:f>IF($B132="","",IF($AQ132&lt;&gt;"",$AQ132-$B132,TODAY()-$B132))</x:f>
      </x:c>
      <x:c r="AD132" s="1242"/>
      <x:c r="AE132" s="1251"/>
      <x:c r="AF132" s="1242"/>
      <x:c r="AG132" s="1242"/>
      <x:c r="AH132" s="1246" t="str">
        <x:f>IF($AG132="","",IFERROR(INDEX('10 Candidate Comparison'!$T$14:$T$33,MATCH($AG132,'10 Candidate Comparison'!$A$14:$A$33,0)),""))</x:f>
      </x:c>
      <x:c r="AI132" s="1243" t="str">
        <x:f>IF($AG132="","",IFERROR(INDEX('10 Candidate Comparison'!$U$14:$U$33,MATCH($AG132,'10 Candidate Comparison'!$A$14:$A$33,0)),""))</x:f>
      </x:c>
      <x:c r="AJ132" s="1243" t="str">
        <x:f>IF($AG132="","",IFERROR(INDEX('10 Candidate Comparison'!$Y$14:$Y$33,MATCH($AG132,'10 Candidate Comparison'!$A$14:$A$33,0)),""))</x:f>
      </x:c>
      <x:c r="AK132" s="1244" t="str">
        <x:f>IF($A132="","",IF($Z132="FAIL — DUPLICATE ID","DUPLICATE CANDIDATE ID",IF($Z132="FAIL — INCOMPLETE","INCOMPLETE",IF($Z132="FAIL — MASR RECORD REQUIRED","MASR RECORD REQUIRED",IF($Z132="FAIL — ELIGIBILITY","ELIGIBILITY BLOCK",IF($Z132="FAIL — EVIDENCE","EVIDENCE REQUIRED",IF($Z132="FAIL — MIAR GATE","MIAR GATE BLOCK",IF($Z132="FAIL — COMMITTEE DISPOSITION","COMMITTEE DECISION REQUIRED",IF($Z132="FAIL — PEW REFERRAL","PEW REFERRAL INCOMPLETE",IF(AND(OR($Y132="Rejected",$Y132="Closed",$Y132="Removed"),OR($AO132="",$AP132="",$AQ132="")),"CLOSURE REQUIRED",IF(AND($AB132&lt;TODAY(),NOT(OR($Y132="Rejected",$Y132="Closed",$Y132="Removed"))),"OVERDUE",IF(OR($Y132="Rejected",$Y132="Closed",$Y132="Removed"),"CLOSED","OPEN — ON TRACK"))))))))))))</x:f>
      </x:c>
      <x:c r="AL132" s="1244" t="str">
        <x:f>IF($AK132="","",IFERROR(INDEX('97 RCC Lists'!$AM$5:$AM$16,MATCH($AK132,'97 RCC Lists'!$AL$5:$AL$16,0)),"Review candidate exception"))</x:f>
      </x:c>
      <x:c r="AM132" s="1242"/>
      <x:c r="AN132" s="1242"/>
      <x:c r="AO132" s="1242"/>
      <x:c r="AP132" s="1242"/>
      <x:c r="AQ132" s="1251"/>
    </x:row>
    <x:row r="133" ht="32" customHeight="1">
      <x:c r="A133" s="1242"/>
      <x:c r="B133" s="1251"/>
      <x:c r="C133" s="1242"/>
      <x:c r="D133" s="1252" t="str">
        <x:f>IF($C133="","",IFERROR(INDEX('23 RCC-004 MASR Registry'!$C$14:$C$163,MATCH($C133,'23 RCC-004 MASR Registry'!$B$14:$B$163,0)),""))</x:f>
      </x:c>
      <x:c r="E133" s="1242"/>
      <x:c r="F133" s="1242"/>
      <x:c r="G133" s="1242"/>
      <x:c r="H133" s="1242"/>
      <x:c r="I133" s="1252" t="str">
        <x:f>IF($C133="","",IFERROR(INDEX('23 RCC-004 MASR Registry'!$G$14:$G$163,MATCH($C133,'23 RCC-004 MASR Registry'!$B$14:$B$163,0)),""))</x:f>
      </x:c>
      <x:c r="J133" s="1252" t="str">
        <x:f>IF($C133="","",IFERROR(INDEX('23 RCC-004 MASR Registry'!$H$14:$H$163,MATCH($C133,'23 RCC-004 MASR Registry'!$B$14:$B$163,0)),""))</x:f>
      </x:c>
      <x:c r="K133" s="1252" t="str">
        <x:f>IF($C133="","",IFERROR(INDEX('23 RCC-004 MASR Registry'!$D$14:$D$163,MATCH($C133,'23 RCC-004 MASR Registry'!$B$14:$B$163,0)),""))</x:f>
      </x:c>
      <x:c r="L133" s="1252" t="str">
        <x:f>IF($C133="","",IFERROR(INDEX('23 RCC-004 MASR Registry'!$E$14:$E$163,MATCH($C133,'23 RCC-004 MASR Registry'!$B$14:$B$163,0)),""))</x:f>
      </x:c>
      <x:c r="M133" s="1252" t="str">
        <x:f>IF($C133="","",IFERROR(INDEX('23 RCC-004 MASR Registry'!$X$14:$X$163,MATCH($C133,'23 RCC-004 MASR Registry'!$B$14:$B$163,0)),""))</x:f>
      </x:c>
      <x:c r="N133" s="1252" t="str">
        <x:f>IF($C133="","",IFERROR(INDEX('23 RCC-004 MASR Registry'!$Y$14:$Y$163,MATCH($C133,'23 RCC-004 MASR Registry'!$B$14:$B$163,0)),""))</x:f>
      </x:c>
      <x:c r="O133" s="1252" t="str">
        <x:f>IF($C133="","",IFERROR(INDEX('23 RCC-004 MASR Registry'!$L$14:$L$163,MATCH($C133,'23 RCC-004 MASR Registry'!$B$14:$B$163,0)),""))</x:f>
      </x:c>
      <x:c r="P133" s="1252" t="str">
        <x:f>IF($C133="","",IFERROR(INDEX('23 RCC-004 MASR Registry'!$M$14:$M$163,MATCH($C133,'23 RCC-004 MASR Registry'!$B$14:$B$163,0)),""))</x:f>
      </x:c>
      <x:c r="Q133" s="1255" t="str">
        <x:f>IF($C133="","",IFERROR(INDEX('23 RCC-004 MASR Registry'!$N$14:$N$163,MATCH($C133,'23 RCC-004 MASR Registry'!$B$14:$B$163,0)),""))</x:f>
      </x:c>
      <x:c r="R133" s="1255" t="str">
        <x:f>IF($C133="","",IFERROR(INDEX('23 RCC-004 MASR Registry'!$O$14:$O$163,MATCH($C133,'23 RCC-004 MASR Registry'!$B$14:$B$163,0)),""))</x:f>
      </x:c>
      <x:c r="S133" s="1255" t="str">
        <x:f>IF($C133="","",IFERROR(INDEX('23 RCC-004 MASR Registry'!$W$14:$W$163,MATCH($C133,'23 RCC-004 MASR Registry'!$B$14:$B$163,0)),""))</x:f>
      </x:c>
      <x:c r="T133" s="1255" t="str">
        <x:f>IF($C133="","",IFERROR(INDEX('23 RCC-004 MASR Registry'!$T$14:$T$163,MATCH($C133,'23 RCC-004 MASR Registry'!$B$14:$B$163,0)),""))</x:f>
      </x:c>
      <x:c r="U133" s="1256" t="str">
        <x:f>IF($C133="","",IFERROR(INDEX('23 RCC-004 MASR Registry'!$U$14:$U$163,MATCH($C133,'23 RCC-004 MASR Registry'!$B$14:$B$163,0)),""))</x:f>
      </x:c>
      <x:c r="V133" s="1252" t="str">
        <x:f>IF($C133="","",IFERROR(INDEX('23 RCC-004 MASR Registry'!$V$14:$V$163,MATCH($C133,'23 RCC-004 MASR Registry'!$B$14:$B$163,0)),""))</x:f>
      </x:c>
      <x:c r="W133" s="1242"/>
      <x:c r="X133" s="1256" t="str">
        <x:f>IF($C133="","",COUNTIF('18 RCC-002 Evidence Ledger'!$E$14:$E$213,$C133))</x:f>
      </x:c>
      <x:c r="Y133" s="1242"/>
      <x:c r="Z133" s="1253" t="str">
        <x:f>IF($A133="","",IF(COUNTIF($A$14:$A$213,$A133)&gt;1,"FAIL — DUPLICATE ID",IF(OR($B133="",$C133="",$E133="",$H133="",$Y133="",$AA133="",$AB133=""),"FAIL — INCOMPLETE",IF(AND(OR($Y133="MIAR Review",$Y133="Eligibility Review",$Y133="Candidate Comparison",$Y133="Committee Review",$Y133="Approved for MASR",$Y133="Referred to PEW-004",$Y133="On Watch",$Y133="Rejected",$Y133="Closed",$Y133="Removed"),$K133=""),"FAIL — MASR RECORD REQUIRED",IF(AND(OR($Y133="Eligibility Review",$Y133="Candidate Comparison",$Y133="Committee Review",$Y133="Approved for MASR",$Y133="Referred to PEW-004",$Y133="On Watch"),NOT(OR($M133="ELIGIBLE",$M133="ELIGIBLE WITH EXCEPTION",$M133="CERTIFIED HOLDING"))),"FAIL — ELIGIBILITY",IF(AND(OR($Y133="Candidate Comparison",$Y133="Committee Review",$Y133="Approved for MASR",$Y133="Referred to PEW-004",$Y133="On Watch"),$X133=0),"FAIL — EVIDENCE",IF(AND(OR($Y133="Candidate Comparison",$Y133="Committee Review",$Y133="Approved for MASR",$Y133="Referred to PEW-004",$Y133="On Watch"),OR($O133&lt;&gt;"Active",$P133&lt;&gt;"CURRENT")),"FAIL — MIAR GATE",IF(AND(OR($Y133="Approved for MASR",$Y133="Referred to PEW-004",$Y133="On Watch",$Y133="Rejected",$Y133="Closed",$Y133="Removed"),OR($AD133="",$AD133="Pending")),"FAIL — COMMITTEE DISPOSITION",IF(AND($Y133="Referred to PEW-004",OR($AF133&lt;&gt;"Yes — Refer to PEW-004",$AG133="",$AJ133="")),"FAIL — PEW REFERRAL","PASS — STAGE GATE")))))))))</x:f>
      </x:c>
      <x:c r="AA133" s="1242"/>
      <x:c r="AB133" s="1251"/>
      <x:c r="AC133" s="1257" t="str">
        <x:f>IF($B133="","",IF($AQ133&lt;&gt;"",$AQ133-$B133,TODAY()-$B133))</x:f>
      </x:c>
      <x:c r="AD133" s="1242"/>
      <x:c r="AE133" s="1251"/>
      <x:c r="AF133" s="1242"/>
      <x:c r="AG133" s="1242"/>
      <x:c r="AH133" s="1255" t="str">
        <x:f>IF($AG133="","",IFERROR(INDEX('10 Candidate Comparison'!$T$14:$T$33,MATCH($AG133,'10 Candidate Comparison'!$A$14:$A$33,0)),""))</x:f>
      </x:c>
      <x:c r="AI133" s="1252" t="str">
        <x:f>IF($AG133="","",IFERROR(INDEX('10 Candidate Comparison'!$U$14:$U$33,MATCH($AG133,'10 Candidate Comparison'!$A$14:$A$33,0)),""))</x:f>
      </x:c>
      <x:c r="AJ133" s="1252" t="str">
        <x:f>IF($AG133="","",IFERROR(INDEX('10 Candidate Comparison'!$Y$14:$Y$33,MATCH($AG133,'10 Candidate Comparison'!$A$14:$A$33,0)),""))</x:f>
      </x:c>
      <x:c r="AK133" s="1253" t="str">
        <x:f>IF($A133="","",IF($Z133="FAIL — DUPLICATE ID","DUPLICATE CANDIDATE ID",IF($Z133="FAIL — INCOMPLETE","INCOMPLETE",IF($Z133="FAIL — MASR RECORD REQUIRED","MASR RECORD REQUIRED",IF($Z133="FAIL — ELIGIBILITY","ELIGIBILITY BLOCK",IF($Z133="FAIL — EVIDENCE","EVIDENCE REQUIRED",IF($Z133="FAIL — MIAR GATE","MIAR GATE BLOCK",IF($Z133="FAIL — COMMITTEE DISPOSITION","COMMITTEE DECISION REQUIRED",IF($Z133="FAIL — PEW REFERRAL","PEW REFERRAL INCOMPLETE",IF(AND(OR($Y133="Rejected",$Y133="Closed",$Y133="Removed"),OR($AO133="",$AP133="",$AQ133="")),"CLOSURE REQUIRED",IF(AND($AB133&lt;TODAY(),NOT(OR($Y133="Rejected",$Y133="Closed",$Y133="Removed"))),"OVERDUE",IF(OR($Y133="Rejected",$Y133="Closed",$Y133="Removed"),"CLOSED","OPEN — ON TRACK"))))))))))))</x:f>
      </x:c>
      <x:c r="AL133" s="1253" t="str">
        <x:f>IF($AK133="","",IFERROR(INDEX('97 RCC Lists'!$AM$5:$AM$16,MATCH($AK133,'97 RCC Lists'!$AL$5:$AL$16,0)),"Review candidate exception"))</x:f>
      </x:c>
      <x:c r="AM133" s="1242"/>
      <x:c r="AN133" s="1242"/>
      <x:c r="AO133" s="1242"/>
      <x:c r="AP133" s="1242"/>
      <x:c r="AQ133" s="1251"/>
    </x:row>
    <x:row r="134" ht="32" customHeight="1">
      <x:c r="A134" s="1242"/>
      <x:c r="B134" s="1251"/>
      <x:c r="C134" s="1242"/>
      <x:c r="D134" s="1243" t="str">
        <x:f>IF($C134="","",IFERROR(INDEX('23 RCC-004 MASR Registry'!$C$14:$C$163,MATCH($C134,'23 RCC-004 MASR Registry'!$B$14:$B$163,0)),""))</x:f>
      </x:c>
      <x:c r="E134" s="1242"/>
      <x:c r="F134" s="1242"/>
      <x:c r="G134" s="1242"/>
      <x:c r="H134" s="1242"/>
      <x:c r="I134" s="1243" t="str">
        <x:f>IF($C134="","",IFERROR(INDEX('23 RCC-004 MASR Registry'!$G$14:$G$163,MATCH($C134,'23 RCC-004 MASR Registry'!$B$14:$B$163,0)),""))</x:f>
      </x:c>
      <x:c r="J134" s="1243" t="str">
        <x:f>IF($C134="","",IFERROR(INDEX('23 RCC-004 MASR Registry'!$H$14:$H$163,MATCH($C134,'23 RCC-004 MASR Registry'!$B$14:$B$163,0)),""))</x:f>
      </x:c>
      <x:c r="K134" s="1243" t="str">
        <x:f>IF($C134="","",IFERROR(INDEX('23 RCC-004 MASR Registry'!$D$14:$D$163,MATCH($C134,'23 RCC-004 MASR Registry'!$B$14:$B$163,0)),""))</x:f>
      </x:c>
      <x:c r="L134" s="1243" t="str">
        <x:f>IF($C134="","",IFERROR(INDEX('23 RCC-004 MASR Registry'!$E$14:$E$163,MATCH($C134,'23 RCC-004 MASR Registry'!$B$14:$B$163,0)),""))</x:f>
      </x:c>
      <x:c r="M134" s="1243" t="str">
        <x:f>IF($C134="","",IFERROR(INDEX('23 RCC-004 MASR Registry'!$X$14:$X$163,MATCH($C134,'23 RCC-004 MASR Registry'!$B$14:$B$163,0)),""))</x:f>
      </x:c>
      <x:c r="N134" s="1243" t="str">
        <x:f>IF($C134="","",IFERROR(INDEX('23 RCC-004 MASR Registry'!$Y$14:$Y$163,MATCH($C134,'23 RCC-004 MASR Registry'!$B$14:$B$163,0)),""))</x:f>
      </x:c>
      <x:c r="O134" s="1243" t="str">
        <x:f>IF($C134="","",IFERROR(INDEX('23 RCC-004 MASR Registry'!$L$14:$L$163,MATCH($C134,'23 RCC-004 MASR Registry'!$B$14:$B$163,0)),""))</x:f>
      </x:c>
      <x:c r="P134" s="1243" t="str">
        <x:f>IF($C134="","",IFERROR(INDEX('23 RCC-004 MASR Registry'!$M$14:$M$163,MATCH($C134,'23 RCC-004 MASR Registry'!$B$14:$B$163,0)),""))</x:f>
      </x:c>
      <x:c r="Q134" s="1246" t="str">
        <x:f>IF($C134="","",IFERROR(INDEX('23 RCC-004 MASR Registry'!$N$14:$N$163,MATCH($C134,'23 RCC-004 MASR Registry'!$B$14:$B$163,0)),""))</x:f>
      </x:c>
      <x:c r="R134" s="1246" t="str">
        <x:f>IF($C134="","",IFERROR(INDEX('23 RCC-004 MASR Registry'!$O$14:$O$163,MATCH($C134,'23 RCC-004 MASR Registry'!$B$14:$B$163,0)),""))</x:f>
      </x:c>
      <x:c r="S134" s="1246" t="str">
        <x:f>IF($C134="","",IFERROR(INDEX('23 RCC-004 MASR Registry'!$W$14:$W$163,MATCH($C134,'23 RCC-004 MASR Registry'!$B$14:$B$163,0)),""))</x:f>
      </x:c>
      <x:c r="T134" s="1246" t="str">
        <x:f>IF($C134="","",IFERROR(INDEX('23 RCC-004 MASR Registry'!$T$14:$T$163,MATCH($C134,'23 RCC-004 MASR Registry'!$B$14:$B$163,0)),""))</x:f>
      </x:c>
      <x:c r="U134" s="1247" t="str">
        <x:f>IF($C134="","",IFERROR(INDEX('23 RCC-004 MASR Registry'!$U$14:$U$163,MATCH($C134,'23 RCC-004 MASR Registry'!$B$14:$B$163,0)),""))</x:f>
      </x:c>
      <x:c r="V134" s="1243" t="str">
        <x:f>IF($C134="","",IFERROR(INDEX('23 RCC-004 MASR Registry'!$V$14:$V$163,MATCH($C134,'23 RCC-004 MASR Registry'!$B$14:$B$163,0)),""))</x:f>
      </x:c>
      <x:c r="W134" s="1242"/>
      <x:c r="X134" s="1247" t="str">
        <x:f>IF($C134="","",COUNTIF('18 RCC-002 Evidence Ledger'!$E$14:$E$213,$C134))</x:f>
      </x:c>
      <x:c r="Y134" s="1242"/>
      <x:c r="Z134" s="1244" t="str">
        <x:f>IF($A134="","",IF(COUNTIF($A$14:$A$213,$A134)&gt;1,"FAIL — DUPLICATE ID",IF(OR($B134="",$C134="",$E134="",$H134="",$Y134="",$AA134="",$AB134=""),"FAIL — INCOMPLETE",IF(AND(OR($Y134="MIAR Review",$Y134="Eligibility Review",$Y134="Candidate Comparison",$Y134="Committee Review",$Y134="Approved for MASR",$Y134="Referred to PEW-004",$Y134="On Watch",$Y134="Rejected",$Y134="Closed",$Y134="Removed"),$K134=""),"FAIL — MASR RECORD REQUIRED",IF(AND(OR($Y134="Eligibility Review",$Y134="Candidate Comparison",$Y134="Committee Review",$Y134="Approved for MASR",$Y134="Referred to PEW-004",$Y134="On Watch"),NOT(OR($M134="ELIGIBLE",$M134="ELIGIBLE WITH EXCEPTION",$M134="CERTIFIED HOLDING"))),"FAIL — ELIGIBILITY",IF(AND(OR($Y134="Candidate Comparison",$Y134="Committee Review",$Y134="Approved for MASR",$Y134="Referred to PEW-004",$Y134="On Watch"),$X134=0),"FAIL — EVIDENCE",IF(AND(OR($Y134="Candidate Comparison",$Y134="Committee Review",$Y134="Approved for MASR",$Y134="Referred to PEW-004",$Y134="On Watch"),OR($O134&lt;&gt;"Active",$P134&lt;&gt;"CURRENT")),"FAIL — MIAR GATE",IF(AND(OR($Y134="Approved for MASR",$Y134="Referred to PEW-004",$Y134="On Watch",$Y134="Rejected",$Y134="Closed",$Y134="Removed"),OR($AD134="",$AD134="Pending")),"FAIL — COMMITTEE DISPOSITION",IF(AND($Y134="Referred to PEW-004",OR($AF134&lt;&gt;"Yes — Refer to PEW-004",$AG134="",$AJ134="")),"FAIL — PEW REFERRAL","PASS — STAGE GATE")))))))))</x:f>
      </x:c>
      <x:c r="AA134" s="1242"/>
      <x:c r="AB134" s="1251"/>
      <x:c r="AC134" s="1250" t="str">
        <x:f>IF($B134="","",IF($AQ134&lt;&gt;"",$AQ134-$B134,TODAY()-$B134))</x:f>
      </x:c>
      <x:c r="AD134" s="1242"/>
      <x:c r="AE134" s="1251"/>
      <x:c r="AF134" s="1242"/>
      <x:c r="AG134" s="1242"/>
      <x:c r="AH134" s="1246" t="str">
        <x:f>IF($AG134="","",IFERROR(INDEX('10 Candidate Comparison'!$T$14:$T$33,MATCH($AG134,'10 Candidate Comparison'!$A$14:$A$33,0)),""))</x:f>
      </x:c>
      <x:c r="AI134" s="1243" t="str">
        <x:f>IF($AG134="","",IFERROR(INDEX('10 Candidate Comparison'!$U$14:$U$33,MATCH($AG134,'10 Candidate Comparison'!$A$14:$A$33,0)),""))</x:f>
      </x:c>
      <x:c r="AJ134" s="1243" t="str">
        <x:f>IF($AG134="","",IFERROR(INDEX('10 Candidate Comparison'!$Y$14:$Y$33,MATCH($AG134,'10 Candidate Comparison'!$A$14:$A$33,0)),""))</x:f>
      </x:c>
      <x:c r="AK134" s="1244" t="str">
        <x:f>IF($A134="","",IF($Z134="FAIL — DUPLICATE ID","DUPLICATE CANDIDATE ID",IF($Z134="FAIL — INCOMPLETE","INCOMPLETE",IF($Z134="FAIL — MASR RECORD REQUIRED","MASR RECORD REQUIRED",IF($Z134="FAIL — ELIGIBILITY","ELIGIBILITY BLOCK",IF($Z134="FAIL — EVIDENCE","EVIDENCE REQUIRED",IF($Z134="FAIL — MIAR GATE","MIAR GATE BLOCK",IF($Z134="FAIL — COMMITTEE DISPOSITION","COMMITTEE DECISION REQUIRED",IF($Z134="FAIL — PEW REFERRAL","PEW REFERRAL INCOMPLETE",IF(AND(OR($Y134="Rejected",$Y134="Closed",$Y134="Removed"),OR($AO134="",$AP134="",$AQ134="")),"CLOSURE REQUIRED",IF(AND($AB134&lt;TODAY(),NOT(OR($Y134="Rejected",$Y134="Closed",$Y134="Removed"))),"OVERDUE",IF(OR($Y134="Rejected",$Y134="Closed",$Y134="Removed"),"CLOSED","OPEN — ON TRACK"))))))))))))</x:f>
      </x:c>
      <x:c r="AL134" s="1244" t="str">
        <x:f>IF($AK134="","",IFERROR(INDEX('97 RCC Lists'!$AM$5:$AM$16,MATCH($AK134,'97 RCC Lists'!$AL$5:$AL$16,0)),"Review candidate exception"))</x:f>
      </x:c>
      <x:c r="AM134" s="1242"/>
      <x:c r="AN134" s="1242"/>
      <x:c r="AO134" s="1242"/>
      <x:c r="AP134" s="1242"/>
      <x:c r="AQ134" s="1251"/>
    </x:row>
    <x:row r="135" ht="32" customHeight="1">
      <x:c r="A135" s="1242"/>
      <x:c r="B135" s="1251"/>
      <x:c r="C135" s="1242"/>
      <x:c r="D135" s="1252" t="str">
        <x:f>IF($C135="","",IFERROR(INDEX('23 RCC-004 MASR Registry'!$C$14:$C$163,MATCH($C135,'23 RCC-004 MASR Registry'!$B$14:$B$163,0)),""))</x:f>
      </x:c>
      <x:c r="E135" s="1242"/>
      <x:c r="F135" s="1242"/>
      <x:c r="G135" s="1242"/>
      <x:c r="H135" s="1242"/>
      <x:c r="I135" s="1252" t="str">
        <x:f>IF($C135="","",IFERROR(INDEX('23 RCC-004 MASR Registry'!$G$14:$G$163,MATCH($C135,'23 RCC-004 MASR Registry'!$B$14:$B$163,0)),""))</x:f>
      </x:c>
      <x:c r="J135" s="1252" t="str">
        <x:f>IF($C135="","",IFERROR(INDEX('23 RCC-004 MASR Registry'!$H$14:$H$163,MATCH($C135,'23 RCC-004 MASR Registry'!$B$14:$B$163,0)),""))</x:f>
      </x:c>
      <x:c r="K135" s="1252" t="str">
        <x:f>IF($C135="","",IFERROR(INDEX('23 RCC-004 MASR Registry'!$D$14:$D$163,MATCH($C135,'23 RCC-004 MASR Registry'!$B$14:$B$163,0)),""))</x:f>
      </x:c>
      <x:c r="L135" s="1252" t="str">
        <x:f>IF($C135="","",IFERROR(INDEX('23 RCC-004 MASR Registry'!$E$14:$E$163,MATCH($C135,'23 RCC-004 MASR Registry'!$B$14:$B$163,0)),""))</x:f>
      </x:c>
      <x:c r="M135" s="1252" t="str">
        <x:f>IF($C135="","",IFERROR(INDEX('23 RCC-004 MASR Registry'!$X$14:$X$163,MATCH($C135,'23 RCC-004 MASR Registry'!$B$14:$B$163,0)),""))</x:f>
      </x:c>
      <x:c r="N135" s="1252" t="str">
        <x:f>IF($C135="","",IFERROR(INDEX('23 RCC-004 MASR Registry'!$Y$14:$Y$163,MATCH($C135,'23 RCC-004 MASR Registry'!$B$14:$B$163,0)),""))</x:f>
      </x:c>
      <x:c r="O135" s="1252" t="str">
        <x:f>IF($C135="","",IFERROR(INDEX('23 RCC-004 MASR Registry'!$L$14:$L$163,MATCH($C135,'23 RCC-004 MASR Registry'!$B$14:$B$163,0)),""))</x:f>
      </x:c>
      <x:c r="P135" s="1252" t="str">
        <x:f>IF($C135="","",IFERROR(INDEX('23 RCC-004 MASR Registry'!$M$14:$M$163,MATCH($C135,'23 RCC-004 MASR Registry'!$B$14:$B$163,0)),""))</x:f>
      </x:c>
      <x:c r="Q135" s="1255" t="str">
        <x:f>IF($C135="","",IFERROR(INDEX('23 RCC-004 MASR Registry'!$N$14:$N$163,MATCH($C135,'23 RCC-004 MASR Registry'!$B$14:$B$163,0)),""))</x:f>
      </x:c>
      <x:c r="R135" s="1255" t="str">
        <x:f>IF($C135="","",IFERROR(INDEX('23 RCC-004 MASR Registry'!$O$14:$O$163,MATCH($C135,'23 RCC-004 MASR Registry'!$B$14:$B$163,0)),""))</x:f>
      </x:c>
      <x:c r="S135" s="1255" t="str">
        <x:f>IF($C135="","",IFERROR(INDEX('23 RCC-004 MASR Registry'!$W$14:$W$163,MATCH($C135,'23 RCC-004 MASR Registry'!$B$14:$B$163,0)),""))</x:f>
      </x:c>
      <x:c r="T135" s="1255" t="str">
        <x:f>IF($C135="","",IFERROR(INDEX('23 RCC-004 MASR Registry'!$T$14:$T$163,MATCH($C135,'23 RCC-004 MASR Registry'!$B$14:$B$163,0)),""))</x:f>
      </x:c>
      <x:c r="U135" s="1256" t="str">
        <x:f>IF($C135="","",IFERROR(INDEX('23 RCC-004 MASR Registry'!$U$14:$U$163,MATCH($C135,'23 RCC-004 MASR Registry'!$B$14:$B$163,0)),""))</x:f>
      </x:c>
      <x:c r="V135" s="1252" t="str">
        <x:f>IF($C135="","",IFERROR(INDEX('23 RCC-004 MASR Registry'!$V$14:$V$163,MATCH($C135,'23 RCC-004 MASR Registry'!$B$14:$B$163,0)),""))</x:f>
      </x:c>
      <x:c r="W135" s="1242"/>
      <x:c r="X135" s="1256" t="str">
        <x:f>IF($C135="","",COUNTIF('18 RCC-002 Evidence Ledger'!$E$14:$E$213,$C135))</x:f>
      </x:c>
      <x:c r="Y135" s="1242"/>
      <x:c r="Z135" s="1253" t="str">
        <x:f>IF($A135="","",IF(COUNTIF($A$14:$A$213,$A135)&gt;1,"FAIL — DUPLICATE ID",IF(OR($B135="",$C135="",$E135="",$H135="",$Y135="",$AA135="",$AB135=""),"FAIL — INCOMPLETE",IF(AND(OR($Y135="MIAR Review",$Y135="Eligibility Review",$Y135="Candidate Comparison",$Y135="Committee Review",$Y135="Approved for MASR",$Y135="Referred to PEW-004",$Y135="On Watch",$Y135="Rejected",$Y135="Closed",$Y135="Removed"),$K135=""),"FAIL — MASR RECORD REQUIRED",IF(AND(OR($Y135="Eligibility Review",$Y135="Candidate Comparison",$Y135="Committee Review",$Y135="Approved for MASR",$Y135="Referred to PEW-004",$Y135="On Watch"),NOT(OR($M135="ELIGIBLE",$M135="ELIGIBLE WITH EXCEPTION",$M135="CERTIFIED HOLDING"))),"FAIL — ELIGIBILITY",IF(AND(OR($Y135="Candidate Comparison",$Y135="Committee Review",$Y135="Approved for MASR",$Y135="Referred to PEW-004",$Y135="On Watch"),$X135=0),"FAIL — EVIDENCE",IF(AND(OR($Y135="Candidate Comparison",$Y135="Committee Review",$Y135="Approved for MASR",$Y135="Referred to PEW-004",$Y135="On Watch"),OR($O135&lt;&gt;"Active",$P135&lt;&gt;"CURRENT")),"FAIL — MIAR GATE",IF(AND(OR($Y135="Approved for MASR",$Y135="Referred to PEW-004",$Y135="On Watch",$Y135="Rejected",$Y135="Closed",$Y135="Removed"),OR($AD135="",$AD135="Pending")),"FAIL — COMMITTEE DISPOSITION",IF(AND($Y135="Referred to PEW-004",OR($AF135&lt;&gt;"Yes — Refer to PEW-004",$AG135="",$AJ135="")),"FAIL — PEW REFERRAL","PASS — STAGE GATE")))))))))</x:f>
      </x:c>
      <x:c r="AA135" s="1242"/>
      <x:c r="AB135" s="1251"/>
      <x:c r="AC135" s="1257" t="str">
        <x:f>IF($B135="","",IF($AQ135&lt;&gt;"",$AQ135-$B135,TODAY()-$B135))</x:f>
      </x:c>
      <x:c r="AD135" s="1242"/>
      <x:c r="AE135" s="1251"/>
      <x:c r="AF135" s="1242"/>
      <x:c r="AG135" s="1242"/>
      <x:c r="AH135" s="1255" t="str">
        <x:f>IF($AG135="","",IFERROR(INDEX('10 Candidate Comparison'!$T$14:$T$33,MATCH($AG135,'10 Candidate Comparison'!$A$14:$A$33,0)),""))</x:f>
      </x:c>
      <x:c r="AI135" s="1252" t="str">
        <x:f>IF($AG135="","",IFERROR(INDEX('10 Candidate Comparison'!$U$14:$U$33,MATCH($AG135,'10 Candidate Comparison'!$A$14:$A$33,0)),""))</x:f>
      </x:c>
      <x:c r="AJ135" s="1252" t="str">
        <x:f>IF($AG135="","",IFERROR(INDEX('10 Candidate Comparison'!$Y$14:$Y$33,MATCH($AG135,'10 Candidate Comparison'!$A$14:$A$33,0)),""))</x:f>
      </x:c>
      <x:c r="AK135" s="1253" t="str">
        <x:f>IF($A135="","",IF($Z135="FAIL — DUPLICATE ID","DUPLICATE CANDIDATE ID",IF($Z135="FAIL — INCOMPLETE","INCOMPLETE",IF($Z135="FAIL — MASR RECORD REQUIRED","MASR RECORD REQUIRED",IF($Z135="FAIL — ELIGIBILITY","ELIGIBILITY BLOCK",IF($Z135="FAIL — EVIDENCE","EVIDENCE REQUIRED",IF($Z135="FAIL — MIAR GATE","MIAR GATE BLOCK",IF($Z135="FAIL — COMMITTEE DISPOSITION","COMMITTEE DECISION REQUIRED",IF($Z135="FAIL — PEW REFERRAL","PEW REFERRAL INCOMPLETE",IF(AND(OR($Y135="Rejected",$Y135="Closed",$Y135="Removed"),OR($AO135="",$AP135="",$AQ135="")),"CLOSURE REQUIRED",IF(AND($AB135&lt;TODAY(),NOT(OR($Y135="Rejected",$Y135="Closed",$Y135="Removed"))),"OVERDUE",IF(OR($Y135="Rejected",$Y135="Closed",$Y135="Removed"),"CLOSED","OPEN — ON TRACK"))))))))))))</x:f>
      </x:c>
      <x:c r="AL135" s="1253" t="str">
        <x:f>IF($AK135="","",IFERROR(INDEX('97 RCC Lists'!$AM$5:$AM$16,MATCH($AK135,'97 RCC Lists'!$AL$5:$AL$16,0)),"Review candidate exception"))</x:f>
      </x:c>
      <x:c r="AM135" s="1242"/>
      <x:c r="AN135" s="1242"/>
      <x:c r="AO135" s="1242"/>
      <x:c r="AP135" s="1242"/>
      <x:c r="AQ135" s="1251"/>
    </x:row>
    <x:row r="136" ht="32" customHeight="1">
      <x:c r="A136" s="1242"/>
      <x:c r="B136" s="1251"/>
      <x:c r="C136" s="1242"/>
      <x:c r="D136" s="1243" t="str">
        <x:f>IF($C136="","",IFERROR(INDEX('23 RCC-004 MASR Registry'!$C$14:$C$163,MATCH($C136,'23 RCC-004 MASR Registry'!$B$14:$B$163,0)),""))</x:f>
      </x:c>
      <x:c r="E136" s="1242"/>
      <x:c r="F136" s="1242"/>
      <x:c r="G136" s="1242"/>
      <x:c r="H136" s="1242"/>
      <x:c r="I136" s="1243" t="str">
        <x:f>IF($C136="","",IFERROR(INDEX('23 RCC-004 MASR Registry'!$G$14:$G$163,MATCH($C136,'23 RCC-004 MASR Registry'!$B$14:$B$163,0)),""))</x:f>
      </x:c>
      <x:c r="J136" s="1243" t="str">
        <x:f>IF($C136="","",IFERROR(INDEX('23 RCC-004 MASR Registry'!$H$14:$H$163,MATCH($C136,'23 RCC-004 MASR Registry'!$B$14:$B$163,0)),""))</x:f>
      </x:c>
      <x:c r="K136" s="1243" t="str">
        <x:f>IF($C136="","",IFERROR(INDEX('23 RCC-004 MASR Registry'!$D$14:$D$163,MATCH($C136,'23 RCC-004 MASR Registry'!$B$14:$B$163,0)),""))</x:f>
      </x:c>
      <x:c r="L136" s="1243" t="str">
        <x:f>IF($C136="","",IFERROR(INDEX('23 RCC-004 MASR Registry'!$E$14:$E$163,MATCH($C136,'23 RCC-004 MASR Registry'!$B$14:$B$163,0)),""))</x:f>
      </x:c>
      <x:c r="M136" s="1243" t="str">
        <x:f>IF($C136="","",IFERROR(INDEX('23 RCC-004 MASR Registry'!$X$14:$X$163,MATCH($C136,'23 RCC-004 MASR Registry'!$B$14:$B$163,0)),""))</x:f>
      </x:c>
      <x:c r="N136" s="1243" t="str">
        <x:f>IF($C136="","",IFERROR(INDEX('23 RCC-004 MASR Registry'!$Y$14:$Y$163,MATCH($C136,'23 RCC-004 MASR Registry'!$B$14:$B$163,0)),""))</x:f>
      </x:c>
      <x:c r="O136" s="1243" t="str">
        <x:f>IF($C136="","",IFERROR(INDEX('23 RCC-004 MASR Registry'!$L$14:$L$163,MATCH($C136,'23 RCC-004 MASR Registry'!$B$14:$B$163,0)),""))</x:f>
      </x:c>
      <x:c r="P136" s="1243" t="str">
        <x:f>IF($C136="","",IFERROR(INDEX('23 RCC-004 MASR Registry'!$M$14:$M$163,MATCH($C136,'23 RCC-004 MASR Registry'!$B$14:$B$163,0)),""))</x:f>
      </x:c>
      <x:c r="Q136" s="1246" t="str">
        <x:f>IF($C136="","",IFERROR(INDEX('23 RCC-004 MASR Registry'!$N$14:$N$163,MATCH($C136,'23 RCC-004 MASR Registry'!$B$14:$B$163,0)),""))</x:f>
      </x:c>
      <x:c r="R136" s="1246" t="str">
        <x:f>IF($C136="","",IFERROR(INDEX('23 RCC-004 MASR Registry'!$O$14:$O$163,MATCH($C136,'23 RCC-004 MASR Registry'!$B$14:$B$163,0)),""))</x:f>
      </x:c>
      <x:c r="S136" s="1246" t="str">
        <x:f>IF($C136="","",IFERROR(INDEX('23 RCC-004 MASR Registry'!$W$14:$W$163,MATCH($C136,'23 RCC-004 MASR Registry'!$B$14:$B$163,0)),""))</x:f>
      </x:c>
      <x:c r="T136" s="1246" t="str">
        <x:f>IF($C136="","",IFERROR(INDEX('23 RCC-004 MASR Registry'!$T$14:$T$163,MATCH($C136,'23 RCC-004 MASR Registry'!$B$14:$B$163,0)),""))</x:f>
      </x:c>
      <x:c r="U136" s="1247" t="str">
        <x:f>IF($C136="","",IFERROR(INDEX('23 RCC-004 MASR Registry'!$U$14:$U$163,MATCH($C136,'23 RCC-004 MASR Registry'!$B$14:$B$163,0)),""))</x:f>
      </x:c>
      <x:c r="V136" s="1243" t="str">
        <x:f>IF($C136="","",IFERROR(INDEX('23 RCC-004 MASR Registry'!$V$14:$V$163,MATCH($C136,'23 RCC-004 MASR Registry'!$B$14:$B$163,0)),""))</x:f>
      </x:c>
      <x:c r="W136" s="1242"/>
      <x:c r="X136" s="1247" t="str">
        <x:f>IF($C136="","",COUNTIF('18 RCC-002 Evidence Ledger'!$E$14:$E$213,$C136))</x:f>
      </x:c>
      <x:c r="Y136" s="1242"/>
      <x:c r="Z136" s="1244" t="str">
        <x:f>IF($A136="","",IF(COUNTIF($A$14:$A$213,$A136)&gt;1,"FAIL — DUPLICATE ID",IF(OR($B136="",$C136="",$E136="",$H136="",$Y136="",$AA136="",$AB136=""),"FAIL — INCOMPLETE",IF(AND(OR($Y136="MIAR Review",$Y136="Eligibility Review",$Y136="Candidate Comparison",$Y136="Committee Review",$Y136="Approved for MASR",$Y136="Referred to PEW-004",$Y136="On Watch",$Y136="Rejected",$Y136="Closed",$Y136="Removed"),$K136=""),"FAIL — MASR RECORD REQUIRED",IF(AND(OR($Y136="Eligibility Review",$Y136="Candidate Comparison",$Y136="Committee Review",$Y136="Approved for MASR",$Y136="Referred to PEW-004",$Y136="On Watch"),NOT(OR($M136="ELIGIBLE",$M136="ELIGIBLE WITH EXCEPTION",$M136="CERTIFIED HOLDING"))),"FAIL — ELIGIBILITY",IF(AND(OR($Y136="Candidate Comparison",$Y136="Committee Review",$Y136="Approved for MASR",$Y136="Referred to PEW-004",$Y136="On Watch"),$X136=0),"FAIL — EVIDENCE",IF(AND(OR($Y136="Candidate Comparison",$Y136="Committee Review",$Y136="Approved for MASR",$Y136="Referred to PEW-004",$Y136="On Watch"),OR($O136&lt;&gt;"Active",$P136&lt;&gt;"CURRENT")),"FAIL — MIAR GATE",IF(AND(OR($Y136="Approved for MASR",$Y136="Referred to PEW-004",$Y136="On Watch",$Y136="Rejected",$Y136="Closed",$Y136="Removed"),OR($AD136="",$AD136="Pending")),"FAIL — COMMITTEE DISPOSITION",IF(AND($Y136="Referred to PEW-004",OR($AF136&lt;&gt;"Yes — Refer to PEW-004",$AG136="",$AJ136="")),"FAIL — PEW REFERRAL","PASS — STAGE GATE")))))))))</x:f>
      </x:c>
      <x:c r="AA136" s="1242"/>
      <x:c r="AB136" s="1251"/>
      <x:c r="AC136" s="1250" t="str">
        <x:f>IF($B136="","",IF($AQ136&lt;&gt;"",$AQ136-$B136,TODAY()-$B136))</x:f>
      </x:c>
      <x:c r="AD136" s="1242"/>
      <x:c r="AE136" s="1251"/>
      <x:c r="AF136" s="1242"/>
      <x:c r="AG136" s="1242"/>
      <x:c r="AH136" s="1246" t="str">
        <x:f>IF($AG136="","",IFERROR(INDEX('10 Candidate Comparison'!$T$14:$T$33,MATCH($AG136,'10 Candidate Comparison'!$A$14:$A$33,0)),""))</x:f>
      </x:c>
      <x:c r="AI136" s="1243" t="str">
        <x:f>IF($AG136="","",IFERROR(INDEX('10 Candidate Comparison'!$U$14:$U$33,MATCH($AG136,'10 Candidate Comparison'!$A$14:$A$33,0)),""))</x:f>
      </x:c>
      <x:c r="AJ136" s="1243" t="str">
        <x:f>IF($AG136="","",IFERROR(INDEX('10 Candidate Comparison'!$Y$14:$Y$33,MATCH($AG136,'10 Candidate Comparison'!$A$14:$A$33,0)),""))</x:f>
      </x:c>
      <x:c r="AK136" s="1244" t="str">
        <x:f>IF($A136="","",IF($Z136="FAIL — DUPLICATE ID","DUPLICATE CANDIDATE ID",IF($Z136="FAIL — INCOMPLETE","INCOMPLETE",IF($Z136="FAIL — MASR RECORD REQUIRED","MASR RECORD REQUIRED",IF($Z136="FAIL — ELIGIBILITY","ELIGIBILITY BLOCK",IF($Z136="FAIL — EVIDENCE","EVIDENCE REQUIRED",IF($Z136="FAIL — MIAR GATE","MIAR GATE BLOCK",IF($Z136="FAIL — COMMITTEE DISPOSITION","COMMITTEE DECISION REQUIRED",IF($Z136="FAIL — PEW REFERRAL","PEW REFERRAL INCOMPLETE",IF(AND(OR($Y136="Rejected",$Y136="Closed",$Y136="Removed"),OR($AO136="",$AP136="",$AQ136="")),"CLOSURE REQUIRED",IF(AND($AB136&lt;TODAY(),NOT(OR($Y136="Rejected",$Y136="Closed",$Y136="Removed"))),"OVERDUE",IF(OR($Y136="Rejected",$Y136="Closed",$Y136="Removed"),"CLOSED","OPEN — ON TRACK"))))))))))))</x:f>
      </x:c>
      <x:c r="AL136" s="1244" t="str">
        <x:f>IF($AK136="","",IFERROR(INDEX('97 RCC Lists'!$AM$5:$AM$16,MATCH($AK136,'97 RCC Lists'!$AL$5:$AL$16,0)),"Review candidate exception"))</x:f>
      </x:c>
      <x:c r="AM136" s="1242"/>
      <x:c r="AN136" s="1242"/>
      <x:c r="AO136" s="1242"/>
      <x:c r="AP136" s="1242"/>
      <x:c r="AQ136" s="1251"/>
    </x:row>
    <x:row r="137" ht="32" customHeight="1">
      <x:c r="A137" s="1242"/>
      <x:c r="B137" s="1251"/>
      <x:c r="C137" s="1242"/>
      <x:c r="D137" s="1252" t="str">
        <x:f>IF($C137="","",IFERROR(INDEX('23 RCC-004 MASR Registry'!$C$14:$C$163,MATCH($C137,'23 RCC-004 MASR Registry'!$B$14:$B$163,0)),""))</x:f>
      </x:c>
      <x:c r="E137" s="1242"/>
      <x:c r="F137" s="1242"/>
      <x:c r="G137" s="1242"/>
      <x:c r="H137" s="1242"/>
      <x:c r="I137" s="1252" t="str">
        <x:f>IF($C137="","",IFERROR(INDEX('23 RCC-004 MASR Registry'!$G$14:$G$163,MATCH($C137,'23 RCC-004 MASR Registry'!$B$14:$B$163,0)),""))</x:f>
      </x:c>
      <x:c r="J137" s="1252" t="str">
        <x:f>IF($C137="","",IFERROR(INDEX('23 RCC-004 MASR Registry'!$H$14:$H$163,MATCH($C137,'23 RCC-004 MASR Registry'!$B$14:$B$163,0)),""))</x:f>
      </x:c>
      <x:c r="K137" s="1252" t="str">
        <x:f>IF($C137="","",IFERROR(INDEX('23 RCC-004 MASR Registry'!$D$14:$D$163,MATCH($C137,'23 RCC-004 MASR Registry'!$B$14:$B$163,0)),""))</x:f>
      </x:c>
      <x:c r="L137" s="1252" t="str">
        <x:f>IF($C137="","",IFERROR(INDEX('23 RCC-004 MASR Registry'!$E$14:$E$163,MATCH($C137,'23 RCC-004 MASR Registry'!$B$14:$B$163,0)),""))</x:f>
      </x:c>
      <x:c r="M137" s="1252" t="str">
        <x:f>IF($C137="","",IFERROR(INDEX('23 RCC-004 MASR Registry'!$X$14:$X$163,MATCH($C137,'23 RCC-004 MASR Registry'!$B$14:$B$163,0)),""))</x:f>
      </x:c>
      <x:c r="N137" s="1252" t="str">
        <x:f>IF($C137="","",IFERROR(INDEX('23 RCC-004 MASR Registry'!$Y$14:$Y$163,MATCH($C137,'23 RCC-004 MASR Registry'!$B$14:$B$163,0)),""))</x:f>
      </x:c>
      <x:c r="O137" s="1252" t="str">
        <x:f>IF($C137="","",IFERROR(INDEX('23 RCC-004 MASR Registry'!$L$14:$L$163,MATCH($C137,'23 RCC-004 MASR Registry'!$B$14:$B$163,0)),""))</x:f>
      </x:c>
      <x:c r="P137" s="1252" t="str">
        <x:f>IF($C137="","",IFERROR(INDEX('23 RCC-004 MASR Registry'!$M$14:$M$163,MATCH($C137,'23 RCC-004 MASR Registry'!$B$14:$B$163,0)),""))</x:f>
      </x:c>
      <x:c r="Q137" s="1255" t="str">
        <x:f>IF($C137="","",IFERROR(INDEX('23 RCC-004 MASR Registry'!$N$14:$N$163,MATCH($C137,'23 RCC-004 MASR Registry'!$B$14:$B$163,0)),""))</x:f>
      </x:c>
      <x:c r="R137" s="1255" t="str">
        <x:f>IF($C137="","",IFERROR(INDEX('23 RCC-004 MASR Registry'!$O$14:$O$163,MATCH($C137,'23 RCC-004 MASR Registry'!$B$14:$B$163,0)),""))</x:f>
      </x:c>
      <x:c r="S137" s="1255" t="str">
        <x:f>IF($C137="","",IFERROR(INDEX('23 RCC-004 MASR Registry'!$W$14:$W$163,MATCH($C137,'23 RCC-004 MASR Registry'!$B$14:$B$163,0)),""))</x:f>
      </x:c>
      <x:c r="T137" s="1255" t="str">
        <x:f>IF($C137="","",IFERROR(INDEX('23 RCC-004 MASR Registry'!$T$14:$T$163,MATCH($C137,'23 RCC-004 MASR Registry'!$B$14:$B$163,0)),""))</x:f>
      </x:c>
      <x:c r="U137" s="1256" t="str">
        <x:f>IF($C137="","",IFERROR(INDEX('23 RCC-004 MASR Registry'!$U$14:$U$163,MATCH($C137,'23 RCC-004 MASR Registry'!$B$14:$B$163,0)),""))</x:f>
      </x:c>
      <x:c r="V137" s="1252" t="str">
        <x:f>IF($C137="","",IFERROR(INDEX('23 RCC-004 MASR Registry'!$V$14:$V$163,MATCH($C137,'23 RCC-004 MASR Registry'!$B$14:$B$163,0)),""))</x:f>
      </x:c>
      <x:c r="W137" s="1242"/>
      <x:c r="X137" s="1256" t="str">
        <x:f>IF($C137="","",COUNTIF('18 RCC-002 Evidence Ledger'!$E$14:$E$213,$C137))</x:f>
      </x:c>
      <x:c r="Y137" s="1242"/>
      <x:c r="Z137" s="1253" t="str">
        <x:f>IF($A137="","",IF(COUNTIF($A$14:$A$213,$A137)&gt;1,"FAIL — DUPLICATE ID",IF(OR($B137="",$C137="",$E137="",$H137="",$Y137="",$AA137="",$AB137=""),"FAIL — INCOMPLETE",IF(AND(OR($Y137="MIAR Review",$Y137="Eligibility Review",$Y137="Candidate Comparison",$Y137="Committee Review",$Y137="Approved for MASR",$Y137="Referred to PEW-004",$Y137="On Watch",$Y137="Rejected",$Y137="Closed",$Y137="Removed"),$K137=""),"FAIL — MASR RECORD REQUIRED",IF(AND(OR($Y137="Eligibility Review",$Y137="Candidate Comparison",$Y137="Committee Review",$Y137="Approved for MASR",$Y137="Referred to PEW-004",$Y137="On Watch"),NOT(OR($M137="ELIGIBLE",$M137="ELIGIBLE WITH EXCEPTION",$M137="CERTIFIED HOLDING"))),"FAIL — ELIGIBILITY",IF(AND(OR($Y137="Candidate Comparison",$Y137="Committee Review",$Y137="Approved for MASR",$Y137="Referred to PEW-004",$Y137="On Watch"),$X137=0),"FAIL — EVIDENCE",IF(AND(OR($Y137="Candidate Comparison",$Y137="Committee Review",$Y137="Approved for MASR",$Y137="Referred to PEW-004",$Y137="On Watch"),OR($O137&lt;&gt;"Active",$P137&lt;&gt;"CURRENT")),"FAIL — MIAR GATE",IF(AND(OR($Y137="Approved for MASR",$Y137="Referred to PEW-004",$Y137="On Watch",$Y137="Rejected",$Y137="Closed",$Y137="Removed"),OR($AD137="",$AD137="Pending")),"FAIL — COMMITTEE DISPOSITION",IF(AND($Y137="Referred to PEW-004",OR($AF137&lt;&gt;"Yes — Refer to PEW-004",$AG137="",$AJ137="")),"FAIL — PEW REFERRAL","PASS — STAGE GATE")))))))))</x:f>
      </x:c>
      <x:c r="AA137" s="1242"/>
      <x:c r="AB137" s="1251"/>
      <x:c r="AC137" s="1257" t="str">
        <x:f>IF($B137="","",IF($AQ137&lt;&gt;"",$AQ137-$B137,TODAY()-$B137))</x:f>
      </x:c>
      <x:c r="AD137" s="1242"/>
      <x:c r="AE137" s="1251"/>
      <x:c r="AF137" s="1242"/>
      <x:c r="AG137" s="1242"/>
      <x:c r="AH137" s="1255" t="str">
        <x:f>IF($AG137="","",IFERROR(INDEX('10 Candidate Comparison'!$T$14:$T$33,MATCH($AG137,'10 Candidate Comparison'!$A$14:$A$33,0)),""))</x:f>
      </x:c>
      <x:c r="AI137" s="1252" t="str">
        <x:f>IF($AG137="","",IFERROR(INDEX('10 Candidate Comparison'!$U$14:$U$33,MATCH($AG137,'10 Candidate Comparison'!$A$14:$A$33,0)),""))</x:f>
      </x:c>
      <x:c r="AJ137" s="1252" t="str">
        <x:f>IF($AG137="","",IFERROR(INDEX('10 Candidate Comparison'!$Y$14:$Y$33,MATCH($AG137,'10 Candidate Comparison'!$A$14:$A$33,0)),""))</x:f>
      </x:c>
      <x:c r="AK137" s="1253" t="str">
        <x:f>IF($A137="","",IF($Z137="FAIL — DUPLICATE ID","DUPLICATE CANDIDATE ID",IF($Z137="FAIL — INCOMPLETE","INCOMPLETE",IF($Z137="FAIL — MASR RECORD REQUIRED","MASR RECORD REQUIRED",IF($Z137="FAIL — ELIGIBILITY","ELIGIBILITY BLOCK",IF($Z137="FAIL — EVIDENCE","EVIDENCE REQUIRED",IF($Z137="FAIL — MIAR GATE","MIAR GATE BLOCK",IF($Z137="FAIL — COMMITTEE DISPOSITION","COMMITTEE DECISION REQUIRED",IF($Z137="FAIL — PEW REFERRAL","PEW REFERRAL INCOMPLETE",IF(AND(OR($Y137="Rejected",$Y137="Closed",$Y137="Removed"),OR($AO137="",$AP137="",$AQ137="")),"CLOSURE REQUIRED",IF(AND($AB137&lt;TODAY(),NOT(OR($Y137="Rejected",$Y137="Closed",$Y137="Removed"))),"OVERDUE",IF(OR($Y137="Rejected",$Y137="Closed",$Y137="Removed"),"CLOSED","OPEN — ON TRACK"))))))))))))</x:f>
      </x:c>
      <x:c r="AL137" s="1253" t="str">
        <x:f>IF($AK137="","",IFERROR(INDEX('97 RCC Lists'!$AM$5:$AM$16,MATCH($AK137,'97 RCC Lists'!$AL$5:$AL$16,0)),"Review candidate exception"))</x:f>
      </x:c>
      <x:c r="AM137" s="1242"/>
      <x:c r="AN137" s="1242"/>
      <x:c r="AO137" s="1242"/>
      <x:c r="AP137" s="1242"/>
      <x:c r="AQ137" s="1251"/>
    </x:row>
    <x:row r="138" ht="32" customHeight="1">
      <x:c r="A138" s="1242"/>
      <x:c r="B138" s="1251"/>
      <x:c r="C138" s="1242"/>
      <x:c r="D138" s="1243" t="str">
        <x:f>IF($C138="","",IFERROR(INDEX('23 RCC-004 MASR Registry'!$C$14:$C$163,MATCH($C138,'23 RCC-004 MASR Registry'!$B$14:$B$163,0)),""))</x:f>
      </x:c>
      <x:c r="E138" s="1242"/>
      <x:c r="F138" s="1242"/>
      <x:c r="G138" s="1242"/>
      <x:c r="H138" s="1242"/>
      <x:c r="I138" s="1243" t="str">
        <x:f>IF($C138="","",IFERROR(INDEX('23 RCC-004 MASR Registry'!$G$14:$G$163,MATCH($C138,'23 RCC-004 MASR Registry'!$B$14:$B$163,0)),""))</x:f>
      </x:c>
      <x:c r="J138" s="1243" t="str">
        <x:f>IF($C138="","",IFERROR(INDEX('23 RCC-004 MASR Registry'!$H$14:$H$163,MATCH($C138,'23 RCC-004 MASR Registry'!$B$14:$B$163,0)),""))</x:f>
      </x:c>
      <x:c r="K138" s="1243" t="str">
        <x:f>IF($C138="","",IFERROR(INDEX('23 RCC-004 MASR Registry'!$D$14:$D$163,MATCH($C138,'23 RCC-004 MASR Registry'!$B$14:$B$163,0)),""))</x:f>
      </x:c>
      <x:c r="L138" s="1243" t="str">
        <x:f>IF($C138="","",IFERROR(INDEX('23 RCC-004 MASR Registry'!$E$14:$E$163,MATCH($C138,'23 RCC-004 MASR Registry'!$B$14:$B$163,0)),""))</x:f>
      </x:c>
      <x:c r="M138" s="1243" t="str">
        <x:f>IF($C138="","",IFERROR(INDEX('23 RCC-004 MASR Registry'!$X$14:$X$163,MATCH($C138,'23 RCC-004 MASR Registry'!$B$14:$B$163,0)),""))</x:f>
      </x:c>
      <x:c r="N138" s="1243" t="str">
        <x:f>IF($C138="","",IFERROR(INDEX('23 RCC-004 MASR Registry'!$Y$14:$Y$163,MATCH($C138,'23 RCC-004 MASR Registry'!$B$14:$B$163,0)),""))</x:f>
      </x:c>
      <x:c r="O138" s="1243" t="str">
        <x:f>IF($C138="","",IFERROR(INDEX('23 RCC-004 MASR Registry'!$L$14:$L$163,MATCH($C138,'23 RCC-004 MASR Registry'!$B$14:$B$163,0)),""))</x:f>
      </x:c>
      <x:c r="P138" s="1243" t="str">
        <x:f>IF($C138="","",IFERROR(INDEX('23 RCC-004 MASR Registry'!$M$14:$M$163,MATCH($C138,'23 RCC-004 MASR Registry'!$B$14:$B$163,0)),""))</x:f>
      </x:c>
      <x:c r="Q138" s="1246" t="str">
        <x:f>IF($C138="","",IFERROR(INDEX('23 RCC-004 MASR Registry'!$N$14:$N$163,MATCH($C138,'23 RCC-004 MASR Registry'!$B$14:$B$163,0)),""))</x:f>
      </x:c>
      <x:c r="R138" s="1246" t="str">
        <x:f>IF($C138="","",IFERROR(INDEX('23 RCC-004 MASR Registry'!$O$14:$O$163,MATCH($C138,'23 RCC-004 MASR Registry'!$B$14:$B$163,0)),""))</x:f>
      </x:c>
      <x:c r="S138" s="1246" t="str">
        <x:f>IF($C138="","",IFERROR(INDEX('23 RCC-004 MASR Registry'!$W$14:$W$163,MATCH($C138,'23 RCC-004 MASR Registry'!$B$14:$B$163,0)),""))</x:f>
      </x:c>
      <x:c r="T138" s="1246" t="str">
        <x:f>IF($C138="","",IFERROR(INDEX('23 RCC-004 MASR Registry'!$T$14:$T$163,MATCH($C138,'23 RCC-004 MASR Registry'!$B$14:$B$163,0)),""))</x:f>
      </x:c>
      <x:c r="U138" s="1247" t="str">
        <x:f>IF($C138="","",IFERROR(INDEX('23 RCC-004 MASR Registry'!$U$14:$U$163,MATCH($C138,'23 RCC-004 MASR Registry'!$B$14:$B$163,0)),""))</x:f>
      </x:c>
      <x:c r="V138" s="1243" t="str">
        <x:f>IF($C138="","",IFERROR(INDEX('23 RCC-004 MASR Registry'!$V$14:$V$163,MATCH($C138,'23 RCC-004 MASR Registry'!$B$14:$B$163,0)),""))</x:f>
      </x:c>
      <x:c r="W138" s="1242"/>
      <x:c r="X138" s="1247" t="str">
        <x:f>IF($C138="","",COUNTIF('18 RCC-002 Evidence Ledger'!$E$14:$E$213,$C138))</x:f>
      </x:c>
      <x:c r="Y138" s="1242"/>
      <x:c r="Z138" s="1244" t="str">
        <x:f>IF($A138="","",IF(COUNTIF($A$14:$A$213,$A138)&gt;1,"FAIL — DUPLICATE ID",IF(OR($B138="",$C138="",$E138="",$H138="",$Y138="",$AA138="",$AB138=""),"FAIL — INCOMPLETE",IF(AND(OR($Y138="MIAR Review",$Y138="Eligibility Review",$Y138="Candidate Comparison",$Y138="Committee Review",$Y138="Approved for MASR",$Y138="Referred to PEW-004",$Y138="On Watch",$Y138="Rejected",$Y138="Closed",$Y138="Removed"),$K138=""),"FAIL — MASR RECORD REQUIRED",IF(AND(OR($Y138="Eligibility Review",$Y138="Candidate Comparison",$Y138="Committee Review",$Y138="Approved for MASR",$Y138="Referred to PEW-004",$Y138="On Watch"),NOT(OR($M138="ELIGIBLE",$M138="ELIGIBLE WITH EXCEPTION",$M138="CERTIFIED HOLDING"))),"FAIL — ELIGIBILITY",IF(AND(OR($Y138="Candidate Comparison",$Y138="Committee Review",$Y138="Approved for MASR",$Y138="Referred to PEW-004",$Y138="On Watch"),$X138=0),"FAIL — EVIDENCE",IF(AND(OR($Y138="Candidate Comparison",$Y138="Committee Review",$Y138="Approved for MASR",$Y138="Referred to PEW-004",$Y138="On Watch"),OR($O138&lt;&gt;"Active",$P138&lt;&gt;"CURRENT")),"FAIL — MIAR GATE",IF(AND(OR($Y138="Approved for MASR",$Y138="Referred to PEW-004",$Y138="On Watch",$Y138="Rejected",$Y138="Closed",$Y138="Removed"),OR($AD138="",$AD138="Pending")),"FAIL — COMMITTEE DISPOSITION",IF(AND($Y138="Referred to PEW-004",OR($AF138&lt;&gt;"Yes — Refer to PEW-004",$AG138="",$AJ138="")),"FAIL — PEW REFERRAL","PASS — STAGE GATE")))))))))</x:f>
      </x:c>
      <x:c r="AA138" s="1242"/>
      <x:c r="AB138" s="1251"/>
      <x:c r="AC138" s="1250" t="str">
        <x:f>IF($B138="","",IF($AQ138&lt;&gt;"",$AQ138-$B138,TODAY()-$B138))</x:f>
      </x:c>
      <x:c r="AD138" s="1242"/>
      <x:c r="AE138" s="1251"/>
      <x:c r="AF138" s="1242"/>
      <x:c r="AG138" s="1242"/>
      <x:c r="AH138" s="1246" t="str">
        <x:f>IF($AG138="","",IFERROR(INDEX('10 Candidate Comparison'!$T$14:$T$33,MATCH($AG138,'10 Candidate Comparison'!$A$14:$A$33,0)),""))</x:f>
      </x:c>
      <x:c r="AI138" s="1243" t="str">
        <x:f>IF($AG138="","",IFERROR(INDEX('10 Candidate Comparison'!$U$14:$U$33,MATCH($AG138,'10 Candidate Comparison'!$A$14:$A$33,0)),""))</x:f>
      </x:c>
      <x:c r="AJ138" s="1243" t="str">
        <x:f>IF($AG138="","",IFERROR(INDEX('10 Candidate Comparison'!$Y$14:$Y$33,MATCH($AG138,'10 Candidate Comparison'!$A$14:$A$33,0)),""))</x:f>
      </x:c>
      <x:c r="AK138" s="1244" t="str">
        <x:f>IF($A138="","",IF($Z138="FAIL — DUPLICATE ID","DUPLICATE CANDIDATE ID",IF($Z138="FAIL — INCOMPLETE","INCOMPLETE",IF($Z138="FAIL — MASR RECORD REQUIRED","MASR RECORD REQUIRED",IF($Z138="FAIL — ELIGIBILITY","ELIGIBILITY BLOCK",IF($Z138="FAIL — EVIDENCE","EVIDENCE REQUIRED",IF($Z138="FAIL — MIAR GATE","MIAR GATE BLOCK",IF($Z138="FAIL — COMMITTEE DISPOSITION","COMMITTEE DECISION REQUIRED",IF($Z138="FAIL — PEW REFERRAL","PEW REFERRAL INCOMPLETE",IF(AND(OR($Y138="Rejected",$Y138="Closed",$Y138="Removed"),OR($AO138="",$AP138="",$AQ138="")),"CLOSURE REQUIRED",IF(AND($AB138&lt;TODAY(),NOT(OR($Y138="Rejected",$Y138="Closed",$Y138="Removed"))),"OVERDUE",IF(OR($Y138="Rejected",$Y138="Closed",$Y138="Removed"),"CLOSED","OPEN — ON TRACK"))))))))))))</x:f>
      </x:c>
      <x:c r="AL138" s="1244" t="str">
        <x:f>IF($AK138="","",IFERROR(INDEX('97 RCC Lists'!$AM$5:$AM$16,MATCH($AK138,'97 RCC Lists'!$AL$5:$AL$16,0)),"Review candidate exception"))</x:f>
      </x:c>
      <x:c r="AM138" s="1242"/>
      <x:c r="AN138" s="1242"/>
      <x:c r="AO138" s="1242"/>
      <x:c r="AP138" s="1242"/>
      <x:c r="AQ138" s="1251"/>
    </x:row>
    <x:row r="139" ht="32" customHeight="1">
      <x:c r="A139" s="1242"/>
      <x:c r="B139" s="1251"/>
      <x:c r="C139" s="1242"/>
      <x:c r="D139" s="1252" t="str">
        <x:f>IF($C139="","",IFERROR(INDEX('23 RCC-004 MASR Registry'!$C$14:$C$163,MATCH($C139,'23 RCC-004 MASR Registry'!$B$14:$B$163,0)),""))</x:f>
      </x:c>
      <x:c r="E139" s="1242"/>
      <x:c r="F139" s="1242"/>
      <x:c r="G139" s="1242"/>
      <x:c r="H139" s="1242"/>
      <x:c r="I139" s="1252" t="str">
        <x:f>IF($C139="","",IFERROR(INDEX('23 RCC-004 MASR Registry'!$G$14:$G$163,MATCH($C139,'23 RCC-004 MASR Registry'!$B$14:$B$163,0)),""))</x:f>
      </x:c>
      <x:c r="J139" s="1252" t="str">
        <x:f>IF($C139="","",IFERROR(INDEX('23 RCC-004 MASR Registry'!$H$14:$H$163,MATCH($C139,'23 RCC-004 MASR Registry'!$B$14:$B$163,0)),""))</x:f>
      </x:c>
      <x:c r="K139" s="1252" t="str">
        <x:f>IF($C139="","",IFERROR(INDEX('23 RCC-004 MASR Registry'!$D$14:$D$163,MATCH($C139,'23 RCC-004 MASR Registry'!$B$14:$B$163,0)),""))</x:f>
      </x:c>
      <x:c r="L139" s="1252" t="str">
        <x:f>IF($C139="","",IFERROR(INDEX('23 RCC-004 MASR Registry'!$E$14:$E$163,MATCH($C139,'23 RCC-004 MASR Registry'!$B$14:$B$163,0)),""))</x:f>
      </x:c>
      <x:c r="M139" s="1252" t="str">
        <x:f>IF($C139="","",IFERROR(INDEX('23 RCC-004 MASR Registry'!$X$14:$X$163,MATCH($C139,'23 RCC-004 MASR Registry'!$B$14:$B$163,0)),""))</x:f>
      </x:c>
      <x:c r="N139" s="1252" t="str">
        <x:f>IF($C139="","",IFERROR(INDEX('23 RCC-004 MASR Registry'!$Y$14:$Y$163,MATCH($C139,'23 RCC-004 MASR Registry'!$B$14:$B$163,0)),""))</x:f>
      </x:c>
      <x:c r="O139" s="1252" t="str">
        <x:f>IF($C139="","",IFERROR(INDEX('23 RCC-004 MASR Registry'!$L$14:$L$163,MATCH($C139,'23 RCC-004 MASR Registry'!$B$14:$B$163,0)),""))</x:f>
      </x:c>
      <x:c r="P139" s="1252" t="str">
        <x:f>IF($C139="","",IFERROR(INDEX('23 RCC-004 MASR Registry'!$M$14:$M$163,MATCH($C139,'23 RCC-004 MASR Registry'!$B$14:$B$163,0)),""))</x:f>
      </x:c>
      <x:c r="Q139" s="1255" t="str">
        <x:f>IF($C139="","",IFERROR(INDEX('23 RCC-004 MASR Registry'!$N$14:$N$163,MATCH($C139,'23 RCC-004 MASR Registry'!$B$14:$B$163,0)),""))</x:f>
      </x:c>
      <x:c r="R139" s="1255" t="str">
        <x:f>IF($C139="","",IFERROR(INDEX('23 RCC-004 MASR Registry'!$O$14:$O$163,MATCH($C139,'23 RCC-004 MASR Registry'!$B$14:$B$163,0)),""))</x:f>
      </x:c>
      <x:c r="S139" s="1255" t="str">
        <x:f>IF($C139="","",IFERROR(INDEX('23 RCC-004 MASR Registry'!$W$14:$W$163,MATCH($C139,'23 RCC-004 MASR Registry'!$B$14:$B$163,0)),""))</x:f>
      </x:c>
      <x:c r="T139" s="1255" t="str">
        <x:f>IF($C139="","",IFERROR(INDEX('23 RCC-004 MASR Registry'!$T$14:$T$163,MATCH($C139,'23 RCC-004 MASR Registry'!$B$14:$B$163,0)),""))</x:f>
      </x:c>
      <x:c r="U139" s="1256" t="str">
        <x:f>IF($C139="","",IFERROR(INDEX('23 RCC-004 MASR Registry'!$U$14:$U$163,MATCH($C139,'23 RCC-004 MASR Registry'!$B$14:$B$163,0)),""))</x:f>
      </x:c>
      <x:c r="V139" s="1252" t="str">
        <x:f>IF($C139="","",IFERROR(INDEX('23 RCC-004 MASR Registry'!$V$14:$V$163,MATCH($C139,'23 RCC-004 MASR Registry'!$B$14:$B$163,0)),""))</x:f>
      </x:c>
      <x:c r="W139" s="1242"/>
      <x:c r="X139" s="1256" t="str">
        <x:f>IF($C139="","",COUNTIF('18 RCC-002 Evidence Ledger'!$E$14:$E$213,$C139))</x:f>
      </x:c>
      <x:c r="Y139" s="1242"/>
      <x:c r="Z139" s="1253" t="str">
        <x:f>IF($A139="","",IF(COUNTIF($A$14:$A$213,$A139)&gt;1,"FAIL — DUPLICATE ID",IF(OR($B139="",$C139="",$E139="",$H139="",$Y139="",$AA139="",$AB139=""),"FAIL — INCOMPLETE",IF(AND(OR($Y139="MIAR Review",$Y139="Eligibility Review",$Y139="Candidate Comparison",$Y139="Committee Review",$Y139="Approved for MASR",$Y139="Referred to PEW-004",$Y139="On Watch",$Y139="Rejected",$Y139="Closed",$Y139="Removed"),$K139=""),"FAIL — MASR RECORD REQUIRED",IF(AND(OR($Y139="Eligibility Review",$Y139="Candidate Comparison",$Y139="Committee Review",$Y139="Approved for MASR",$Y139="Referred to PEW-004",$Y139="On Watch"),NOT(OR($M139="ELIGIBLE",$M139="ELIGIBLE WITH EXCEPTION",$M139="CERTIFIED HOLDING"))),"FAIL — ELIGIBILITY",IF(AND(OR($Y139="Candidate Comparison",$Y139="Committee Review",$Y139="Approved for MASR",$Y139="Referred to PEW-004",$Y139="On Watch"),$X139=0),"FAIL — EVIDENCE",IF(AND(OR($Y139="Candidate Comparison",$Y139="Committee Review",$Y139="Approved for MASR",$Y139="Referred to PEW-004",$Y139="On Watch"),OR($O139&lt;&gt;"Active",$P139&lt;&gt;"CURRENT")),"FAIL — MIAR GATE",IF(AND(OR($Y139="Approved for MASR",$Y139="Referred to PEW-004",$Y139="On Watch",$Y139="Rejected",$Y139="Closed",$Y139="Removed"),OR($AD139="",$AD139="Pending")),"FAIL — COMMITTEE DISPOSITION",IF(AND($Y139="Referred to PEW-004",OR($AF139&lt;&gt;"Yes — Refer to PEW-004",$AG139="",$AJ139="")),"FAIL — PEW REFERRAL","PASS — STAGE GATE")))))))))</x:f>
      </x:c>
      <x:c r="AA139" s="1242"/>
      <x:c r="AB139" s="1251"/>
      <x:c r="AC139" s="1257" t="str">
        <x:f>IF($B139="","",IF($AQ139&lt;&gt;"",$AQ139-$B139,TODAY()-$B139))</x:f>
      </x:c>
      <x:c r="AD139" s="1242"/>
      <x:c r="AE139" s="1251"/>
      <x:c r="AF139" s="1242"/>
      <x:c r="AG139" s="1242"/>
      <x:c r="AH139" s="1255" t="str">
        <x:f>IF($AG139="","",IFERROR(INDEX('10 Candidate Comparison'!$T$14:$T$33,MATCH($AG139,'10 Candidate Comparison'!$A$14:$A$33,0)),""))</x:f>
      </x:c>
      <x:c r="AI139" s="1252" t="str">
        <x:f>IF($AG139="","",IFERROR(INDEX('10 Candidate Comparison'!$U$14:$U$33,MATCH($AG139,'10 Candidate Comparison'!$A$14:$A$33,0)),""))</x:f>
      </x:c>
      <x:c r="AJ139" s="1252" t="str">
        <x:f>IF($AG139="","",IFERROR(INDEX('10 Candidate Comparison'!$Y$14:$Y$33,MATCH($AG139,'10 Candidate Comparison'!$A$14:$A$33,0)),""))</x:f>
      </x:c>
      <x:c r="AK139" s="1253" t="str">
        <x:f>IF($A139="","",IF($Z139="FAIL — DUPLICATE ID","DUPLICATE CANDIDATE ID",IF($Z139="FAIL — INCOMPLETE","INCOMPLETE",IF($Z139="FAIL — MASR RECORD REQUIRED","MASR RECORD REQUIRED",IF($Z139="FAIL — ELIGIBILITY","ELIGIBILITY BLOCK",IF($Z139="FAIL — EVIDENCE","EVIDENCE REQUIRED",IF($Z139="FAIL — MIAR GATE","MIAR GATE BLOCK",IF($Z139="FAIL — COMMITTEE DISPOSITION","COMMITTEE DECISION REQUIRED",IF($Z139="FAIL — PEW REFERRAL","PEW REFERRAL INCOMPLETE",IF(AND(OR($Y139="Rejected",$Y139="Closed",$Y139="Removed"),OR($AO139="",$AP139="",$AQ139="")),"CLOSURE REQUIRED",IF(AND($AB139&lt;TODAY(),NOT(OR($Y139="Rejected",$Y139="Closed",$Y139="Removed"))),"OVERDUE",IF(OR($Y139="Rejected",$Y139="Closed",$Y139="Removed"),"CLOSED","OPEN — ON TRACK"))))))))))))</x:f>
      </x:c>
      <x:c r="AL139" s="1253" t="str">
        <x:f>IF($AK139="","",IFERROR(INDEX('97 RCC Lists'!$AM$5:$AM$16,MATCH($AK139,'97 RCC Lists'!$AL$5:$AL$16,0)),"Review candidate exception"))</x:f>
      </x:c>
      <x:c r="AM139" s="1242"/>
      <x:c r="AN139" s="1242"/>
      <x:c r="AO139" s="1242"/>
      <x:c r="AP139" s="1242"/>
      <x:c r="AQ139" s="1251"/>
    </x:row>
    <x:row r="140" ht="32" customHeight="1">
      <x:c r="A140" s="1242"/>
      <x:c r="B140" s="1251"/>
      <x:c r="C140" s="1242"/>
      <x:c r="D140" s="1243" t="str">
        <x:f>IF($C140="","",IFERROR(INDEX('23 RCC-004 MASR Registry'!$C$14:$C$163,MATCH($C140,'23 RCC-004 MASR Registry'!$B$14:$B$163,0)),""))</x:f>
      </x:c>
      <x:c r="E140" s="1242"/>
      <x:c r="F140" s="1242"/>
      <x:c r="G140" s="1242"/>
      <x:c r="H140" s="1242"/>
      <x:c r="I140" s="1243" t="str">
        <x:f>IF($C140="","",IFERROR(INDEX('23 RCC-004 MASR Registry'!$G$14:$G$163,MATCH($C140,'23 RCC-004 MASR Registry'!$B$14:$B$163,0)),""))</x:f>
      </x:c>
      <x:c r="J140" s="1243" t="str">
        <x:f>IF($C140="","",IFERROR(INDEX('23 RCC-004 MASR Registry'!$H$14:$H$163,MATCH($C140,'23 RCC-004 MASR Registry'!$B$14:$B$163,0)),""))</x:f>
      </x:c>
      <x:c r="K140" s="1243" t="str">
        <x:f>IF($C140="","",IFERROR(INDEX('23 RCC-004 MASR Registry'!$D$14:$D$163,MATCH($C140,'23 RCC-004 MASR Registry'!$B$14:$B$163,0)),""))</x:f>
      </x:c>
      <x:c r="L140" s="1243" t="str">
        <x:f>IF($C140="","",IFERROR(INDEX('23 RCC-004 MASR Registry'!$E$14:$E$163,MATCH($C140,'23 RCC-004 MASR Registry'!$B$14:$B$163,0)),""))</x:f>
      </x:c>
      <x:c r="M140" s="1243" t="str">
        <x:f>IF($C140="","",IFERROR(INDEX('23 RCC-004 MASR Registry'!$X$14:$X$163,MATCH($C140,'23 RCC-004 MASR Registry'!$B$14:$B$163,0)),""))</x:f>
      </x:c>
      <x:c r="N140" s="1243" t="str">
        <x:f>IF($C140="","",IFERROR(INDEX('23 RCC-004 MASR Registry'!$Y$14:$Y$163,MATCH($C140,'23 RCC-004 MASR Registry'!$B$14:$B$163,0)),""))</x:f>
      </x:c>
      <x:c r="O140" s="1243" t="str">
        <x:f>IF($C140="","",IFERROR(INDEX('23 RCC-004 MASR Registry'!$L$14:$L$163,MATCH($C140,'23 RCC-004 MASR Registry'!$B$14:$B$163,0)),""))</x:f>
      </x:c>
      <x:c r="P140" s="1243" t="str">
        <x:f>IF($C140="","",IFERROR(INDEX('23 RCC-004 MASR Registry'!$M$14:$M$163,MATCH($C140,'23 RCC-004 MASR Registry'!$B$14:$B$163,0)),""))</x:f>
      </x:c>
      <x:c r="Q140" s="1246" t="str">
        <x:f>IF($C140="","",IFERROR(INDEX('23 RCC-004 MASR Registry'!$N$14:$N$163,MATCH($C140,'23 RCC-004 MASR Registry'!$B$14:$B$163,0)),""))</x:f>
      </x:c>
      <x:c r="R140" s="1246" t="str">
        <x:f>IF($C140="","",IFERROR(INDEX('23 RCC-004 MASR Registry'!$O$14:$O$163,MATCH($C140,'23 RCC-004 MASR Registry'!$B$14:$B$163,0)),""))</x:f>
      </x:c>
      <x:c r="S140" s="1246" t="str">
        <x:f>IF($C140="","",IFERROR(INDEX('23 RCC-004 MASR Registry'!$W$14:$W$163,MATCH($C140,'23 RCC-004 MASR Registry'!$B$14:$B$163,0)),""))</x:f>
      </x:c>
      <x:c r="T140" s="1246" t="str">
        <x:f>IF($C140="","",IFERROR(INDEX('23 RCC-004 MASR Registry'!$T$14:$T$163,MATCH($C140,'23 RCC-004 MASR Registry'!$B$14:$B$163,0)),""))</x:f>
      </x:c>
      <x:c r="U140" s="1247" t="str">
        <x:f>IF($C140="","",IFERROR(INDEX('23 RCC-004 MASR Registry'!$U$14:$U$163,MATCH($C140,'23 RCC-004 MASR Registry'!$B$14:$B$163,0)),""))</x:f>
      </x:c>
      <x:c r="V140" s="1243" t="str">
        <x:f>IF($C140="","",IFERROR(INDEX('23 RCC-004 MASR Registry'!$V$14:$V$163,MATCH($C140,'23 RCC-004 MASR Registry'!$B$14:$B$163,0)),""))</x:f>
      </x:c>
      <x:c r="W140" s="1242"/>
      <x:c r="X140" s="1247" t="str">
        <x:f>IF($C140="","",COUNTIF('18 RCC-002 Evidence Ledger'!$E$14:$E$213,$C140))</x:f>
      </x:c>
      <x:c r="Y140" s="1242"/>
      <x:c r="Z140" s="1244" t="str">
        <x:f>IF($A140="","",IF(COUNTIF($A$14:$A$213,$A140)&gt;1,"FAIL — DUPLICATE ID",IF(OR($B140="",$C140="",$E140="",$H140="",$Y140="",$AA140="",$AB140=""),"FAIL — INCOMPLETE",IF(AND(OR($Y140="MIAR Review",$Y140="Eligibility Review",$Y140="Candidate Comparison",$Y140="Committee Review",$Y140="Approved for MASR",$Y140="Referred to PEW-004",$Y140="On Watch",$Y140="Rejected",$Y140="Closed",$Y140="Removed"),$K140=""),"FAIL — MASR RECORD REQUIRED",IF(AND(OR($Y140="Eligibility Review",$Y140="Candidate Comparison",$Y140="Committee Review",$Y140="Approved for MASR",$Y140="Referred to PEW-004",$Y140="On Watch"),NOT(OR($M140="ELIGIBLE",$M140="ELIGIBLE WITH EXCEPTION",$M140="CERTIFIED HOLDING"))),"FAIL — ELIGIBILITY",IF(AND(OR($Y140="Candidate Comparison",$Y140="Committee Review",$Y140="Approved for MASR",$Y140="Referred to PEW-004",$Y140="On Watch"),$X140=0),"FAIL — EVIDENCE",IF(AND(OR($Y140="Candidate Comparison",$Y140="Committee Review",$Y140="Approved for MASR",$Y140="Referred to PEW-004",$Y140="On Watch"),OR($O140&lt;&gt;"Active",$P140&lt;&gt;"CURRENT")),"FAIL — MIAR GATE",IF(AND(OR($Y140="Approved for MASR",$Y140="Referred to PEW-004",$Y140="On Watch",$Y140="Rejected",$Y140="Closed",$Y140="Removed"),OR($AD140="",$AD140="Pending")),"FAIL — COMMITTEE DISPOSITION",IF(AND($Y140="Referred to PEW-004",OR($AF140&lt;&gt;"Yes — Refer to PEW-004",$AG140="",$AJ140="")),"FAIL — PEW REFERRAL","PASS — STAGE GATE")))))))))</x:f>
      </x:c>
      <x:c r="AA140" s="1242"/>
      <x:c r="AB140" s="1251"/>
      <x:c r="AC140" s="1250" t="str">
        <x:f>IF($B140="","",IF($AQ140&lt;&gt;"",$AQ140-$B140,TODAY()-$B140))</x:f>
      </x:c>
      <x:c r="AD140" s="1242"/>
      <x:c r="AE140" s="1251"/>
      <x:c r="AF140" s="1242"/>
      <x:c r="AG140" s="1242"/>
      <x:c r="AH140" s="1246" t="str">
        <x:f>IF($AG140="","",IFERROR(INDEX('10 Candidate Comparison'!$T$14:$T$33,MATCH($AG140,'10 Candidate Comparison'!$A$14:$A$33,0)),""))</x:f>
      </x:c>
      <x:c r="AI140" s="1243" t="str">
        <x:f>IF($AG140="","",IFERROR(INDEX('10 Candidate Comparison'!$U$14:$U$33,MATCH($AG140,'10 Candidate Comparison'!$A$14:$A$33,0)),""))</x:f>
      </x:c>
      <x:c r="AJ140" s="1243" t="str">
        <x:f>IF($AG140="","",IFERROR(INDEX('10 Candidate Comparison'!$Y$14:$Y$33,MATCH($AG140,'10 Candidate Comparison'!$A$14:$A$33,0)),""))</x:f>
      </x:c>
      <x:c r="AK140" s="1244" t="str">
        <x:f>IF($A140="","",IF($Z140="FAIL — DUPLICATE ID","DUPLICATE CANDIDATE ID",IF($Z140="FAIL — INCOMPLETE","INCOMPLETE",IF($Z140="FAIL — MASR RECORD REQUIRED","MASR RECORD REQUIRED",IF($Z140="FAIL — ELIGIBILITY","ELIGIBILITY BLOCK",IF($Z140="FAIL — EVIDENCE","EVIDENCE REQUIRED",IF($Z140="FAIL — MIAR GATE","MIAR GATE BLOCK",IF($Z140="FAIL — COMMITTEE DISPOSITION","COMMITTEE DECISION REQUIRED",IF($Z140="FAIL — PEW REFERRAL","PEW REFERRAL INCOMPLETE",IF(AND(OR($Y140="Rejected",$Y140="Closed",$Y140="Removed"),OR($AO140="",$AP140="",$AQ140="")),"CLOSURE REQUIRED",IF(AND($AB140&lt;TODAY(),NOT(OR($Y140="Rejected",$Y140="Closed",$Y140="Removed"))),"OVERDUE",IF(OR($Y140="Rejected",$Y140="Closed",$Y140="Removed"),"CLOSED","OPEN — ON TRACK"))))))))))))</x:f>
      </x:c>
      <x:c r="AL140" s="1244" t="str">
        <x:f>IF($AK140="","",IFERROR(INDEX('97 RCC Lists'!$AM$5:$AM$16,MATCH($AK140,'97 RCC Lists'!$AL$5:$AL$16,0)),"Review candidate exception"))</x:f>
      </x:c>
      <x:c r="AM140" s="1242"/>
      <x:c r="AN140" s="1242"/>
      <x:c r="AO140" s="1242"/>
      <x:c r="AP140" s="1242"/>
      <x:c r="AQ140" s="1251"/>
    </x:row>
    <x:row r="141" ht="32" customHeight="1">
      <x:c r="A141" s="1242"/>
      <x:c r="B141" s="1251"/>
      <x:c r="C141" s="1242"/>
      <x:c r="D141" s="1252" t="str">
        <x:f>IF($C141="","",IFERROR(INDEX('23 RCC-004 MASR Registry'!$C$14:$C$163,MATCH($C141,'23 RCC-004 MASR Registry'!$B$14:$B$163,0)),""))</x:f>
      </x:c>
      <x:c r="E141" s="1242"/>
      <x:c r="F141" s="1242"/>
      <x:c r="G141" s="1242"/>
      <x:c r="H141" s="1242"/>
      <x:c r="I141" s="1252" t="str">
        <x:f>IF($C141="","",IFERROR(INDEX('23 RCC-004 MASR Registry'!$G$14:$G$163,MATCH($C141,'23 RCC-004 MASR Registry'!$B$14:$B$163,0)),""))</x:f>
      </x:c>
      <x:c r="J141" s="1252" t="str">
        <x:f>IF($C141="","",IFERROR(INDEX('23 RCC-004 MASR Registry'!$H$14:$H$163,MATCH($C141,'23 RCC-004 MASR Registry'!$B$14:$B$163,0)),""))</x:f>
      </x:c>
      <x:c r="K141" s="1252" t="str">
        <x:f>IF($C141="","",IFERROR(INDEX('23 RCC-004 MASR Registry'!$D$14:$D$163,MATCH($C141,'23 RCC-004 MASR Registry'!$B$14:$B$163,0)),""))</x:f>
      </x:c>
      <x:c r="L141" s="1252" t="str">
        <x:f>IF($C141="","",IFERROR(INDEX('23 RCC-004 MASR Registry'!$E$14:$E$163,MATCH($C141,'23 RCC-004 MASR Registry'!$B$14:$B$163,0)),""))</x:f>
      </x:c>
      <x:c r="M141" s="1252" t="str">
        <x:f>IF($C141="","",IFERROR(INDEX('23 RCC-004 MASR Registry'!$X$14:$X$163,MATCH($C141,'23 RCC-004 MASR Registry'!$B$14:$B$163,0)),""))</x:f>
      </x:c>
      <x:c r="N141" s="1252" t="str">
        <x:f>IF($C141="","",IFERROR(INDEX('23 RCC-004 MASR Registry'!$Y$14:$Y$163,MATCH($C141,'23 RCC-004 MASR Registry'!$B$14:$B$163,0)),""))</x:f>
      </x:c>
      <x:c r="O141" s="1252" t="str">
        <x:f>IF($C141="","",IFERROR(INDEX('23 RCC-004 MASR Registry'!$L$14:$L$163,MATCH($C141,'23 RCC-004 MASR Registry'!$B$14:$B$163,0)),""))</x:f>
      </x:c>
      <x:c r="P141" s="1252" t="str">
        <x:f>IF($C141="","",IFERROR(INDEX('23 RCC-004 MASR Registry'!$M$14:$M$163,MATCH($C141,'23 RCC-004 MASR Registry'!$B$14:$B$163,0)),""))</x:f>
      </x:c>
      <x:c r="Q141" s="1255" t="str">
        <x:f>IF($C141="","",IFERROR(INDEX('23 RCC-004 MASR Registry'!$N$14:$N$163,MATCH($C141,'23 RCC-004 MASR Registry'!$B$14:$B$163,0)),""))</x:f>
      </x:c>
      <x:c r="R141" s="1255" t="str">
        <x:f>IF($C141="","",IFERROR(INDEX('23 RCC-004 MASR Registry'!$O$14:$O$163,MATCH($C141,'23 RCC-004 MASR Registry'!$B$14:$B$163,0)),""))</x:f>
      </x:c>
      <x:c r="S141" s="1255" t="str">
        <x:f>IF($C141="","",IFERROR(INDEX('23 RCC-004 MASR Registry'!$W$14:$W$163,MATCH($C141,'23 RCC-004 MASR Registry'!$B$14:$B$163,0)),""))</x:f>
      </x:c>
      <x:c r="T141" s="1255" t="str">
        <x:f>IF($C141="","",IFERROR(INDEX('23 RCC-004 MASR Registry'!$T$14:$T$163,MATCH($C141,'23 RCC-004 MASR Registry'!$B$14:$B$163,0)),""))</x:f>
      </x:c>
      <x:c r="U141" s="1256" t="str">
        <x:f>IF($C141="","",IFERROR(INDEX('23 RCC-004 MASR Registry'!$U$14:$U$163,MATCH($C141,'23 RCC-004 MASR Registry'!$B$14:$B$163,0)),""))</x:f>
      </x:c>
      <x:c r="V141" s="1252" t="str">
        <x:f>IF($C141="","",IFERROR(INDEX('23 RCC-004 MASR Registry'!$V$14:$V$163,MATCH($C141,'23 RCC-004 MASR Registry'!$B$14:$B$163,0)),""))</x:f>
      </x:c>
      <x:c r="W141" s="1242"/>
      <x:c r="X141" s="1256" t="str">
        <x:f>IF($C141="","",COUNTIF('18 RCC-002 Evidence Ledger'!$E$14:$E$213,$C141))</x:f>
      </x:c>
      <x:c r="Y141" s="1242"/>
      <x:c r="Z141" s="1253" t="str">
        <x:f>IF($A141="","",IF(COUNTIF($A$14:$A$213,$A141)&gt;1,"FAIL — DUPLICATE ID",IF(OR($B141="",$C141="",$E141="",$H141="",$Y141="",$AA141="",$AB141=""),"FAIL — INCOMPLETE",IF(AND(OR($Y141="MIAR Review",$Y141="Eligibility Review",$Y141="Candidate Comparison",$Y141="Committee Review",$Y141="Approved for MASR",$Y141="Referred to PEW-004",$Y141="On Watch",$Y141="Rejected",$Y141="Closed",$Y141="Removed"),$K141=""),"FAIL — MASR RECORD REQUIRED",IF(AND(OR($Y141="Eligibility Review",$Y141="Candidate Comparison",$Y141="Committee Review",$Y141="Approved for MASR",$Y141="Referred to PEW-004",$Y141="On Watch"),NOT(OR($M141="ELIGIBLE",$M141="ELIGIBLE WITH EXCEPTION",$M141="CERTIFIED HOLDING"))),"FAIL — ELIGIBILITY",IF(AND(OR($Y141="Candidate Comparison",$Y141="Committee Review",$Y141="Approved for MASR",$Y141="Referred to PEW-004",$Y141="On Watch"),$X141=0),"FAIL — EVIDENCE",IF(AND(OR($Y141="Candidate Comparison",$Y141="Committee Review",$Y141="Approved for MASR",$Y141="Referred to PEW-004",$Y141="On Watch"),OR($O141&lt;&gt;"Active",$P141&lt;&gt;"CURRENT")),"FAIL — MIAR GATE",IF(AND(OR($Y141="Approved for MASR",$Y141="Referred to PEW-004",$Y141="On Watch",$Y141="Rejected",$Y141="Closed",$Y141="Removed"),OR($AD141="",$AD141="Pending")),"FAIL — COMMITTEE DISPOSITION",IF(AND($Y141="Referred to PEW-004",OR($AF141&lt;&gt;"Yes — Refer to PEW-004",$AG141="",$AJ141="")),"FAIL — PEW REFERRAL","PASS — STAGE GATE")))))))))</x:f>
      </x:c>
      <x:c r="AA141" s="1242"/>
      <x:c r="AB141" s="1251"/>
      <x:c r="AC141" s="1257" t="str">
        <x:f>IF($B141="","",IF($AQ141&lt;&gt;"",$AQ141-$B141,TODAY()-$B141))</x:f>
      </x:c>
      <x:c r="AD141" s="1242"/>
      <x:c r="AE141" s="1251"/>
      <x:c r="AF141" s="1242"/>
      <x:c r="AG141" s="1242"/>
      <x:c r="AH141" s="1255" t="str">
        <x:f>IF($AG141="","",IFERROR(INDEX('10 Candidate Comparison'!$T$14:$T$33,MATCH($AG141,'10 Candidate Comparison'!$A$14:$A$33,0)),""))</x:f>
      </x:c>
      <x:c r="AI141" s="1252" t="str">
        <x:f>IF($AG141="","",IFERROR(INDEX('10 Candidate Comparison'!$U$14:$U$33,MATCH($AG141,'10 Candidate Comparison'!$A$14:$A$33,0)),""))</x:f>
      </x:c>
      <x:c r="AJ141" s="1252" t="str">
        <x:f>IF($AG141="","",IFERROR(INDEX('10 Candidate Comparison'!$Y$14:$Y$33,MATCH($AG141,'10 Candidate Comparison'!$A$14:$A$33,0)),""))</x:f>
      </x:c>
      <x:c r="AK141" s="1253" t="str">
        <x:f>IF($A141="","",IF($Z141="FAIL — DUPLICATE ID","DUPLICATE CANDIDATE ID",IF($Z141="FAIL — INCOMPLETE","INCOMPLETE",IF($Z141="FAIL — MASR RECORD REQUIRED","MASR RECORD REQUIRED",IF($Z141="FAIL — ELIGIBILITY","ELIGIBILITY BLOCK",IF($Z141="FAIL — EVIDENCE","EVIDENCE REQUIRED",IF($Z141="FAIL — MIAR GATE","MIAR GATE BLOCK",IF($Z141="FAIL — COMMITTEE DISPOSITION","COMMITTEE DECISION REQUIRED",IF($Z141="FAIL — PEW REFERRAL","PEW REFERRAL INCOMPLETE",IF(AND(OR($Y141="Rejected",$Y141="Closed",$Y141="Removed"),OR($AO141="",$AP141="",$AQ141="")),"CLOSURE REQUIRED",IF(AND($AB141&lt;TODAY(),NOT(OR($Y141="Rejected",$Y141="Closed",$Y141="Removed"))),"OVERDUE",IF(OR($Y141="Rejected",$Y141="Closed",$Y141="Removed"),"CLOSED","OPEN — ON TRACK"))))))))))))</x:f>
      </x:c>
      <x:c r="AL141" s="1253" t="str">
        <x:f>IF($AK141="","",IFERROR(INDEX('97 RCC Lists'!$AM$5:$AM$16,MATCH($AK141,'97 RCC Lists'!$AL$5:$AL$16,0)),"Review candidate exception"))</x:f>
      </x:c>
      <x:c r="AM141" s="1242"/>
      <x:c r="AN141" s="1242"/>
      <x:c r="AO141" s="1242"/>
      <x:c r="AP141" s="1242"/>
      <x:c r="AQ141" s="1251"/>
    </x:row>
    <x:row r="142" ht="32" customHeight="1">
      <x:c r="A142" s="1242"/>
      <x:c r="B142" s="1251"/>
      <x:c r="C142" s="1242"/>
      <x:c r="D142" s="1243" t="str">
        <x:f>IF($C142="","",IFERROR(INDEX('23 RCC-004 MASR Registry'!$C$14:$C$163,MATCH($C142,'23 RCC-004 MASR Registry'!$B$14:$B$163,0)),""))</x:f>
      </x:c>
      <x:c r="E142" s="1242"/>
      <x:c r="F142" s="1242"/>
      <x:c r="G142" s="1242"/>
      <x:c r="H142" s="1242"/>
      <x:c r="I142" s="1243" t="str">
        <x:f>IF($C142="","",IFERROR(INDEX('23 RCC-004 MASR Registry'!$G$14:$G$163,MATCH($C142,'23 RCC-004 MASR Registry'!$B$14:$B$163,0)),""))</x:f>
      </x:c>
      <x:c r="J142" s="1243" t="str">
        <x:f>IF($C142="","",IFERROR(INDEX('23 RCC-004 MASR Registry'!$H$14:$H$163,MATCH($C142,'23 RCC-004 MASR Registry'!$B$14:$B$163,0)),""))</x:f>
      </x:c>
      <x:c r="K142" s="1243" t="str">
        <x:f>IF($C142="","",IFERROR(INDEX('23 RCC-004 MASR Registry'!$D$14:$D$163,MATCH($C142,'23 RCC-004 MASR Registry'!$B$14:$B$163,0)),""))</x:f>
      </x:c>
      <x:c r="L142" s="1243" t="str">
        <x:f>IF($C142="","",IFERROR(INDEX('23 RCC-004 MASR Registry'!$E$14:$E$163,MATCH($C142,'23 RCC-004 MASR Registry'!$B$14:$B$163,0)),""))</x:f>
      </x:c>
      <x:c r="M142" s="1243" t="str">
        <x:f>IF($C142="","",IFERROR(INDEX('23 RCC-004 MASR Registry'!$X$14:$X$163,MATCH($C142,'23 RCC-004 MASR Registry'!$B$14:$B$163,0)),""))</x:f>
      </x:c>
      <x:c r="N142" s="1243" t="str">
        <x:f>IF($C142="","",IFERROR(INDEX('23 RCC-004 MASR Registry'!$Y$14:$Y$163,MATCH($C142,'23 RCC-004 MASR Registry'!$B$14:$B$163,0)),""))</x:f>
      </x:c>
      <x:c r="O142" s="1243" t="str">
        <x:f>IF($C142="","",IFERROR(INDEX('23 RCC-004 MASR Registry'!$L$14:$L$163,MATCH($C142,'23 RCC-004 MASR Registry'!$B$14:$B$163,0)),""))</x:f>
      </x:c>
      <x:c r="P142" s="1243" t="str">
        <x:f>IF($C142="","",IFERROR(INDEX('23 RCC-004 MASR Registry'!$M$14:$M$163,MATCH($C142,'23 RCC-004 MASR Registry'!$B$14:$B$163,0)),""))</x:f>
      </x:c>
      <x:c r="Q142" s="1246" t="str">
        <x:f>IF($C142="","",IFERROR(INDEX('23 RCC-004 MASR Registry'!$N$14:$N$163,MATCH($C142,'23 RCC-004 MASR Registry'!$B$14:$B$163,0)),""))</x:f>
      </x:c>
      <x:c r="R142" s="1246" t="str">
        <x:f>IF($C142="","",IFERROR(INDEX('23 RCC-004 MASR Registry'!$O$14:$O$163,MATCH($C142,'23 RCC-004 MASR Registry'!$B$14:$B$163,0)),""))</x:f>
      </x:c>
      <x:c r="S142" s="1246" t="str">
        <x:f>IF($C142="","",IFERROR(INDEX('23 RCC-004 MASR Registry'!$W$14:$W$163,MATCH($C142,'23 RCC-004 MASR Registry'!$B$14:$B$163,0)),""))</x:f>
      </x:c>
      <x:c r="T142" s="1246" t="str">
        <x:f>IF($C142="","",IFERROR(INDEX('23 RCC-004 MASR Registry'!$T$14:$T$163,MATCH($C142,'23 RCC-004 MASR Registry'!$B$14:$B$163,0)),""))</x:f>
      </x:c>
      <x:c r="U142" s="1247" t="str">
        <x:f>IF($C142="","",IFERROR(INDEX('23 RCC-004 MASR Registry'!$U$14:$U$163,MATCH($C142,'23 RCC-004 MASR Registry'!$B$14:$B$163,0)),""))</x:f>
      </x:c>
      <x:c r="V142" s="1243" t="str">
        <x:f>IF($C142="","",IFERROR(INDEX('23 RCC-004 MASR Registry'!$V$14:$V$163,MATCH($C142,'23 RCC-004 MASR Registry'!$B$14:$B$163,0)),""))</x:f>
      </x:c>
      <x:c r="W142" s="1242"/>
      <x:c r="X142" s="1247" t="str">
        <x:f>IF($C142="","",COUNTIF('18 RCC-002 Evidence Ledger'!$E$14:$E$213,$C142))</x:f>
      </x:c>
      <x:c r="Y142" s="1242"/>
      <x:c r="Z142" s="1244" t="str">
        <x:f>IF($A142="","",IF(COUNTIF($A$14:$A$213,$A142)&gt;1,"FAIL — DUPLICATE ID",IF(OR($B142="",$C142="",$E142="",$H142="",$Y142="",$AA142="",$AB142=""),"FAIL — INCOMPLETE",IF(AND(OR($Y142="MIAR Review",$Y142="Eligibility Review",$Y142="Candidate Comparison",$Y142="Committee Review",$Y142="Approved for MASR",$Y142="Referred to PEW-004",$Y142="On Watch",$Y142="Rejected",$Y142="Closed",$Y142="Removed"),$K142=""),"FAIL — MASR RECORD REQUIRED",IF(AND(OR($Y142="Eligibility Review",$Y142="Candidate Comparison",$Y142="Committee Review",$Y142="Approved for MASR",$Y142="Referred to PEW-004",$Y142="On Watch"),NOT(OR($M142="ELIGIBLE",$M142="ELIGIBLE WITH EXCEPTION",$M142="CERTIFIED HOLDING"))),"FAIL — ELIGIBILITY",IF(AND(OR($Y142="Candidate Comparison",$Y142="Committee Review",$Y142="Approved for MASR",$Y142="Referred to PEW-004",$Y142="On Watch"),$X142=0),"FAIL — EVIDENCE",IF(AND(OR($Y142="Candidate Comparison",$Y142="Committee Review",$Y142="Approved for MASR",$Y142="Referred to PEW-004",$Y142="On Watch"),OR($O142&lt;&gt;"Active",$P142&lt;&gt;"CURRENT")),"FAIL — MIAR GATE",IF(AND(OR($Y142="Approved for MASR",$Y142="Referred to PEW-004",$Y142="On Watch",$Y142="Rejected",$Y142="Closed",$Y142="Removed"),OR($AD142="",$AD142="Pending")),"FAIL — COMMITTEE DISPOSITION",IF(AND($Y142="Referred to PEW-004",OR($AF142&lt;&gt;"Yes — Refer to PEW-004",$AG142="",$AJ142="")),"FAIL — PEW REFERRAL","PASS — STAGE GATE")))))))))</x:f>
      </x:c>
      <x:c r="AA142" s="1242"/>
      <x:c r="AB142" s="1251"/>
      <x:c r="AC142" s="1250" t="str">
        <x:f>IF($B142="","",IF($AQ142&lt;&gt;"",$AQ142-$B142,TODAY()-$B142))</x:f>
      </x:c>
      <x:c r="AD142" s="1242"/>
      <x:c r="AE142" s="1251"/>
      <x:c r="AF142" s="1242"/>
      <x:c r="AG142" s="1242"/>
      <x:c r="AH142" s="1246" t="str">
        <x:f>IF($AG142="","",IFERROR(INDEX('10 Candidate Comparison'!$T$14:$T$33,MATCH($AG142,'10 Candidate Comparison'!$A$14:$A$33,0)),""))</x:f>
      </x:c>
      <x:c r="AI142" s="1243" t="str">
        <x:f>IF($AG142="","",IFERROR(INDEX('10 Candidate Comparison'!$U$14:$U$33,MATCH($AG142,'10 Candidate Comparison'!$A$14:$A$33,0)),""))</x:f>
      </x:c>
      <x:c r="AJ142" s="1243" t="str">
        <x:f>IF($AG142="","",IFERROR(INDEX('10 Candidate Comparison'!$Y$14:$Y$33,MATCH($AG142,'10 Candidate Comparison'!$A$14:$A$33,0)),""))</x:f>
      </x:c>
      <x:c r="AK142" s="1244" t="str">
        <x:f>IF($A142="","",IF($Z142="FAIL — DUPLICATE ID","DUPLICATE CANDIDATE ID",IF($Z142="FAIL — INCOMPLETE","INCOMPLETE",IF($Z142="FAIL — MASR RECORD REQUIRED","MASR RECORD REQUIRED",IF($Z142="FAIL — ELIGIBILITY","ELIGIBILITY BLOCK",IF($Z142="FAIL — EVIDENCE","EVIDENCE REQUIRED",IF($Z142="FAIL — MIAR GATE","MIAR GATE BLOCK",IF($Z142="FAIL — COMMITTEE DISPOSITION","COMMITTEE DECISION REQUIRED",IF($Z142="FAIL — PEW REFERRAL","PEW REFERRAL INCOMPLETE",IF(AND(OR($Y142="Rejected",$Y142="Closed",$Y142="Removed"),OR($AO142="",$AP142="",$AQ142="")),"CLOSURE REQUIRED",IF(AND($AB142&lt;TODAY(),NOT(OR($Y142="Rejected",$Y142="Closed",$Y142="Removed"))),"OVERDUE",IF(OR($Y142="Rejected",$Y142="Closed",$Y142="Removed"),"CLOSED","OPEN — ON TRACK"))))))))))))</x:f>
      </x:c>
      <x:c r="AL142" s="1244" t="str">
        <x:f>IF($AK142="","",IFERROR(INDEX('97 RCC Lists'!$AM$5:$AM$16,MATCH($AK142,'97 RCC Lists'!$AL$5:$AL$16,0)),"Review candidate exception"))</x:f>
      </x:c>
      <x:c r="AM142" s="1242"/>
      <x:c r="AN142" s="1242"/>
      <x:c r="AO142" s="1242"/>
      <x:c r="AP142" s="1242"/>
      <x:c r="AQ142" s="1251"/>
    </x:row>
    <x:row r="143" ht="32" customHeight="1">
      <x:c r="A143" s="1242"/>
      <x:c r="B143" s="1251"/>
      <x:c r="C143" s="1242"/>
      <x:c r="D143" s="1252" t="str">
        <x:f>IF($C143="","",IFERROR(INDEX('23 RCC-004 MASR Registry'!$C$14:$C$163,MATCH($C143,'23 RCC-004 MASR Registry'!$B$14:$B$163,0)),""))</x:f>
      </x:c>
      <x:c r="E143" s="1242"/>
      <x:c r="F143" s="1242"/>
      <x:c r="G143" s="1242"/>
      <x:c r="H143" s="1242"/>
      <x:c r="I143" s="1252" t="str">
        <x:f>IF($C143="","",IFERROR(INDEX('23 RCC-004 MASR Registry'!$G$14:$G$163,MATCH($C143,'23 RCC-004 MASR Registry'!$B$14:$B$163,0)),""))</x:f>
      </x:c>
      <x:c r="J143" s="1252" t="str">
        <x:f>IF($C143="","",IFERROR(INDEX('23 RCC-004 MASR Registry'!$H$14:$H$163,MATCH($C143,'23 RCC-004 MASR Registry'!$B$14:$B$163,0)),""))</x:f>
      </x:c>
      <x:c r="K143" s="1252" t="str">
        <x:f>IF($C143="","",IFERROR(INDEX('23 RCC-004 MASR Registry'!$D$14:$D$163,MATCH($C143,'23 RCC-004 MASR Registry'!$B$14:$B$163,0)),""))</x:f>
      </x:c>
      <x:c r="L143" s="1252" t="str">
        <x:f>IF($C143="","",IFERROR(INDEX('23 RCC-004 MASR Registry'!$E$14:$E$163,MATCH($C143,'23 RCC-004 MASR Registry'!$B$14:$B$163,0)),""))</x:f>
      </x:c>
      <x:c r="M143" s="1252" t="str">
        <x:f>IF($C143="","",IFERROR(INDEX('23 RCC-004 MASR Registry'!$X$14:$X$163,MATCH($C143,'23 RCC-004 MASR Registry'!$B$14:$B$163,0)),""))</x:f>
      </x:c>
      <x:c r="N143" s="1252" t="str">
        <x:f>IF($C143="","",IFERROR(INDEX('23 RCC-004 MASR Registry'!$Y$14:$Y$163,MATCH($C143,'23 RCC-004 MASR Registry'!$B$14:$B$163,0)),""))</x:f>
      </x:c>
      <x:c r="O143" s="1252" t="str">
        <x:f>IF($C143="","",IFERROR(INDEX('23 RCC-004 MASR Registry'!$L$14:$L$163,MATCH($C143,'23 RCC-004 MASR Registry'!$B$14:$B$163,0)),""))</x:f>
      </x:c>
      <x:c r="P143" s="1252" t="str">
        <x:f>IF($C143="","",IFERROR(INDEX('23 RCC-004 MASR Registry'!$M$14:$M$163,MATCH($C143,'23 RCC-004 MASR Registry'!$B$14:$B$163,0)),""))</x:f>
      </x:c>
      <x:c r="Q143" s="1255" t="str">
        <x:f>IF($C143="","",IFERROR(INDEX('23 RCC-004 MASR Registry'!$N$14:$N$163,MATCH($C143,'23 RCC-004 MASR Registry'!$B$14:$B$163,0)),""))</x:f>
      </x:c>
      <x:c r="R143" s="1255" t="str">
        <x:f>IF($C143="","",IFERROR(INDEX('23 RCC-004 MASR Registry'!$O$14:$O$163,MATCH($C143,'23 RCC-004 MASR Registry'!$B$14:$B$163,0)),""))</x:f>
      </x:c>
      <x:c r="S143" s="1255" t="str">
        <x:f>IF($C143="","",IFERROR(INDEX('23 RCC-004 MASR Registry'!$W$14:$W$163,MATCH($C143,'23 RCC-004 MASR Registry'!$B$14:$B$163,0)),""))</x:f>
      </x:c>
      <x:c r="T143" s="1255" t="str">
        <x:f>IF($C143="","",IFERROR(INDEX('23 RCC-004 MASR Registry'!$T$14:$T$163,MATCH($C143,'23 RCC-004 MASR Registry'!$B$14:$B$163,0)),""))</x:f>
      </x:c>
      <x:c r="U143" s="1256" t="str">
        <x:f>IF($C143="","",IFERROR(INDEX('23 RCC-004 MASR Registry'!$U$14:$U$163,MATCH($C143,'23 RCC-004 MASR Registry'!$B$14:$B$163,0)),""))</x:f>
      </x:c>
      <x:c r="V143" s="1252" t="str">
        <x:f>IF($C143="","",IFERROR(INDEX('23 RCC-004 MASR Registry'!$V$14:$V$163,MATCH($C143,'23 RCC-004 MASR Registry'!$B$14:$B$163,0)),""))</x:f>
      </x:c>
      <x:c r="W143" s="1242"/>
      <x:c r="X143" s="1256" t="str">
        <x:f>IF($C143="","",COUNTIF('18 RCC-002 Evidence Ledger'!$E$14:$E$213,$C143))</x:f>
      </x:c>
      <x:c r="Y143" s="1242"/>
      <x:c r="Z143" s="1253" t="str">
        <x:f>IF($A143="","",IF(COUNTIF($A$14:$A$213,$A143)&gt;1,"FAIL — DUPLICATE ID",IF(OR($B143="",$C143="",$E143="",$H143="",$Y143="",$AA143="",$AB143=""),"FAIL — INCOMPLETE",IF(AND(OR($Y143="MIAR Review",$Y143="Eligibility Review",$Y143="Candidate Comparison",$Y143="Committee Review",$Y143="Approved for MASR",$Y143="Referred to PEW-004",$Y143="On Watch",$Y143="Rejected",$Y143="Closed",$Y143="Removed"),$K143=""),"FAIL — MASR RECORD REQUIRED",IF(AND(OR($Y143="Eligibility Review",$Y143="Candidate Comparison",$Y143="Committee Review",$Y143="Approved for MASR",$Y143="Referred to PEW-004",$Y143="On Watch"),NOT(OR($M143="ELIGIBLE",$M143="ELIGIBLE WITH EXCEPTION",$M143="CERTIFIED HOLDING"))),"FAIL — ELIGIBILITY",IF(AND(OR($Y143="Candidate Comparison",$Y143="Committee Review",$Y143="Approved for MASR",$Y143="Referred to PEW-004",$Y143="On Watch"),$X143=0),"FAIL — EVIDENCE",IF(AND(OR($Y143="Candidate Comparison",$Y143="Committee Review",$Y143="Approved for MASR",$Y143="Referred to PEW-004",$Y143="On Watch"),OR($O143&lt;&gt;"Active",$P143&lt;&gt;"CURRENT")),"FAIL — MIAR GATE",IF(AND(OR($Y143="Approved for MASR",$Y143="Referred to PEW-004",$Y143="On Watch",$Y143="Rejected",$Y143="Closed",$Y143="Removed"),OR($AD143="",$AD143="Pending")),"FAIL — COMMITTEE DISPOSITION",IF(AND($Y143="Referred to PEW-004",OR($AF143&lt;&gt;"Yes — Refer to PEW-004",$AG143="",$AJ143="")),"FAIL — PEW REFERRAL","PASS — STAGE GATE")))))))))</x:f>
      </x:c>
      <x:c r="AA143" s="1242"/>
      <x:c r="AB143" s="1251"/>
      <x:c r="AC143" s="1257" t="str">
        <x:f>IF($B143="","",IF($AQ143&lt;&gt;"",$AQ143-$B143,TODAY()-$B143))</x:f>
      </x:c>
      <x:c r="AD143" s="1242"/>
      <x:c r="AE143" s="1251"/>
      <x:c r="AF143" s="1242"/>
      <x:c r="AG143" s="1242"/>
      <x:c r="AH143" s="1255" t="str">
        <x:f>IF($AG143="","",IFERROR(INDEX('10 Candidate Comparison'!$T$14:$T$33,MATCH($AG143,'10 Candidate Comparison'!$A$14:$A$33,0)),""))</x:f>
      </x:c>
      <x:c r="AI143" s="1252" t="str">
        <x:f>IF($AG143="","",IFERROR(INDEX('10 Candidate Comparison'!$U$14:$U$33,MATCH($AG143,'10 Candidate Comparison'!$A$14:$A$33,0)),""))</x:f>
      </x:c>
      <x:c r="AJ143" s="1252" t="str">
        <x:f>IF($AG143="","",IFERROR(INDEX('10 Candidate Comparison'!$Y$14:$Y$33,MATCH($AG143,'10 Candidate Comparison'!$A$14:$A$33,0)),""))</x:f>
      </x:c>
      <x:c r="AK143" s="1253" t="str">
        <x:f>IF($A143="","",IF($Z143="FAIL — DUPLICATE ID","DUPLICATE CANDIDATE ID",IF($Z143="FAIL — INCOMPLETE","INCOMPLETE",IF($Z143="FAIL — MASR RECORD REQUIRED","MASR RECORD REQUIRED",IF($Z143="FAIL — ELIGIBILITY","ELIGIBILITY BLOCK",IF($Z143="FAIL — EVIDENCE","EVIDENCE REQUIRED",IF($Z143="FAIL — MIAR GATE","MIAR GATE BLOCK",IF($Z143="FAIL — COMMITTEE DISPOSITION","COMMITTEE DECISION REQUIRED",IF($Z143="FAIL — PEW REFERRAL","PEW REFERRAL INCOMPLETE",IF(AND(OR($Y143="Rejected",$Y143="Closed",$Y143="Removed"),OR($AO143="",$AP143="",$AQ143="")),"CLOSURE REQUIRED",IF(AND($AB143&lt;TODAY(),NOT(OR($Y143="Rejected",$Y143="Closed",$Y143="Removed"))),"OVERDUE",IF(OR($Y143="Rejected",$Y143="Closed",$Y143="Removed"),"CLOSED","OPEN — ON TRACK"))))))))))))</x:f>
      </x:c>
      <x:c r="AL143" s="1253" t="str">
        <x:f>IF($AK143="","",IFERROR(INDEX('97 RCC Lists'!$AM$5:$AM$16,MATCH($AK143,'97 RCC Lists'!$AL$5:$AL$16,0)),"Review candidate exception"))</x:f>
      </x:c>
      <x:c r="AM143" s="1242"/>
      <x:c r="AN143" s="1242"/>
      <x:c r="AO143" s="1242"/>
      <x:c r="AP143" s="1242"/>
      <x:c r="AQ143" s="1251"/>
    </x:row>
    <x:row r="144" ht="32" customHeight="1">
      <x:c r="A144" s="1242"/>
      <x:c r="B144" s="1251"/>
      <x:c r="C144" s="1242"/>
      <x:c r="D144" s="1243" t="str">
        <x:f>IF($C144="","",IFERROR(INDEX('23 RCC-004 MASR Registry'!$C$14:$C$163,MATCH($C144,'23 RCC-004 MASR Registry'!$B$14:$B$163,0)),""))</x:f>
      </x:c>
      <x:c r="E144" s="1242"/>
      <x:c r="F144" s="1242"/>
      <x:c r="G144" s="1242"/>
      <x:c r="H144" s="1242"/>
      <x:c r="I144" s="1243" t="str">
        <x:f>IF($C144="","",IFERROR(INDEX('23 RCC-004 MASR Registry'!$G$14:$G$163,MATCH($C144,'23 RCC-004 MASR Registry'!$B$14:$B$163,0)),""))</x:f>
      </x:c>
      <x:c r="J144" s="1243" t="str">
        <x:f>IF($C144="","",IFERROR(INDEX('23 RCC-004 MASR Registry'!$H$14:$H$163,MATCH($C144,'23 RCC-004 MASR Registry'!$B$14:$B$163,0)),""))</x:f>
      </x:c>
      <x:c r="K144" s="1243" t="str">
        <x:f>IF($C144="","",IFERROR(INDEX('23 RCC-004 MASR Registry'!$D$14:$D$163,MATCH($C144,'23 RCC-004 MASR Registry'!$B$14:$B$163,0)),""))</x:f>
      </x:c>
      <x:c r="L144" s="1243" t="str">
        <x:f>IF($C144="","",IFERROR(INDEX('23 RCC-004 MASR Registry'!$E$14:$E$163,MATCH($C144,'23 RCC-004 MASR Registry'!$B$14:$B$163,0)),""))</x:f>
      </x:c>
      <x:c r="M144" s="1243" t="str">
        <x:f>IF($C144="","",IFERROR(INDEX('23 RCC-004 MASR Registry'!$X$14:$X$163,MATCH($C144,'23 RCC-004 MASR Registry'!$B$14:$B$163,0)),""))</x:f>
      </x:c>
      <x:c r="N144" s="1243" t="str">
        <x:f>IF($C144="","",IFERROR(INDEX('23 RCC-004 MASR Registry'!$Y$14:$Y$163,MATCH($C144,'23 RCC-004 MASR Registry'!$B$14:$B$163,0)),""))</x:f>
      </x:c>
      <x:c r="O144" s="1243" t="str">
        <x:f>IF($C144="","",IFERROR(INDEX('23 RCC-004 MASR Registry'!$L$14:$L$163,MATCH($C144,'23 RCC-004 MASR Registry'!$B$14:$B$163,0)),""))</x:f>
      </x:c>
      <x:c r="P144" s="1243" t="str">
        <x:f>IF($C144="","",IFERROR(INDEX('23 RCC-004 MASR Registry'!$M$14:$M$163,MATCH($C144,'23 RCC-004 MASR Registry'!$B$14:$B$163,0)),""))</x:f>
      </x:c>
      <x:c r="Q144" s="1246" t="str">
        <x:f>IF($C144="","",IFERROR(INDEX('23 RCC-004 MASR Registry'!$N$14:$N$163,MATCH($C144,'23 RCC-004 MASR Registry'!$B$14:$B$163,0)),""))</x:f>
      </x:c>
      <x:c r="R144" s="1246" t="str">
        <x:f>IF($C144="","",IFERROR(INDEX('23 RCC-004 MASR Registry'!$O$14:$O$163,MATCH($C144,'23 RCC-004 MASR Registry'!$B$14:$B$163,0)),""))</x:f>
      </x:c>
      <x:c r="S144" s="1246" t="str">
        <x:f>IF($C144="","",IFERROR(INDEX('23 RCC-004 MASR Registry'!$W$14:$W$163,MATCH($C144,'23 RCC-004 MASR Registry'!$B$14:$B$163,0)),""))</x:f>
      </x:c>
      <x:c r="T144" s="1246" t="str">
        <x:f>IF($C144="","",IFERROR(INDEX('23 RCC-004 MASR Registry'!$T$14:$T$163,MATCH($C144,'23 RCC-004 MASR Registry'!$B$14:$B$163,0)),""))</x:f>
      </x:c>
      <x:c r="U144" s="1247" t="str">
        <x:f>IF($C144="","",IFERROR(INDEX('23 RCC-004 MASR Registry'!$U$14:$U$163,MATCH($C144,'23 RCC-004 MASR Registry'!$B$14:$B$163,0)),""))</x:f>
      </x:c>
      <x:c r="V144" s="1243" t="str">
        <x:f>IF($C144="","",IFERROR(INDEX('23 RCC-004 MASR Registry'!$V$14:$V$163,MATCH($C144,'23 RCC-004 MASR Registry'!$B$14:$B$163,0)),""))</x:f>
      </x:c>
      <x:c r="W144" s="1242"/>
      <x:c r="X144" s="1247" t="str">
        <x:f>IF($C144="","",COUNTIF('18 RCC-002 Evidence Ledger'!$E$14:$E$213,$C144))</x:f>
      </x:c>
      <x:c r="Y144" s="1242"/>
      <x:c r="Z144" s="1244" t="str">
        <x:f>IF($A144="","",IF(COUNTIF($A$14:$A$213,$A144)&gt;1,"FAIL — DUPLICATE ID",IF(OR($B144="",$C144="",$E144="",$H144="",$Y144="",$AA144="",$AB144=""),"FAIL — INCOMPLETE",IF(AND(OR($Y144="MIAR Review",$Y144="Eligibility Review",$Y144="Candidate Comparison",$Y144="Committee Review",$Y144="Approved for MASR",$Y144="Referred to PEW-004",$Y144="On Watch",$Y144="Rejected",$Y144="Closed",$Y144="Removed"),$K144=""),"FAIL — MASR RECORD REQUIRED",IF(AND(OR($Y144="Eligibility Review",$Y144="Candidate Comparison",$Y144="Committee Review",$Y144="Approved for MASR",$Y144="Referred to PEW-004",$Y144="On Watch"),NOT(OR($M144="ELIGIBLE",$M144="ELIGIBLE WITH EXCEPTION",$M144="CERTIFIED HOLDING"))),"FAIL — ELIGIBILITY",IF(AND(OR($Y144="Candidate Comparison",$Y144="Committee Review",$Y144="Approved for MASR",$Y144="Referred to PEW-004",$Y144="On Watch"),$X144=0),"FAIL — EVIDENCE",IF(AND(OR($Y144="Candidate Comparison",$Y144="Committee Review",$Y144="Approved for MASR",$Y144="Referred to PEW-004",$Y144="On Watch"),OR($O144&lt;&gt;"Active",$P144&lt;&gt;"CURRENT")),"FAIL — MIAR GATE",IF(AND(OR($Y144="Approved for MASR",$Y144="Referred to PEW-004",$Y144="On Watch",$Y144="Rejected",$Y144="Closed",$Y144="Removed"),OR($AD144="",$AD144="Pending")),"FAIL — COMMITTEE DISPOSITION",IF(AND($Y144="Referred to PEW-004",OR($AF144&lt;&gt;"Yes — Refer to PEW-004",$AG144="",$AJ144="")),"FAIL — PEW REFERRAL","PASS — STAGE GATE")))))))))</x:f>
      </x:c>
      <x:c r="AA144" s="1242"/>
      <x:c r="AB144" s="1251"/>
      <x:c r="AC144" s="1250" t="str">
        <x:f>IF($B144="","",IF($AQ144&lt;&gt;"",$AQ144-$B144,TODAY()-$B144))</x:f>
      </x:c>
      <x:c r="AD144" s="1242"/>
      <x:c r="AE144" s="1251"/>
      <x:c r="AF144" s="1242"/>
      <x:c r="AG144" s="1242"/>
      <x:c r="AH144" s="1246" t="str">
        <x:f>IF($AG144="","",IFERROR(INDEX('10 Candidate Comparison'!$T$14:$T$33,MATCH($AG144,'10 Candidate Comparison'!$A$14:$A$33,0)),""))</x:f>
      </x:c>
      <x:c r="AI144" s="1243" t="str">
        <x:f>IF($AG144="","",IFERROR(INDEX('10 Candidate Comparison'!$U$14:$U$33,MATCH($AG144,'10 Candidate Comparison'!$A$14:$A$33,0)),""))</x:f>
      </x:c>
      <x:c r="AJ144" s="1243" t="str">
        <x:f>IF($AG144="","",IFERROR(INDEX('10 Candidate Comparison'!$Y$14:$Y$33,MATCH($AG144,'10 Candidate Comparison'!$A$14:$A$33,0)),""))</x:f>
      </x:c>
      <x:c r="AK144" s="1244" t="str">
        <x:f>IF($A144="","",IF($Z144="FAIL — DUPLICATE ID","DUPLICATE CANDIDATE ID",IF($Z144="FAIL — INCOMPLETE","INCOMPLETE",IF($Z144="FAIL — MASR RECORD REQUIRED","MASR RECORD REQUIRED",IF($Z144="FAIL — ELIGIBILITY","ELIGIBILITY BLOCK",IF($Z144="FAIL — EVIDENCE","EVIDENCE REQUIRED",IF($Z144="FAIL — MIAR GATE","MIAR GATE BLOCK",IF($Z144="FAIL — COMMITTEE DISPOSITION","COMMITTEE DECISION REQUIRED",IF($Z144="FAIL — PEW REFERRAL","PEW REFERRAL INCOMPLETE",IF(AND(OR($Y144="Rejected",$Y144="Closed",$Y144="Removed"),OR($AO144="",$AP144="",$AQ144="")),"CLOSURE REQUIRED",IF(AND($AB144&lt;TODAY(),NOT(OR($Y144="Rejected",$Y144="Closed",$Y144="Removed"))),"OVERDUE",IF(OR($Y144="Rejected",$Y144="Closed",$Y144="Removed"),"CLOSED","OPEN — ON TRACK"))))))))))))</x:f>
      </x:c>
      <x:c r="AL144" s="1244" t="str">
        <x:f>IF($AK144="","",IFERROR(INDEX('97 RCC Lists'!$AM$5:$AM$16,MATCH($AK144,'97 RCC Lists'!$AL$5:$AL$16,0)),"Review candidate exception"))</x:f>
      </x:c>
      <x:c r="AM144" s="1242"/>
      <x:c r="AN144" s="1242"/>
      <x:c r="AO144" s="1242"/>
      <x:c r="AP144" s="1242"/>
      <x:c r="AQ144" s="1251"/>
    </x:row>
    <x:row r="145" ht="32" customHeight="1">
      <x:c r="A145" s="1242"/>
      <x:c r="B145" s="1251"/>
      <x:c r="C145" s="1242"/>
      <x:c r="D145" s="1252" t="str">
        <x:f>IF($C145="","",IFERROR(INDEX('23 RCC-004 MASR Registry'!$C$14:$C$163,MATCH($C145,'23 RCC-004 MASR Registry'!$B$14:$B$163,0)),""))</x:f>
      </x:c>
      <x:c r="E145" s="1242"/>
      <x:c r="F145" s="1242"/>
      <x:c r="G145" s="1242"/>
      <x:c r="H145" s="1242"/>
      <x:c r="I145" s="1252" t="str">
        <x:f>IF($C145="","",IFERROR(INDEX('23 RCC-004 MASR Registry'!$G$14:$G$163,MATCH($C145,'23 RCC-004 MASR Registry'!$B$14:$B$163,0)),""))</x:f>
      </x:c>
      <x:c r="J145" s="1252" t="str">
        <x:f>IF($C145="","",IFERROR(INDEX('23 RCC-004 MASR Registry'!$H$14:$H$163,MATCH($C145,'23 RCC-004 MASR Registry'!$B$14:$B$163,0)),""))</x:f>
      </x:c>
      <x:c r="K145" s="1252" t="str">
        <x:f>IF($C145="","",IFERROR(INDEX('23 RCC-004 MASR Registry'!$D$14:$D$163,MATCH($C145,'23 RCC-004 MASR Registry'!$B$14:$B$163,0)),""))</x:f>
      </x:c>
      <x:c r="L145" s="1252" t="str">
        <x:f>IF($C145="","",IFERROR(INDEX('23 RCC-004 MASR Registry'!$E$14:$E$163,MATCH($C145,'23 RCC-004 MASR Registry'!$B$14:$B$163,0)),""))</x:f>
      </x:c>
      <x:c r="M145" s="1252" t="str">
        <x:f>IF($C145="","",IFERROR(INDEX('23 RCC-004 MASR Registry'!$X$14:$X$163,MATCH($C145,'23 RCC-004 MASR Registry'!$B$14:$B$163,0)),""))</x:f>
      </x:c>
      <x:c r="N145" s="1252" t="str">
        <x:f>IF($C145="","",IFERROR(INDEX('23 RCC-004 MASR Registry'!$Y$14:$Y$163,MATCH($C145,'23 RCC-004 MASR Registry'!$B$14:$B$163,0)),""))</x:f>
      </x:c>
      <x:c r="O145" s="1252" t="str">
        <x:f>IF($C145="","",IFERROR(INDEX('23 RCC-004 MASR Registry'!$L$14:$L$163,MATCH($C145,'23 RCC-004 MASR Registry'!$B$14:$B$163,0)),""))</x:f>
      </x:c>
      <x:c r="P145" s="1252" t="str">
        <x:f>IF($C145="","",IFERROR(INDEX('23 RCC-004 MASR Registry'!$M$14:$M$163,MATCH($C145,'23 RCC-004 MASR Registry'!$B$14:$B$163,0)),""))</x:f>
      </x:c>
      <x:c r="Q145" s="1255" t="str">
        <x:f>IF($C145="","",IFERROR(INDEX('23 RCC-004 MASR Registry'!$N$14:$N$163,MATCH($C145,'23 RCC-004 MASR Registry'!$B$14:$B$163,0)),""))</x:f>
      </x:c>
      <x:c r="R145" s="1255" t="str">
        <x:f>IF($C145="","",IFERROR(INDEX('23 RCC-004 MASR Registry'!$O$14:$O$163,MATCH($C145,'23 RCC-004 MASR Registry'!$B$14:$B$163,0)),""))</x:f>
      </x:c>
      <x:c r="S145" s="1255" t="str">
        <x:f>IF($C145="","",IFERROR(INDEX('23 RCC-004 MASR Registry'!$W$14:$W$163,MATCH($C145,'23 RCC-004 MASR Registry'!$B$14:$B$163,0)),""))</x:f>
      </x:c>
      <x:c r="T145" s="1255" t="str">
        <x:f>IF($C145="","",IFERROR(INDEX('23 RCC-004 MASR Registry'!$T$14:$T$163,MATCH($C145,'23 RCC-004 MASR Registry'!$B$14:$B$163,0)),""))</x:f>
      </x:c>
      <x:c r="U145" s="1256" t="str">
        <x:f>IF($C145="","",IFERROR(INDEX('23 RCC-004 MASR Registry'!$U$14:$U$163,MATCH($C145,'23 RCC-004 MASR Registry'!$B$14:$B$163,0)),""))</x:f>
      </x:c>
      <x:c r="V145" s="1252" t="str">
        <x:f>IF($C145="","",IFERROR(INDEX('23 RCC-004 MASR Registry'!$V$14:$V$163,MATCH($C145,'23 RCC-004 MASR Registry'!$B$14:$B$163,0)),""))</x:f>
      </x:c>
      <x:c r="W145" s="1242"/>
      <x:c r="X145" s="1256" t="str">
        <x:f>IF($C145="","",COUNTIF('18 RCC-002 Evidence Ledger'!$E$14:$E$213,$C145))</x:f>
      </x:c>
      <x:c r="Y145" s="1242"/>
      <x:c r="Z145" s="1253" t="str">
        <x:f>IF($A145="","",IF(COUNTIF($A$14:$A$213,$A145)&gt;1,"FAIL — DUPLICATE ID",IF(OR($B145="",$C145="",$E145="",$H145="",$Y145="",$AA145="",$AB145=""),"FAIL — INCOMPLETE",IF(AND(OR($Y145="MIAR Review",$Y145="Eligibility Review",$Y145="Candidate Comparison",$Y145="Committee Review",$Y145="Approved for MASR",$Y145="Referred to PEW-004",$Y145="On Watch",$Y145="Rejected",$Y145="Closed",$Y145="Removed"),$K145=""),"FAIL — MASR RECORD REQUIRED",IF(AND(OR($Y145="Eligibility Review",$Y145="Candidate Comparison",$Y145="Committee Review",$Y145="Approved for MASR",$Y145="Referred to PEW-004",$Y145="On Watch"),NOT(OR($M145="ELIGIBLE",$M145="ELIGIBLE WITH EXCEPTION",$M145="CERTIFIED HOLDING"))),"FAIL — ELIGIBILITY",IF(AND(OR($Y145="Candidate Comparison",$Y145="Committee Review",$Y145="Approved for MASR",$Y145="Referred to PEW-004",$Y145="On Watch"),$X145=0),"FAIL — EVIDENCE",IF(AND(OR($Y145="Candidate Comparison",$Y145="Committee Review",$Y145="Approved for MASR",$Y145="Referred to PEW-004",$Y145="On Watch"),OR($O145&lt;&gt;"Active",$P145&lt;&gt;"CURRENT")),"FAIL — MIAR GATE",IF(AND(OR($Y145="Approved for MASR",$Y145="Referred to PEW-004",$Y145="On Watch",$Y145="Rejected",$Y145="Closed",$Y145="Removed"),OR($AD145="",$AD145="Pending")),"FAIL — COMMITTEE DISPOSITION",IF(AND($Y145="Referred to PEW-004",OR($AF145&lt;&gt;"Yes — Refer to PEW-004",$AG145="",$AJ145="")),"FAIL — PEW REFERRAL","PASS — STAGE GATE")))))))))</x:f>
      </x:c>
      <x:c r="AA145" s="1242"/>
      <x:c r="AB145" s="1251"/>
      <x:c r="AC145" s="1257" t="str">
        <x:f>IF($B145="","",IF($AQ145&lt;&gt;"",$AQ145-$B145,TODAY()-$B145))</x:f>
      </x:c>
      <x:c r="AD145" s="1242"/>
      <x:c r="AE145" s="1251"/>
      <x:c r="AF145" s="1242"/>
      <x:c r="AG145" s="1242"/>
      <x:c r="AH145" s="1255" t="str">
        <x:f>IF($AG145="","",IFERROR(INDEX('10 Candidate Comparison'!$T$14:$T$33,MATCH($AG145,'10 Candidate Comparison'!$A$14:$A$33,0)),""))</x:f>
      </x:c>
      <x:c r="AI145" s="1252" t="str">
        <x:f>IF($AG145="","",IFERROR(INDEX('10 Candidate Comparison'!$U$14:$U$33,MATCH($AG145,'10 Candidate Comparison'!$A$14:$A$33,0)),""))</x:f>
      </x:c>
      <x:c r="AJ145" s="1252" t="str">
        <x:f>IF($AG145="","",IFERROR(INDEX('10 Candidate Comparison'!$Y$14:$Y$33,MATCH($AG145,'10 Candidate Comparison'!$A$14:$A$33,0)),""))</x:f>
      </x:c>
      <x:c r="AK145" s="1253" t="str">
        <x:f>IF($A145="","",IF($Z145="FAIL — DUPLICATE ID","DUPLICATE CANDIDATE ID",IF($Z145="FAIL — INCOMPLETE","INCOMPLETE",IF($Z145="FAIL — MASR RECORD REQUIRED","MASR RECORD REQUIRED",IF($Z145="FAIL — ELIGIBILITY","ELIGIBILITY BLOCK",IF($Z145="FAIL — EVIDENCE","EVIDENCE REQUIRED",IF($Z145="FAIL — MIAR GATE","MIAR GATE BLOCK",IF($Z145="FAIL — COMMITTEE DISPOSITION","COMMITTEE DECISION REQUIRED",IF($Z145="FAIL — PEW REFERRAL","PEW REFERRAL INCOMPLETE",IF(AND(OR($Y145="Rejected",$Y145="Closed",$Y145="Removed"),OR($AO145="",$AP145="",$AQ145="")),"CLOSURE REQUIRED",IF(AND($AB145&lt;TODAY(),NOT(OR($Y145="Rejected",$Y145="Closed",$Y145="Removed"))),"OVERDUE",IF(OR($Y145="Rejected",$Y145="Closed",$Y145="Removed"),"CLOSED","OPEN — ON TRACK"))))))))))))</x:f>
      </x:c>
      <x:c r="AL145" s="1253" t="str">
        <x:f>IF($AK145="","",IFERROR(INDEX('97 RCC Lists'!$AM$5:$AM$16,MATCH($AK145,'97 RCC Lists'!$AL$5:$AL$16,0)),"Review candidate exception"))</x:f>
      </x:c>
      <x:c r="AM145" s="1242"/>
      <x:c r="AN145" s="1242"/>
      <x:c r="AO145" s="1242"/>
      <x:c r="AP145" s="1242"/>
      <x:c r="AQ145" s="1251"/>
    </x:row>
    <x:row r="146" ht="32" customHeight="1">
      <x:c r="A146" s="1242"/>
      <x:c r="B146" s="1251"/>
      <x:c r="C146" s="1242"/>
      <x:c r="D146" s="1243" t="str">
        <x:f>IF($C146="","",IFERROR(INDEX('23 RCC-004 MASR Registry'!$C$14:$C$163,MATCH($C146,'23 RCC-004 MASR Registry'!$B$14:$B$163,0)),""))</x:f>
      </x:c>
      <x:c r="E146" s="1242"/>
      <x:c r="F146" s="1242"/>
      <x:c r="G146" s="1242"/>
      <x:c r="H146" s="1242"/>
      <x:c r="I146" s="1243" t="str">
        <x:f>IF($C146="","",IFERROR(INDEX('23 RCC-004 MASR Registry'!$G$14:$G$163,MATCH($C146,'23 RCC-004 MASR Registry'!$B$14:$B$163,0)),""))</x:f>
      </x:c>
      <x:c r="J146" s="1243" t="str">
        <x:f>IF($C146="","",IFERROR(INDEX('23 RCC-004 MASR Registry'!$H$14:$H$163,MATCH($C146,'23 RCC-004 MASR Registry'!$B$14:$B$163,0)),""))</x:f>
      </x:c>
      <x:c r="K146" s="1243" t="str">
        <x:f>IF($C146="","",IFERROR(INDEX('23 RCC-004 MASR Registry'!$D$14:$D$163,MATCH($C146,'23 RCC-004 MASR Registry'!$B$14:$B$163,0)),""))</x:f>
      </x:c>
      <x:c r="L146" s="1243" t="str">
        <x:f>IF($C146="","",IFERROR(INDEX('23 RCC-004 MASR Registry'!$E$14:$E$163,MATCH($C146,'23 RCC-004 MASR Registry'!$B$14:$B$163,0)),""))</x:f>
      </x:c>
      <x:c r="M146" s="1243" t="str">
        <x:f>IF($C146="","",IFERROR(INDEX('23 RCC-004 MASR Registry'!$X$14:$X$163,MATCH($C146,'23 RCC-004 MASR Registry'!$B$14:$B$163,0)),""))</x:f>
      </x:c>
      <x:c r="N146" s="1243" t="str">
        <x:f>IF($C146="","",IFERROR(INDEX('23 RCC-004 MASR Registry'!$Y$14:$Y$163,MATCH($C146,'23 RCC-004 MASR Registry'!$B$14:$B$163,0)),""))</x:f>
      </x:c>
      <x:c r="O146" s="1243" t="str">
        <x:f>IF($C146="","",IFERROR(INDEX('23 RCC-004 MASR Registry'!$L$14:$L$163,MATCH($C146,'23 RCC-004 MASR Registry'!$B$14:$B$163,0)),""))</x:f>
      </x:c>
      <x:c r="P146" s="1243" t="str">
        <x:f>IF($C146="","",IFERROR(INDEX('23 RCC-004 MASR Registry'!$M$14:$M$163,MATCH($C146,'23 RCC-004 MASR Registry'!$B$14:$B$163,0)),""))</x:f>
      </x:c>
      <x:c r="Q146" s="1246" t="str">
        <x:f>IF($C146="","",IFERROR(INDEX('23 RCC-004 MASR Registry'!$N$14:$N$163,MATCH($C146,'23 RCC-004 MASR Registry'!$B$14:$B$163,0)),""))</x:f>
      </x:c>
      <x:c r="R146" s="1246" t="str">
        <x:f>IF($C146="","",IFERROR(INDEX('23 RCC-004 MASR Registry'!$O$14:$O$163,MATCH($C146,'23 RCC-004 MASR Registry'!$B$14:$B$163,0)),""))</x:f>
      </x:c>
      <x:c r="S146" s="1246" t="str">
        <x:f>IF($C146="","",IFERROR(INDEX('23 RCC-004 MASR Registry'!$W$14:$W$163,MATCH($C146,'23 RCC-004 MASR Registry'!$B$14:$B$163,0)),""))</x:f>
      </x:c>
      <x:c r="T146" s="1246" t="str">
        <x:f>IF($C146="","",IFERROR(INDEX('23 RCC-004 MASR Registry'!$T$14:$T$163,MATCH($C146,'23 RCC-004 MASR Registry'!$B$14:$B$163,0)),""))</x:f>
      </x:c>
      <x:c r="U146" s="1247" t="str">
        <x:f>IF($C146="","",IFERROR(INDEX('23 RCC-004 MASR Registry'!$U$14:$U$163,MATCH($C146,'23 RCC-004 MASR Registry'!$B$14:$B$163,0)),""))</x:f>
      </x:c>
      <x:c r="V146" s="1243" t="str">
        <x:f>IF($C146="","",IFERROR(INDEX('23 RCC-004 MASR Registry'!$V$14:$V$163,MATCH($C146,'23 RCC-004 MASR Registry'!$B$14:$B$163,0)),""))</x:f>
      </x:c>
      <x:c r="W146" s="1242"/>
      <x:c r="X146" s="1247" t="str">
        <x:f>IF($C146="","",COUNTIF('18 RCC-002 Evidence Ledger'!$E$14:$E$213,$C146))</x:f>
      </x:c>
      <x:c r="Y146" s="1242"/>
      <x:c r="Z146" s="1244" t="str">
        <x:f>IF($A146="","",IF(COUNTIF($A$14:$A$213,$A146)&gt;1,"FAIL — DUPLICATE ID",IF(OR($B146="",$C146="",$E146="",$H146="",$Y146="",$AA146="",$AB146=""),"FAIL — INCOMPLETE",IF(AND(OR($Y146="MIAR Review",$Y146="Eligibility Review",$Y146="Candidate Comparison",$Y146="Committee Review",$Y146="Approved for MASR",$Y146="Referred to PEW-004",$Y146="On Watch",$Y146="Rejected",$Y146="Closed",$Y146="Removed"),$K146=""),"FAIL — MASR RECORD REQUIRED",IF(AND(OR($Y146="Eligibility Review",$Y146="Candidate Comparison",$Y146="Committee Review",$Y146="Approved for MASR",$Y146="Referred to PEW-004",$Y146="On Watch"),NOT(OR($M146="ELIGIBLE",$M146="ELIGIBLE WITH EXCEPTION",$M146="CERTIFIED HOLDING"))),"FAIL — ELIGIBILITY",IF(AND(OR($Y146="Candidate Comparison",$Y146="Committee Review",$Y146="Approved for MASR",$Y146="Referred to PEW-004",$Y146="On Watch"),$X146=0),"FAIL — EVIDENCE",IF(AND(OR($Y146="Candidate Comparison",$Y146="Committee Review",$Y146="Approved for MASR",$Y146="Referred to PEW-004",$Y146="On Watch"),OR($O146&lt;&gt;"Active",$P146&lt;&gt;"CURRENT")),"FAIL — MIAR GATE",IF(AND(OR($Y146="Approved for MASR",$Y146="Referred to PEW-004",$Y146="On Watch",$Y146="Rejected",$Y146="Closed",$Y146="Removed"),OR($AD146="",$AD146="Pending")),"FAIL — COMMITTEE DISPOSITION",IF(AND($Y146="Referred to PEW-004",OR($AF146&lt;&gt;"Yes — Refer to PEW-004",$AG146="",$AJ146="")),"FAIL — PEW REFERRAL","PASS — STAGE GATE")))))))))</x:f>
      </x:c>
      <x:c r="AA146" s="1242"/>
      <x:c r="AB146" s="1251"/>
      <x:c r="AC146" s="1250" t="str">
        <x:f>IF($B146="","",IF($AQ146&lt;&gt;"",$AQ146-$B146,TODAY()-$B146))</x:f>
      </x:c>
      <x:c r="AD146" s="1242"/>
      <x:c r="AE146" s="1251"/>
      <x:c r="AF146" s="1242"/>
      <x:c r="AG146" s="1242"/>
      <x:c r="AH146" s="1246" t="str">
        <x:f>IF($AG146="","",IFERROR(INDEX('10 Candidate Comparison'!$T$14:$T$33,MATCH($AG146,'10 Candidate Comparison'!$A$14:$A$33,0)),""))</x:f>
      </x:c>
      <x:c r="AI146" s="1243" t="str">
        <x:f>IF($AG146="","",IFERROR(INDEX('10 Candidate Comparison'!$U$14:$U$33,MATCH($AG146,'10 Candidate Comparison'!$A$14:$A$33,0)),""))</x:f>
      </x:c>
      <x:c r="AJ146" s="1243" t="str">
        <x:f>IF($AG146="","",IFERROR(INDEX('10 Candidate Comparison'!$Y$14:$Y$33,MATCH($AG146,'10 Candidate Comparison'!$A$14:$A$33,0)),""))</x:f>
      </x:c>
      <x:c r="AK146" s="1244" t="str">
        <x:f>IF($A146="","",IF($Z146="FAIL — DUPLICATE ID","DUPLICATE CANDIDATE ID",IF($Z146="FAIL — INCOMPLETE","INCOMPLETE",IF($Z146="FAIL — MASR RECORD REQUIRED","MASR RECORD REQUIRED",IF($Z146="FAIL — ELIGIBILITY","ELIGIBILITY BLOCK",IF($Z146="FAIL — EVIDENCE","EVIDENCE REQUIRED",IF($Z146="FAIL — MIAR GATE","MIAR GATE BLOCK",IF($Z146="FAIL — COMMITTEE DISPOSITION","COMMITTEE DECISION REQUIRED",IF($Z146="FAIL — PEW REFERRAL","PEW REFERRAL INCOMPLETE",IF(AND(OR($Y146="Rejected",$Y146="Closed",$Y146="Removed"),OR($AO146="",$AP146="",$AQ146="")),"CLOSURE REQUIRED",IF(AND($AB146&lt;TODAY(),NOT(OR($Y146="Rejected",$Y146="Closed",$Y146="Removed"))),"OVERDUE",IF(OR($Y146="Rejected",$Y146="Closed",$Y146="Removed"),"CLOSED","OPEN — ON TRACK"))))))))))))</x:f>
      </x:c>
      <x:c r="AL146" s="1244" t="str">
        <x:f>IF($AK146="","",IFERROR(INDEX('97 RCC Lists'!$AM$5:$AM$16,MATCH($AK146,'97 RCC Lists'!$AL$5:$AL$16,0)),"Review candidate exception"))</x:f>
      </x:c>
      <x:c r="AM146" s="1242"/>
      <x:c r="AN146" s="1242"/>
      <x:c r="AO146" s="1242"/>
      <x:c r="AP146" s="1242"/>
      <x:c r="AQ146" s="1251"/>
    </x:row>
    <x:row r="147" ht="32" customHeight="1">
      <x:c r="A147" s="1242"/>
      <x:c r="B147" s="1251"/>
      <x:c r="C147" s="1242"/>
      <x:c r="D147" s="1252" t="str">
        <x:f>IF($C147="","",IFERROR(INDEX('23 RCC-004 MASR Registry'!$C$14:$C$163,MATCH($C147,'23 RCC-004 MASR Registry'!$B$14:$B$163,0)),""))</x:f>
      </x:c>
      <x:c r="E147" s="1242"/>
      <x:c r="F147" s="1242"/>
      <x:c r="G147" s="1242"/>
      <x:c r="H147" s="1242"/>
      <x:c r="I147" s="1252" t="str">
        <x:f>IF($C147="","",IFERROR(INDEX('23 RCC-004 MASR Registry'!$G$14:$G$163,MATCH($C147,'23 RCC-004 MASR Registry'!$B$14:$B$163,0)),""))</x:f>
      </x:c>
      <x:c r="J147" s="1252" t="str">
        <x:f>IF($C147="","",IFERROR(INDEX('23 RCC-004 MASR Registry'!$H$14:$H$163,MATCH($C147,'23 RCC-004 MASR Registry'!$B$14:$B$163,0)),""))</x:f>
      </x:c>
      <x:c r="K147" s="1252" t="str">
        <x:f>IF($C147="","",IFERROR(INDEX('23 RCC-004 MASR Registry'!$D$14:$D$163,MATCH($C147,'23 RCC-004 MASR Registry'!$B$14:$B$163,0)),""))</x:f>
      </x:c>
      <x:c r="L147" s="1252" t="str">
        <x:f>IF($C147="","",IFERROR(INDEX('23 RCC-004 MASR Registry'!$E$14:$E$163,MATCH($C147,'23 RCC-004 MASR Registry'!$B$14:$B$163,0)),""))</x:f>
      </x:c>
      <x:c r="M147" s="1252" t="str">
        <x:f>IF($C147="","",IFERROR(INDEX('23 RCC-004 MASR Registry'!$X$14:$X$163,MATCH($C147,'23 RCC-004 MASR Registry'!$B$14:$B$163,0)),""))</x:f>
      </x:c>
      <x:c r="N147" s="1252" t="str">
        <x:f>IF($C147="","",IFERROR(INDEX('23 RCC-004 MASR Registry'!$Y$14:$Y$163,MATCH($C147,'23 RCC-004 MASR Registry'!$B$14:$B$163,0)),""))</x:f>
      </x:c>
      <x:c r="O147" s="1252" t="str">
        <x:f>IF($C147="","",IFERROR(INDEX('23 RCC-004 MASR Registry'!$L$14:$L$163,MATCH($C147,'23 RCC-004 MASR Registry'!$B$14:$B$163,0)),""))</x:f>
      </x:c>
      <x:c r="P147" s="1252" t="str">
        <x:f>IF($C147="","",IFERROR(INDEX('23 RCC-004 MASR Registry'!$M$14:$M$163,MATCH($C147,'23 RCC-004 MASR Registry'!$B$14:$B$163,0)),""))</x:f>
      </x:c>
      <x:c r="Q147" s="1255" t="str">
        <x:f>IF($C147="","",IFERROR(INDEX('23 RCC-004 MASR Registry'!$N$14:$N$163,MATCH($C147,'23 RCC-004 MASR Registry'!$B$14:$B$163,0)),""))</x:f>
      </x:c>
      <x:c r="R147" s="1255" t="str">
        <x:f>IF($C147="","",IFERROR(INDEX('23 RCC-004 MASR Registry'!$O$14:$O$163,MATCH($C147,'23 RCC-004 MASR Registry'!$B$14:$B$163,0)),""))</x:f>
      </x:c>
      <x:c r="S147" s="1255" t="str">
        <x:f>IF($C147="","",IFERROR(INDEX('23 RCC-004 MASR Registry'!$W$14:$W$163,MATCH($C147,'23 RCC-004 MASR Registry'!$B$14:$B$163,0)),""))</x:f>
      </x:c>
      <x:c r="T147" s="1255" t="str">
        <x:f>IF($C147="","",IFERROR(INDEX('23 RCC-004 MASR Registry'!$T$14:$T$163,MATCH($C147,'23 RCC-004 MASR Registry'!$B$14:$B$163,0)),""))</x:f>
      </x:c>
      <x:c r="U147" s="1256" t="str">
        <x:f>IF($C147="","",IFERROR(INDEX('23 RCC-004 MASR Registry'!$U$14:$U$163,MATCH($C147,'23 RCC-004 MASR Registry'!$B$14:$B$163,0)),""))</x:f>
      </x:c>
      <x:c r="V147" s="1252" t="str">
        <x:f>IF($C147="","",IFERROR(INDEX('23 RCC-004 MASR Registry'!$V$14:$V$163,MATCH($C147,'23 RCC-004 MASR Registry'!$B$14:$B$163,0)),""))</x:f>
      </x:c>
      <x:c r="W147" s="1242"/>
      <x:c r="X147" s="1256" t="str">
        <x:f>IF($C147="","",COUNTIF('18 RCC-002 Evidence Ledger'!$E$14:$E$213,$C147))</x:f>
      </x:c>
      <x:c r="Y147" s="1242"/>
      <x:c r="Z147" s="1253" t="str">
        <x:f>IF($A147="","",IF(COUNTIF($A$14:$A$213,$A147)&gt;1,"FAIL — DUPLICATE ID",IF(OR($B147="",$C147="",$E147="",$H147="",$Y147="",$AA147="",$AB147=""),"FAIL — INCOMPLETE",IF(AND(OR($Y147="MIAR Review",$Y147="Eligibility Review",$Y147="Candidate Comparison",$Y147="Committee Review",$Y147="Approved for MASR",$Y147="Referred to PEW-004",$Y147="On Watch",$Y147="Rejected",$Y147="Closed",$Y147="Removed"),$K147=""),"FAIL — MASR RECORD REQUIRED",IF(AND(OR($Y147="Eligibility Review",$Y147="Candidate Comparison",$Y147="Committee Review",$Y147="Approved for MASR",$Y147="Referred to PEW-004",$Y147="On Watch"),NOT(OR($M147="ELIGIBLE",$M147="ELIGIBLE WITH EXCEPTION",$M147="CERTIFIED HOLDING"))),"FAIL — ELIGIBILITY",IF(AND(OR($Y147="Candidate Comparison",$Y147="Committee Review",$Y147="Approved for MASR",$Y147="Referred to PEW-004",$Y147="On Watch"),$X147=0),"FAIL — EVIDENCE",IF(AND(OR($Y147="Candidate Comparison",$Y147="Committee Review",$Y147="Approved for MASR",$Y147="Referred to PEW-004",$Y147="On Watch"),OR($O147&lt;&gt;"Active",$P147&lt;&gt;"CURRENT")),"FAIL — MIAR GATE",IF(AND(OR($Y147="Approved for MASR",$Y147="Referred to PEW-004",$Y147="On Watch",$Y147="Rejected",$Y147="Closed",$Y147="Removed"),OR($AD147="",$AD147="Pending")),"FAIL — COMMITTEE DISPOSITION",IF(AND($Y147="Referred to PEW-004",OR($AF147&lt;&gt;"Yes — Refer to PEW-004",$AG147="",$AJ147="")),"FAIL — PEW REFERRAL","PASS — STAGE GATE")))))))))</x:f>
      </x:c>
      <x:c r="AA147" s="1242"/>
      <x:c r="AB147" s="1251"/>
      <x:c r="AC147" s="1257" t="str">
        <x:f>IF($B147="","",IF($AQ147&lt;&gt;"",$AQ147-$B147,TODAY()-$B147))</x:f>
      </x:c>
      <x:c r="AD147" s="1242"/>
      <x:c r="AE147" s="1251"/>
      <x:c r="AF147" s="1242"/>
      <x:c r="AG147" s="1242"/>
      <x:c r="AH147" s="1255" t="str">
        <x:f>IF($AG147="","",IFERROR(INDEX('10 Candidate Comparison'!$T$14:$T$33,MATCH($AG147,'10 Candidate Comparison'!$A$14:$A$33,0)),""))</x:f>
      </x:c>
      <x:c r="AI147" s="1252" t="str">
        <x:f>IF($AG147="","",IFERROR(INDEX('10 Candidate Comparison'!$U$14:$U$33,MATCH($AG147,'10 Candidate Comparison'!$A$14:$A$33,0)),""))</x:f>
      </x:c>
      <x:c r="AJ147" s="1252" t="str">
        <x:f>IF($AG147="","",IFERROR(INDEX('10 Candidate Comparison'!$Y$14:$Y$33,MATCH($AG147,'10 Candidate Comparison'!$A$14:$A$33,0)),""))</x:f>
      </x:c>
      <x:c r="AK147" s="1253" t="str">
        <x:f>IF($A147="","",IF($Z147="FAIL — DUPLICATE ID","DUPLICATE CANDIDATE ID",IF($Z147="FAIL — INCOMPLETE","INCOMPLETE",IF($Z147="FAIL — MASR RECORD REQUIRED","MASR RECORD REQUIRED",IF($Z147="FAIL — ELIGIBILITY","ELIGIBILITY BLOCK",IF($Z147="FAIL — EVIDENCE","EVIDENCE REQUIRED",IF($Z147="FAIL — MIAR GATE","MIAR GATE BLOCK",IF($Z147="FAIL — COMMITTEE DISPOSITION","COMMITTEE DECISION REQUIRED",IF($Z147="FAIL — PEW REFERRAL","PEW REFERRAL INCOMPLETE",IF(AND(OR($Y147="Rejected",$Y147="Closed",$Y147="Removed"),OR($AO147="",$AP147="",$AQ147="")),"CLOSURE REQUIRED",IF(AND($AB147&lt;TODAY(),NOT(OR($Y147="Rejected",$Y147="Closed",$Y147="Removed"))),"OVERDUE",IF(OR($Y147="Rejected",$Y147="Closed",$Y147="Removed"),"CLOSED","OPEN — ON TRACK"))))))))))))</x:f>
      </x:c>
      <x:c r="AL147" s="1253" t="str">
        <x:f>IF($AK147="","",IFERROR(INDEX('97 RCC Lists'!$AM$5:$AM$16,MATCH($AK147,'97 RCC Lists'!$AL$5:$AL$16,0)),"Review candidate exception"))</x:f>
      </x:c>
      <x:c r="AM147" s="1242"/>
      <x:c r="AN147" s="1242"/>
      <x:c r="AO147" s="1242"/>
      <x:c r="AP147" s="1242"/>
      <x:c r="AQ147" s="1251"/>
    </x:row>
    <x:row r="148" ht="32" customHeight="1">
      <x:c r="A148" s="1242"/>
      <x:c r="B148" s="1251"/>
      <x:c r="C148" s="1242"/>
      <x:c r="D148" s="1243" t="str">
        <x:f>IF($C148="","",IFERROR(INDEX('23 RCC-004 MASR Registry'!$C$14:$C$163,MATCH($C148,'23 RCC-004 MASR Registry'!$B$14:$B$163,0)),""))</x:f>
      </x:c>
      <x:c r="E148" s="1242"/>
      <x:c r="F148" s="1242"/>
      <x:c r="G148" s="1242"/>
      <x:c r="H148" s="1242"/>
      <x:c r="I148" s="1243" t="str">
        <x:f>IF($C148="","",IFERROR(INDEX('23 RCC-004 MASR Registry'!$G$14:$G$163,MATCH($C148,'23 RCC-004 MASR Registry'!$B$14:$B$163,0)),""))</x:f>
      </x:c>
      <x:c r="J148" s="1243" t="str">
        <x:f>IF($C148="","",IFERROR(INDEX('23 RCC-004 MASR Registry'!$H$14:$H$163,MATCH($C148,'23 RCC-004 MASR Registry'!$B$14:$B$163,0)),""))</x:f>
      </x:c>
      <x:c r="K148" s="1243" t="str">
        <x:f>IF($C148="","",IFERROR(INDEX('23 RCC-004 MASR Registry'!$D$14:$D$163,MATCH($C148,'23 RCC-004 MASR Registry'!$B$14:$B$163,0)),""))</x:f>
      </x:c>
      <x:c r="L148" s="1243" t="str">
        <x:f>IF($C148="","",IFERROR(INDEX('23 RCC-004 MASR Registry'!$E$14:$E$163,MATCH($C148,'23 RCC-004 MASR Registry'!$B$14:$B$163,0)),""))</x:f>
      </x:c>
      <x:c r="M148" s="1243" t="str">
        <x:f>IF($C148="","",IFERROR(INDEX('23 RCC-004 MASR Registry'!$X$14:$X$163,MATCH($C148,'23 RCC-004 MASR Registry'!$B$14:$B$163,0)),""))</x:f>
      </x:c>
      <x:c r="N148" s="1243" t="str">
        <x:f>IF($C148="","",IFERROR(INDEX('23 RCC-004 MASR Registry'!$Y$14:$Y$163,MATCH($C148,'23 RCC-004 MASR Registry'!$B$14:$B$163,0)),""))</x:f>
      </x:c>
      <x:c r="O148" s="1243" t="str">
        <x:f>IF($C148="","",IFERROR(INDEX('23 RCC-004 MASR Registry'!$L$14:$L$163,MATCH($C148,'23 RCC-004 MASR Registry'!$B$14:$B$163,0)),""))</x:f>
      </x:c>
      <x:c r="P148" s="1243" t="str">
        <x:f>IF($C148="","",IFERROR(INDEX('23 RCC-004 MASR Registry'!$M$14:$M$163,MATCH($C148,'23 RCC-004 MASR Registry'!$B$14:$B$163,0)),""))</x:f>
      </x:c>
      <x:c r="Q148" s="1246" t="str">
        <x:f>IF($C148="","",IFERROR(INDEX('23 RCC-004 MASR Registry'!$N$14:$N$163,MATCH($C148,'23 RCC-004 MASR Registry'!$B$14:$B$163,0)),""))</x:f>
      </x:c>
      <x:c r="R148" s="1246" t="str">
        <x:f>IF($C148="","",IFERROR(INDEX('23 RCC-004 MASR Registry'!$O$14:$O$163,MATCH($C148,'23 RCC-004 MASR Registry'!$B$14:$B$163,0)),""))</x:f>
      </x:c>
      <x:c r="S148" s="1246" t="str">
        <x:f>IF($C148="","",IFERROR(INDEX('23 RCC-004 MASR Registry'!$W$14:$W$163,MATCH($C148,'23 RCC-004 MASR Registry'!$B$14:$B$163,0)),""))</x:f>
      </x:c>
      <x:c r="T148" s="1246" t="str">
        <x:f>IF($C148="","",IFERROR(INDEX('23 RCC-004 MASR Registry'!$T$14:$T$163,MATCH($C148,'23 RCC-004 MASR Registry'!$B$14:$B$163,0)),""))</x:f>
      </x:c>
      <x:c r="U148" s="1247" t="str">
        <x:f>IF($C148="","",IFERROR(INDEX('23 RCC-004 MASR Registry'!$U$14:$U$163,MATCH($C148,'23 RCC-004 MASR Registry'!$B$14:$B$163,0)),""))</x:f>
      </x:c>
      <x:c r="V148" s="1243" t="str">
        <x:f>IF($C148="","",IFERROR(INDEX('23 RCC-004 MASR Registry'!$V$14:$V$163,MATCH($C148,'23 RCC-004 MASR Registry'!$B$14:$B$163,0)),""))</x:f>
      </x:c>
      <x:c r="W148" s="1242"/>
      <x:c r="X148" s="1247" t="str">
        <x:f>IF($C148="","",COUNTIF('18 RCC-002 Evidence Ledger'!$E$14:$E$213,$C148))</x:f>
      </x:c>
      <x:c r="Y148" s="1242"/>
      <x:c r="Z148" s="1244" t="str">
        <x:f>IF($A148="","",IF(COUNTIF($A$14:$A$213,$A148)&gt;1,"FAIL — DUPLICATE ID",IF(OR($B148="",$C148="",$E148="",$H148="",$Y148="",$AA148="",$AB148=""),"FAIL — INCOMPLETE",IF(AND(OR($Y148="MIAR Review",$Y148="Eligibility Review",$Y148="Candidate Comparison",$Y148="Committee Review",$Y148="Approved for MASR",$Y148="Referred to PEW-004",$Y148="On Watch",$Y148="Rejected",$Y148="Closed",$Y148="Removed"),$K148=""),"FAIL — MASR RECORD REQUIRED",IF(AND(OR($Y148="Eligibility Review",$Y148="Candidate Comparison",$Y148="Committee Review",$Y148="Approved for MASR",$Y148="Referred to PEW-004",$Y148="On Watch"),NOT(OR($M148="ELIGIBLE",$M148="ELIGIBLE WITH EXCEPTION",$M148="CERTIFIED HOLDING"))),"FAIL — ELIGIBILITY",IF(AND(OR($Y148="Candidate Comparison",$Y148="Committee Review",$Y148="Approved for MASR",$Y148="Referred to PEW-004",$Y148="On Watch"),$X148=0),"FAIL — EVIDENCE",IF(AND(OR($Y148="Candidate Comparison",$Y148="Committee Review",$Y148="Approved for MASR",$Y148="Referred to PEW-004",$Y148="On Watch"),OR($O148&lt;&gt;"Active",$P148&lt;&gt;"CURRENT")),"FAIL — MIAR GATE",IF(AND(OR($Y148="Approved for MASR",$Y148="Referred to PEW-004",$Y148="On Watch",$Y148="Rejected",$Y148="Closed",$Y148="Removed"),OR($AD148="",$AD148="Pending")),"FAIL — COMMITTEE DISPOSITION",IF(AND($Y148="Referred to PEW-004",OR($AF148&lt;&gt;"Yes — Refer to PEW-004",$AG148="",$AJ148="")),"FAIL — PEW REFERRAL","PASS — STAGE GATE")))))))))</x:f>
      </x:c>
      <x:c r="AA148" s="1242"/>
      <x:c r="AB148" s="1251"/>
      <x:c r="AC148" s="1250" t="str">
        <x:f>IF($B148="","",IF($AQ148&lt;&gt;"",$AQ148-$B148,TODAY()-$B148))</x:f>
      </x:c>
      <x:c r="AD148" s="1242"/>
      <x:c r="AE148" s="1251"/>
      <x:c r="AF148" s="1242"/>
      <x:c r="AG148" s="1242"/>
      <x:c r="AH148" s="1246" t="str">
        <x:f>IF($AG148="","",IFERROR(INDEX('10 Candidate Comparison'!$T$14:$T$33,MATCH($AG148,'10 Candidate Comparison'!$A$14:$A$33,0)),""))</x:f>
      </x:c>
      <x:c r="AI148" s="1243" t="str">
        <x:f>IF($AG148="","",IFERROR(INDEX('10 Candidate Comparison'!$U$14:$U$33,MATCH($AG148,'10 Candidate Comparison'!$A$14:$A$33,0)),""))</x:f>
      </x:c>
      <x:c r="AJ148" s="1243" t="str">
        <x:f>IF($AG148="","",IFERROR(INDEX('10 Candidate Comparison'!$Y$14:$Y$33,MATCH($AG148,'10 Candidate Comparison'!$A$14:$A$33,0)),""))</x:f>
      </x:c>
      <x:c r="AK148" s="1244" t="str">
        <x:f>IF($A148="","",IF($Z148="FAIL — DUPLICATE ID","DUPLICATE CANDIDATE ID",IF($Z148="FAIL — INCOMPLETE","INCOMPLETE",IF($Z148="FAIL — MASR RECORD REQUIRED","MASR RECORD REQUIRED",IF($Z148="FAIL — ELIGIBILITY","ELIGIBILITY BLOCK",IF($Z148="FAIL — EVIDENCE","EVIDENCE REQUIRED",IF($Z148="FAIL — MIAR GATE","MIAR GATE BLOCK",IF($Z148="FAIL — COMMITTEE DISPOSITION","COMMITTEE DECISION REQUIRED",IF($Z148="FAIL — PEW REFERRAL","PEW REFERRAL INCOMPLETE",IF(AND(OR($Y148="Rejected",$Y148="Closed",$Y148="Removed"),OR($AO148="",$AP148="",$AQ148="")),"CLOSURE REQUIRED",IF(AND($AB148&lt;TODAY(),NOT(OR($Y148="Rejected",$Y148="Closed",$Y148="Removed"))),"OVERDUE",IF(OR($Y148="Rejected",$Y148="Closed",$Y148="Removed"),"CLOSED","OPEN — ON TRACK"))))))))))))</x:f>
      </x:c>
      <x:c r="AL148" s="1244" t="str">
        <x:f>IF($AK148="","",IFERROR(INDEX('97 RCC Lists'!$AM$5:$AM$16,MATCH($AK148,'97 RCC Lists'!$AL$5:$AL$16,0)),"Review candidate exception"))</x:f>
      </x:c>
      <x:c r="AM148" s="1242"/>
      <x:c r="AN148" s="1242"/>
      <x:c r="AO148" s="1242"/>
      <x:c r="AP148" s="1242"/>
      <x:c r="AQ148" s="1251"/>
    </x:row>
    <x:row r="149" ht="32" customHeight="1">
      <x:c r="A149" s="1242"/>
      <x:c r="B149" s="1251"/>
      <x:c r="C149" s="1242"/>
      <x:c r="D149" s="1252" t="str">
        <x:f>IF($C149="","",IFERROR(INDEX('23 RCC-004 MASR Registry'!$C$14:$C$163,MATCH($C149,'23 RCC-004 MASR Registry'!$B$14:$B$163,0)),""))</x:f>
      </x:c>
      <x:c r="E149" s="1242"/>
      <x:c r="F149" s="1242"/>
      <x:c r="G149" s="1242"/>
      <x:c r="H149" s="1242"/>
      <x:c r="I149" s="1252" t="str">
        <x:f>IF($C149="","",IFERROR(INDEX('23 RCC-004 MASR Registry'!$G$14:$G$163,MATCH($C149,'23 RCC-004 MASR Registry'!$B$14:$B$163,0)),""))</x:f>
      </x:c>
      <x:c r="J149" s="1252" t="str">
        <x:f>IF($C149="","",IFERROR(INDEX('23 RCC-004 MASR Registry'!$H$14:$H$163,MATCH($C149,'23 RCC-004 MASR Registry'!$B$14:$B$163,0)),""))</x:f>
      </x:c>
      <x:c r="K149" s="1252" t="str">
        <x:f>IF($C149="","",IFERROR(INDEX('23 RCC-004 MASR Registry'!$D$14:$D$163,MATCH($C149,'23 RCC-004 MASR Registry'!$B$14:$B$163,0)),""))</x:f>
      </x:c>
      <x:c r="L149" s="1252" t="str">
        <x:f>IF($C149="","",IFERROR(INDEX('23 RCC-004 MASR Registry'!$E$14:$E$163,MATCH($C149,'23 RCC-004 MASR Registry'!$B$14:$B$163,0)),""))</x:f>
      </x:c>
      <x:c r="M149" s="1252" t="str">
        <x:f>IF($C149="","",IFERROR(INDEX('23 RCC-004 MASR Registry'!$X$14:$X$163,MATCH($C149,'23 RCC-004 MASR Registry'!$B$14:$B$163,0)),""))</x:f>
      </x:c>
      <x:c r="N149" s="1252" t="str">
        <x:f>IF($C149="","",IFERROR(INDEX('23 RCC-004 MASR Registry'!$Y$14:$Y$163,MATCH($C149,'23 RCC-004 MASR Registry'!$B$14:$B$163,0)),""))</x:f>
      </x:c>
      <x:c r="O149" s="1252" t="str">
        <x:f>IF($C149="","",IFERROR(INDEX('23 RCC-004 MASR Registry'!$L$14:$L$163,MATCH($C149,'23 RCC-004 MASR Registry'!$B$14:$B$163,0)),""))</x:f>
      </x:c>
      <x:c r="P149" s="1252" t="str">
        <x:f>IF($C149="","",IFERROR(INDEX('23 RCC-004 MASR Registry'!$M$14:$M$163,MATCH($C149,'23 RCC-004 MASR Registry'!$B$14:$B$163,0)),""))</x:f>
      </x:c>
      <x:c r="Q149" s="1255" t="str">
        <x:f>IF($C149="","",IFERROR(INDEX('23 RCC-004 MASR Registry'!$N$14:$N$163,MATCH($C149,'23 RCC-004 MASR Registry'!$B$14:$B$163,0)),""))</x:f>
      </x:c>
      <x:c r="R149" s="1255" t="str">
        <x:f>IF($C149="","",IFERROR(INDEX('23 RCC-004 MASR Registry'!$O$14:$O$163,MATCH($C149,'23 RCC-004 MASR Registry'!$B$14:$B$163,0)),""))</x:f>
      </x:c>
      <x:c r="S149" s="1255" t="str">
        <x:f>IF($C149="","",IFERROR(INDEX('23 RCC-004 MASR Registry'!$W$14:$W$163,MATCH($C149,'23 RCC-004 MASR Registry'!$B$14:$B$163,0)),""))</x:f>
      </x:c>
      <x:c r="T149" s="1255" t="str">
        <x:f>IF($C149="","",IFERROR(INDEX('23 RCC-004 MASR Registry'!$T$14:$T$163,MATCH($C149,'23 RCC-004 MASR Registry'!$B$14:$B$163,0)),""))</x:f>
      </x:c>
      <x:c r="U149" s="1256" t="str">
        <x:f>IF($C149="","",IFERROR(INDEX('23 RCC-004 MASR Registry'!$U$14:$U$163,MATCH($C149,'23 RCC-004 MASR Registry'!$B$14:$B$163,0)),""))</x:f>
      </x:c>
      <x:c r="V149" s="1252" t="str">
        <x:f>IF($C149="","",IFERROR(INDEX('23 RCC-004 MASR Registry'!$V$14:$V$163,MATCH($C149,'23 RCC-004 MASR Registry'!$B$14:$B$163,0)),""))</x:f>
      </x:c>
      <x:c r="W149" s="1242"/>
      <x:c r="X149" s="1256" t="str">
        <x:f>IF($C149="","",COUNTIF('18 RCC-002 Evidence Ledger'!$E$14:$E$213,$C149))</x:f>
      </x:c>
      <x:c r="Y149" s="1242"/>
      <x:c r="Z149" s="1253" t="str">
        <x:f>IF($A149="","",IF(COUNTIF($A$14:$A$213,$A149)&gt;1,"FAIL — DUPLICATE ID",IF(OR($B149="",$C149="",$E149="",$H149="",$Y149="",$AA149="",$AB149=""),"FAIL — INCOMPLETE",IF(AND(OR($Y149="MIAR Review",$Y149="Eligibility Review",$Y149="Candidate Comparison",$Y149="Committee Review",$Y149="Approved for MASR",$Y149="Referred to PEW-004",$Y149="On Watch",$Y149="Rejected",$Y149="Closed",$Y149="Removed"),$K149=""),"FAIL — MASR RECORD REQUIRED",IF(AND(OR($Y149="Eligibility Review",$Y149="Candidate Comparison",$Y149="Committee Review",$Y149="Approved for MASR",$Y149="Referred to PEW-004",$Y149="On Watch"),NOT(OR($M149="ELIGIBLE",$M149="ELIGIBLE WITH EXCEPTION",$M149="CERTIFIED HOLDING"))),"FAIL — ELIGIBILITY",IF(AND(OR($Y149="Candidate Comparison",$Y149="Committee Review",$Y149="Approved for MASR",$Y149="Referred to PEW-004",$Y149="On Watch"),$X149=0),"FAIL — EVIDENCE",IF(AND(OR($Y149="Candidate Comparison",$Y149="Committee Review",$Y149="Approved for MASR",$Y149="Referred to PEW-004",$Y149="On Watch"),OR($O149&lt;&gt;"Active",$P149&lt;&gt;"CURRENT")),"FAIL — MIAR GATE",IF(AND(OR($Y149="Approved for MASR",$Y149="Referred to PEW-004",$Y149="On Watch",$Y149="Rejected",$Y149="Closed",$Y149="Removed"),OR($AD149="",$AD149="Pending")),"FAIL — COMMITTEE DISPOSITION",IF(AND($Y149="Referred to PEW-004",OR($AF149&lt;&gt;"Yes — Refer to PEW-004",$AG149="",$AJ149="")),"FAIL — PEW REFERRAL","PASS — STAGE GATE")))))))))</x:f>
      </x:c>
      <x:c r="AA149" s="1242"/>
      <x:c r="AB149" s="1251"/>
      <x:c r="AC149" s="1257" t="str">
        <x:f>IF($B149="","",IF($AQ149&lt;&gt;"",$AQ149-$B149,TODAY()-$B149))</x:f>
      </x:c>
      <x:c r="AD149" s="1242"/>
      <x:c r="AE149" s="1251"/>
      <x:c r="AF149" s="1242"/>
      <x:c r="AG149" s="1242"/>
      <x:c r="AH149" s="1255" t="str">
        <x:f>IF($AG149="","",IFERROR(INDEX('10 Candidate Comparison'!$T$14:$T$33,MATCH($AG149,'10 Candidate Comparison'!$A$14:$A$33,0)),""))</x:f>
      </x:c>
      <x:c r="AI149" s="1252" t="str">
        <x:f>IF($AG149="","",IFERROR(INDEX('10 Candidate Comparison'!$U$14:$U$33,MATCH($AG149,'10 Candidate Comparison'!$A$14:$A$33,0)),""))</x:f>
      </x:c>
      <x:c r="AJ149" s="1252" t="str">
        <x:f>IF($AG149="","",IFERROR(INDEX('10 Candidate Comparison'!$Y$14:$Y$33,MATCH($AG149,'10 Candidate Comparison'!$A$14:$A$33,0)),""))</x:f>
      </x:c>
      <x:c r="AK149" s="1253" t="str">
        <x:f>IF($A149="","",IF($Z149="FAIL — DUPLICATE ID","DUPLICATE CANDIDATE ID",IF($Z149="FAIL — INCOMPLETE","INCOMPLETE",IF($Z149="FAIL — MASR RECORD REQUIRED","MASR RECORD REQUIRED",IF($Z149="FAIL — ELIGIBILITY","ELIGIBILITY BLOCK",IF($Z149="FAIL — EVIDENCE","EVIDENCE REQUIRED",IF($Z149="FAIL — MIAR GATE","MIAR GATE BLOCK",IF($Z149="FAIL — COMMITTEE DISPOSITION","COMMITTEE DECISION REQUIRED",IF($Z149="FAIL — PEW REFERRAL","PEW REFERRAL INCOMPLETE",IF(AND(OR($Y149="Rejected",$Y149="Closed",$Y149="Removed"),OR($AO149="",$AP149="",$AQ149="")),"CLOSURE REQUIRED",IF(AND($AB149&lt;TODAY(),NOT(OR($Y149="Rejected",$Y149="Closed",$Y149="Removed"))),"OVERDUE",IF(OR($Y149="Rejected",$Y149="Closed",$Y149="Removed"),"CLOSED","OPEN — ON TRACK"))))))))))))</x:f>
      </x:c>
      <x:c r="AL149" s="1253" t="str">
        <x:f>IF($AK149="","",IFERROR(INDEX('97 RCC Lists'!$AM$5:$AM$16,MATCH($AK149,'97 RCC Lists'!$AL$5:$AL$16,0)),"Review candidate exception"))</x:f>
      </x:c>
      <x:c r="AM149" s="1242"/>
      <x:c r="AN149" s="1242"/>
      <x:c r="AO149" s="1242"/>
      <x:c r="AP149" s="1242"/>
      <x:c r="AQ149" s="1251"/>
    </x:row>
    <x:row r="150" ht="32" customHeight="1">
      <x:c r="A150" s="1242"/>
      <x:c r="B150" s="1251"/>
      <x:c r="C150" s="1242"/>
      <x:c r="D150" s="1243" t="str">
        <x:f>IF($C150="","",IFERROR(INDEX('23 RCC-004 MASR Registry'!$C$14:$C$163,MATCH($C150,'23 RCC-004 MASR Registry'!$B$14:$B$163,0)),""))</x:f>
      </x:c>
      <x:c r="E150" s="1242"/>
      <x:c r="F150" s="1242"/>
      <x:c r="G150" s="1242"/>
      <x:c r="H150" s="1242"/>
      <x:c r="I150" s="1243" t="str">
        <x:f>IF($C150="","",IFERROR(INDEX('23 RCC-004 MASR Registry'!$G$14:$G$163,MATCH($C150,'23 RCC-004 MASR Registry'!$B$14:$B$163,0)),""))</x:f>
      </x:c>
      <x:c r="J150" s="1243" t="str">
        <x:f>IF($C150="","",IFERROR(INDEX('23 RCC-004 MASR Registry'!$H$14:$H$163,MATCH($C150,'23 RCC-004 MASR Registry'!$B$14:$B$163,0)),""))</x:f>
      </x:c>
      <x:c r="K150" s="1243" t="str">
        <x:f>IF($C150="","",IFERROR(INDEX('23 RCC-004 MASR Registry'!$D$14:$D$163,MATCH($C150,'23 RCC-004 MASR Registry'!$B$14:$B$163,0)),""))</x:f>
      </x:c>
      <x:c r="L150" s="1243" t="str">
        <x:f>IF($C150="","",IFERROR(INDEX('23 RCC-004 MASR Registry'!$E$14:$E$163,MATCH($C150,'23 RCC-004 MASR Registry'!$B$14:$B$163,0)),""))</x:f>
      </x:c>
      <x:c r="M150" s="1243" t="str">
        <x:f>IF($C150="","",IFERROR(INDEX('23 RCC-004 MASR Registry'!$X$14:$X$163,MATCH($C150,'23 RCC-004 MASR Registry'!$B$14:$B$163,0)),""))</x:f>
      </x:c>
      <x:c r="N150" s="1243" t="str">
        <x:f>IF($C150="","",IFERROR(INDEX('23 RCC-004 MASR Registry'!$Y$14:$Y$163,MATCH($C150,'23 RCC-004 MASR Registry'!$B$14:$B$163,0)),""))</x:f>
      </x:c>
      <x:c r="O150" s="1243" t="str">
        <x:f>IF($C150="","",IFERROR(INDEX('23 RCC-004 MASR Registry'!$L$14:$L$163,MATCH($C150,'23 RCC-004 MASR Registry'!$B$14:$B$163,0)),""))</x:f>
      </x:c>
      <x:c r="P150" s="1243" t="str">
        <x:f>IF($C150="","",IFERROR(INDEX('23 RCC-004 MASR Registry'!$M$14:$M$163,MATCH($C150,'23 RCC-004 MASR Registry'!$B$14:$B$163,0)),""))</x:f>
      </x:c>
      <x:c r="Q150" s="1246" t="str">
        <x:f>IF($C150="","",IFERROR(INDEX('23 RCC-004 MASR Registry'!$N$14:$N$163,MATCH($C150,'23 RCC-004 MASR Registry'!$B$14:$B$163,0)),""))</x:f>
      </x:c>
      <x:c r="R150" s="1246" t="str">
        <x:f>IF($C150="","",IFERROR(INDEX('23 RCC-004 MASR Registry'!$O$14:$O$163,MATCH($C150,'23 RCC-004 MASR Registry'!$B$14:$B$163,0)),""))</x:f>
      </x:c>
      <x:c r="S150" s="1246" t="str">
        <x:f>IF($C150="","",IFERROR(INDEX('23 RCC-004 MASR Registry'!$W$14:$W$163,MATCH($C150,'23 RCC-004 MASR Registry'!$B$14:$B$163,0)),""))</x:f>
      </x:c>
      <x:c r="T150" s="1246" t="str">
        <x:f>IF($C150="","",IFERROR(INDEX('23 RCC-004 MASR Registry'!$T$14:$T$163,MATCH($C150,'23 RCC-004 MASR Registry'!$B$14:$B$163,0)),""))</x:f>
      </x:c>
      <x:c r="U150" s="1247" t="str">
        <x:f>IF($C150="","",IFERROR(INDEX('23 RCC-004 MASR Registry'!$U$14:$U$163,MATCH($C150,'23 RCC-004 MASR Registry'!$B$14:$B$163,0)),""))</x:f>
      </x:c>
      <x:c r="V150" s="1243" t="str">
        <x:f>IF($C150="","",IFERROR(INDEX('23 RCC-004 MASR Registry'!$V$14:$V$163,MATCH($C150,'23 RCC-004 MASR Registry'!$B$14:$B$163,0)),""))</x:f>
      </x:c>
      <x:c r="W150" s="1242"/>
      <x:c r="X150" s="1247" t="str">
        <x:f>IF($C150="","",COUNTIF('18 RCC-002 Evidence Ledger'!$E$14:$E$213,$C150))</x:f>
      </x:c>
      <x:c r="Y150" s="1242"/>
      <x:c r="Z150" s="1244" t="str">
        <x:f>IF($A150="","",IF(COUNTIF($A$14:$A$213,$A150)&gt;1,"FAIL — DUPLICATE ID",IF(OR($B150="",$C150="",$E150="",$H150="",$Y150="",$AA150="",$AB150=""),"FAIL — INCOMPLETE",IF(AND(OR($Y150="MIAR Review",$Y150="Eligibility Review",$Y150="Candidate Comparison",$Y150="Committee Review",$Y150="Approved for MASR",$Y150="Referred to PEW-004",$Y150="On Watch",$Y150="Rejected",$Y150="Closed",$Y150="Removed"),$K150=""),"FAIL — MASR RECORD REQUIRED",IF(AND(OR($Y150="Eligibility Review",$Y150="Candidate Comparison",$Y150="Committee Review",$Y150="Approved for MASR",$Y150="Referred to PEW-004",$Y150="On Watch"),NOT(OR($M150="ELIGIBLE",$M150="ELIGIBLE WITH EXCEPTION",$M150="CERTIFIED HOLDING"))),"FAIL — ELIGIBILITY",IF(AND(OR($Y150="Candidate Comparison",$Y150="Committee Review",$Y150="Approved for MASR",$Y150="Referred to PEW-004",$Y150="On Watch"),$X150=0),"FAIL — EVIDENCE",IF(AND(OR($Y150="Candidate Comparison",$Y150="Committee Review",$Y150="Approved for MASR",$Y150="Referred to PEW-004",$Y150="On Watch"),OR($O150&lt;&gt;"Active",$P150&lt;&gt;"CURRENT")),"FAIL — MIAR GATE",IF(AND(OR($Y150="Approved for MASR",$Y150="Referred to PEW-004",$Y150="On Watch",$Y150="Rejected",$Y150="Closed",$Y150="Removed"),OR($AD150="",$AD150="Pending")),"FAIL — COMMITTEE DISPOSITION",IF(AND($Y150="Referred to PEW-004",OR($AF150&lt;&gt;"Yes — Refer to PEW-004",$AG150="",$AJ150="")),"FAIL — PEW REFERRAL","PASS — STAGE GATE")))))))))</x:f>
      </x:c>
      <x:c r="AA150" s="1242"/>
      <x:c r="AB150" s="1251"/>
      <x:c r="AC150" s="1250" t="str">
        <x:f>IF($B150="","",IF($AQ150&lt;&gt;"",$AQ150-$B150,TODAY()-$B150))</x:f>
      </x:c>
      <x:c r="AD150" s="1242"/>
      <x:c r="AE150" s="1251"/>
      <x:c r="AF150" s="1242"/>
      <x:c r="AG150" s="1242"/>
      <x:c r="AH150" s="1246" t="str">
        <x:f>IF($AG150="","",IFERROR(INDEX('10 Candidate Comparison'!$T$14:$T$33,MATCH($AG150,'10 Candidate Comparison'!$A$14:$A$33,0)),""))</x:f>
      </x:c>
      <x:c r="AI150" s="1243" t="str">
        <x:f>IF($AG150="","",IFERROR(INDEX('10 Candidate Comparison'!$U$14:$U$33,MATCH($AG150,'10 Candidate Comparison'!$A$14:$A$33,0)),""))</x:f>
      </x:c>
      <x:c r="AJ150" s="1243" t="str">
        <x:f>IF($AG150="","",IFERROR(INDEX('10 Candidate Comparison'!$Y$14:$Y$33,MATCH($AG150,'10 Candidate Comparison'!$A$14:$A$33,0)),""))</x:f>
      </x:c>
      <x:c r="AK150" s="1244" t="str">
        <x:f>IF($A150="","",IF($Z150="FAIL — DUPLICATE ID","DUPLICATE CANDIDATE ID",IF($Z150="FAIL — INCOMPLETE","INCOMPLETE",IF($Z150="FAIL — MASR RECORD REQUIRED","MASR RECORD REQUIRED",IF($Z150="FAIL — ELIGIBILITY","ELIGIBILITY BLOCK",IF($Z150="FAIL — EVIDENCE","EVIDENCE REQUIRED",IF($Z150="FAIL — MIAR GATE","MIAR GATE BLOCK",IF($Z150="FAIL — COMMITTEE DISPOSITION","COMMITTEE DECISION REQUIRED",IF($Z150="FAIL — PEW REFERRAL","PEW REFERRAL INCOMPLETE",IF(AND(OR($Y150="Rejected",$Y150="Closed",$Y150="Removed"),OR($AO150="",$AP150="",$AQ150="")),"CLOSURE REQUIRED",IF(AND($AB150&lt;TODAY(),NOT(OR($Y150="Rejected",$Y150="Closed",$Y150="Removed"))),"OVERDUE",IF(OR($Y150="Rejected",$Y150="Closed",$Y150="Removed"),"CLOSED","OPEN — ON TRACK"))))))))))))</x:f>
      </x:c>
      <x:c r="AL150" s="1244" t="str">
        <x:f>IF($AK150="","",IFERROR(INDEX('97 RCC Lists'!$AM$5:$AM$16,MATCH($AK150,'97 RCC Lists'!$AL$5:$AL$16,0)),"Review candidate exception"))</x:f>
      </x:c>
      <x:c r="AM150" s="1242"/>
      <x:c r="AN150" s="1242"/>
      <x:c r="AO150" s="1242"/>
      <x:c r="AP150" s="1242"/>
      <x:c r="AQ150" s="1251"/>
    </x:row>
    <x:row r="151" ht="32" customHeight="1">
      <x:c r="A151" s="1242"/>
      <x:c r="B151" s="1251"/>
      <x:c r="C151" s="1242"/>
      <x:c r="D151" s="1252" t="str">
        <x:f>IF($C151="","",IFERROR(INDEX('23 RCC-004 MASR Registry'!$C$14:$C$163,MATCH($C151,'23 RCC-004 MASR Registry'!$B$14:$B$163,0)),""))</x:f>
      </x:c>
      <x:c r="E151" s="1242"/>
      <x:c r="F151" s="1242"/>
      <x:c r="G151" s="1242"/>
      <x:c r="H151" s="1242"/>
      <x:c r="I151" s="1252" t="str">
        <x:f>IF($C151="","",IFERROR(INDEX('23 RCC-004 MASR Registry'!$G$14:$G$163,MATCH($C151,'23 RCC-004 MASR Registry'!$B$14:$B$163,0)),""))</x:f>
      </x:c>
      <x:c r="J151" s="1252" t="str">
        <x:f>IF($C151="","",IFERROR(INDEX('23 RCC-004 MASR Registry'!$H$14:$H$163,MATCH($C151,'23 RCC-004 MASR Registry'!$B$14:$B$163,0)),""))</x:f>
      </x:c>
      <x:c r="K151" s="1252" t="str">
        <x:f>IF($C151="","",IFERROR(INDEX('23 RCC-004 MASR Registry'!$D$14:$D$163,MATCH($C151,'23 RCC-004 MASR Registry'!$B$14:$B$163,0)),""))</x:f>
      </x:c>
      <x:c r="L151" s="1252" t="str">
        <x:f>IF($C151="","",IFERROR(INDEX('23 RCC-004 MASR Registry'!$E$14:$E$163,MATCH($C151,'23 RCC-004 MASR Registry'!$B$14:$B$163,0)),""))</x:f>
      </x:c>
      <x:c r="M151" s="1252" t="str">
        <x:f>IF($C151="","",IFERROR(INDEX('23 RCC-004 MASR Registry'!$X$14:$X$163,MATCH($C151,'23 RCC-004 MASR Registry'!$B$14:$B$163,0)),""))</x:f>
      </x:c>
      <x:c r="N151" s="1252" t="str">
        <x:f>IF($C151="","",IFERROR(INDEX('23 RCC-004 MASR Registry'!$Y$14:$Y$163,MATCH($C151,'23 RCC-004 MASR Registry'!$B$14:$B$163,0)),""))</x:f>
      </x:c>
      <x:c r="O151" s="1252" t="str">
        <x:f>IF($C151="","",IFERROR(INDEX('23 RCC-004 MASR Registry'!$L$14:$L$163,MATCH($C151,'23 RCC-004 MASR Registry'!$B$14:$B$163,0)),""))</x:f>
      </x:c>
      <x:c r="P151" s="1252" t="str">
        <x:f>IF($C151="","",IFERROR(INDEX('23 RCC-004 MASR Registry'!$M$14:$M$163,MATCH($C151,'23 RCC-004 MASR Registry'!$B$14:$B$163,0)),""))</x:f>
      </x:c>
      <x:c r="Q151" s="1255" t="str">
        <x:f>IF($C151="","",IFERROR(INDEX('23 RCC-004 MASR Registry'!$N$14:$N$163,MATCH($C151,'23 RCC-004 MASR Registry'!$B$14:$B$163,0)),""))</x:f>
      </x:c>
      <x:c r="R151" s="1255" t="str">
        <x:f>IF($C151="","",IFERROR(INDEX('23 RCC-004 MASR Registry'!$O$14:$O$163,MATCH($C151,'23 RCC-004 MASR Registry'!$B$14:$B$163,0)),""))</x:f>
      </x:c>
      <x:c r="S151" s="1255" t="str">
        <x:f>IF($C151="","",IFERROR(INDEX('23 RCC-004 MASR Registry'!$W$14:$W$163,MATCH($C151,'23 RCC-004 MASR Registry'!$B$14:$B$163,0)),""))</x:f>
      </x:c>
      <x:c r="T151" s="1255" t="str">
        <x:f>IF($C151="","",IFERROR(INDEX('23 RCC-004 MASR Registry'!$T$14:$T$163,MATCH($C151,'23 RCC-004 MASR Registry'!$B$14:$B$163,0)),""))</x:f>
      </x:c>
      <x:c r="U151" s="1256" t="str">
        <x:f>IF($C151="","",IFERROR(INDEX('23 RCC-004 MASR Registry'!$U$14:$U$163,MATCH($C151,'23 RCC-004 MASR Registry'!$B$14:$B$163,0)),""))</x:f>
      </x:c>
      <x:c r="V151" s="1252" t="str">
        <x:f>IF($C151="","",IFERROR(INDEX('23 RCC-004 MASR Registry'!$V$14:$V$163,MATCH($C151,'23 RCC-004 MASR Registry'!$B$14:$B$163,0)),""))</x:f>
      </x:c>
      <x:c r="W151" s="1242"/>
      <x:c r="X151" s="1256" t="str">
        <x:f>IF($C151="","",COUNTIF('18 RCC-002 Evidence Ledger'!$E$14:$E$213,$C151))</x:f>
      </x:c>
      <x:c r="Y151" s="1242"/>
      <x:c r="Z151" s="1253" t="str">
        <x:f>IF($A151="","",IF(COUNTIF($A$14:$A$213,$A151)&gt;1,"FAIL — DUPLICATE ID",IF(OR($B151="",$C151="",$E151="",$H151="",$Y151="",$AA151="",$AB151=""),"FAIL — INCOMPLETE",IF(AND(OR($Y151="MIAR Review",$Y151="Eligibility Review",$Y151="Candidate Comparison",$Y151="Committee Review",$Y151="Approved for MASR",$Y151="Referred to PEW-004",$Y151="On Watch",$Y151="Rejected",$Y151="Closed",$Y151="Removed"),$K151=""),"FAIL — MASR RECORD REQUIRED",IF(AND(OR($Y151="Eligibility Review",$Y151="Candidate Comparison",$Y151="Committee Review",$Y151="Approved for MASR",$Y151="Referred to PEW-004",$Y151="On Watch"),NOT(OR($M151="ELIGIBLE",$M151="ELIGIBLE WITH EXCEPTION",$M151="CERTIFIED HOLDING"))),"FAIL — ELIGIBILITY",IF(AND(OR($Y151="Candidate Comparison",$Y151="Committee Review",$Y151="Approved for MASR",$Y151="Referred to PEW-004",$Y151="On Watch"),$X151=0),"FAIL — EVIDENCE",IF(AND(OR($Y151="Candidate Comparison",$Y151="Committee Review",$Y151="Approved for MASR",$Y151="Referred to PEW-004",$Y151="On Watch"),OR($O151&lt;&gt;"Active",$P151&lt;&gt;"CURRENT")),"FAIL — MIAR GATE",IF(AND(OR($Y151="Approved for MASR",$Y151="Referred to PEW-004",$Y151="On Watch",$Y151="Rejected",$Y151="Closed",$Y151="Removed"),OR($AD151="",$AD151="Pending")),"FAIL — COMMITTEE DISPOSITION",IF(AND($Y151="Referred to PEW-004",OR($AF151&lt;&gt;"Yes — Refer to PEW-004",$AG151="",$AJ151="")),"FAIL — PEW REFERRAL","PASS — STAGE GATE")))))))))</x:f>
      </x:c>
      <x:c r="AA151" s="1242"/>
      <x:c r="AB151" s="1251"/>
      <x:c r="AC151" s="1257" t="str">
        <x:f>IF($B151="","",IF($AQ151&lt;&gt;"",$AQ151-$B151,TODAY()-$B151))</x:f>
      </x:c>
      <x:c r="AD151" s="1242"/>
      <x:c r="AE151" s="1251"/>
      <x:c r="AF151" s="1242"/>
      <x:c r="AG151" s="1242"/>
      <x:c r="AH151" s="1255" t="str">
        <x:f>IF($AG151="","",IFERROR(INDEX('10 Candidate Comparison'!$T$14:$T$33,MATCH($AG151,'10 Candidate Comparison'!$A$14:$A$33,0)),""))</x:f>
      </x:c>
      <x:c r="AI151" s="1252" t="str">
        <x:f>IF($AG151="","",IFERROR(INDEX('10 Candidate Comparison'!$U$14:$U$33,MATCH($AG151,'10 Candidate Comparison'!$A$14:$A$33,0)),""))</x:f>
      </x:c>
      <x:c r="AJ151" s="1252" t="str">
        <x:f>IF($AG151="","",IFERROR(INDEX('10 Candidate Comparison'!$Y$14:$Y$33,MATCH($AG151,'10 Candidate Comparison'!$A$14:$A$33,0)),""))</x:f>
      </x:c>
      <x:c r="AK151" s="1253" t="str">
        <x:f>IF($A151="","",IF($Z151="FAIL — DUPLICATE ID","DUPLICATE CANDIDATE ID",IF($Z151="FAIL — INCOMPLETE","INCOMPLETE",IF($Z151="FAIL — MASR RECORD REQUIRED","MASR RECORD REQUIRED",IF($Z151="FAIL — ELIGIBILITY","ELIGIBILITY BLOCK",IF($Z151="FAIL — EVIDENCE","EVIDENCE REQUIRED",IF($Z151="FAIL — MIAR GATE","MIAR GATE BLOCK",IF($Z151="FAIL — COMMITTEE DISPOSITION","COMMITTEE DECISION REQUIRED",IF($Z151="FAIL — PEW REFERRAL","PEW REFERRAL INCOMPLETE",IF(AND(OR($Y151="Rejected",$Y151="Closed",$Y151="Removed"),OR($AO151="",$AP151="",$AQ151="")),"CLOSURE REQUIRED",IF(AND($AB151&lt;TODAY(),NOT(OR($Y151="Rejected",$Y151="Closed",$Y151="Removed"))),"OVERDUE",IF(OR($Y151="Rejected",$Y151="Closed",$Y151="Removed"),"CLOSED","OPEN — ON TRACK"))))))))))))</x:f>
      </x:c>
      <x:c r="AL151" s="1253" t="str">
        <x:f>IF($AK151="","",IFERROR(INDEX('97 RCC Lists'!$AM$5:$AM$16,MATCH($AK151,'97 RCC Lists'!$AL$5:$AL$16,0)),"Review candidate exception"))</x:f>
      </x:c>
      <x:c r="AM151" s="1242"/>
      <x:c r="AN151" s="1242"/>
      <x:c r="AO151" s="1242"/>
      <x:c r="AP151" s="1242"/>
      <x:c r="AQ151" s="1251"/>
    </x:row>
    <x:row r="152" ht="32" customHeight="1">
      <x:c r="A152" s="1242"/>
      <x:c r="B152" s="1251"/>
      <x:c r="C152" s="1242"/>
      <x:c r="D152" s="1243" t="str">
        <x:f>IF($C152="","",IFERROR(INDEX('23 RCC-004 MASR Registry'!$C$14:$C$163,MATCH($C152,'23 RCC-004 MASR Registry'!$B$14:$B$163,0)),""))</x:f>
      </x:c>
      <x:c r="E152" s="1242"/>
      <x:c r="F152" s="1242"/>
      <x:c r="G152" s="1242"/>
      <x:c r="H152" s="1242"/>
      <x:c r="I152" s="1243" t="str">
        <x:f>IF($C152="","",IFERROR(INDEX('23 RCC-004 MASR Registry'!$G$14:$G$163,MATCH($C152,'23 RCC-004 MASR Registry'!$B$14:$B$163,0)),""))</x:f>
      </x:c>
      <x:c r="J152" s="1243" t="str">
        <x:f>IF($C152="","",IFERROR(INDEX('23 RCC-004 MASR Registry'!$H$14:$H$163,MATCH($C152,'23 RCC-004 MASR Registry'!$B$14:$B$163,0)),""))</x:f>
      </x:c>
      <x:c r="K152" s="1243" t="str">
        <x:f>IF($C152="","",IFERROR(INDEX('23 RCC-004 MASR Registry'!$D$14:$D$163,MATCH($C152,'23 RCC-004 MASR Registry'!$B$14:$B$163,0)),""))</x:f>
      </x:c>
      <x:c r="L152" s="1243" t="str">
        <x:f>IF($C152="","",IFERROR(INDEX('23 RCC-004 MASR Registry'!$E$14:$E$163,MATCH($C152,'23 RCC-004 MASR Registry'!$B$14:$B$163,0)),""))</x:f>
      </x:c>
      <x:c r="M152" s="1243" t="str">
        <x:f>IF($C152="","",IFERROR(INDEX('23 RCC-004 MASR Registry'!$X$14:$X$163,MATCH($C152,'23 RCC-004 MASR Registry'!$B$14:$B$163,0)),""))</x:f>
      </x:c>
      <x:c r="N152" s="1243" t="str">
        <x:f>IF($C152="","",IFERROR(INDEX('23 RCC-004 MASR Registry'!$Y$14:$Y$163,MATCH($C152,'23 RCC-004 MASR Registry'!$B$14:$B$163,0)),""))</x:f>
      </x:c>
      <x:c r="O152" s="1243" t="str">
        <x:f>IF($C152="","",IFERROR(INDEX('23 RCC-004 MASR Registry'!$L$14:$L$163,MATCH($C152,'23 RCC-004 MASR Registry'!$B$14:$B$163,0)),""))</x:f>
      </x:c>
      <x:c r="P152" s="1243" t="str">
        <x:f>IF($C152="","",IFERROR(INDEX('23 RCC-004 MASR Registry'!$M$14:$M$163,MATCH($C152,'23 RCC-004 MASR Registry'!$B$14:$B$163,0)),""))</x:f>
      </x:c>
      <x:c r="Q152" s="1246" t="str">
        <x:f>IF($C152="","",IFERROR(INDEX('23 RCC-004 MASR Registry'!$N$14:$N$163,MATCH($C152,'23 RCC-004 MASR Registry'!$B$14:$B$163,0)),""))</x:f>
      </x:c>
      <x:c r="R152" s="1246" t="str">
        <x:f>IF($C152="","",IFERROR(INDEX('23 RCC-004 MASR Registry'!$O$14:$O$163,MATCH($C152,'23 RCC-004 MASR Registry'!$B$14:$B$163,0)),""))</x:f>
      </x:c>
      <x:c r="S152" s="1246" t="str">
        <x:f>IF($C152="","",IFERROR(INDEX('23 RCC-004 MASR Registry'!$W$14:$W$163,MATCH($C152,'23 RCC-004 MASR Registry'!$B$14:$B$163,0)),""))</x:f>
      </x:c>
      <x:c r="T152" s="1246" t="str">
        <x:f>IF($C152="","",IFERROR(INDEX('23 RCC-004 MASR Registry'!$T$14:$T$163,MATCH($C152,'23 RCC-004 MASR Registry'!$B$14:$B$163,0)),""))</x:f>
      </x:c>
      <x:c r="U152" s="1247" t="str">
        <x:f>IF($C152="","",IFERROR(INDEX('23 RCC-004 MASR Registry'!$U$14:$U$163,MATCH($C152,'23 RCC-004 MASR Registry'!$B$14:$B$163,0)),""))</x:f>
      </x:c>
      <x:c r="V152" s="1243" t="str">
        <x:f>IF($C152="","",IFERROR(INDEX('23 RCC-004 MASR Registry'!$V$14:$V$163,MATCH($C152,'23 RCC-004 MASR Registry'!$B$14:$B$163,0)),""))</x:f>
      </x:c>
      <x:c r="W152" s="1242"/>
      <x:c r="X152" s="1247" t="str">
        <x:f>IF($C152="","",COUNTIF('18 RCC-002 Evidence Ledger'!$E$14:$E$213,$C152))</x:f>
      </x:c>
      <x:c r="Y152" s="1242"/>
      <x:c r="Z152" s="1244" t="str">
        <x:f>IF($A152="","",IF(COUNTIF($A$14:$A$213,$A152)&gt;1,"FAIL — DUPLICATE ID",IF(OR($B152="",$C152="",$E152="",$H152="",$Y152="",$AA152="",$AB152=""),"FAIL — INCOMPLETE",IF(AND(OR($Y152="MIAR Review",$Y152="Eligibility Review",$Y152="Candidate Comparison",$Y152="Committee Review",$Y152="Approved for MASR",$Y152="Referred to PEW-004",$Y152="On Watch",$Y152="Rejected",$Y152="Closed",$Y152="Removed"),$K152=""),"FAIL — MASR RECORD REQUIRED",IF(AND(OR($Y152="Eligibility Review",$Y152="Candidate Comparison",$Y152="Committee Review",$Y152="Approved for MASR",$Y152="Referred to PEW-004",$Y152="On Watch"),NOT(OR($M152="ELIGIBLE",$M152="ELIGIBLE WITH EXCEPTION",$M152="CERTIFIED HOLDING"))),"FAIL — ELIGIBILITY",IF(AND(OR($Y152="Candidate Comparison",$Y152="Committee Review",$Y152="Approved for MASR",$Y152="Referred to PEW-004",$Y152="On Watch"),$X152=0),"FAIL — EVIDENCE",IF(AND(OR($Y152="Candidate Comparison",$Y152="Committee Review",$Y152="Approved for MASR",$Y152="Referred to PEW-004",$Y152="On Watch"),OR($O152&lt;&gt;"Active",$P152&lt;&gt;"CURRENT")),"FAIL — MIAR GATE",IF(AND(OR($Y152="Approved for MASR",$Y152="Referred to PEW-004",$Y152="On Watch",$Y152="Rejected",$Y152="Closed",$Y152="Removed"),OR($AD152="",$AD152="Pending")),"FAIL — COMMITTEE DISPOSITION",IF(AND($Y152="Referred to PEW-004",OR($AF152&lt;&gt;"Yes — Refer to PEW-004",$AG152="",$AJ152="")),"FAIL — PEW REFERRAL","PASS — STAGE GATE")))))))))</x:f>
      </x:c>
      <x:c r="AA152" s="1242"/>
      <x:c r="AB152" s="1251"/>
      <x:c r="AC152" s="1250" t="str">
        <x:f>IF($B152="","",IF($AQ152&lt;&gt;"",$AQ152-$B152,TODAY()-$B152))</x:f>
      </x:c>
      <x:c r="AD152" s="1242"/>
      <x:c r="AE152" s="1251"/>
      <x:c r="AF152" s="1242"/>
      <x:c r="AG152" s="1242"/>
      <x:c r="AH152" s="1246" t="str">
        <x:f>IF($AG152="","",IFERROR(INDEX('10 Candidate Comparison'!$T$14:$T$33,MATCH($AG152,'10 Candidate Comparison'!$A$14:$A$33,0)),""))</x:f>
      </x:c>
      <x:c r="AI152" s="1243" t="str">
        <x:f>IF($AG152="","",IFERROR(INDEX('10 Candidate Comparison'!$U$14:$U$33,MATCH($AG152,'10 Candidate Comparison'!$A$14:$A$33,0)),""))</x:f>
      </x:c>
      <x:c r="AJ152" s="1243" t="str">
        <x:f>IF($AG152="","",IFERROR(INDEX('10 Candidate Comparison'!$Y$14:$Y$33,MATCH($AG152,'10 Candidate Comparison'!$A$14:$A$33,0)),""))</x:f>
      </x:c>
      <x:c r="AK152" s="1244" t="str">
        <x:f>IF($A152="","",IF($Z152="FAIL — DUPLICATE ID","DUPLICATE CANDIDATE ID",IF($Z152="FAIL — INCOMPLETE","INCOMPLETE",IF($Z152="FAIL — MASR RECORD REQUIRED","MASR RECORD REQUIRED",IF($Z152="FAIL — ELIGIBILITY","ELIGIBILITY BLOCK",IF($Z152="FAIL — EVIDENCE","EVIDENCE REQUIRED",IF($Z152="FAIL — MIAR GATE","MIAR GATE BLOCK",IF($Z152="FAIL — COMMITTEE DISPOSITION","COMMITTEE DECISION REQUIRED",IF($Z152="FAIL — PEW REFERRAL","PEW REFERRAL INCOMPLETE",IF(AND(OR($Y152="Rejected",$Y152="Closed",$Y152="Removed"),OR($AO152="",$AP152="",$AQ152="")),"CLOSURE REQUIRED",IF(AND($AB152&lt;TODAY(),NOT(OR($Y152="Rejected",$Y152="Closed",$Y152="Removed"))),"OVERDUE",IF(OR($Y152="Rejected",$Y152="Closed",$Y152="Removed"),"CLOSED","OPEN — ON TRACK"))))))))))))</x:f>
      </x:c>
      <x:c r="AL152" s="1244" t="str">
        <x:f>IF($AK152="","",IFERROR(INDEX('97 RCC Lists'!$AM$5:$AM$16,MATCH($AK152,'97 RCC Lists'!$AL$5:$AL$16,0)),"Review candidate exception"))</x:f>
      </x:c>
      <x:c r="AM152" s="1242"/>
      <x:c r="AN152" s="1242"/>
      <x:c r="AO152" s="1242"/>
      <x:c r="AP152" s="1242"/>
      <x:c r="AQ152" s="1251"/>
    </x:row>
    <x:row r="153" ht="32" customHeight="1">
      <x:c r="A153" s="1242"/>
      <x:c r="B153" s="1251"/>
      <x:c r="C153" s="1242"/>
      <x:c r="D153" s="1252" t="str">
        <x:f>IF($C153="","",IFERROR(INDEX('23 RCC-004 MASR Registry'!$C$14:$C$163,MATCH($C153,'23 RCC-004 MASR Registry'!$B$14:$B$163,0)),""))</x:f>
      </x:c>
      <x:c r="E153" s="1242"/>
      <x:c r="F153" s="1242"/>
      <x:c r="G153" s="1242"/>
      <x:c r="H153" s="1242"/>
      <x:c r="I153" s="1252" t="str">
        <x:f>IF($C153="","",IFERROR(INDEX('23 RCC-004 MASR Registry'!$G$14:$G$163,MATCH($C153,'23 RCC-004 MASR Registry'!$B$14:$B$163,0)),""))</x:f>
      </x:c>
      <x:c r="J153" s="1252" t="str">
        <x:f>IF($C153="","",IFERROR(INDEX('23 RCC-004 MASR Registry'!$H$14:$H$163,MATCH($C153,'23 RCC-004 MASR Registry'!$B$14:$B$163,0)),""))</x:f>
      </x:c>
      <x:c r="K153" s="1252" t="str">
        <x:f>IF($C153="","",IFERROR(INDEX('23 RCC-004 MASR Registry'!$D$14:$D$163,MATCH($C153,'23 RCC-004 MASR Registry'!$B$14:$B$163,0)),""))</x:f>
      </x:c>
      <x:c r="L153" s="1252" t="str">
        <x:f>IF($C153="","",IFERROR(INDEX('23 RCC-004 MASR Registry'!$E$14:$E$163,MATCH($C153,'23 RCC-004 MASR Registry'!$B$14:$B$163,0)),""))</x:f>
      </x:c>
      <x:c r="M153" s="1252" t="str">
        <x:f>IF($C153="","",IFERROR(INDEX('23 RCC-004 MASR Registry'!$X$14:$X$163,MATCH($C153,'23 RCC-004 MASR Registry'!$B$14:$B$163,0)),""))</x:f>
      </x:c>
      <x:c r="N153" s="1252" t="str">
        <x:f>IF($C153="","",IFERROR(INDEX('23 RCC-004 MASR Registry'!$Y$14:$Y$163,MATCH($C153,'23 RCC-004 MASR Registry'!$B$14:$B$163,0)),""))</x:f>
      </x:c>
      <x:c r="O153" s="1252" t="str">
        <x:f>IF($C153="","",IFERROR(INDEX('23 RCC-004 MASR Registry'!$L$14:$L$163,MATCH($C153,'23 RCC-004 MASR Registry'!$B$14:$B$163,0)),""))</x:f>
      </x:c>
      <x:c r="P153" s="1252" t="str">
        <x:f>IF($C153="","",IFERROR(INDEX('23 RCC-004 MASR Registry'!$M$14:$M$163,MATCH($C153,'23 RCC-004 MASR Registry'!$B$14:$B$163,0)),""))</x:f>
      </x:c>
      <x:c r="Q153" s="1255" t="str">
        <x:f>IF($C153="","",IFERROR(INDEX('23 RCC-004 MASR Registry'!$N$14:$N$163,MATCH($C153,'23 RCC-004 MASR Registry'!$B$14:$B$163,0)),""))</x:f>
      </x:c>
      <x:c r="R153" s="1255" t="str">
        <x:f>IF($C153="","",IFERROR(INDEX('23 RCC-004 MASR Registry'!$O$14:$O$163,MATCH($C153,'23 RCC-004 MASR Registry'!$B$14:$B$163,0)),""))</x:f>
      </x:c>
      <x:c r="S153" s="1255" t="str">
        <x:f>IF($C153="","",IFERROR(INDEX('23 RCC-004 MASR Registry'!$W$14:$W$163,MATCH($C153,'23 RCC-004 MASR Registry'!$B$14:$B$163,0)),""))</x:f>
      </x:c>
      <x:c r="T153" s="1255" t="str">
        <x:f>IF($C153="","",IFERROR(INDEX('23 RCC-004 MASR Registry'!$T$14:$T$163,MATCH($C153,'23 RCC-004 MASR Registry'!$B$14:$B$163,0)),""))</x:f>
      </x:c>
      <x:c r="U153" s="1256" t="str">
        <x:f>IF($C153="","",IFERROR(INDEX('23 RCC-004 MASR Registry'!$U$14:$U$163,MATCH($C153,'23 RCC-004 MASR Registry'!$B$14:$B$163,0)),""))</x:f>
      </x:c>
      <x:c r="V153" s="1252" t="str">
        <x:f>IF($C153="","",IFERROR(INDEX('23 RCC-004 MASR Registry'!$V$14:$V$163,MATCH($C153,'23 RCC-004 MASR Registry'!$B$14:$B$163,0)),""))</x:f>
      </x:c>
      <x:c r="W153" s="1242"/>
      <x:c r="X153" s="1256" t="str">
        <x:f>IF($C153="","",COUNTIF('18 RCC-002 Evidence Ledger'!$E$14:$E$213,$C153))</x:f>
      </x:c>
      <x:c r="Y153" s="1242"/>
      <x:c r="Z153" s="1253" t="str">
        <x:f>IF($A153="","",IF(COUNTIF($A$14:$A$213,$A153)&gt;1,"FAIL — DUPLICATE ID",IF(OR($B153="",$C153="",$E153="",$H153="",$Y153="",$AA153="",$AB153=""),"FAIL — INCOMPLETE",IF(AND(OR($Y153="MIAR Review",$Y153="Eligibility Review",$Y153="Candidate Comparison",$Y153="Committee Review",$Y153="Approved for MASR",$Y153="Referred to PEW-004",$Y153="On Watch",$Y153="Rejected",$Y153="Closed",$Y153="Removed"),$K153=""),"FAIL — MASR RECORD REQUIRED",IF(AND(OR($Y153="Eligibility Review",$Y153="Candidate Comparison",$Y153="Committee Review",$Y153="Approved for MASR",$Y153="Referred to PEW-004",$Y153="On Watch"),NOT(OR($M153="ELIGIBLE",$M153="ELIGIBLE WITH EXCEPTION",$M153="CERTIFIED HOLDING"))),"FAIL — ELIGIBILITY",IF(AND(OR($Y153="Candidate Comparison",$Y153="Committee Review",$Y153="Approved for MASR",$Y153="Referred to PEW-004",$Y153="On Watch"),$X153=0),"FAIL — EVIDENCE",IF(AND(OR($Y153="Candidate Comparison",$Y153="Committee Review",$Y153="Approved for MASR",$Y153="Referred to PEW-004",$Y153="On Watch"),OR($O153&lt;&gt;"Active",$P153&lt;&gt;"CURRENT")),"FAIL — MIAR GATE",IF(AND(OR($Y153="Approved for MASR",$Y153="Referred to PEW-004",$Y153="On Watch",$Y153="Rejected",$Y153="Closed",$Y153="Removed"),OR($AD153="",$AD153="Pending")),"FAIL — COMMITTEE DISPOSITION",IF(AND($Y153="Referred to PEW-004",OR($AF153&lt;&gt;"Yes — Refer to PEW-004",$AG153="",$AJ153="")),"FAIL — PEW REFERRAL","PASS — STAGE GATE")))))))))</x:f>
      </x:c>
      <x:c r="AA153" s="1242"/>
      <x:c r="AB153" s="1251"/>
      <x:c r="AC153" s="1257" t="str">
        <x:f>IF($B153="","",IF($AQ153&lt;&gt;"",$AQ153-$B153,TODAY()-$B153))</x:f>
      </x:c>
      <x:c r="AD153" s="1242"/>
      <x:c r="AE153" s="1251"/>
      <x:c r="AF153" s="1242"/>
      <x:c r="AG153" s="1242"/>
      <x:c r="AH153" s="1255" t="str">
        <x:f>IF($AG153="","",IFERROR(INDEX('10 Candidate Comparison'!$T$14:$T$33,MATCH($AG153,'10 Candidate Comparison'!$A$14:$A$33,0)),""))</x:f>
      </x:c>
      <x:c r="AI153" s="1252" t="str">
        <x:f>IF($AG153="","",IFERROR(INDEX('10 Candidate Comparison'!$U$14:$U$33,MATCH($AG153,'10 Candidate Comparison'!$A$14:$A$33,0)),""))</x:f>
      </x:c>
      <x:c r="AJ153" s="1252" t="str">
        <x:f>IF($AG153="","",IFERROR(INDEX('10 Candidate Comparison'!$Y$14:$Y$33,MATCH($AG153,'10 Candidate Comparison'!$A$14:$A$33,0)),""))</x:f>
      </x:c>
      <x:c r="AK153" s="1253" t="str">
        <x:f>IF($A153="","",IF($Z153="FAIL — DUPLICATE ID","DUPLICATE CANDIDATE ID",IF($Z153="FAIL — INCOMPLETE","INCOMPLETE",IF($Z153="FAIL — MASR RECORD REQUIRED","MASR RECORD REQUIRED",IF($Z153="FAIL — ELIGIBILITY","ELIGIBILITY BLOCK",IF($Z153="FAIL — EVIDENCE","EVIDENCE REQUIRED",IF($Z153="FAIL — MIAR GATE","MIAR GATE BLOCK",IF($Z153="FAIL — COMMITTEE DISPOSITION","COMMITTEE DECISION REQUIRED",IF($Z153="FAIL — PEW REFERRAL","PEW REFERRAL INCOMPLETE",IF(AND(OR($Y153="Rejected",$Y153="Closed",$Y153="Removed"),OR($AO153="",$AP153="",$AQ153="")),"CLOSURE REQUIRED",IF(AND($AB153&lt;TODAY(),NOT(OR($Y153="Rejected",$Y153="Closed",$Y153="Removed"))),"OVERDUE",IF(OR($Y153="Rejected",$Y153="Closed",$Y153="Removed"),"CLOSED","OPEN — ON TRACK"))))))))))))</x:f>
      </x:c>
      <x:c r="AL153" s="1253" t="str">
        <x:f>IF($AK153="","",IFERROR(INDEX('97 RCC Lists'!$AM$5:$AM$16,MATCH($AK153,'97 RCC Lists'!$AL$5:$AL$16,0)),"Review candidate exception"))</x:f>
      </x:c>
      <x:c r="AM153" s="1242"/>
      <x:c r="AN153" s="1242"/>
      <x:c r="AO153" s="1242"/>
      <x:c r="AP153" s="1242"/>
      <x:c r="AQ153" s="1251"/>
    </x:row>
    <x:row r="154" ht="32" customHeight="1">
      <x:c r="A154" s="1242"/>
      <x:c r="B154" s="1251"/>
      <x:c r="C154" s="1242"/>
      <x:c r="D154" s="1243" t="str">
        <x:f>IF($C154="","",IFERROR(INDEX('23 RCC-004 MASR Registry'!$C$14:$C$163,MATCH($C154,'23 RCC-004 MASR Registry'!$B$14:$B$163,0)),""))</x:f>
      </x:c>
      <x:c r="E154" s="1242"/>
      <x:c r="F154" s="1242"/>
      <x:c r="G154" s="1242"/>
      <x:c r="H154" s="1242"/>
      <x:c r="I154" s="1243" t="str">
        <x:f>IF($C154="","",IFERROR(INDEX('23 RCC-004 MASR Registry'!$G$14:$G$163,MATCH($C154,'23 RCC-004 MASR Registry'!$B$14:$B$163,0)),""))</x:f>
      </x:c>
      <x:c r="J154" s="1243" t="str">
        <x:f>IF($C154="","",IFERROR(INDEX('23 RCC-004 MASR Registry'!$H$14:$H$163,MATCH($C154,'23 RCC-004 MASR Registry'!$B$14:$B$163,0)),""))</x:f>
      </x:c>
      <x:c r="K154" s="1243" t="str">
        <x:f>IF($C154="","",IFERROR(INDEX('23 RCC-004 MASR Registry'!$D$14:$D$163,MATCH($C154,'23 RCC-004 MASR Registry'!$B$14:$B$163,0)),""))</x:f>
      </x:c>
      <x:c r="L154" s="1243" t="str">
        <x:f>IF($C154="","",IFERROR(INDEX('23 RCC-004 MASR Registry'!$E$14:$E$163,MATCH($C154,'23 RCC-004 MASR Registry'!$B$14:$B$163,0)),""))</x:f>
      </x:c>
      <x:c r="M154" s="1243" t="str">
        <x:f>IF($C154="","",IFERROR(INDEX('23 RCC-004 MASR Registry'!$X$14:$X$163,MATCH($C154,'23 RCC-004 MASR Registry'!$B$14:$B$163,0)),""))</x:f>
      </x:c>
      <x:c r="N154" s="1243" t="str">
        <x:f>IF($C154="","",IFERROR(INDEX('23 RCC-004 MASR Registry'!$Y$14:$Y$163,MATCH($C154,'23 RCC-004 MASR Registry'!$B$14:$B$163,0)),""))</x:f>
      </x:c>
      <x:c r="O154" s="1243" t="str">
        <x:f>IF($C154="","",IFERROR(INDEX('23 RCC-004 MASR Registry'!$L$14:$L$163,MATCH($C154,'23 RCC-004 MASR Registry'!$B$14:$B$163,0)),""))</x:f>
      </x:c>
      <x:c r="P154" s="1243" t="str">
        <x:f>IF($C154="","",IFERROR(INDEX('23 RCC-004 MASR Registry'!$M$14:$M$163,MATCH($C154,'23 RCC-004 MASR Registry'!$B$14:$B$163,0)),""))</x:f>
      </x:c>
      <x:c r="Q154" s="1246" t="str">
        <x:f>IF($C154="","",IFERROR(INDEX('23 RCC-004 MASR Registry'!$N$14:$N$163,MATCH($C154,'23 RCC-004 MASR Registry'!$B$14:$B$163,0)),""))</x:f>
      </x:c>
      <x:c r="R154" s="1246" t="str">
        <x:f>IF($C154="","",IFERROR(INDEX('23 RCC-004 MASR Registry'!$O$14:$O$163,MATCH($C154,'23 RCC-004 MASR Registry'!$B$14:$B$163,0)),""))</x:f>
      </x:c>
      <x:c r="S154" s="1246" t="str">
        <x:f>IF($C154="","",IFERROR(INDEX('23 RCC-004 MASR Registry'!$W$14:$W$163,MATCH($C154,'23 RCC-004 MASR Registry'!$B$14:$B$163,0)),""))</x:f>
      </x:c>
      <x:c r="T154" s="1246" t="str">
        <x:f>IF($C154="","",IFERROR(INDEX('23 RCC-004 MASR Registry'!$T$14:$T$163,MATCH($C154,'23 RCC-004 MASR Registry'!$B$14:$B$163,0)),""))</x:f>
      </x:c>
      <x:c r="U154" s="1247" t="str">
        <x:f>IF($C154="","",IFERROR(INDEX('23 RCC-004 MASR Registry'!$U$14:$U$163,MATCH($C154,'23 RCC-004 MASR Registry'!$B$14:$B$163,0)),""))</x:f>
      </x:c>
      <x:c r="V154" s="1243" t="str">
        <x:f>IF($C154="","",IFERROR(INDEX('23 RCC-004 MASR Registry'!$V$14:$V$163,MATCH($C154,'23 RCC-004 MASR Registry'!$B$14:$B$163,0)),""))</x:f>
      </x:c>
      <x:c r="W154" s="1242"/>
      <x:c r="X154" s="1247" t="str">
        <x:f>IF($C154="","",COUNTIF('18 RCC-002 Evidence Ledger'!$E$14:$E$213,$C154))</x:f>
      </x:c>
      <x:c r="Y154" s="1242"/>
      <x:c r="Z154" s="1244" t="str">
        <x:f>IF($A154="","",IF(COUNTIF($A$14:$A$213,$A154)&gt;1,"FAIL — DUPLICATE ID",IF(OR($B154="",$C154="",$E154="",$H154="",$Y154="",$AA154="",$AB154=""),"FAIL — INCOMPLETE",IF(AND(OR($Y154="MIAR Review",$Y154="Eligibility Review",$Y154="Candidate Comparison",$Y154="Committee Review",$Y154="Approved for MASR",$Y154="Referred to PEW-004",$Y154="On Watch",$Y154="Rejected",$Y154="Closed",$Y154="Removed"),$K154=""),"FAIL — MASR RECORD REQUIRED",IF(AND(OR($Y154="Eligibility Review",$Y154="Candidate Comparison",$Y154="Committee Review",$Y154="Approved for MASR",$Y154="Referred to PEW-004",$Y154="On Watch"),NOT(OR($M154="ELIGIBLE",$M154="ELIGIBLE WITH EXCEPTION",$M154="CERTIFIED HOLDING"))),"FAIL — ELIGIBILITY",IF(AND(OR($Y154="Candidate Comparison",$Y154="Committee Review",$Y154="Approved for MASR",$Y154="Referred to PEW-004",$Y154="On Watch"),$X154=0),"FAIL — EVIDENCE",IF(AND(OR($Y154="Candidate Comparison",$Y154="Committee Review",$Y154="Approved for MASR",$Y154="Referred to PEW-004",$Y154="On Watch"),OR($O154&lt;&gt;"Active",$P154&lt;&gt;"CURRENT")),"FAIL — MIAR GATE",IF(AND(OR($Y154="Approved for MASR",$Y154="Referred to PEW-004",$Y154="On Watch",$Y154="Rejected",$Y154="Closed",$Y154="Removed"),OR($AD154="",$AD154="Pending")),"FAIL — COMMITTEE DISPOSITION",IF(AND($Y154="Referred to PEW-004",OR($AF154&lt;&gt;"Yes — Refer to PEW-004",$AG154="",$AJ154="")),"FAIL — PEW REFERRAL","PASS — STAGE GATE")))))))))</x:f>
      </x:c>
      <x:c r="AA154" s="1242"/>
      <x:c r="AB154" s="1251"/>
      <x:c r="AC154" s="1250" t="str">
        <x:f>IF($B154="","",IF($AQ154&lt;&gt;"",$AQ154-$B154,TODAY()-$B154))</x:f>
      </x:c>
      <x:c r="AD154" s="1242"/>
      <x:c r="AE154" s="1251"/>
      <x:c r="AF154" s="1242"/>
      <x:c r="AG154" s="1242"/>
      <x:c r="AH154" s="1246" t="str">
        <x:f>IF($AG154="","",IFERROR(INDEX('10 Candidate Comparison'!$T$14:$T$33,MATCH($AG154,'10 Candidate Comparison'!$A$14:$A$33,0)),""))</x:f>
      </x:c>
      <x:c r="AI154" s="1243" t="str">
        <x:f>IF($AG154="","",IFERROR(INDEX('10 Candidate Comparison'!$U$14:$U$33,MATCH($AG154,'10 Candidate Comparison'!$A$14:$A$33,0)),""))</x:f>
      </x:c>
      <x:c r="AJ154" s="1243" t="str">
        <x:f>IF($AG154="","",IFERROR(INDEX('10 Candidate Comparison'!$Y$14:$Y$33,MATCH($AG154,'10 Candidate Comparison'!$A$14:$A$33,0)),""))</x:f>
      </x:c>
      <x:c r="AK154" s="1244" t="str">
        <x:f>IF($A154="","",IF($Z154="FAIL — DUPLICATE ID","DUPLICATE CANDIDATE ID",IF($Z154="FAIL — INCOMPLETE","INCOMPLETE",IF($Z154="FAIL — MASR RECORD REQUIRED","MASR RECORD REQUIRED",IF($Z154="FAIL — ELIGIBILITY","ELIGIBILITY BLOCK",IF($Z154="FAIL — EVIDENCE","EVIDENCE REQUIRED",IF($Z154="FAIL — MIAR GATE","MIAR GATE BLOCK",IF($Z154="FAIL — COMMITTEE DISPOSITION","COMMITTEE DECISION REQUIRED",IF($Z154="FAIL — PEW REFERRAL","PEW REFERRAL INCOMPLETE",IF(AND(OR($Y154="Rejected",$Y154="Closed",$Y154="Removed"),OR($AO154="",$AP154="",$AQ154="")),"CLOSURE REQUIRED",IF(AND($AB154&lt;TODAY(),NOT(OR($Y154="Rejected",$Y154="Closed",$Y154="Removed"))),"OVERDUE",IF(OR($Y154="Rejected",$Y154="Closed",$Y154="Removed"),"CLOSED","OPEN — ON TRACK"))))))))))))</x:f>
      </x:c>
      <x:c r="AL154" s="1244" t="str">
        <x:f>IF($AK154="","",IFERROR(INDEX('97 RCC Lists'!$AM$5:$AM$16,MATCH($AK154,'97 RCC Lists'!$AL$5:$AL$16,0)),"Review candidate exception"))</x:f>
      </x:c>
      <x:c r="AM154" s="1242"/>
      <x:c r="AN154" s="1242"/>
      <x:c r="AO154" s="1242"/>
      <x:c r="AP154" s="1242"/>
      <x:c r="AQ154" s="1251"/>
    </x:row>
    <x:row r="155" ht="32" customHeight="1">
      <x:c r="A155" s="1242"/>
      <x:c r="B155" s="1251"/>
      <x:c r="C155" s="1242"/>
      <x:c r="D155" s="1252" t="str">
        <x:f>IF($C155="","",IFERROR(INDEX('23 RCC-004 MASR Registry'!$C$14:$C$163,MATCH($C155,'23 RCC-004 MASR Registry'!$B$14:$B$163,0)),""))</x:f>
      </x:c>
      <x:c r="E155" s="1242"/>
      <x:c r="F155" s="1242"/>
      <x:c r="G155" s="1242"/>
      <x:c r="H155" s="1242"/>
      <x:c r="I155" s="1252" t="str">
        <x:f>IF($C155="","",IFERROR(INDEX('23 RCC-004 MASR Registry'!$G$14:$G$163,MATCH($C155,'23 RCC-004 MASR Registry'!$B$14:$B$163,0)),""))</x:f>
      </x:c>
      <x:c r="J155" s="1252" t="str">
        <x:f>IF($C155="","",IFERROR(INDEX('23 RCC-004 MASR Registry'!$H$14:$H$163,MATCH($C155,'23 RCC-004 MASR Registry'!$B$14:$B$163,0)),""))</x:f>
      </x:c>
      <x:c r="K155" s="1252" t="str">
        <x:f>IF($C155="","",IFERROR(INDEX('23 RCC-004 MASR Registry'!$D$14:$D$163,MATCH($C155,'23 RCC-004 MASR Registry'!$B$14:$B$163,0)),""))</x:f>
      </x:c>
      <x:c r="L155" s="1252" t="str">
        <x:f>IF($C155="","",IFERROR(INDEX('23 RCC-004 MASR Registry'!$E$14:$E$163,MATCH($C155,'23 RCC-004 MASR Registry'!$B$14:$B$163,0)),""))</x:f>
      </x:c>
      <x:c r="M155" s="1252" t="str">
        <x:f>IF($C155="","",IFERROR(INDEX('23 RCC-004 MASR Registry'!$X$14:$X$163,MATCH($C155,'23 RCC-004 MASR Registry'!$B$14:$B$163,0)),""))</x:f>
      </x:c>
      <x:c r="N155" s="1252" t="str">
        <x:f>IF($C155="","",IFERROR(INDEX('23 RCC-004 MASR Registry'!$Y$14:$Y$163,MATCH($C155,'23 RCC-004 MASR Registry'!$B$14:$B$163,0)),""))</x:f>
      </x:c>
      <x:c r="O155" s="1252" t="str">
        <x:f>IF($C155="","",IFERROR(INDEX('23 RCC-004 MASR Registry'!$L$14:$L$163,MATCH($C155,'23 RCC-004 MASR Registry'!$B$14:$B$163,0)),""))</x:f>
      </x:c>
      <x:c r="P155" s="1252" t="str">
        <x:f>IF($C155="","",IFERROR(INDEX('23 RCC-004 MASR Registry'!$M$14:$M$163,MATCH($C155,'23 RCC-004 MASR Registry'!$B$14:$B$163,0)),""))</x:f>
      </x:c>
      <x:c r="Q155" s="1255" t="str">
        <x:f>IF($C155="","",IFERROR(INDEX('23 RCC-004 MASR Registry'!$N$14:$N$163,MATCH($C155,'23 RCC-004 MASR Registry'!$B$14:$B$163,0)),""))</x:f>
      </x:c>
      <x:c r="R155" s="1255" t="str">
        <x:f>IF($C155="","",IFERROR(INDEX('23 RCC-004 MASR Registry'!$O$14:$O$163,MATCH($C155,'23 RCC-004 MASR Registry'!$B$14:$B$163,0)),""))</x:f>
      </x:c>
      <x:c r="S155" s="1255" t="str">
        <x:f>IF($C155="","",IFERROR(INDEX('23 RCC-004 MASR Registry'!$W$14:$W$163,MATCH($C155,'23 RCC-004 MASR Registry'!$B$14:$B$163,0)),""))</x:f>
      </x:c>
      <x:c r="T155" s="1255" t="str">
        <x:f>IF($C155="","",IFERROR(INDEX('23 RCC-004 MASR Registry'!$T$14:$T$163,MATCH($C155,'23 RCC-004 MASR Registry'!$B$14:$B$163,0)),""))</x:f>
      </x:c>
      <x:c r="U155" s="1256" t="str">
        <x:f>IF($C155="","",IFERROR(INDEX('23 RCC-004 MASR Registry'!$U$14:$U$163,MATCH($C155,'23 RCC-004 MASR Registry'!$B$14:$B$163,0)),""))</x:f>
      </x:c>
      <x:c r="V155" s="1252" t="str">
        <x:f>IF($C155="","",IFERROR(INDEX('23 RCC-004 MASR Registry'!$V$14:$V$163,MATCH($C155,'23 RCC-004 MASR Registry'!$B$14:$B$163,0)),""))</x:f>
      </x:c>
      <x:c r="W155" s="1242"/>
      <x:c r="X155" s="1256" t="str">
        <x:f>IF($C155="","",COUNTIF('18 RCC-002 Evidence Ledger'!$E$14:$E$213,$C155))</x:f>
      </x:c>
      <x:c r="Y155" s="1242"/>
      <x:c r="Z155" s="1253" t="str">
        <x:f>IF($A155="","",IF(COUNTIF($A$14:$A$213,$A155)&gt;1,"FAIL — DUPLICATE ID",IF(OR($B155="",$C155="",$E155="",$H155="",$Y155="",$AA155="",$AB155=""),"FAIL — INCOMPLETE",IF(AND(OR($Y155="MIAR Review",$Y155="Eligibility Review",$Y155="Candidate Comparison",$Y155="Committee Review",$Y155="Approved for MASR",$Y155="Referred to PEW-004",$Y155="On Watch",$Y155="Rejected",$Y155="Closed",$Y155="Removed"),$K155=""),"FAIL — MASR RECORD REQUIRED",IF(AND(OR($Y155="Eligibility Review",$Y155="Candidate Comparison",$Y155="Committee Review",$Y155="Approved for MASR",$Y155="Referred to PEW-004",$Y155="On Watch"),NOT(OR($M155="ELIGIBLE",$M155="ELIGIBLE WITH EXCEPTION",$M155="CERTIFIED HOLDING"))),"FAIL — ELIGIBILITY",IF(AND(OR($Y155="Candidate Comparison",$Y155="Committee Review",$Y155="Approved for MASR",$Y155="Referred to PEW-004",$Y155="On Watch"),$X155=0),"FAIL — EVIDENCE",IF(AND(OR($Y155="Candidate Comparison",$Y155="Committee Review",$Y155="Approved for MASR",$Y155="Referred to PEW-004",$Y155="On Watch"),OR($O155&lt;&gt;"Active",$P155&lt;&gt;"CURRENT")),"FAIL — MIAR GATE",IF(AND(OR($Y155="Approved for MASR",$Y155="Referred to PEW-004",$Y155="On Watch",$Y155="Rejected",$Y155="Closed",$Y155="Removed"),OR($AD155="",$AD155="Pending")),"FAIL — COMMITTEE DISPOSITION",IF(AND($Y155="Referred to PEW-004",OR($AF155&lt;&gt;"Yes — Refer to PEW-004",$AG155="",$AJ155="")),"FAIL — PEW REFERRAL","PASS — STAGE GATE")))))))))</x:f>
      </x:c>
      <x:c r="AA155" s="1242"/>
      <x:c r="AB155" s="1251"/>
      <x:c r="AC155" s="1257" t="str">
        <x:f>IF($B155="","",IF($AQ155&lt;&gt;"",$AQ155-$B155,TODAY()-$B155))</x:f>
      </x:c>
      <x:c r="AD155" s="1242"/>
      <x:c r="AE155" s="1251"/>
      <x:c r="AF155" s="1242"/>
      <x:c r="AG155" s="1242"/>
      <x:c r="AH155" s="1255" t="str">
        <x:f>IF($AG155="","",IFERROR(INDEX('10 Candidate Comparison'!$T$14:$T$33,MATCH($AG155,'10 Candidate Comparison'!$A$14:$A$33,0)),""))</x:f>
      </x:c>
      <x:c r="AI155" s="1252" t="str">
        <x:f>IF($AG155="","",IFERROR(INDEX('10 Candidate Comparison'!$U$14:$U$33,MATCH($AG155,'10 Candidate Comparison'!$A$14:$A$33,0)),""))</x:f>
      </x:c>
      <x:c r="AJ155" s="1252" t="str">
        <x:f>IF($AG155="","",IFERROR(INDEX('10 Candidate Comparison'!$Y$14:$Y$33,MATCH($AG155,'10 Candidate Comparison'!$A$14:$A$33,0)),""))</x:f>
      </x:c>
      <x:c r="AK155" s="1253" t="str">
        <x:f>IF($A155="","",IF($Z155="FAIL — DUPLICATE ID","DUPLICATE CANDIDATE ID",IF($Z155="FAIL — INCOMPLETE","INCOMPLETE",IF($Z155="FAIL — MASR RECORD REQUIRED","MASR RECORD REQUIRED",IF($Z155="FAIL — ELIGIBILITY","ELIGIBILITY BLOCK",IF($Z155="FAIL — EVIDENCE","EVIDENCE REQUIRED",IF($Z155="FAIL — MIAR GATE","MIAR GATE BLOCK",IF($Z155="FAIL — COMMITTEE DISPOSITION","COMMITTEE DECISION REQUIRED",IF($Z155="FAIL — PEW REFERRAL","PEW REFERRAL INCOMPLETE",IF(AND(OR($Y155="Rejected",$Y155="Closed",$Y155="Removed"),OR($AO155="",$AP155="",$AQ155="")),"CLOSURE REQUIRED",IF(AND($AB155&lt;TODAY(),NOT(OR($Y155="Rejected",$Y155="Closed",$Y155="Removed"))),"OVERDUE",IF(OR($Y155="Rejected",$Y155="Closed",$Y155="Removed"),"CLOSED","OPEN — ON TRACK"))))))))))))</x:f>
      </x:c>
      <x:c r="AL155" s="1253" t="str">
        <x:f>IF($AK155="","",IFERROR(INDEX('97 RCC Lists'!$AM$5:$AM$16,MATCH($AK155,'97 RCC Lists'!$AL$5:$AL$16,0)),"Review candidate exception"))</x:f>
      </x:c>
      <x:c r="AM155" s="1242"/>
      <x:c r="AN155" s="1242"/>
      <x:c r="AO155" s="1242"/>
      <x:c r="AP155" s="1242"/>
      <x:c r="AQ155" s="1251"/>
    </x:row>
    <x:row r="156" ht="32" customHeight="1">
      <x:c r="A156" s="1242"/>
      <x:c r="B156" s="1251"/>
      <x:c r="C156" s="1242"/>
      <x:c r="D156" s="1243" t="str">
        <x:f>IF($C156="","",IFERROR(INDEX('23 RCC-004 MASR Registry'!$C$14:$C$163,MATCH($C156,'23 RCC-004 MASR Registry'!$B$14:$B$163,0)),""))</x:f>
      </x:c>
      <x:c r="E156" s="1242"/>
      <x:c r="F156" s="1242"/>
      <x:c r="G156" s="1242"/>
      <x:c r="H156" s="1242"/>
      <x:c r="I156" s="1243" t="str">
        <x:f>IF($C156="","",IFERROR(INDEX('23 RCC-004 MASR Registry'!$G$14:$G$163,MATCH($C156,'23 RCC-004 MASR Registry'!$B$14:$B$163,0)),""))</x:f>
      </x:c>
      <x:c r="J156" s="1243" t="str">
        <x:f>IF($C156="","",IFERROR(INDEX('23 RCC-004 MASR Registry'!$H$14:$H$163,MATCH($C156,'23 RCC-004 MASR Registry'!$B$14:$B$163,0)),""))</x:f>
      </x:c>
      <x:c r="K156" s="1243" t="str">
        <x:f>IF($C156="","",IFERROR(INDEX('23 RCC-004 MASR Registry'!$D$14:$D$163,MATCH($C156,'23 RCC-004 MASR Registry'!$B$14:$B$163,0)),""))</x:f>
      </x:c>
      <x:c r="L156" s="1243" t="str">
        <x:f>IF($C156="","",IFERROR(INDEX('23 RCC-004 MASR Registry'!$E$14:$E$163,MATCH($C156,'23 RCC-004 MASR Registry'!$B$14:$B$163,0)),""))</x:f>
      </x:c>
      <x:c r="M156" s="1243" t="str">
        <x:f>IF($C156="","",IFERROR(INDEX('23 RCC-004 MASR Registry'!$X$14:$X$163,MATCH($C156,'23 RCC-004 MASR Registry'!$B$14:$B$163,0)),""))</x:f>
      </x:c>
      <x:c r="N156" s="1243" t="str">
        <x:f>IF($C156="","",IFERROR(INDEX('23 RCC-004 MASR Registry'!$Y$14:$Y$163,MATCH($C156,'23 RCC-004 MASR Registry'!$B$14:$B$163,0)),""))</x:f>
      </x:c>
      <x:c r="O156" s="1243" t="str">
        <x:f>IF($C156="","",IFERROR(INDEX('23 RCC-004 MASR Registry'!$L$14:$L$163,MATCH($C156,'23 RCC-004 MASR Registry'!$B$14:$B$163,0)),""))</x:f>
      </x:c>
      <x:c r="P156" s="1243" t="str">
        <x:f>IF($C156="","",IFERROR(INDEX('23 RCC-004 MASR Registry'!$M$14:$M$163,MATCH($C156,'23 RCC-004 MASR Registry'!$B$14:$B$163,0)),""))</x:f>
      </x:c>
      <x:c r="Q156" s="1246" t="str">
        <x:f>IF($C156="","",IFERROR(INDEX('23 RCC-004 MASR Registry'!$N$14:$N$163,MATCH($C156,'23 RCC-004 MASR Registry'!$B$14:$B$163,0)),""))</x:f>
      </x:c>
      <x:c r="R156" s="1246" t="str">
        <x:f>IF($C156="","",IFERROR(INDEX('23 RCC-004 MASR Registry'!$O$14:$O$163,MATCH($C156,'23 RCC-004 MASR Registry'!$B$14:$B$163,0)),""))</x:f>
      </x:c>
      <x:c r="S156" s="1246" t="str">
        <x:f>IF($C156="","",IFERROR(INDEX('23 RCC-004 MASR Registry'!$W$14:$W$163,MATCH($C156,'23 RCC-004 MASR Registry'!$B$14:$B$163,0)),""))</x:f>
      </x:c>
      <x:c r="T156" s="1246" t="str">
        <x:f>IF($C156="","",IFERROR(INDEX('23 RCC-004 MASR Registry'!$T$14:$T$163,MATCH($C156,'23 RCC-004 MASR Registry'!$B$14:$B$163,0)),""))</x:f>
      </x:c>
      <x:c r="U156" s="1247" t="str">
        <x:f>IF($C156="","",IFERROR(INDEX('23 RCC-004 MASR Registry'!$U$14:$U$163,MATCH($C156,'23 RCC-004 MASR Registry'!$B$14:$B$163,0)),""))</x:f>
      </x:c>
      <x:c r="V156" s="1243" t="str">
        <x:f>IF($C156="","",IFERROR(INDEX('23 RCC-004 MASR Registry'!$V$14:$V$163,MATCH($C156,'23 RCC-004 MASR Registry'!$B$14:$B$163,0)),""))</x:f>
      </x:c>
      <x:c r="W156" s="1242"/>
      <x:c r="X156" s="1247" t="str">
        <x:f>IF($C156="","",COUNTIF('18 RCC-002 Evidence Ledger'!$E$14:$E$213,$C156))</x:f>
      </x:c>
      <x:c r="Y156" s="1242"/>
      <x:c r="Z156" s="1244" t="str">
        <x:f>IF($A156="","",IF(COUNTIF($A$14:$A$213,$A156)&gt;1,"FAIL — DUPLICATE ID",IF(OR($B156="",$C156="",$E156="",$H156="",$Y156="",$AA156="",$AB156=""),"FAIL — INCOMPLETE",IF(AND(OR($Y156="MIAR Review",$Y156="Eligibility Review",$Y156="Candidate Comparison",$Y156="Committee Review",$Y156="Approved for MASR",$Y156="Referred to PEW-004",$Y156="On Watch",$Y156="Rejected",$Y156="Closed",$Y156="Removed"),$K156=""),"FAIL — MASR RECORD REQUIRED",IF(AND(OR($Y156="Eligibility Review",$Y156="Candidate Comparison",$Y156="Committee Review",$Y156="Approved for MASR",$Y156="Referred to PEW-004",$Y156="On Watch"),NOT(OR($M156="ELIGIBLE",$M156="ELIGIBLE WITH EXCEPTION",$M156="CERTIFIED HOLDING"))),"FAIL — ELIGIBILITY",IF(AND(OR($Y156="Candidate Comparison",$Y156="Committee Review",$Y156="Approved for MASR",$Y156="Referred to PEW-004",$Y156="On Watch"),$X156=0),"FAIL — EVIDENCE",IF(AND(OR($Y156="Candidate Comparison",$Y156="Committee Review",$Y156="Approved for MASR",$Y156="Referred to PEW-004",$Y156="On Watch"),OR($O156&lt;&gt;"Active",$P156&lt;&gt;"CURRENT")),"FAIL — MIAR GATE",IF(AND(OR($Y156="Approved for MASR",$Y156="Referred to PEW-004",$Y156="On Watch",$Y156="Rejected",$Y156="Closed",$Y156="Removed"),OR($AD156="",$AD156="Pending")),"FAIL — COMMITTEE DISPOSITION",IF(AND($Y156="Referred to PEW-004",OR($AF156&lt;&gt;"Yes — Refer to PEW-004",$AG156="",$AJ156="")),"FAIL — PEW REFERRAL","PASS — STAGE GATE")))))))))</x:f>
      </x:c>
      <x:c r="AA156" s="1242"/>
      <x:c r="AB156" s="1251"/>
      <x:c r="AC156" s="1250" t="str">
        <x:f>IF($B156="","",IF($AQ156&lt;&gt;"",$AQ156-$B156,TODAY()-$B156))</x:f>
      </x:c>
      <x:c r="AD156" s="1242"/>
      <x:c r="AE156" s="1251"/>
      <x:c r="AF156" s="1242"/>
      <x:c r="AG156" s="1242"/>
      <x:c r="AH156" s="1246" t="str">
        <x:f>IF($AG156="","",IFERROR(INDEX('10 Candidate Comparison'!$T$14:$T$33,MATCH($AG156,'10 Candidate Comparison'!$A$14:$A$33,0)),""))</x:f>
      </x:c>
      <x:c r="AI156" s="1243" t="str">
        <x:f>IF($AG156="","",IFERROR(INDEX('10 Candidate Comparison'!$U$14:$U$33,MATCH($AG156,'10 Candidate Comparison'!$A$14:$A$33,0)),""))</x:f>
      </x:c>
      <x:c r="AJ156" s="1243" t="str">
        <x:f>IF($AG156="","",IFERROR(INDEX('10 Candidate Comparison'!$Y$14:$Y$33,MATCH($AG156,'10 Candidate Comparison'!$A$14:$A$33,0)),""))</x:f>
      </x:c>
      <x:c r="AK156" s="1244" t="str">
        <x:f>IF($A156="","",IF($Z156="FAIL — DUPLICATE ID","DUPLICATE CANDIDATE ID",IF($Z156="FAIL — INCOMPLETE","INCOMPLETE",IF($Z156="FAIL — MASR RECORD REQUIRED","MASR RECORD REQUIRED",IF($Z156="FAIL — ELIGIBILITY","ELIGIBILITY BLOCK",IF($Z156="FAIL — EVIDENCE","EVIDENCE REQUIRED",IF($Z156="FAIL — MIAR GATE","MIAR GATE BLOCK",IF($Z156="FAIL — COMMITTEE DISPOSITION","COMMITTEE DECISION REQUIRED",IF($Z156="FAIL — PEW REFERRAL","PEW REFERRAL INCOMPLETE",IF(AND(OR($Y156="Rejected",$Y156="Closed",$Y156="Removed"),OR($AO156="",$AP156="",$AQ156="")),"CLOSURE REQUIRED",IF(AND($AB156&lt;TODAY(),NOT(OR($Y156="Rejected",$Y156="Closed",$Y156="Removed"))),"OVERDUE",IF(OR($Y156="Rejected",$Y156="Closed",$Y156="Removed"),"CLOSED","OPEN — ON TRACK"))))))))))))</x:f>
      </x:c>
      <x:c r="AL156" s="1244" t="str">
        <x:f>IF($AK156="","",IFERROR(INDEX('97 RCC Lists'!$AM$5:$AM$16,MATCH($AK156,'97 RCC Lists'!$AL$5:$AL$16,0)),"Review candidate exception"))</x:f>
      </x:c>
      <x:c r="AM156" s="1242"/>
      <x:c r="AN156" s="1242"/>
      <x:c r="AO156" s="1242"/>
      <x:c r="AP156" s="1242"/>
      <x:c r="AQ156" s="1251"/>
    </x:row>
    <x:row r="157" ht="32" customHeight="1">
      <x:c r="A157" s="1242"/>
      <x:c r="B157" s="1251"/>
      <x:c r="C157" s="1242"/>
      <x:c r="D157" s="1252" t="str">
        <x:f>IF($C157="","",IFERROR(INDEX('23 RCC-004 MASR Registry'!$C$14:$C$163,MATCH($C157,'23 RCC-004 MASR Registry'!$B$14:$B$163,0)),""))</x:f>
      </x:c>
      <x:c r="E157" s="1242"/>
      <x:c r="F157" s="1242"/>
      <x:c r="G157" s="1242"/>
      <x:c r="H157" s="1242"/>
      <x:c r="I157" s="1252" t="str">
        <x:f>IF($C157="","",IFERROR(INDEX('23 RCC-004 MASR Registry'!$G$14:$G$163,MATCH($C157,'23 RCC-004 MASR Registry'!$B$14:$B$163,0)),""))</x:f>
      </x:c>
      <x:c r="J157" s="1252" t="str">
        <x:f>IF($C157="","",IFERROR(INDEX('23 RCC-004 MASR Registry'!$H$14:$H$163,MATCH($C157,'23 RCC-004 MASR Registry'!$B$14:$B$163,0)),""))</x:f>
      </x:c>
      <x:c r="K157" s="1252" t="str">
        <x:f>IF($C157="","",IFERROR(INDEX('23 RCC-004 MASR Registry'!$D$14:$D$163,MATCH($C157,'23 RCC-004 MASR Registry'!$B$14:$B$163,0)),""))</x:f>
      </x:c>
      <x:c r="L157" s="1252" t="str">
        <x:f>IF($C157="","",IFERROR(INDEX('23 RCC-004 MASR Registry'!$E$14:$E$163,MATCH($C157,'23 RCC-004 MASR Registry'!$B$14:$B$163,0)),""))</x:f>
      </x:c>
      <x:c r="M157" s="1252" t="str">
        <x:f>IF($C157="","",IFERROR(INDEX('23 RCC-004 MASR Registry'!$X$14:$X$163,MATCH($C157,'23 RCC-004 MASR Registry'!$B$14:$B$163,0)),""))</x:f>
      </x:c>
      <x:c r="N157" s="1252" t="str">
        <x:f>IF($C157="","",IFERROR(INDEX('23 RCC-004 MASR Registry'!$Y$14:$Y$163,MATCH($C157,'23 RCC-004 MASR Registry'!$B$14:$B$163,0)),""))</x:f>
      </x:c>
      <x:c r="O157" s="1252" t="str">
        <x:f>IF($C157="","",IFERROR(INDEX('23 RCC-004 MASR Registry'!$L$14:$L$163,MATCH($C157,'23 RCC-004 MASR Registry'!$B$14:$B$163,0)),""))</x:f>
      </x:c>
      <x:c r="P157" s="1252" t="str">
        <x:f>IF($C157="","",IFERROR(INDEX('23 RCC-004 MASR Registry'!$M$14:$M$163,MATCH($C157,'23 RCC-004 MASR Registry'!$B$14:$B$163,0)),""))</x:f>
      </x:c>
      <x:c r="Q157" s="1255" t="str">
        <x:f>IF($C157="","",IFERROR(INDEX('23 RCC-004 MASR Registry'!$N$14:$N$163,MATCH($C157,'23 RCC-004 MASR Registry'!$B$14:$B$163,0)),""))</x:f>
      </x:c>
      <x:c r="R157" s="1255" t="str">
        <x:f>IF($C157="","",IFERROR(INDEX('23 RCC-004 MASR Registry'!$O$14:$O$163,MATCH($C157,'23 RCC-004 MASR Registry'!$B$14:$B$163,0)),""))</x:f>
      </x:c>
      <x:c r="S157" s="1255" t="str">
        <x:f>IF($C157="","",IFERROR(INDEX('23 RCC-004 MASR Registry'!$W$14:$W$163,MATCH($C157,'23 RCC-004 MASR Registry'!$B$14:$B$163,0)),""))</x:f>
      </x:c>
      <x:c r="T157" s="1255" t="str">
        <x:f>IF($C157="","",IFERROR(INDEX('23 RCC-004 MASR Registry'!$T$14:$T$163,MATCH($C157,'23 RCC-004 MASR Registry'!$B$14:$B$163,0)),""))</x:f>
      </x:c>
      <x:c r="U157" s="1256" t="str">
        <x:f>IF($C157="","",IFERROR(INDEX('23 RCC-004 MASR Registry'!$U$14:$U$163,MATCH($C157,'23 RCC-004 MASR Registry'!$B$14:$B$163,0)),""))</x:f>
      </x:c>
      <x:c r="V157" s="1252" t="str">
        <x:f>IF($C157="","",IFERROR(INDEX('23 RCC-004 MASR Registry'!$V$14:$V$163,MATCH($C157,'23 RCC-004 MASR Registry'!$B$14:$B$163,0)),""))</x:f>
      </x:c>
      <x:c r="W157" s="1242"/>
      <x:c r="X157" s="1256" t="str">
        <x:f>IF($C157="","",COUNTIF('18 RCC-002 Evidence Ledger'!$E$14:$E$213,$C157))</x:f>
      </x:c>
      <x:c r="Y157" s="1242"/>
      <x:c r="Z157" s="1253" t="str">
        <x:f>IF($A157="","",IF(COUNTIF($A$14:$A$213,$A157)&gt;1,"FAIL — DUPLICATE ID",IF(OR($B157="",$C157="",$E157="",$H157="",$Y157="",$AA157="",$AB157=""),"FAIL — INCOMPLETE",IF(AND(OR($Y157="MIAR Review",$Y157="Eligibility Review",$Y157="Candidate Comparison",$Y157="Committee Review",$Y157="Approved for MASR",$Y157="Referred to PEW-004",$Y157="On Watch",$Y157="Rejected",$Y157="Closed",$Y157="Removed"),$K157=""),"FAIL — MASR RECORD REQUIRED",IF(AND(OR($Y157="Eligibility Review",$Y157="Candidate Comparison",$Y157="Committee Review",$Y157="Approved for MASR",$Y157="Referred to PEW-004",$Y157="On Watch"),NOT(OR($M157="ELIGIBLE",$M157="ELIGIBLE WITH EXCEPTION",$M157="CERTIFIED HOLDING"))),"FAIL — ELIGIBILITY",IF(AND(OR($Y157="Candidate Comparison",$Y157="Committee Review",$Y157="Approved for MASR",$Y157="Referred to PEW-004",$Y157="On Watch"),$X157=0),"FAIL — EVIDENCE",IF(AND(OR($Y157="Candidate Comparison",$Y157="Committee Review",$Y157="Approved for MASR",$Y157="Referred to PEW-004",$Y157="On Watch"),OR($O157&lt;&gt;"Active",$P157&lt;&gt;"CURRENT")),"FAIL — MIAR GATE",IF(AND(OR($Y157="Approved for MASR",$Y157="Referred to PEW-004",$Y157="On Watch",$Y157="Rejected",$Y157="Closed",$Y157="Removed"),OR($AD157="",$AD157="Pending")),"FAIL — COMMITTEE DISPOSITION",IF(AND($Y157="Referred to PEW-004",OR($AF157&lt;&gt;"Yes — Refer to PEW-004",$AG157="",$AJ157="")),"FAIL — PEW REFERRAL","PASS — STAGE GATE")))))))))</x:f>
      </x:c>
      <x:c r="AA157" s="1242"/>
      <x:c r="AB157" s="1251"/>
      <x:c r="AC157" s="1257" t="str">
        <x:f>IF($B157="","",IF($AQ157&lt;&gt;"",$AQ157-$B157,TODAY()-$B157))</x:f>
      </x:c>
      <x:c r="AD157" s="1242"/>
      <x:c r="AE157" s="1251"/>
      <x:c r="AF157" s="1242"/>
      <x:c r="AG157" s="1242"/>
      <x:c r="AH157" s="1255" t="str">
        <x:f>IF($AG157="","",IFERROR(INDEX('10 Candidate Comparison'!$T$14:$T$33,MATCH($AG157,'10 Candidate Comparison'!$A$14:$A$33,0)),""))</x:f>
      </x:c>
      <x:c r="AI157" s="1252" t="str">
        <x:f>IF($AG157="","",IFERROR(INDEX('10 Candidate Comparison'!$U$14:$U$33,MATCH($AG157,'10 Candidate Comparison'!$A$14:$A$33,0)),""))</x:f>
      </x:c>
      <x:c r="AJ157" s="1252" t="str">
        <x:f>IF($AG157="","",IFERROR(INDEX('10 Candidate Comparison'!$Y$14:$Y$33,MATCH($AG157,'10 Candidate Comparison'!$A$14:$A$33,0)),""))</x:f>
      </x:c>
      <x:c r="AK157" s="1253" t="str">
        <x:f>IF($A157="","",IF($Z157="FAIL — DUPLICATE ID","DUPLICATE CANDIDATE ID",IF($Z157="FAIL — INCOMPLETE","INCOMPLETE",IF($Z157="FAIL — MASR RECORD REQUIRED","MASR RECORD REQUIRED",IF($Z157="FAIL — ELIGIBILITY","ELIGIBILITY BLOCK",IF($Z157="FAIL — EVIDENCE","EVIDENCE REQUIRED",IF($Z157="FAIL — MIAR GATE","MIAR GATE BLOCK",IF($Z157="FAIL — COMMITTEE DISPOSITION","COMMITTEE DECISION REQUIRED",IF($Z157="FAIL — PEW REFERRAL","PEW REFERRAL INCOMPLETE",IF(AND(OR($Y157="Rejected",$Y157="Closed",$Y157="Removed"),OR($AO157="",$AP157="",$AQ157="")),"CLOSURE REQUIRED",IF(AND($AB157&lt;TODAY(),NOT(OR($Y157="Rejected",$Y157="Closed",$Y157="Removed"))),"OVERDUE",IF(OR($Y157="Rejected",$Y157="Closed",$Y157="Removed"),"CLOSED","OPEN — ON TRACK"))))))))))))</x:f>
      </x:c>
      <x:c r="AL157" s="1253" t="str">
        <x:f>IF($AK157="","",IFERROR(INDEX('97 RCC Lists'!$AM$5:$AM$16,MATCH($AK157,'97 RCC Lists'!$AL$5:$AL$16,0)),"Review candidate exception"))</x:f>
      </x:c>
      <x:c r="AM157" s="1242"/>
      <x:c r="AN157" s="1242"/>
      <x:c r="AO157" s="1242"/>
      <x:c r="AP157" s="1242"/>
      <x:c r="AQ157" s="1251"/>
    </x:row>
    <x:row r="158" ht="32" customHeight="1">
      <x:c r="A158" s="1242"/>
      <x:c r="B158" s="1251"/>
      <x:c r="C158" s="1242"/>
      <x:c r="D158" s="1243" t="str">
        <x:f>IF($C158="","",IFERROR(INDEX('23 RCC-004 MASR Registry'!$C$14:$C$163,MATCH($C158,'23 RCC-004 MASR Registry'!$B$14:$B$163,0)),""))</x:f>
      </x:c>
      <x:c r="E158" s="1242"/>
      <x:c r="F158" s="1242"/>
      <x:c r="G158" s="1242"/>
      <x:c r="H158" s="1242"/>
      <x:c r="I158" s="1243" t="str">
        <x:f>IF($C158="","",IFERROR(INDEX('23 RCC-004 MASR Registry'!$G$14:$G$163,MATCH($C158,'23 RCC-004 MASR Registry'!$B$14:$B$163,0)),""))</x:f>
      </x:c>
      <x:c r="J158" s="1243" t="str">
        <x:f>IF($C158="","",IFERROR(INDEX('23 RCC-004 MASR Registry'!$H$14:$H$163,MATCH($C158,'23 RCC-004 MASR Registry'!$B$14:$B$163,0)),""))</x:f>
      </x:c>
      <x:c r="K158" s="1243" t="str">
        <x:f>IF($C158="","",IFERROR(INDEX('23 RCC-004 MASR Registry'!$D$14:$D$163,MATCH($C158,'23 RCC-004 MASR Registry'!$B$14:$B$163,0)),""))</x:f>
      </x:c>
      <x:c r="L158" s="1243" t="str">
        <x:f>IF($C158="","",IFERROR(INDEX('23 RCC-004 MASR Registry'!$E$14:$E$163,MATCH($C158,'23 RCC-004 MASR Registry'!$B$14:$B$163,0)),""))</x:f>
      </x:c>
      <x:c r="M158" s="1243" t="str">
        <x:f>IF($C158="","",IFERROR(INDEX('23 RCC-004 MASR Registry'!$X$14:$X$163,MATCH($C158,'23 RCC-004 MASR Registry'!$B$14:$B$163,0)),""))</x:f>
      </x:c>
      <x:c r="N158" s="1243" t="str">
        <x:f>IF($C158="","",IFERROR(INDEX('23 RCC-004 MASR Registry'!$Y$14:$Y$163,MATCH($C158,'23 RCC-004 MASR Registry'!$B$14:$B$163,0)),""))</x:f>
      </x:c>
      <x:c r="O158" s="1243" t="str">
        <x:f>IF($C158="","",IFERROR(INDEX('23 RCC-004 MASR Registry'!$L$14:$L$163,MATCH($C158,'23 RCC-004 MASR Registry'!$B$14:$B$163,0)),""))</x:f>
      </x:c>
      <x:c r="P158" s="1243" t="str">
        <x:f>IF($C158="","",IFERROR(INDEX('23 RCC-004 MASR Registry'!$M$14:$M$163,MATCH($C158,'23 RCC-004 MASR Registry'!$B$14:$B$163,0)),""))</x:f>
      </x:c>
      <x:c r="Q158" s="1246" t="str">
        <x:f>IF($C158="","",IFERROR(INDEX('23 RCC-004 MASR Registry'!$N$14:$N$163,MATCH($C158,'23 RCC-004 MASR Registry'!$B$14:$B$163,0)),""))</x:f>
      </x:c>
      <x:c r="R158" s="1246" t="str">
        <x:f>IF($C158="","",IFERROR(INDEX('23 RCC-004 MASR Registry'!$O$14:$O$163,MATCH($C158,'23 RCC-004 MASR Registry'!$B$14:$B$163,0)),""))</x:f>
      </x:c>
      <x:c r="S158" s="1246" t="str">
        <x:f>IF($C158="","",IFERROR(INDEX('23 RCC-004 MASR Registry'!$W$14:$W$163,MATCH($C158,'23 RCC-004 MASR Registry'!$B$14:$B$163,0)),""))</x:f>
      </x:c>
      <x:c r="T158" s="1246" t="str">
        <x:f>IF($C158="","",IFERROR(INDEX('23 RCC-004 MASR Registry'!$T$14:$T$163,MATCH($C158,'23 RCC-004 MASR Registry'!$B$14:$B$163,0)),""))</x:f>
      </x:c>
      <x:c r="U158" s="1247" t="str">
        <x:f>IF($C158="","",IFERROR(INDEX('23 RCC-004 MASR Registry'!$U$14:$U$163,MATCH($C158,'23 RCC-004 MASR Registry'!$B$14:$B$163,0)),""))</x:f>
      </x:c>
      <x:c r="V158" s="1243" t="str">
        <x:f>IF($C158="","",IFERROR(INDEX('23 RCC-004 MASR Registry'!$V$14:$V$163,MATCH($C158,'23 RCC-004 MASR Registry'!$B$14:$B$163,0)),""))</x:f>
      </x:c>
      <x:c r="W158" s="1242"/>
      <x:c r="X158" s="1247" t="str">
        <x:f>IF($C158="","",COUNTIF('18 RCC-002 Evidence Ledger'!$E$14:$E$213,$C158))</x:f>
      </x:c>
      <x:c r="Y158" s="1242"/>
      <x:c r="Z158" s="1244" t="str">
        <x:f>IF($A158="","",IF(COUNTIF($A$14:$A$213,$A158)&gt;1,"FAIL — DUPLICATE ID",IF(OR($B158="",$C158="",$E158="",$H158="",$Y158="",$AA158="",$AB158=""),"FAIL — INCOMPLETE",IF(AND(OR($Y158="MIAR Review",$Y158="Eligibility Review",$Y158="Candidate Comparison",$Y158="Committee Review",$Y158="Approved for MASR",$Y158="Referred to PEW-004",$Y158="On Watch",$Y158="Rejected",$Y158="Closed",$Y158="Removed"),$K158=""),"FAIL — MASR RECORD REQUIRED",IF(AND(OR($Y158="Eligibility Review",$Y158="Candidate Comparison",$Y158="Committee Review",$Y158="Approved for MASR",$Y158="Referred to PEW-004",$Y158="On Watch"),NOT(OR($M158="ELIGIBLE",$M158="ELIGIBLE WITH EXCEPTION",$M158="CERTIFIED HOLDING"))),"FAIL — ELIGIBILITY",IF(AND(OR($Y158="Candidate Comparison",$Y158="Committee Review",$Y158="Approved for MASR",$Y158="Referred to PEW-004",$Y158="On Watch"),$X158=0),"FAIL — EVIDENCE",IF(AND(OR($Y158="Candidate Comparison",$Y158="Committee Review",$Y158="Approved for MASR",$Y158="Referred to PEW-004",$Y158="On Watch"),OR($O158&lt;&gt;"Active",$P158&lt;&gt;"CURRENT")),"FAIL — MIAR GATE",IF(AND(OR($Y158="Approved for MASR",$Y158="Referred to PEW-004",$Y158="On Watch",$Y158="Rejected",$Y158="Closed",$Y158="Removed"),OR($AD158="",$AD158="Pending")),"FAIL — COMMITTEE DISPOSITION",IF(AND($Y158="Referred to PEW-004",OR($AF158&lt;&gt;"Yes — Refer to PEW-004",$AG158="",$AJ158="")),"FAIL — PEW REFERRAL","PASS — STAGE GATE")))))))))</x:f>
      </x:c>
      <x:c r="AA158" s="1242"/>
      <x:c r="AB158" s="1251"/>
      <x:c r="AC158" s="1250" t="str">
        <x:f>IF($B158="","",IF($AQ158&lt;&gt;"",$AQ158-$B158,TODAY()-$B158))</x:f>
      </x:c>
      <x:c r="AD158" s="1242"/>
      <x:c r="AE158" s="1251"/>
      <x:c r="AF158" s="1242"/>
      <x:c r="AG158" s="1242"/>
      <x:c r="AH158" s="1246" t="str">
        <x:f>IF($AG158="","",IFERROR(INDEX('10 Candidate Comparison'!$T$14:$T$33,MATCH($AG158,'10 Candidate Comparison'!$A$14:$A$33,0)),""))</x:f>
      </x:c>
      <x:c r="AI158" s="1243" t="str">
        <x:f>IF($AG158="","",IFERROR(INDEX('10 Candidate Comparison'!$U$14:$U$33,MATCH($AG158,'10 Candidate Comparison'!$A$14:$A$33,0)),""))</x:f>
      </x:c>
      <x:c r="AJ158" s="1243" t="str">
        <x:f>IF($AG158="","",IFERROR(INDEX('10 Candidate Comparison'!$Y$14:$Y$33,MATCH($AG158,'10 Candidate Comparison'!$A$14:$A$33,0)),""))</x:f>
      </x:c>
      <x:c r="AK158" s="1244" t="str">
        <x:f>IF($A158="","",IF($Z158="FAIL — DUPLICATE ID","DUPLICATE CANDIDATE ID",IF($Z158="FAIL — INCOMPLETE","INCOMPLETE",IF($Z158="FAIL — MASR RECORD REQUIRED","MASR RECORD REQUIRED",IF($Z158="FAIL — ELIGIBILITY","ELIGIBILITY BLOCK",IF($Z158="FAIL — EVIDENCE","EVIDENCE REQUIRED",IF($Z158="FAIL — MIAR GATE","MIAR GATE BLOCK",IF($Z158="FAIL — COMMITTEE DISPOSITION","COMMITTEE DECISION REQUIRED",IF($Z158="FAIL — PEW REFERRAL","PEW REFERRAL INCOMPLETE",IF(AND(OR($Y158="Rejected",$Y158="Closed",$Y158="Removed"),OR($AO158="",$AP158="",$AQ158="")),"CLOSURE REQUIRED",IF(AND($AB158&lt;TODAY(),NOT(OR($Y158="Rejected",$Y158="Closed",$Y158="Removed"))),"OVERDUE",IF(OR($Y158="Rejected",$Y158="Closed",$Y158="Removed"),"CLOSED","OPEN — ON TRACK"))))))))))))</x:f>
      </x:c>
      <x:c r="AL158" s="1244" t="str">
        <x:f>IF($AK158="","",IFERROR(INDEX('97 RCC Lists'!$AM$5:$AM$16,MATCH($AK158,'97 RCC Lists'!$AL$5:$AL$16,0)),"Review candidate exception"))</x:f>
      </x:c>
      <x:c r="AM158" s="1242"/>
      <x:c r="AN158" s="1242"/>
      <x:c r="AO158" s="1242"/>
      <x:c r="AP158" s="1242"/>
      <x:c r="AQ158" s="1251"/>
    </x:row>
    <x:row r="159" ht="32" customHeight="1">
      <x:c r="A159" s="1242"/>
      <x:c r="B159" s="1251"/>
      <x:c r="C159" s="1242"/>
      <x:c r="D159" s="1252" t="str">
        <x:f>IF($C159="","",IFERROR(INDEX('23 RCC-004 MASR Registry'!$C$14:$C$163,MATCH($C159,'23 RCC-004 MASR Registry'!$B$14:$B$163,0)),""))</x:f>
      </x:c>
      <x:c r="E159" s="1242"/>
      <x:c r="F159" s="1242"/>
      <x:c r="G159" s="1242"/>
      <x:c r="H159" s="1242"/>
      <x:c r="I159" s="1252" t="str">
        <x:f>IF($C159="","",IFERROR(INDEX('23 RCC-004 MASR Registry'!$G$14:$G$163,MATCH($C159,'23 RCC-004 MASR Registry'!$B$14:$B$163,0)),""))</x:f>
      </x:c>
      <x:c r="J159" s="1252" t="str">
        <x:f>IF($C159="","",IFERROR(INDEX('23 RCC-004 MASR Registry'!$H$14:$H$163,MATCH($C159,'23 RCC-004 MASR Registry'!$B$14:$B$163,0)),""))</x:f>
      </x:c>
      <x:c r="K159" s="1252" t="str">
        <x:f>IF($C159="","",IFERROR(INDEX('23 RCC-004 MASR Registry'!$D$14:$D$163,MATCH($C159,'23 RCC-004 MASR Registry'!$B$14:$B$163,0)),""))</x:f>
      </x:c>
      <x:c r="L159" s="1252" t="str">
        <x:f>IF($C159="","",IFERROR(INDEX('23 RCC-004 MASR Registry'!$E$14:$E$163,MATCH($C159,'23 RCC-004 MASR Registry'!$B$14:$B$163,0)),""))</x:f>
      </x:c>
      <x:c r="M159" s="1252" t="str">
        <x:f>IF($C159="","",IFERROR(INDEX('23 RCC-004 MASR Registry'!$X$14:$X$163,MATCH($C159,'23 RCC-004 MASR Registry'!$B$14:$B$163,0)),""))</x:f>
      </x:c>
      <x:c r="N159" s="1252" t="str">
        <x:f>IF($C159="","",IFERROR(INDEX('23 RCC-004 MASR Registry'!$Y$14:$Y$163,MATCH($C159,'23 RCC-004 MASR Registry'!$B$14:$B$163,0)),""))</x:f>
      </x:c>
      <x:c r="O159" s="1252" t="str">
        <x:f>IF($C159="","",IFERROR(INDEX('23 RCC-004 MASR Registry'!$L$14:$L$163,MATCH($C159,'23 RCC-004 MASR Registry'!$B$14:$B$163,0)),""))</x:f>
      </x:c>
      <x:c r="P159" s="1252" t="str">
        <x:f>IF($C159="","",IFERROR(INDEX('23 RCC-004 MASR Registry'!$M$14:$M$163,MATCH($C159,'23 RCC-004 MASR Registry'!$B$14:$B$163,0)),""))</x:f>
      </x:c>
      <x:c r="Q159" s="1255" t="str">
        <x:f>IF($C159="","",IFERROR(INDEX('23 RCC-004 MASR Registry'!$N$14:$N$163,MATCH($C159,'23 RCC-004 MASR Registry'!$B$14:$B$163,0)),""))</x:f>
      </x:c>
      <x:c r="R159" s="1255" t="str">
        <x:f>IF($C159="","",IFERROR(INDEX('23 RCC-004 MASR Registry'!$O$14:$O$163,MATCH($C159,'23 RCC-004 MASR Registry'!$B$14:$B$163,0)),""))</x:f>
      </x:c>
      <x:c r="S159" s="1255" t="str">
        <x:f>IF($C159="","",IFERROR(INDEX('23 RCC-004 MASR Registry'!$W$14:$W$163,MATCH($C159,'23 RCC-004 MASR Registry'!$B$14:$B$163,0)),""))</x:f>
      </x:c>
      <x:c r="T159" s="1255" t="str">
        <x:f>IF($C159="","",IFERROR(INDEX('23 RCC-004 MASR Registry'!$T$14:$T$163,MATCH($C159,'23 RCC-004 MASR Registry'!$B$14:$B$163,0)),""))</x:f>
      </x:c>
      <x:c r="U159" s="1256" t="str">
        <x:f>IF($C159="","",IFERROR(INDEX('23 RCC-004 MASR Registry'!$U$14:$U$163,MATCH($C159,'23 RCC-004 MASR Registry'!$B$14:$B$163,0)),""))</x:f>
      </x:c>
      <x:c r="V159" s="1252" t="str">
        <x:f>IF($C159="","",IFERROR(INDEX('23 RCC-004 MASR Registry'!$V$14:$V$163,MATCH($C159,'23 RCC-004 MASR Registry'!$B$14:$B$163,0)),""))</x:f>
      </x:c>
      <x:c r="W159" s="1242"/>
      <x:c r="X159" s="1256" t="str">
        <x:f>IF($C159="","",COUNTIF('18 RCC-002 Evidence Ledger'!$E$14:$E$213,$C159))</x:f>
      </x:c>
      <x:c r="Y159" s="1242"/>
      <x:c r="Z159" s="1253" t="str">
        <x:f>IF($A159="","",IF(COUNTIF($A$14:$A$213,$A159)&gt;1,"FAIL — DUPLICATE ID",IF(OR($B159="",$C159="",$E159="",$H159="",$Y159="",$AA159="",$AB159=""),"FAIL — INCOMPLETE",IF(AND(OR($Y159="MIAR Review",$Y159="Eligibility Review",$Y159="Candidate Comparison",$Y159="Committee Review",$Y159="Approved for MASR",$Y159="Referred to PEW-004",$Y159="On Watch",$Y159="Rejected",$Y159="Closed",$Y159="Removed"),$K159=""),"FAIL — MASR RECORD REQUIRED",IF(AND(OR($Y159="Eligibility Review",$Y159="Candidate Comparison",$Y159="Committee Review",$Y159="Approved for MASR",$Y159="Referred to PEW-004",$Y159="On Watch"),NOT(OR($M159="ELIGIBLE",$M159="ELIGIBLE WITH EXCEPTION",$M159="CERTIFIED HOLDING"))),"FAIL — ELIGIBILITY",IF(AND(OR($Y159="Candidate Comparison",$Y159="Committee Review",$Y159="Approved for MASR",$Y159="Referred to PEW-004",$Y159="On Watch"),$X159=0),"FAIL — EVIDENCE",IF(AND(OR($Y159="Candidate Comparison",$Y159="Committee Review",$Y159="Approved for MASR",$Y159="Referred to PEW-004",$Y159="On Watch"),OR($O159&lt;&gt;"Active",$P159&lt;&gt;"CURRENT")),"FAIL — MIAR GATE",IF(AND(OR($Y159="Approved for MASR",$Y159="Referred to PEW-004",$Y159="On Watch",$Y159="Rejected",$Y159="Closed",$Y159="Removed"),OR($AD159="",$AD159="Pending")),"FAIL — COMMITTEE DISPOSITION",IF(AND($Y159="Referred to PEW-004",OR($AF159&lt;&gt;"Yes — Refer to PEW-004",$AG159="",$AJ159="")),"FAIL — PEW REFERRAL","PASS — STAGE GATE")))))))))</x:f>
      </x:c>
      <x:c r="AA159" s="1242"/>
      <x:c r="AB159" s="1251"/>
      <x:c r="AC159" s="1257" t="str">
        <x:f>IF($B159="","",IF($AQ159&lt;&gt;"",$AQ159-$B159,TODAY()-$B159))</x:f>
      </x:c>
      <x:c r="AD159" s="1242"/>
      <x:c r="AE159" s="1251"/>
      <x:c r="AF159" s="1242"/>
      <x:c r="AG159" s="1242"/>
      <x:c r="AH159" s="1255" t="str">
        <x:f>IF($AG159="","",IFERROR(INDEX('10 Candidate Comparison'!$T$14:$T$33,MATCH($AG159,'10 Candidate Comparison'!$A$14:$A$33,0)),""))</x:f>
      </x:c>
      <x:c r="AI159" s="1252" t="str">
        <x:f>IF($AG159="","",IFERROR(INDEX('10 Candidate Comparison'!$U$14:$U$33,MATCH($AG159,'10 Candidate Comparison'!$A$14:$A$33,0)),""))</x:f>
      </x:c>
      <x:c r="AJ159" s="1252" t="str">
        <x:f>IF($AG159="","",IFERROR(INDEX('10 Candidate Comparison'!$Y$14:$Y$33,MATCH($AG159,'10 Candidate Comparison'!$A$14:$A$33,0)),""))</x:f>
      </x:c>
      <x:c r="AK159" s="1253" t="str">
        <x:f>IF($A159="","",IF($Z159="FAIL — DUPLICATE ID","DUPLICATE CANDIDATE ID",IF($Z159="FAIL — INCOMPLETE","INCOMPLETE",IF($Z159="FAIL — MASR RECORD REQUIRED","MASR RECORD REQUIRED",IF($Z159="FAIL — ELIGIBILITY","ELIGIBILITY BLOCK",IF($Z159="FAIL — EVIDENCE","EVIDENCE REQUIRED",IF($Z159="FAIL — MIAR GATE","MIAR GATE BLOCK",IF($Z159="FAIL — COMMITTEE DISPOSITION","COMMITTEE DECISION REQUIRED",IF($Z159="FAIL — PEW REFERRAL","PEW REFERRAL INCOMPLETE",IF(AND(OR($Y159="Rejected",$Y159="Closed",$Y159="Removed"),OR($AO159="",$AP159="",$AQ159="")),"CLOSURE REQUIRED",IF(AND($AB159&lt;TODAY(),NOT(OR($Y159="Rejected",$Y159="Closed",$Y159="Removed"))),"OVERDUE",IF(OR($Y159="Rejected",$Y159="Closed",$Y159="Removed"),"CLOSED","OPEN — ON TRACK"))))))))))))</x:f>
      </x:c>
      <x:c r="AL159" s="1253" t="str">
        <x:f>IF($AK159="","",IFERROR(INDEX('97 RCC Lists'!$AM$5:$AM$16,MATCH($AK159,'97 RCC Lists'!$AL$5:$AL$16,0)),"Review candidate exception"))</x:f>
      </x:c>
      <x:c r="AM159" s="1242"/>
      <x:c r="AN159" s="1242"/>
      <x:c r="AO159" s="1242"/>
      <x:c r="AP159" s="1242"/>
      <x:c r="AQ159" s="1251"/>
    </x:row>
    <x:row r="160" ht="32" customHeight="1">
      <x:c r="A160" s="1242"/>
      <x:c r="B160" s="1251"/>
      <x:c r="C160" s="1242"/>
      <x:c r="D160" s="1243" t="str">
        <x:f>IF($C160="","",IFERROR(INDEX('23 RCC-004 MASR Registry'!$C$14:$C$163,MATCH($C160,'23 RCC-004 MASR Registry'!$B$14:$B$163,0)),""))</x:f>
      </x:c>
      <x:c r="E160" s="1242"/>
      <x:c r="F160" s="1242"/>
      <x:c r="G160" s="1242"/>
      <x:c r="H160" s="1242"/>
      <x:c r="I160" s="1243" t="str">
        <x:f>IF($C160="","",IFERROR(INDEX('23 RCC-004 MASR Registry'!$G$14:$G$163,MATCH($C160,'23 RCC-004 MASR Registry'!$B$14:$B$163,0)),""))</x:f>
      </x:c>
      <x:c r="J160" s="1243" t="str">
        <x:f>IF($C160="","",IFERROR(INDEX('23 RCC-004 MASR Registry'!$H$14:$H$163,MATCH($C160,'23 RCC-004 MASR Registry'!$B$14:$B$163,0)),""))</x:f>
      </x:c>
      <x:c r="K160" s="1243" t="str">
        <x:f>IF($C160="","",IFERROR(INDEX('23 RCC-004 MASR Registry'!$D$14:$D$163,MATCH($C160,'23 RCC-004 MASR Registry'!$B$14:$B$163,0)),""))</x:f>
      </x:c>
      <x:c r="L160" s="1243" t="str">
        <x:f>IF($C160="","",IFERROR(INDEX('23 RCC-004 MASR Registry'!$E$14:$E$163,MATCH($C160,'23 RCC-004 MASR Registry'!$B$14:$B$163,0)),""))</x:f>
      </x:c>
      <x:c r="M160" s="1243" t="str">
        <x:f>IF($C160="","",IFERROR(INDEX('23 RCC-004 MASR Registry'!$X$14:$X$163,MATCH($C160,'23 RCC-004 MASR Registry'!$B$14:$B$163,0)),""))</x:f>
      </x:c>
      <x:c r="N160" s="1243" t="str">
        <x:f>IF($C160="","",IFERROR(INDEX('23 RCC-004 MASR Registry'!$Y$14:$Y$163,MATCH($C160,'23 RCC-004 MASR Registry'!$B$14:$B$163,0)),""))</x:f>
      </x:c>
      <x:c r="O160" s="1243" t="str">
        <x:f>IF($C160="","",IFERROR(INDEX('23 RCC-004 MASR Registry'!$L$14:$L$163,MATCH($C160,'23 RCC-004 MASR Registry'!$B$14:$B$163,0)),""))</x:f>
      </x:c>
      <x:c r="P160" s="1243" t="str">
        <x:f>IF($C160="","",IFERROR(INDEX('23 RCC-004 MASR Registry'!$M$14:$M$163,MATCH($C160,'23 RCC-004 MASR Registry'!$B$14:$B$163,0)),""))</x:f>
      </x:c>
      <x:c r="Q160" s="1246" t="str">
        <x:f>IF($C160="","",IFERROR(INDEX('23 RCC-004 MASR Registry'!$N$14:$N$163,MATCH($C160,'23 RCC-004 MASR Registry'!$B$14:$B$163,0)),""))</x:f>
      </x:c>
      <x:c r="R160" s="1246" t="str">
        <x:f>IF($C160="","",IFERROR(INDEX('23 RCC-004 MASR Registry'!$O$14:$O$163,MATCH($C160,'23 RCC-004 MASR Registry'!$B$14:$B$163,0)),""))</x:f>
      </x:c>
      <x:c r="S160" s="1246" t="str">
        <x:f>IF($C160="","",IFERROR(INDEX('23 RCC-004 MASR Registry'!$W$14:$W$163,MATCH($C160,'23 RCC-004 MASR Registry'!$B$14:$B$163,0)),""))</x:f>
      </x:c>
      <x:c r="T160" s="1246" t="str">
        <x:f>IF($C160="","",IFERROR(INDEX('23 RCC-004 MASR Registry'!$T$14:$T$163,MATCH($C160,'23 RCC-004 MASR Registry'!$B$14:$B$163,0)),""))</x:f>
      </x:c>
      <x:c r="U160" s="1247" t="str">
        <x:f>IF($C160="","",IFERROR(INDEX('23 RCC-004 MASR Registry'!$U$14:$U$163,MATCH($C160,'23 RCC-004 MASR Registry'!$B$14:$B$163,0)),""))</x:f>
      </x:c>
      <x:c r="V160" s="1243" t="str">
        <x:f>IF($C160="","",IFERROR(INDEX('23 RCC-004 MASR Registry'!$V$14:$V$163,MATCH($C160,'23 RCC-004 MASR Registry'!$B$14:$B$163,0)),""))</x:f>
      </x:c>
      <x:c r="W160" s="1242"/>
      <x:c r="X160" s="1247" t="str">
        <x:f>IF($C160="","",COUNTIF('18 RCC-002 Evidence Ledger'!$E$14:$E$213,$C160))</x:f>
      </x:c>
      <x:c r="Y160" s="1242"/>
      <x:c r="Z160" s="1244" t="str">
        <x:f>IF($A160="","",IF(COUNTIF($A$14:$A$213,$A160)&gt;1,"FAIL — DUPLICATE ID",IF(OR($B160="",$C160="",$E160="",$H160="",$Y160="",$AA160="",$AB160=""),"FAIL — INCOMPLETE",IF(AND(OR($Y160="MIAR Review",$Y160="Eligibility Review",$Y160="Candidate Comparison",$Y160="Committee Review",$Y160="Approved for MASR",$Y160="Referred to PEW-004",$Y160="On Watch",$Y160="Rejected",$Y160="Closed",$Y160="Removed"),$K160=""),"FAIL — MASR RECORD REQUIRED",IF(AND(OR($Y160="Eligibility Review",$Y160="Candidate Comparison",$Y160="Committee Review",$Y160="Approved for MASR",$Y160="Referred to PEW-004",$Y160="On Watch"),NOT(OR($M160="ELIGIBLE",$M160="ELIGIBLE WITH EXCEPTION",$M160="CERTIFIED HOLDING"))),"FAIL — ELIGIBILITY",IF(AND(OR($Y160="Candidate Comparison",$Y160="Committee Review",$Y160="Approved for MASR",$Y160="Referred to PEW-004",$Y160="On Watch"),$X160=0),"FAIL — EVIDENCE",IF(AND(OR($Y160="Candidate Comparison",$Y160="Committee Review",$Y160="Approved for MASR",$Y160="Referred to PEW-004",$Y160="On Watch"),OR($O160&lt;&gt;"Active",$P160&lt;&gt;"CURRENT")),"FAIL — MIAR GATE",IF(AND(OR($Y160="Approved for MASR",$Y160="Referred to PEW-004",$Y160="On Watch",$Y160="Rejected",$Y160="Closed",$Y160="Removed"),OR($AD160="",$AD160="Pending")),"FAIL — COMMITTEE DISPOSITION",IF(AND($Y160="Referred to PEW-004",OR($AF160&lt;&gt;"Yes — Refer to PEW-004",$AG160="",$AJ160="")),"FAIL — PEW REFERRAL","PASS — STAGE GATE")))))))))</x:f>
      </x:c>
      <x:c r="AA160" s="1242"/>
      <x:c r="AB160" s="1251"/>
      <x:c r="AC160" s="1250" t="str">
        <x:f>IF($B160="","",IF($AQ160&lt;&gt;"",$AQ160-$B160,TODAY()-$B160))</x:f>
      </x:c>
      <x:c r="AD160" s="1242"/>
      <x:c r="AE160" s="1251"/>
      <x:c r="AF160" s="1242"/>
      <x:c r="AG160" s="1242"/>
      <x:c r="AH160" s="1246" t="str">
        <x:f>IF($AG160="","",IFERROR(INDEX('10 Candidate Comparison'!$T$14:$T$33,MATCH($AG160,'10 Candidate Comparison'!$A$14:$A$33,0)),""))</x:f>
      </x:c>
      <x:c r="AI160" s="1243" t="str">
        <x:f>IF($AG160="","",IFERROR(INDEX('10 Candidate Comparison'!$U$14:$U$33,MATCH($AG160,'10 Candidate Comparison'!$A$14:$A$33,0)),""))</x:f>
      </x:c>
      <x:c r="AJ160" s="1243" t="str">
        <x:f>IF($AG160="","",IFERROR(INDEX('10 Candidate Comparison'!$Y$14:$Y$33,MATCH($AG160,'10 Candidate Comparison'!$A$14:$A$33,0)),""))</x:f>
      </x:c>
      <x:c r="AK160" s="1244" t="str">
        <x:f>IF($A160="","",IF($Z160="FAIL — DUPLICATE ID","DUPLICATE CANDIDATE ID",IF($Z160="FAIL — INCOMPLETE","INCOMPLETE",IF($Z160="FAIL — MASR RECORD REQUIRED","MASR RECORD REQUIRED",IF($Z160="FAIL — ELIGIBILITY","ELIGIBILITY BLOCK",IF($Z160="FAIL — EVIDENCE","EVIDENCE REQUIRED",IF($Z160="FAIL — MIAR GATE","MIAR GATE BLOCK",IF($Z160="FAIL — COMMITTEE DISPOSITION","COMMITTEE DECISION REQUIRED",IF($Z160="FAIL — PEW REFERRAL","PEW REFERRAL INCOMPLETE",IF(AND(OR($Y160="Rejected",$Y160="Closed",$Y160="Removed"),OR($AO160="",$AP160="",$AQ160="")),"CLOSURE REQUIRED",IF(AND($AB160&lt;TODAY(),NOT(OR($Y160="Rejected",$Y160="Closed",$Y160="Removed"))),"OVERDUE",IF(OR($Y160="Rejected",$Y160="Closed",$Y160="Removed"),"CLOSED","OPEN — ON TRACK"))))))))))))</x:f>
      </x:c>
      <x:c r="AL160" s="1244" t="str">
        <x:f>IF($AK160="","",IFERROR(INDEX('97 RCC Lists'!$AM$5:$AM$16,MATCH($AK160,'97 RCC Lists'!$AL$5:$AL$16,0)),"Review candidate exception"))</x:f>
      </x:c>
      <x:c r="AM160" s="1242"/>
      <x:c r="AN160" s="1242"/>
      <x:c r="AO160" s="1242"/>
      <x:c r="AP160" s="1242"/>
      <x:c r="AQ160" s="1251"/>
    </x:row>
    <x:row r="161" ht="32" customHeight="1">
      <x:c r="A161" s="1242"/>
      <x:c r="B161" s="1251"/>
      <x:c r="C161" s="1242"/>
      <x:c r="D161" s="1252" t="str">
        <x:f>IF($C161="","",IFERROR(INDEX('23 RCC-004 MASR Registry'!$C$14:$C$163,MATCH($C161,'23 RCC-004 MASR Registry'!$B$14:$B$163,0)),""))</x:f>
      </x:c>
      <x:c r="E161" s="1242"/>
      <x:c r="F161" s="1242"/>
      <x:c r="G161" s="1242"/>
      <x:c r="H161" s="1242"/>
      <x:c r="I161" s="1252" t="str">
        <x:f>IF($C161="","",IFERROR(INDEX('23 RCC-004 MASR Registry'!$G$14:$G$163,MATCH($C161,'23 RCC-004 MASR Registry'!$B$14:$B$163,0)),""))</x:f>
      </x:c>
      <x:c r="J161" s="1252" t="str">
        <x:f>IF($C161="","",IFERROR(INDEX('23 RCC-004 MASR Registry'!$H$14:$H$163,MATCH($C161,'23 RCC-004 MASR Registry'!$B$14:$B$163,0)),""))</x:f>
      </x:c>
      <x:c r="K161" s="1252" t="str">
        <x:f>IF($C161="","",IFERROR(INDEX('23 RCC-004 MASR Registry'!$D$14:$D$163,MATCH($C161,'23 RCC-004 MASR Registry'!$B$14:$B$163,0)),""))</x:f>
      </x:c>
      <x:c r="L161" s="1252" t="str">
        <x:f>IF($C161="","",IFERROR(INDEX('23 RCC-004 MASR Registry'!$E$14:$E$163,MATCH($C161,'23 RCC-004 MASR Registry'!$B$14:$B$163,0)),""))</x:f>
      </x:c>
      <x:c r="M161" s="1252" t="str">
        <x:f>IF($C161="","",IFERROR(INDEX('23 RCC-004 MASR Registry'!$X$14:$X$163,MATCH($C161,'23 RCC-004 MASR Registry'!$B$14:$B$163,0)),""))</x:f>
      </x:c>
      <x:c r="N161" s="1252" t="str">
        <x:f>IF($C161="","",IFERROR(INDEX('23 RCC-004 MASR Registry'!$Y$14:$Y$163,MATCH($C161,'23 RCC-004 MASR Registry'!$B$14:$B$163,0)),""))</x:f>
      </x:c>
      <x:c r="O161" s="1252" t="str">
        <x:f>IF($C161="","",IFERROR(INDEX('23 RCC-004 MASR Registry'!$L$14:$L$163,MATCH($C161,'23 RCC-004 MASR Registry'!$B$14:$B$163,0)),""))</x:f>
      </x:c>
      <x:c r="P161" s="1252" t="str">
        <x:f>IF($C161="","",IFERROR(INDEX('23 RCC-004 MASR Registry'!$M$14:$M$163,MATCH($C161,'23 RCC-004 MASR Registry'!$B$14:$B$163,0)),""))</x:f>
      </x:c>
      <x:c r="Q161" s="1255" t="str">
        <x:f>IF($C161="","",IFERROR(INDEX('23 RCC-004 MASR Registry'!$N$14:$N$163,MATCH($C161,'23 RCC-004 MASR Registry'!$B$14:$B$163,0)),""))</x:f>
      </x:c>
      <x:c r="R161" s="1255" t="str">
        <x:f>IF($C161="","",IFERROR(INDEX('23 RCC-004 MASR Registry'!$O$14:$O$163,MATCH($C161,'23 RCC-004 MASR Registry'!$B$14:$B$163,0)),""))</x:f>
      </x:c>
      <x:c r="S161" s="1255" t="str">
        <x:f>IF($C161="","",IFERROR(INDEX('23 RCC-004 MASR Registry'!$W$14:$W$163,MATCH($C161,'23 RCC-004 MASR Registry'!$B$14:$B$163,0)),""))</x:f>
      </x:c>
      <x:c r="T161" s="1255" t="str">
        <x:f>IF($C161="","",IFERROR(INDEX('23 RCC-004 MASR Registry'!$T$14:$T$163,MATCH($C161,'23 RCC-004 MASR Registry'!$B$14:$B$163,0)),""))</x:f>
      </x:c>
      <x:c r="U161" s="1256" t="str">
        <x:f>IF($C161="","",IFERROR(INDEX('23 RCC-004 MASR Registry'!$U$14:$U$163,MATCH($C161,'23 RCC-004 MASR Registry'!$B$14:$B$163,0)),""))</x:f>
      </x:c>
      <x:c r="V161" s="1252" t="str">
        <x:f>IF($C161="","",IFERROR(INDEX('23 RCC-004 MASR Registry'!$V$14:$V$163,MATCH($C161,'23 RCC-004 MASR Registry'!$B$14:$B$163,0)),""))</x:f>
      </x:c>
      <x:c r="W161" s="1242"/>
      <x:c r="X161" s="1256" t="str">
        <x:f>IF($C161="","",COUNTIF('18 RCC-002 Evidence Ledger'!$E$14:$E$213,$C161))</x:f>
      </x:c>
      <x:c r="Y161" s="1242"/>
      <x:c r="Z161" s="1253" t="str">
        <x:f>IF($A161="","",IF(COUNTIF($A$14:$A$213,$A161)&gt;1,"FAIL — DUPLICATE ID",IF(OR($B161="",$C161="",$E161="",$H161="",$Y161="",$AA161="",$AB161=""),"FAIL — INCOMPLETE",IF(AND(OR($Y161="MIAR Review",$Y161="Eligibility Review",$Y161="Candidate Comparison",$Y161="Committee Review",$Y161="Approved for MASR",$Y161="Referred to PEW-004",$Y161="On Watch",$Y161="Rejected",$Y161="Closed",$Y161="Removed"),$K161=""),"FAIL — MASR RECORD REQUIRED",IF(AND(OR($Y161="Eligibility Review",$Y161="Candidate Comparison",$Y161="Committee Review",$Y161="Approved for MASR",$Y161="Referred to PEW-004",$Y161="On Watch"),NOT(OR($M161="ELIGIBLE",$M161="ELIGIBLE WITH EXCEPTION",$M161="CERTIFIED HOLDING"))),"FAIL — ELIGIBILITY",IF(AND(OR($Y161="Candidate Comparison",$Y161="Committee Review",$Y161="Approved for MASR",$Y161="Referred to PEW-004",$Y161="On Watch"),$X161=0),"FAIL — EVIDENCE",IF(AND(OR($Y161="Candidate Comparison",$Y161="Committee Review",$Y161="Approved for MASR",$Y161="Referred to PEW-004",$Y161="On Watch"),OR($O161&lt;&gt;"Active",$P161&lt;&gt;"CURRENT")),"FAIL — MIAR GATE",IF(AND(OR($Y161="Approved for MASR",$Y161="Referred to PEW-004",$Y161="On Watch",$Y161="Rejected",$Y161="Closed",$Y161="Removed"),OR($AD161="",$AD161="Pending")),"FAIL — COMMITTEE DISPOSITION",IF(AND($Y161="Referred to PEW-004",OR($AF161&lt;&gt;"Yes — Refer to PEW-004",$AG161="",$AJ161="")),"FAIL — PEW REFERRAL","PASS — STAGE GATE")))))))))</x:f>
      </x:c>
      <x:c r="AA161" s="1242"/>
      <x:c r="AB161" s="1251"/>
      <x:c r="AC161" s="1257" t="str">
        <x:f>IF($B161="","",IF($AQ161&lt;&gt;"",$AQ161-$B161,TODAY()-$B161))</x:f>
      </x:c>
      <x:c r="AD161" s="1242"/>
      <x:c r="AE161" s="1251"/>
      <x:c r="AF161" s="1242"/>
      <x:c r="AG161" s="1242"/>
      <x:c r="AH161" s="1255" t="str">
        <x:f>IF($AG161="","",IFERROR(INDEX('10 Candidate Comparison'!$T$14:$T$33,MATCH($AG161,'10 Candidate Comparison'!$A$14:$A$33,0)),""))</x:f>
      </x:c>
      <x:c r="AI161" s="1252" t="str">
        <x:f>IF($AG161="","",IFERROR(INDEX('10 Candidate Comparison'!$U$14:$U$33,MATCH($AG161,'10 Candidate Comparison'!$A$14:$A$33,0)),""))</x:f>
      </x:c>
      <x:c r="AJ161" s="1252" t="str">
        <x:f>IF($AG161="","",IFERROR(INDEX('10 Candidate Comparison'!$Y$14:$Y$33,MATCH($AG161,'10 Candidate Comparison'!$A$14:$A$33,0)),""))</x:f>
      </x:c>
      <x:c r="AK161" s="1253" t="str">
        <x:f>IF($A161="","",IF($Z161="FAIL — DUPLICATE ID","DUPLICATE CANDIDATE ID",IF($Z161="FAIL — INCOMPLETE","INCOMPLETE",IF($Z161="FAIL — MASR RECORD REQUIRED","MASR RECORD REQUIRED",IF($Z161="FAIL — ELIGIBILITY","ELIGIBILITY BLOCK",IF($Z161="FAIL — EVIDENCE","EVIDENCE REQUIRED",IF($Z161="FAIL — MIAR GATE","MIAR GATE BLOCK",IF($Z161="FAIL — COMMITTEE DISPOSITION","COMMITTEE DECISION REQUIRED",IF($Z161="FAIL — PEW REFERRAL","PEW REFERRAL INCOMPLETE",IF(AND(OR($Y161="Rejected",$Y161="Closed",$Y161="Removed"),OR($AO161="",$AP161="",$AQ161="")),"CLOSURE REQUIRED",IF(AND($AB161&lt;TODAY(),NOT(OR($Y161="Rejected",$Y161="Closed",$Y161="Removed"))),"OVERDUE",IF(OR($Y161="Rejected",$Y161="Closed",$Y161="Removed"),"CLOSED","OPEN — ON TRACK"))))))))))))</x:f>
      </x:c>
      <x:c r="AL161" s="1253" t="str">
        <x:f>IF($AK161="","",IFERROR(INDEX('97 RCC Lists'!$AM$5:$AM$16,MATCH($AK161,'97 RCC Lists'!$AL$5:$AL$16,0)),"Review candidate exception"))</x:f>
      </x:c>
      <x:c r="AM161" s="1242"/>
      <x:c r="AN161" s="1242"/>
      <x:c r="AO161" s="1242"/>
      <x:c r="AP161" s="1242"/>
      <x:c r="AQ161" s="1251"/>
    </x:row>
    <x:row r="162" ht="32" customHeight="1">
      <x:c r="A162" s="1242"/>
      <x:c r="B162" s="1251"/>
      <x:c r="C162" s="1242"/>
      <x:c r="D162" s="1243" t="str">
        <x:f>IF($C162="","",IFERROR(INDEX('23 RCC-004 MASR Registry'!$C$14:$C$163,MATCH($C162,'23 RCC-004 MASR Registry'!$B$14:$B$163,0)),""))</x:f>
      </x:c>
      <x:c r="E162" s="1242"/>
      <x:c r="F162" s="1242"/>
      <x:c r="G162" s="1242"/>
      <x:c r="H162" s="1242"/>
      <x:c r="I162" s="1243" t="str">
        <x:f>IF($C162="","",IFERROR(INDEX('23 RCC-004 MASR Registry'!$G$14:$G$163,MATCH($C162,'23 RCC-004 MASR Registry'!$B$14:$B$163,0)),""))</x:f>
      </x:c>
      <x:c r="J162" s="1243" t="str">
        <x:f>IF($C162="","",IFERROR(INDEX('23 RCC-004 MASR Registry'!$H$14:$H$163,MATCH($C162,'23 RCC-004 MASR Registry'!$B$14:$B$163,0)),""))</x:f>
      </x:c>
      <x:c r="K162" s="1243" t="str">
        <x:f>IF($C162="","",IFERROR(INDEX('23 RCC-004 MASR Registry'!$D$14:$D$163,MATCH($C162,'23 RCC-004 MASR Registry'!$B$14:$B$163,0)),""))</x:f>
      </x:c>
      <x:c r="L162" s="1243" t="str">
        <x:f>IF($C162="","",IFERROR(INDEX('23 RCC-004 MASR Registry'!$E$14:$E$163,MATCH($C162,'23 RCC-004 MASR Registry'!$B$14:$B$163,0)),""))</x:f>
      </x:c>
      <x:c r="M162" s="1243" t="str">
        <x:f>IF($C162="","",IFERROR(INDEX('23 RCC-004 MASR Registry'!$X$14:$X$163,MATCH($C162,'23 RCC-004 MASR Registry'!$B$14:$B$163,0)),""))</x:f>
      </x:c>
      <x:c r="N162" s="1243" t="str">
        <x:f>IF($C162="","",IFERROR(INDEX('23 RCC-004 MASR Registry'!$Y$14:$Y$163,MATCH($C162,'23 RCC-004 MASR Registry'!$B$14:$B$163,0)),""))</x:f>
      </x:c>
      <x:c r="O162" s="1243" t="str">
        <x:f>IF($C162="","",IFERROR(INDEX('23 RCC-004 MASR Registry'!$L$14:$L$163,MATCH($C162,'23 RCC-004 MASR Registry'!$B$14:$B$163,0)),""))</x:f>
      </x:c>
      <x:c r="P162" s="1243" t="str">
        <x:f>IF($C162="","",IFERROR(INDEX('23 RCC-004 MASR Registry'!$M$14:$M$163,MATCH($C162,'23 RCC-004 MASR Registry'!$B$14:$B$163,0)),""))</x:f>
      </x:c>
      <x:c r="Q162" s="1246" t="str">
        <x:f>IF($C162="","",IFERROR(INDEX('23 RCC-004 MASR Registry'!$N$14:$N$163,MATCH($C162,'23 RCC-004 MASR Registry'!$B$14:$B$163,0)),""))</x:f>
      </x:c>
      <x:c r="R162" s="1246" t="str">
        <x:f>IF($C162="","",IFERROR(INDEX('23 RCC-004 MASR Registry'!$O$14:$O$163,MATCH($C162,'23 RCC-004 MASR Registry'!$B$14:$B$163,0)),""))</x:f>
      </x:c>
      <x:c r="S162" s="1246" t="str">
        <x:f>IF($C162="","",IFERROR(INDEX('23 RCC-004 MASR Registry'!$W$14:$W$163,MATCH($C162,'23 RCC-004 MASR Registry'!$B$14:$B$163,0)),""))</x:f>
      </x:c>
      <x:c r="T162" s="1246" t="str">
        <x:f>IF($C162="","",IFERROR(INDEX('23 RCC-004 MASR Registry'!$T$14:$T$163,MATCH($C162,'23 RCC-004 MASR Registry'!$B$14:$B$163,0)),""))</x:f>
      </x:c>
      <x:c r="U162" s="1247" t="str">
        <x:f>IF($C162="","",IFERROR(INDEX('23 RCC-004 MASR Registry'!$U$14:$U$163,MATCH($C162,'23 RCC-004 MASR Registry'!$B$14:$B$163,0)),""))</x:f>
      </x:c>
      <x:c r="V162" s="1243" t="str">
        <x:f>IF($C162="","",IFERROR(INDEX('23 RCC-004 MASR Registry'!$V$14:$V$163,MATCH($C162,'23 RCC-004 MASR Registry'!$B$14:$B$163,0)),""))</x:f>
      </x:c>
      <x:c r="W162" s="1242"/>
      <x:c r="X162" s="1247" t="str">
        <x:f>IF($C162="","",COUNTIF('18 RCC-002 Evidence Ledger'!$E$14:$E$213,$C162))</x:f>
      </x:c>
      <x:c r="Y162" s="1242"/>
      <x:c r="Z162" s="1244" t="str">
        <x:f>IF($A162="","",IF(COUNTIF($A$14:$A$213,$A162)&gt;1,"FAIL — DUPLICATE ID",IF(OR($B162="",$C162="",$E162="",$H162="",$Y162="",$AA162="",$AB162=""),"FAIL — INCOMPLETE",IF(AND(OR($Y162="MIAR Review",$Y162="Eligibility Review",$Y162="Candidate Comparison",$Y162="Committee Review",$Y162="Approved for MASR",$Y162="Referred to PEW-004",$Y162="On Watch",$Y162="Rejected",$Y162="Closed",$Y162="Removed"),$K162=""),"FAIL — MASR RECORD REQUIRED",IF(AND(OR($Y162="Eligibility Review",$Y162="Candidate Comparison",$Y162="Committee Review",$Y162="Approved for MASR",$Y162="Referred to PEW-004",$Y162="On Watch"),NOT(OR($M162="ELIGIBLE",$M162="ELIGIBLE WITH EXCEPTION",$M162="CERTIFIED HOLDING"))),"FAIL — ELIGIBILITY",IF(AND(OR($Y162="Candidate Comparison",$Y162="Committee Review",$Y162="Approved for MASR",$Y162="Referred to PEW-004",$Y162="On Watch"),$X162=0),"FAIL — EVIDENCE",IF(AND(OR($Y162="Candidate Comparison",$Y162="Committee Review",$Y162="Approved for MASR",$Y162="Referred to PEW-004",$Y162="On Watch"),OR($O162&lt;&gt;"Active",$P162&lt;&gt;"CURRENT")),"FAIL — MIAR GATE",IF(AND(OR($Y162="Approved for MASR",$Y162="Referred to PEW-004",$Y162="On Watch",$Y162="Rejected",$Y162="Closed",$Y162="Removed"),OR($AD162="",$AD162="Pending")),"FAIL — COMMITTEE DISPOSITION",IF(AND($Y162="Referred to PEW-004",OR($AF162&lt;&gt;"Yes — Refer to PEW-004",$AG162="",$AJ162="")),"FAIL — PEW REFERRAL","PASS — STAGE GATE")))))))))</x:f>
      </x:c>
      <x:c r="AA162" s="1242"/>
      <x:c r="AB162" s="1251"/>
      <x:c r="AC162" s="1250" t="str">
        <x:f>IF($B162="","",IF($AQ162&lt;&gt;"",$AQ162-$B162,TODAY()-$B162))</x:f>
      </x:c>
      <x:c r="AD162" s="1242"/>
      <x:c r="AE162" s="1251"/>
      <x:c r="AF162" s="1242"/>
      <x:c r="AG162" s="1242"/>
      <x:c r="AH162" s="1246" t="str">
        <x:f>IF($AG162="","",IFERROR(INDEX('10 Candidate Comparison'!$T$14:$T$33,MATCH($AG162,'10 Candidate Comparison'!$A$14:$A$33,0)),""))</x:f>
      </x:c>
      <x:c r="AI162" s="1243" t="str">
        <x:f>IF($AG162="","",IFERROR(INDEX('10 Candidate Comparison'!$U$14:$U$33,MATCH($AG162,'10 Candidate Comparison'!$A$14:$A$33,0)),""))</x:f>
      </x:c>
      <x:c r="AJ162" s="1243" t="str">
        <x:f>IF($AG162="","",IFERROR(INDEX('10 Candidate Comparison'!$Y$14:$Y$33,MATCH($AG162,'10 Candidate Comparison'!$A$14:$A$33,0)),""))</x:f>
      </x:c>
      <x:c r="AK162" s="1244" t="str">
        <x:f>IF($A162="","",IF($Z162="FAIL — DUPLICATE ID","DUPLICATE CANDIDATE ID",IF($Z162="FAIL — INCOMPLETE","INCOMPLETE",IF($Z162="FAIL — MASR RECORD REQUIRED","MASR RECORD REQUIRED",IF($Z162="FAIL — ELIGIBILITY","ELIGIBILITY BLOCK",IF($Z162="FAIL — EVIDENCE","EVIDENCE REQUIRED",IF($Z162="FAIL — MIAR GATE","MIAR GATE BLOCK",IF($Z162="FAIL — COMMITTEE DISPOSITION","COMMITTEE DECISION REQUIRED",IF($Z162="FAIL — PEW REFERRAL","PEW REFERRAL INCOMPLETE",IF(AND(OR($Y162="Rejected",$Y162="Closed",$Y162="Removed"),OR($AO162="",$AP162="",$AQ162="")),"CLOSURE REQUIRED",IF(AND($AB162&lt;TODAY(),NOT(OR($Y162="Rejected",$Y162="Closed",$Y162="Removed"))),"OVERDUE",IF(OR($Y162="Rejected",$Y162="Closed",$Y162="Removed"),"CLOSED","OPEN — ON TRACK"))))))))))))</x:f>
      </x:c>
      <x:c r="AL162" s="1244" t="str">
        <x:f>IF($AK162="","",IFERROR(INDEX('97 RCC Lists'!$AM$5:$AM$16,MATCH($AK162,'97 RCC Lists'!$AL$5:$AL$16,0)),"Review candidate exception"))</x:f>
      </x:c>
      <x:c r="AM162" s="1242"/>
      <x:c r="AN162" s="1242"/>
      <x:c r="AO162" s="1242"/>
      <x:c r="AP162" s="1242"/>
      <x:c r="AQ162" s="1251"/>
    </x:row>
    <x:row r="163" ht="32" customHeight="1">
      <x:c r="A163" s="1242"/>
      <x:c r="B163" s="1251"/>
      <x:c r="C163" s="1242"/>
      <x:c r="D163" s="1252" t="str">
        <x:f>IF($C163="","",IFERROR(INDEX('23 RCC-004 MASR Registry'!$C$14:$C$163,MATCH($C163,'23 RCC-004 MASR Registry'!$B$14:$B$163,0)),""))</x:f>
      </x:c>
      <x:c r="E163" s="1242"/>
      <x:c r="F163" s="1242"/>
      <x:c r="G163" s="1242"/>
      <x:c r="H163" s="1242"/>
      <x:c r="I163" s="1252" t="str">
        <x:f>IF($C163="","",IFERROR(INDEX('23 RCC-004 MASR Registry'!$G$14:$G$163,MATCH($C163,'23 RCC-004 MASR Registry'!$B$14:$B$163,0)),""))</x:f>
      </x:c>
      <x:c r="J163" s="1252" t="str">
        <x:f>IF($C163="","",IFERROR(INDEX('23 RCC-004 MASR Registry'!$H$14:$H$163,MATCH($C163,'23 RCC-004 MASR Registry'!$B$14:$B$163,0)),""))</x:f>
      </x:c>
      <x:c r="K163" s="1252" t="str">
        <x:f>IF($C163="","",IFERROR(INDEX('23 RCC-004 MASR Registry'!$D$14:$D$163,MATCH($C163,'23 RCC-004 MASR Registry'!$B$14:$B$163,0)),""))</x:f>
      </x:c>
      <x:c r="L163" s="1252" t="str">
        <x:f>IF($C163="","",IFERROR(INDEX('23 RCC-004 MASR Registry'!$E$14:$E$163,MATCH($C163,'23 RCC-004 MASR Registry'!$B$14:$B$163,0)),""))</x:f>
      </x:c>
      <x:c r="M163" s="1252" t="str">
        <x:f>IF($C163="","",IFERROR(INDEX('23 RCC-004 MASR Registry'!$X$14:$X$163,MATCH($C163,'23 RCC-004 MASR Registry'!$B$14:$B$163,0)),""))</x:f>
      </x:c>
      <x:c r="N163" s="1252" t="str">
        <x:f>IF($C163="","",IFERROR(INDEX('23 RCC-004 MASR Registry'!$Y$14:$Y$163,MATCH($C163,'23 RCC-004 MASR Registry'!$B$14:$B$163,0)),""))</x:f>
      </x:c>
      <x:c r="O163" s="1252" t="str">
        <x:f>IF($C163="","",IFERROR(INDEX('23 RCC-004 MASR Registry'!$L$14:$L$163,MATCH($C163,'23 RCC-004 MASR Registry'!$B$14:$B$163,0)),""))</x:f>
      </x:c>
      <x:c r="P163" s="1252" t="str">
        <x:f>IF($C163="","",IFERROR(INDEX('23 RCC-004 MASR Registry'!$M$14:$M$163,MATCH($C163,'23 RCC-004 MASR Registry'!$B$14:$B$163,0)),""))</x:f>
      </x:c>
      <x:c r="Q163" s="1255" t="str">
        <x:f>IF($C163="","",IFERROR(INDEX('23 RCC-004 MASR Registry'!$N$14:$N$163,MATCH($C163,'23 RCC-004 MASR Registry'!$B$14:$B$163,0)),""))</x:f>
      </x:c>
      <x:c r="R163" s="1255" t="str">
        <x:f>IF($C163="","",IFERROR(INDEX('23 RCC-004 MASR Registry'!$O$14:$O$163,MATCH($C163,'23 RCC-004 MASR Registry'!$B$14:$B$163,0)),""))</x:f>
      </x:c>
      <x:c r="S163" s="1255" t="str">
        <x:f>IF($C163="","",IFERROR(INDEX('23 RCC-004 MASR Registry'!$W$14:$W$163,MATCH($C163,'23 RCC-004 MASR Registry'!$B$14:$B$163,0)),""))</x:f>
      </x:c>
      <x:c r="T163" s="1255" t="str">
        <x:f>IF($C163="","",IFERROR(INDEX('23 RCC-004 MASR Registry'!$T$14:$T$163,MATCH($C163,'23 RCC-004 MASR Registry'!$B$14:$B$163,0)),""))</x:f>
      </x:c>
      <x:c r="U163" s="1256" t="str">
        <x:f>IF($C163="","",IFERROR(INDEX('23 RCC-004 MASR Registry'!$U$14:$U$163,MATCH($C163,'23 RCC-004 MASR Registry'!$B$14:$B$163,0)),""))</x:f>
      </x:c>
      <x:c r="V163" s="1252" t="str">
        <x:f>IF($C163="","",IFERROR(INDEX('23 RCC-004 MASR Registry'!$V$14:$V$163,MATCH($C163,'23 RCC-004 MASR Registry'!$B$14:$B$163,0)),""))</x:f>
      </x:c>
      <x:c r="W163" s="1242"/>
      <x:c r="X163" s="1256" t="str">
        <x:f>IF($C163="","",COUNTIF('18 RCC-002 Evidence Ledger'!$E$14:$E$213,$C163))</x:f>
      </x:c>
      <x:c r="Y163" s="1242"/>
      <x:c r="Z163" s="1253" t="str">
        <x:f>IF($A163="","",IF(COUNTIF($A$14:$A$213,$A163)&gt;1,"FAIL — DUPLICATE ID",IF(OR($B163="",$C163="",$E163="",$H163="",$Y163="",$AA163="",$AB163=""),"FAIL — INCOMPLETE",IF(AND(OR($Y163="MIAR Review",$Y163="Eligibility Review",$Y163="Candidate Comparison",$Y163="Committee Review",$Y163="Approved for MASR",$Y163="Referred to PEW-004",$Y163="On Watch",$Y163="Rejected",$Y163="Closed",$Y163="Removed"),$K163=""),"FAIL — MASR RECORD REQUIRED",IF(AND(OR($Y163="Eligibility Review",$Y163="Candidate Comparison",$Y163="Committee Review",$Y163="Approved for MASR",$Y163="Referred to PEW-004",$Y163="On Watch"),NOT(OR($M163="ELIGIBLE",$M163="ELIGIBLE WITH EXCEPTION",$M163="CERTIFIED HOLDING"))),"FAIL — ELIGIBILITY",IF(AND(OR($Y163="Candidate Comparison",$Y163="Committee Review",$Y163="Approved for MASR",$Y163="Referred to PEW-004",$Y163="On Watch"),$X163=0),"FAIL — EVIDENCE",IF(AND(OR($Y163="Candidate Comparison",$Y163="Committee Review",$Y163="Approved for MASR",$Y163="Referred to PEW-004",$Y163="On Watch"),OR($O163&lt;&gt;"Active",$P163&lt;&gt;"CURRENT")),"FAIL — MIAR GATE",IF(AND(OR($Y163="Approved for MASR",$Y163="Referred to PEW-004",$Y163="On Watch",$Y163="Rejected",$Y163="Closed",$Y163="Removed"),OR($AD163="",$AD163="Pending")),"FAIL — COMMITTEE DISPOSITION",IF(AND($Y163="Referred to PEW-004",OR($AF163&lt;&gt;"Yes — Refer to PEW-004",$AG163="",$AJ163="")),"FAIL — PEW REFERRAL","PASS — STAGE GATE")))))))))</x:f>
      </x:c>
      <x:c r="AA163" s="1242"/>
      <x:c r="AB163" s="1251"/>
      <x:c r="AC163" s="1257" t="str">
        <x:f>IF($B163="","",IF($AQ163&lt;&gt;"",$AQ163-$B163,TODAY()-$B163))</x:f>
      </x:c>
      <x:c r="AD163" s="1242"/>
      <x:c r="AE163" s="1251"/>
      <x:c r="AF163" s="1242"/>
      <x:c r="AG163" s="1242"/>
      <x:c r="AH163" s="1255" t="str">
        <x:f>IF($AG163="","",IFERROR(INDEX('10 Candidate Comparison'!$T$14:$T$33,MATCH($AG163,'10 Candidate Comparison'!$A$14:$A$33,0)),""))</x:f>
      </x:c>
      <x:c r="AI163" s="1252" t="str">
        <x:f>IF($AG163="","",IFERROR(INDEX('10 Candidate Comparison'!$U$14:$U$33,MATCH($AG163,'10 Candidate Comparison'!$A$14:$A$33,0)),""))</x:f>
      </x:c>
      <x:c r="AJ163" s="1252" t="str">
        <x:f>IF($AG163="","",IFERROR(INDEX('10 Candidate Comparison'!$Y$14:$Y$33,MATCH($AG163,'10 Candidate Comparison'!$A$14:$A$33,0)),""))</x:f>
      </x:c>
      <x:c r="AK163" s="1253" t="str">
        <x:f>IF($A163="","",IF($Z163="FAIL — DUPLICATE ID","DUPLICATE CANDIDATE ID",IF($Z163="FAIL — INCOMPLETE","INCOMPLETE",IF($Z163="FAIL — MASR RECORD REQUIRED","MASR RECORD REQUIRED",IF($Z163="FAIL — ELIGIBILITY","ELIGIBILITY BLOCK",IF($Z163="FAIL — EVIDENCE","EVIDENCE REQUIRED",IF($Z163="FAIL — MIAR GATE","MIAR GATE BLOCK",IF($Z163="FAIL — COMMITTEE DISPOSITION","COMMITTEE DECISION REQUIRED",IF($Z163="FAIL — PEW REFERRAL","PEW REFERRAL INCOMPLETE",IF(AND(OR($Y163="Rejected",$Y163="Closed",$Y163="Removed"),OR($AO163="",$AP163="",$AQ163="")),"CLOSURE REQUIRED",IF(AND($AB163&lt;TODAY(),NOT(OR($Y163="Rejected",$Y163="Closed",$Y163="Removed"))),"OVERDUE",IF(OR($Y163="Rejected",$Y163="Closed",$Y163="Removed"),"CLOSED","OPEN — ON TRACK"))))))))))))</x:f>
      </x:c>
      <x:c r="AL163" s="1253" t="str">
        <x:f>IF($AK163="","",IFERROR(INDEX('97 RCC Lists'!$AM$5:$AM$16,MATCH($AK163,'97 RCC Lists'!$AL$5:$AL$16,0)),"Review candidate exception"))</x:f>
      </x:c>
      <x:c r="AM163" s="1242"/>
      <x:c r="AN163" s="1242"/>
      <x:c r="AO163" s="1242"/>
      <x:c r="AP163" s="1242"/>
      <x:c r="AQ163" s="1251"/>
    </x:row>
    <x:row r="164" ht="32" customHeight="1">
      <x:c r="A164" s="1242"/>
      <x:c r="B164" s="1251"/>
      <x:c r="C164" s="1242"/>
      <x:c r="D164" s="1243" t="str">
        <x:f>IF($C164="","",IFERROR(INDEX('23 RCC-004 MASR Registry'!$C$14:$C$163,MATCH($C164,'23 RCC-004 MASR Registry'!$B$14:$B$163,0)),""))</x:f>
      </x:c>
      <x:c r="E164" s="1242"/>
      <x:c r="F164" s="1242"/>
      <x:c r="G164" s="1242"/>
      <x:c r="H164" s="1242"/>
      <x:c r="I164" s="1243" t="str">
        <x:f>IF($C164="","",IFERROR(INDEX('23 RCC-004 MASR Registry'!$G$14:$G$163,MATCH($C164,'23 RCC-004 MASR Registry'!$B$14:$B$163,0)),""))</x:f>
      </x:c>
      <x:c r="J164" s="1243" t="str">
        <x:f>IF($C164="","",IFERROR(INDEX('23 RCC-004 MASR Registry'!$H$14:$H$163,MATCH($C164,'23 RCC-004 MASR Registry'!$B$14:$B$163,0)),""))</x:f>
      </x:c>
      <x:c r="K164" s="1243" t="str">
        <x:f>IF($C164="","",IFERROR(INDEX('23 RCC-004 MASR Registry'!$D$14:$D$163,MATCH($C164,'23 RCC-004 MASR Registry'!$B$14:$B$163,0)),""))</x:f>
      </x:c>
      <x:c r="L164" s="1243" t="str">
        <x:f>IF($C164="","",IFERROR(INDEX('23 RCC-004 MASR Registry'!$E$14:$E$163,MATCH($C164,'23 RCC-004 MASR Registry'!$B$14:$B$163,0)),""))</x:f>
      </x:c>
      <x:c r="M164" s="1243" t="str">
        <x:f>IF($C164="","",IFERROR(INDEX('23 RCC-004 MASR Registry'!$X$14:$X$163,MATCH($C164,'23 RCC-004 MASR Registry'!$B$14:$B$163,0)),""))</x:f>
      </x:c>
      <x:c r="N164" s="1243" t="str">
        <x:f>IF($C164="","",IFERROR(INDEX('23 RCC-004 MASR Registry'!$Y$14:$Y$163,MATCH($C164,'23 RCC-004 MASR Registry'!$B$14:$B$163,0)),""))</x:f>
      </x:c>
      <x:c r="O164" s="1243" t="str">
        <x:f>IF($C164="","",IFERROR(INDEX('23 RCC-004 MASR Registry'!$L$14:$L$163,MATCH($C164,'23 RCC-004 MASR Registry'!$B$14:$B$163,0)),""))</x:f>
      </x:c>
      <x:c r="P164" s="1243" t="str">
        <x:f>IF($C164="","",IFERROR(INDEX('23 RCC-004 MASR Registry'!$M$14:$M$163,MATCH($C164,'23 RCC-004 MASR Registry'!$B$14:$B$163,0)),""))</x:f>
      </x:c>
      <x:c r="Q164" s="1246" t="str">
        <x:f>IF($C164="","",IFERROR(INDEX('23 RCC-004 MASR Registry'!$N$14:$N$163,MATCH($C164,'23 RCC-004 MASR Registry'!$B$14:$B$163,0)),""))</x:f>
      </x:c>
      <x:c r="R164" s="1246" t="str">
        <x:f>IF($C164="","",IFERROR(INDEX('23 RCC-004 MASR Registry'!$O$14:$O$163,MATCH($C164,'23 RCC-004 MASR Registry'!$B$14:$B$163,0)),""))</x:f>
      </x:c>
      <x:c r="S164" s="1246" t="str">
        <x:f>IF($C164="","",IFERROR(INDEX('23 RCC-004 MASR Registry'!$W$14:$W$163,MATCH($C164,'23 RCC-004 MASR Registry'!$B$14:$B$163,0)),""))</x:f>
      </x:c>
      <x:c r="T164" s="1246" t="str">
        <x:f>IF($C164="","",IFERROR(INDEX('23 RCC-004 MASR Registry'!$T$14:$T$163,MATCH($C164,'23 RCC-004 MASR Registry'!$B$14:$B$163,0)),""))</x:f>
      </x:c>
      <x:c r="U164" s="1247" t="str">
        <x:f>IF($C164="","",IFERROR(INDEX('23 RCC-004 MASR Registry'!$U$14:$U$163,MATCH($C164,'23 RCC-004 MASR Registry'!$B$14:$B$163,0)),""))</x:f>
      </x:c>
      <x:c r="V164" s="1243" t="str">
        <x:f>IF($C164="","",IFERROR(INDEX('23 RCC-004 MASR Registry'!$V$14:$V$163,MATCH($C164,'23 RCC-004 MASR Registry'!$B$14:$B$163,0)),""))</x:f>
      </x:c>
      <x:c r="W164" s="1242"/>
      <x:c r="X164" s="1247" t="str">
        <x:f>IF($C164="","",COUNTIF('18 RCC-002 Evidence Ledger'!$E$14:$E$213,$C164))</x:f>
      </x:c>
      <x:c r="Y164" s="1242"/>
      <x:c r="Z164" s="1244" t="str">
        <x:f>IF($A164="","",IF(COUNTIF($A$14:$A$213,$A164)&gt;1,"FAIL — DUPLICATE ID",IF(OR($B164="",$C164="",$E164="",$H164="",$Y164="",$AA164="",$AB164=""),"FAIL — INCOMPLETE",IF(AND(OR($Y164="MIAR Review",$Y164="Eligibility Review",$Y164="Candidate Comparison",$Y164="Committee Review",$Y164="Approved for MASR",$Y164="Referred to PEW-004",$Y164="On Watch",$Y164="Rejected",$Y164="Closed",$Y164="Removed"),$K164=""),"FAIL — MASR RECORD REQUIRED",IF(AND(OR($Y164="Eligibility Review",$Y164="Candidate Comparison",$Y164="Committee Review",$Y164="Approved for MASR",$Y164="Referred to PEW-004",$Y164="On Watch"),NOT(OR($M164="ELIGIBLE",$M164="ELIGIBLE WITH EXCEPTION",$M164="CERTIFIED HOLDING"))),"FAIL — ELIGIBILITY",IF(AND(OR($Y164="Candidate Comparison",$Y164="Committee Review",$Y164="Approved for MASR",$Y164="Referred to PEW-004",$Y164="On Watch"),$X164=0),"FAIL — EVIDENCE",IF(AND(OR($Y164="Candidate Comparison",$Y164="Committee Review",$Y164="Approved for MASR",$Y164="Referred to PEW-004",$Y164="On Watch"),OR($O164&lt;&gt;"Active",$P164&lt;&gt;"CURRENT")),"FAIL — MIAR GATE",IF(AND(OR($Y164="Approved for MASR",$Y164="Referred to PEW-004",$Y164="On Watch",$Y164="Rejected",$Y164="Closed",$Y164="Removed"),OR($AD164="",$AD164="Pending")),"FAIL — COMMITTEE DISPOSITION",IF(AND($Y164="Referred to PEW-004",OR($AF164&lt;&gt;"Yes — Refer to PEW-004",$AG164="",$AJ164="")),"FAIL — PEW REFERRAL","PASS — STAGE GATE")))))))))</x:f>
      </x:c>
      <x:c r="AA164" s="1242"/>
      <x:c r="AB164" s="1251"/>
      <x:c r="AC164" s="1250" t="str">
        <x:f>IF($B164="","",IF($AQ164&lt;&gt;"",$AQ164-$B164,TODAY()-$B164))</x:f>
      </x:c>
      <x:c r="AD164" s="1242"/>
      <x:c r="AE164" s="1251"/>
      <x:c r="AF164" s="1242"/>
      <x:c r="AG164" s="1242"/>
      <x:c r="AH164" s="1246" t="str">
        <x:f>IF($AG164="","",IFERROR(INDEX('10 Candidate Comparison'!$T$14:$T$33,MATCH($AG164,'10 Candidate Comparison'!$A$14:$A$33,0)),""))</x:f>
      </x:c>
      <x:c r="AI164" s="1243" t="str">
        <x:f>IF($AG164="","",IFERROR(INDEX('10 Candidate Comparison'!$U$14:$U$33,MATCH($AG164,'10 Candidate Comparison'!$A$14:$A$33,0)),""))</x:f>
      </x:c>
      <x:c r="AJ164" s="1243" t="str">
        <x:f>IF($AG164="","",IFERROR(INDEX('10 Candidate Comparison'!$Y$14:$Y$33,MATCH($AG164,'10 Candidate Comparison'!$A$14:$A$33,0)),""))</x:f>
      </x:c>
      <x:c r="AK164" s="1244" t="str">
        <x:f>IF($A164="","",IF($Z164="FAIL — DUPLICATE ID","DUPLICATE CANDIDATE ID",IF($Z164="FAIL — INCOMPLETE","INCOMPLETE",IF($Z164="FAIL — MASR RECORD REQUIRED","MASR RECORD REQUIRED",IF($Z164="FAIL — ELIGIBILITY","ELIGIBILITY BLOCK",IF($Z164="FAIL — EVIDENCE","EVIDENCE REQUIRED",IF($Z164="FAIL — MIAR GATE","MIAR GATE BLOCK",IF($Z164="FAIL — COMMITTEE DISPOSITION","COMMITTEE DECISION REQUIRED",IF($Z164="FAIL — PEW REFERRAL","PEW REFERRAL INCOMPLETE",IF(AND(OR($Y164="Rejected",$Y164="Closed",$Y164="Removed"),OR($AO164="",$AP164="",$AQ164="")),"CLOSURE REQUIRED",IF(AND($AB164&lt;TODAY(),NOT(OR($Y164="Rejected",$Y164="Closed",$Y164="Removed"))),"OVERDUE",IF(OR($Y164="Rejected",$Y164="Closed",$Y164="Removed"),"CLOSED","OPEN — ON TRACK"))))))))))))</x:f>
      </x:c>
      <x:c r="AL164" s="1244" t="str">
        <x:f>IF($AK164="","",IFERROR(INDEX('97 RCC Lists'!$AM$5:$AM$16,MATCH($AK164,'97 RCC Lists'!$AL$5:$AL$16,0)),"Review candidate exception"))</x:f>
      </x:c>
      <x:c r="AM164" s="1242"/>
      <x:c r="AN164" s="1242"/>
      <x:c r="AO164" s="1242"/>
      <x:c r="AP164" s="1242"/>
      <x:c r="AQ164" s="1251"/>
    </x:row>
    <x:row r="165" ht="32" customHeight="1">
      <x:c r="A165" s="1242"/>
      <x:c r="B165" s="1251"/>
      <x:c r="C165" s="1242"/>
      <x:c r="D165" s="1252" t="str">
        <x:f>IF($C165="","",IFERROR(INDEX('23 RCC-004 MASR Registry'!$C$14:$C$163,MATCH($C165,'23 RCC-004 MASR Registry'!$B$14:$B$163,0)),""))</x:f>
      </x:c>
      <x:c r="E165" s="1242"/>
      <x:c r="F165" s="1242"/>
      <x:c r="G165" s="1242"/>
      <x:c r="H165" s="1242"/>
      <x:c r="I165" s="1252" t="str">
        <x:f>IF($C165="","",IFERROR(INDEX('23 RCC-004 MASR Registry'!$G$14:$G$163,MATCH($C165,'23 RCC-004 MASR Registry'!$B$14:$B$163,0)),""))</x:f>
      </x:c>
      <x:c r="J165" s="1252" t="str">
        <x:f>IF($C165="","",IFERROR(INDEX('23 RCC-004 MASR Registry'!$H$14:$H$163,MATCH($C165,'23 RCC-004 MASR Registry'!$B$14:$B$163,0)),""))</x:f>
      </x:c>
      <x:c r="K165" s="1252" t="str">
        <x:f>IF($C165="","",IFERROR(INDEX('23 RCC-004 MASR Registry'!$D$14:$D$163,MATCH($C165,'23 RCC-004 MASR Registry'!$B$14:$B$163,0)),""))</x:f>
      </x:c>
      <x:c r="L165" s="1252" t="str">
        <x:f>IF($C165="","",IFERROR(INDEX('23 RCC-004 MASR Registry'!$E$14:$E$163,MATCH($C165,'23 RCC-004 MASR Registry'!$B$14:$B$163,0)),""))</x:f>
      </x:c>
      <x:c r="M165" s="1252" t="str">
        <x:f>IF($C165="","",IFERROR(INDEX('23 RCC-004 MASR Registry'!$X$14:$X$163,MATCH($C165,'23 RCC-004 MASR Registry'!$B$14:$B$163,0)),""))</x:f>
      </x:c>
      <x:c r="N165" s="1252" t="str">
        <x:f>IF($C165="","",IFERROR(INDEX('23 RCC-004 MASR Registry'!$Y$14:$Y$163,MATCH($C165,'23 RCC-004 MASR Registry'!$B$14:$B$163,0)),""))</x:f>
      </x:c>
      <x:c r="O165" s="1252" t="str">
        <x:f>IF($C165="","",IFERROR(INDEX('23 RCC-004 MASR Registry'!$L$14:$L$163,MATCH($C165,'23 RCC-004 MASR Registry'!$B$14:$B$163,0)),""))</x:f>
      </x:c>
      <x:c r="P165" s="1252" t="str">
        <x:f>IF($C165="","",IFERROR(INDEX('23 RCC-004 MASR Registry'!$M$14:$M$163,MATCH($C165,'23 RCC-004 MASR Registry'!$B$14:$B$163,0)),""))</x:f>
      </x:c>
      <x:c r="Q165" s="1255" t="str">
        <x:f>IF($C165="","",IFERROR(INDEX('23 RCC-004 MASR Registry'!$N$14:$N$163,MATCH($C165,'23 RCC-004 MASR Registry'!$B$14:$B$163,0)),""))</x:f>
      </x:c>
      <x:c r="R165" s="1255" t="str">
        <x:f>IF($C165="","",IFERROR(INDEX('23 RCC-004 MASR Registry'!$O$14:$O$163,MATCH($C165,'23 RCC-004 MASR Registry'!$B$14:$B$163,0)),""))</x:f>
      </x:c>
      <x:c r="S165" s="1255" t="str">
        <x:f>IF($C165="","",IFERROR(INDEX('23 RCC-004 MASR Registry'!$W$14:$W$163,MATCH($C165,'23 RCC-004 MASR Registry'!$B$14:$B$163,0)),""))</x:f>
      </x:c>
      <x:c r="T165" s="1255" t="str">
        <x:f>IF($C165="","",IFERROR(INDEX('23 RCC-004 MASR Registry'!$T$14:$T$163,MATCH($C165,'23 RCC-004 MASR Registry'!$B$14:$B$163,0)),""))</x:f>
      </x:c>
      <x:c r="U165" s="1256" t="str">
        <x:f>IF($C165="","",IFERROR(INDEX('23 RCC-004 MASR Registry'!$U$14:$U$163,MATCH($C165,'23 RCC-004 MASR Registry'!$B$14:$B$163,0)),""))</x:f>
      </x:c>
      <x:c r="V165" s="1252" t="str">
        <x:f>IF($C165="","",IFERROR(INDEX('23 RCC-004 MASR Registry'!$V$14:$V$163,MATCH($C165,'23 RCC-004 MASR Registry'!$B$14:$B$163,0)),""))</x:f>
      </x:c>
      <x:c r="W165" s="1242"/>
      <x:c r="X165" s="1256" t="str">
        <x:f>IF($C165="","",COUNTIF('18 RCC-002 Evidence Ledger'!$E$14:$E$213,$C165))</x:f>
      </x:c>
      <x:c r="Y165" s="1242"/>
      <x:c r="Z165" s="1253" t="str">
        <x:f>IF($A165="","",IF(COUNTIF($A$14:$A$213,$A165)&gt;1,"FAIL — DUPLICATE ID",IF(OR($B165="",$C165="",$E165="",$H165="",$Y165="",$AA165="",$AB165=""),"FAIL — INCOMPLETE",IF(AND(OR($Y165="MIAR Review",$Y165="Eligibility Review",$Y165="Candidate Comparison",$Y165="Committee Review",$Y165="Approved for MASR",$Y165="Referred to PEW-004",$Y165="On Watch",$Y165="Rejected",$Y165="Closed",$Y165="Removed"),$K165=""),"FAIL — MASR RECORD REQUIRED",IF(AND(OR($Y165="Eligibility Review",$Y165="Candidate Comparison",$Y165="Committee Review",$Y165="Approved for MASR",$Y165="Referred to PEW-004",$Y165="On Watch"),NOT(OR($M165="ELIGIBLE",$M165="ELIGIBLE WITH EXCEPTION",$M165="CERTIFIED HOLDING"))),"FAIL — ELIGIBILITY",IF(AND(OR($Y165="Candidate Comparison",$Y165="Committee Review",$Y165="Approved for MASR",$Y165="Referred to PEW-004",$Y165="On Watch"),$X165=0),"FAIL — EVIDENCE",IF(AND(OR($Y165="Candidate Comparison",$Y165="Committee Review",$Y165="Approved for MASR",$Y165="Referred to PEW-004",$Y165="On Watch"),OR($O165&lt;&gt;"Active",$P165&lt;&gt;"CURRENT")),"FAIL — MIAR GATE",IF(AND(OR($Y165="Approved for MASR",$Y165="Referred to PEW-004",$Y165="On Watch",$Y165="Rejected",$Y165="Closed",$Y165="Removed"),OR($AD165="",$AD165="Pending")),"FAIL — COMMITTEE DISPOSITION",IF(AND($Y165="Referred to PEW-004",OR($AF165&lt;&gt;"Yes — Refer to PEW-004",$AG165="",$AJ165="")),"FAIL — PEW REFERRAL","PASS — STAGE GATE")))))))))</x:f>
      </x:c>
      <x:c r="AA165" s="1242"/>
      <x:c r="AB165" s="1251"/>
      <x:c r="AC165" s="1257" t="str">
        <x:f>IF($B165="","",IF($AQ165&lt;&gt;"",$AQ165-$B165,TODAY()-$B165))</x:f>
      </x:c>
      <x:c r="AD165" s="1242"/>
      <x:c r="AE165" s="1251"/>
      <x:c r="AF165" s="1242"/>
      <x:c r="AG165" s="1242"/>
      <x:c r="AH165" s="1255" t="str">
        <x:f>IF($AG165="","",IFERROR(INDEX('10 Candidate Comparison'!$T$14:$T$33,MATCH($AG165,'10 Candidate Comparison'!$A$14:$A$33,0)),""))</x:f>
      </x:c>
      <x:c r="AI165" s="1252" t="str">
        <x:f>IF($AG165="","",IFERROR(INDEX('10 Candidate Comparison'!$U$14:$U$33,MATCH($AG165,'10 Candidate Comparison'!$A$14:$A$33,0)),""))</x:f>
      </x:c>
      <x:c r="AJ165" s="1252" t="str">
        <x:f>IF($AG165="","",IFERROR(INDEX('10 Candidate Comparison'!$Y$14:$Y$33,MATCH($AG165,'10 Candidate Comparison'!$A$14:$A$33,0)),""))</x:f>
      </x:c>
      <x:c r="AK165" s="1253" t="str">
        <x:f>IF($A165="","",IF($Z165="FAIL — DUPLICATE ID","DUPLICATE CANDIDATE ID",IF($Z165="FAIL — INCOMPLETE","INCOMPLETE",IF($Z165="FAIL — MASR RECORD REQUIRED","MASR RECORD REQUIRED",IF($Z165="FAIL — ELIGIBILITY","ELIGIBILITY BLOCK",IF($Z165="FAIL — EVIDENCE","EVIDENCE REQUIRED",IF($Z165="FAIL — MIAR GATE","MIAR GATE BLOCK",IF($Z165="FAIL — COMMITTEE DISPOSITION","COMMITTEE DECISION REQUIRED",IF($Z165="FAIL — PEW REFERRAL","PEW REFERRAL INCOMPLETE",IF(AND(OR($Y165="Rejected",$Y165="Closed",$Y165="Removed"),OR($AO165="",$AP165="",$AQ165="")),"CLOSURE REQUIRED",IF(AND($AB165&lt;TODAY(),NOT(OR($Y165="Rejected",$Y165="Closed",$Y165="Removed"))),"OVERDUE",IF(OR($Y165="Rejected",$Y165="Closed",$Y165="Removed"),"CLOSED","OPEN — ON TRACK"))))))))))))</x:f>
      </x:c>
      <x:c r="AL165" s="1253" t="str">
        <x:f>IF($AK165="","",IFERROR(INDEX('97 RCC Lists'!$AM$5:$AM$16,MATCH($AK165,'97 RCC Lists'!$AL$5:$AL$16,0)),"Review candidate exception"))</x:f>
      </x:c>
      <x:c r="AM165" s="1242"/>
      <x:c r="AN165" s="1242"/>
      <x:c r="AO165" s="1242"/>
      <x:c r="AP165" s="1242"/>
      <x:c r="AQ165" s="1251"/>
    </x:row>
    <x:row r="166" ht="32" customHeight="1">
      <x:c r="A166" s="1242"/>
      <x:c r="B166" s="1251"/>
      <x:c r="C166" s="1242"/>
      <x:c r="D166" s="1243" t="str">
        <x:f>IF($C166="","",IFERROR(INDEX('23 RCC-004 MASR Registry'!$C$14:$C$163,MATCH($C166,'23 RCC-004 MASR Registry'!$B$14:$B$163,0)),""))</x:f>
      </x:c>
      <x:c r="E166" s="1242"/>
      <x:c r="F166" s="1242"/>
      <x:c r="G166" s="1242"/>
      <x:c r="H166" s="1242"/>
      <x:c r="I166" s="1243" t="str">
        <x:f>IF($C166="","",IFERROR(INDEX('23 RCC-004 MASR Registry'!$G$14:$G$163,MATCH($C166,'23 RCC-004 MASR Registry'!$B$14:$B$163,0)),""))</x:f>
      </x:c>
      <x:c r="J166" s="1243" t="str">
        <x:f>IF($C166="","",IFERROR(INDEX('23 RCC-004 MASR Registry'!$H$14:$H$163,MATCH($C166,'23 RCC-004 MASR Registry'!$B$14:$B$163,0)),""))</x:f>
      </x:c>
      <x:c r="K166" s="1243" t="str">
        <x:f>IF($C166="","",IFERROR(INDEX('23 RCC-004 MASR Registry'!$D$14:$D$163,MATCH($C166,'23 RCC-004 MASR Registry'!$B$14:$B$163,0)),""))</x:f>
      </x:c>
      <x:c r="L166" s="1243" t="str">
        <x:f>IF($C166="","",IFERROR(INDEX('23 RCC-004 MASR Registry'!$E$14:$E$163,MATCH($C166,'23 RCC-004 MASR Registry'!$B$14:$B$163,0)),""))</x:f>
      </x:c>
      <x:c r="M166" s="1243" t="str">
        <x:f>IF($C166="","",IFERROR(INDEX('23 RCC-004 MASR Registry'!$X$14:$X$163,MATCH($C166,'23 RCC-004 MASR Registry'!$B$14:$B$163,0)),""))</x:f>
      </x:c>
      <x:c r="N166" s="1243" t="str">
        <x:f>IF($C166="","",IFERROR(INDEX('23 RCC-004 MASR Registry'!$Y$14:$Y$163,MATCH($C166,'23 RCC-004 MASR Registry'!$B$14:$B$163,0)),""))</x:f>
      </x:c>
      <x:c r="O166" s="1243" t="str">
        <x:f>IF($C166="","",IFERROR(INDEX('23 RCC-004 MASR Registry'!$L$14:$L$163,MATCH($C166,'23 RCC-004 MASR Registry'!$B$14:$B$163,0)),""))</x:f>
      </x:c>
      <x:c r="P166" s="1243" t="str">
        <x:f>IF($C166="","",IFERROR(INDEX('23 RCC-004 MASR Registry'!$M$14:$M$163,MATCH($C166,'23 RCC-004 MASR Registry'!$B$14:$B$163,0)),""))</x:f>
      </x:c>
      <x:c r="Q166" s="1246" t="str">
        <x:f>IF($C166="","",IFERROR(INDEX('23 RCC-004 MASR Registry'!$N$14:$N$163,MATCH($C166,'23 RCC-004 MASR Registry'!$B$14:$B$163,0)),""))</x:f>
      </x:c>
      <x:c r="R166" s="1246" t="str">
        <x:f>IF($C166="","",IFERROR(INDEX('23 RCC-004 MASR Registry'!$O$14:$O$163,MATCH($C166,'23 RCC-004 MASR Registry'!$B$14:$B$163,0)),""))</x:f>
      </x:c>
      <x:c r="S166" s="1246" t="str">
        <x:f>IF($C166="","",IFERROR(INDEX('23 RCC-004 MASR Registry'!$W$14:$W$163,MATCH($C166,'23 RCC-004 MASR Registry'!$B$14:$B$163,0)),""))</x:f>
      </x:c>
      <x:c r="T166" s="1246" t="str">
        <x:f>IF($C166="","",IFERROR(INDEX('23 RCC-004 MASR Registry'!$T$14:$T$163,MATCH($C166,'23 RCC-004 MASR Registry'!$B$14:$B$163,0)),""))</x:f>
      </x:c>
      <x:c r="U166" s="1247" t="str">
        <x:f>IF($C166="","",IFERROR(INDEX('23 RCC-004 MASR Registry'!$U$14:$U$163,MATCH($C166,'23 RCC-004 MASR Registry'!$B$14:$B$163,0)),""))</x:f>
      </x:c>
      <x:c r="V166" s="1243" t="str">
        <x:f>IF($C166="","",IFERROR(INDEX('23 RCC-004 MASR Registry'!$V$14:$V$163,MATCH($C166,'23 RCC-004 MASR Registry'!$B$14:$B$163,0)),""))</x:f>
      </x:c>
      <x:c r="W166" s="1242"/>
      <x:c r="X166" s="1247" t="str">
        <x:f>IF($C166="","",COUNTIF('18 RCC-002 Evidence Ledger'!$E$14:$E$213,$C166))</x:f>
      </x:c>
      <x:c r="Y166" s="1242"/>
      <x:c r="Z166" s="1244" t="str">
        <x:f>IF($A166="","",IF(COUNTIF($A$14:$A$213,$A166)&gt;1,"FAIL — DUPLICATE ID",IF(OR($B166="",$C166="",$E166="",$H166="",$Y166="",$AA166="",$AB166=""),"FAIL — INCOMPLETE",IF(AND(OR($Y166="MIAR Review",$Y166="Eligibility Review",$Y166="Candidate Comparison",$Y166="Committee Review",$Y166="Approved for MASR",$Y166="Referred to PEW-004",$Y166="On Watch",$Y166="Rejected",$Y166="Closed",$Y166="Removed"),$K166=""),"FAIL — MASR RECORD REQUIRED",IF(AND(OR($Y166="Eligibility Review",$Y166="Candidate Comparison",$Y166="Committee Review",$Y166="Approved for MASR",$Y166="Referred to PEW-004",$Y166="On Watch"),NOT(OR($M166="ELIGIBLE",$M166="ELIGIBLE WITH EXCEPTION",$M166="CERTIFIED HOLDING"))),"FAIL — ELIGIBILITY",IF(AND(OR($Y166="Candidate Comparison",$Y166="Committee Review",$Y166="Approved for MASR",$Y166="Referred to PEW-004",$Y166="On Watch"),$X166=0),"FAIL — EVIDENCE",IF(AND(OR($Y166="Candidate Comparison",$Y166="Committee Review",$Y166="Approved for MASR",$Y166="Referred to PEW-004",$Y166="On Watch"),OR($O166&lt;&gt;"Active",$P166&lt;&gt;"CURRENT")),"FAIL — MIAR GATE",IF(AND(OR($Y166="Approved for MASR",$Y166="Referred to PEW-004",$Y166="On Watch",$Y166="Rejected",$Y166="Closed",$Y166="Removed"),OR($AD166="",$AD166="Pending")),"FAIL — COMMITTEE DISPOSITION",IF(AND($Y166="Referred to PEW-004",OR($AF166&lt;&gt;"Yes — Refer to PEW-004",$AG166="",$AJ166="")),"FAIL — PEW REFERRAL","PASS — STAGE GATE")))))))))</x:f>
      </x:c>
      <x:c r="AA166" s="1242"/>
      <x:c r="AB166" s="1251"/>
      <x:c r="AC166" s="1250" t="str">
        <x:f>IF($B166="","",IF($AQ166&lt;&gt;"",$AQ166-$B166,TODAY()-$B166))</x:f>
      </x:c>
      <x:c r="AD166" s="1242"/>
      <x:c r="AE166" s="1251"/>
      <x:c r="AF166" s="1242"/>
      <x:c r="AG166" s="1242"/>
      <x:c r="AH166" s="1246" t="str">
        <x:f>IF($AG166="","",IFERROR(INDEX('10 Candidate Comparison'!$T$14:$T$33,MATCH($AG166,'10 Candidate Comparison'!$A$14:$A$33,0)),""))</x:f>
      </x:c>
      <x:c r="AI166" s="1243" t="str">
        <x:f>IF($AG166="","",IFERROR(INDEX('10 Candidate Comparison'!$U$14:$U$33,MATCH($AG166,'10 Candidate Comparison'!$A$14:$A$33,0)),""))</x:f>
      </x:c>
      <x:c r="AJ166" s="1243" t="str">
        <x:f>IF($AG166="","",IFERROR(INDEX('10 Candidate Comparison'!$Y$14:$Y$33,MATCH($AG166,'10 Candidate Comparison'!$A$14:$A$33,0)),""))</x:f>
      </x:c>
      <x:c r="AK166" s="1244" t="str">
        <x:f>IF($A166="","",IF($Z166="FAIL — DUPLICATE ID","DUPLICATE CANDIDATE ID",IF($Z166="FAIL — INCOMPLETE","INCOMPLETE",IF($Z166="FAIL — MASR RECORD REQUIRED","MASR RECORD REQUIRED",IF($Z166="FAIL — ELIGIBILITY","ELIGIBILITY BLOCK",IF($Z166="FAIL — EVIDENCE","EVIDENCE REQUIRED",IF($Z166="FAIL — MIAR GATE","MIAR GATE BLOCK",IF($Z166="FAIL — COMMITTEE DISPOSITION","COMMITTEE DECISION REQUIRED",IF($Z166="FAIL — PEW REFERRAL","PEW REFERRAL INCOMPLETE",IF(AND(OR($Y166="Rejected",$Y166="Closed",$Y166="Removed"),OR($AO166="",$AP166="",$AQ166="")),"CLOSURE REQUIRED",IF(AND($AB166&lt;TODAY(),NOT(OR($Y166="Rejected",$Y166="Closed",$Y166="Removed"))),"OVERDUE",IF(OR($Y166="Rejected",$Y166="Closed",$Y166="Removed"),"CLOSED","OPEN — ON TRACK"))))))))))))</x:f>
      </x:c>
      <x:c r="AL166" s="1244" t="str">
        <x:f>IF($AK166="","",IFERROR(INDEX('97 RCC Lists'!$AM$5:$AM$16,MATCH($AK166,'97 RCC Lists'!$AL$5:$AL$16,0)),"Review candidate exception"))</x:f>
      </x:c>
      <x:c r="AM166" s="1242"/>
      <x:c r="AN166" s="1242"/>
      <x:c r="AO166" s="1242"/>
      <x:c r="AP166" s="1242"/>
      <x:c r="AQ166" s="1251"/>
    </x:row>
    <x:row r="167" ht="32" customHeight="1">
      <x:c r="A167" s="1242"/>
      <x:c r="B167" s="1251"/>
      <x:c r="C167" s="1242"/>
      <x:c r="D167" s="1252" t="str">
        <x:f>IF($C167="","",IFERROR(INDEX('23 RCC-004 MASR Registry'!$C$14:$C$163,MATCH($C167,'23 RCC-004 MASR Registry'!$B$14:$B$163,0)),""))</x:f>
      </x:c>
      <x:c r="E167" s="1242"/>
      <x:c r="F167" s="1242"/>
      <x:c r="G167" s="1242"/>
      <x:c r="H167" s="1242"/>
      <x:c r="I167" s="1252" t="str">
        <x:f>IF($C167="","",IFERROR(INDEX('23 RCC-004 MASR Registry'!$G$14:$G$163,MATCH($C167,'23 RCC-004 MASR Registry'!$B$14:$B$163,0)),""))</x:f>
      </x:c>
      <x:c r="J167" s="1252" t="str">
        <x:f>IF($C167="","",IFERROR(INDEX('23 RCC-004 MASR Registry'!$H$14:$H$163,MATCH($C167,'23 RCC-004 MASR Registry'!$B$14:$B$163,0)),""))</x:f>
      </x:c>
      <x:c r="K167" s="1252" t="str">
        <x:f>IF($C167="","",IFERROR(INDEX('23 RCC-004 MASR Registry'!$D$14:$D$163,MATCH($C167,'23 RCC-004 MASR Registry'!$B$14:$B$163,0)),""))</x:f>
      </x:c>
      <x:c r="L167" s="1252" t="str">
        <x:f>IF($C167="","",IFERROR(INDEX('23 RCC-004 MASR Registry'!$E$14:$E$163,MATCH($C167,'23 RCC-004 MASR Registry'!$B$14:$B$163,0)),""))</x:f>
      </x:c>
      <x:c r="M167" s="1252" t="str">
        <x:f>IF($C167="","",IFERROR(INDEX('23 RCC-004 MASR Registry'!$X$14:$X$163,MATCH($C167,'23 RCC-004 MASR Registry'!$B$14:$B$163,0)),""))</x:f>
      </x:c>
      <x:c r="N167" s="1252" t="str">
        <x:f>IF($C167="","",IFERROR(INDEX('23 RCC-004 MASR Registry'!$Y$14:$Y$163,MATCH($C167,'23 RCC-004 MASR Registry'!$B$14:$B$163,0)),""))</x:f>
      </x:c>
      <x:c r="O167" s="1252" t="str">
        <x:f>IF($C167="","",IFERROR(INDEX('23 RCC-004 MASR Registry'!$L$14:$L$163,MATCH($C167,'23 RCC-004 MASR Registry'!$B$14:$B$163,0)),""))</x:f>
      </x:c>
      <x:c r="P167" s="1252" t="str">
        <x:f>IF($C167="","",IFERROR(INDEX('23 RCC-004 MASR Registry'!$M$14:$M$163,MATCH($C167,'23 RCC-004 MASR Registry'!$B$14:$B$163,0)),""))</x:f>
      </x:c>
      <x:c r="Q167" s="1255" t="str">
        <x:f>IF($C167="","",IFERROR(INDEX('23 RCC-004 MASR Registry'!$N$14:$N$163,MATCH($C167,'23 RCC-004 MASR Registry'!$B$14:$B$163,0)),""))</x:f>
      </x:c>
      <x:c r="R167" s="1255" t="str">
        <x:f>IF($C167="","",IFERROR(INDEX('23 RCC-004 MASR Registry'!$O$14:$O$163,MATCH($C167,'23 RCC-004 MASR Registry'!$B$14:$B$163,0)),""))</x:f>
      </x:c>
      <x:c r="S167" s="1255" t="str">
        <x:f>IF($C167="","",IFERROR(INDEX('23 RCC-004 MASR Registry'!$W$14:$W$163,MATCH($C167,'23 RCC-004 MASR Registry'!$B$14:$B$163,0)),""))</x:f>
      </x:c>
      <x:c r="T167" s="1255" t="str">
        <x:f>IF($C167="","",IFERROR(INDEX('23 RCC-004 MASR Registry'!$T$14:$T$163,MATCH($C167,'23 RCC-004 MASR Registry'!$B$14:$B$163,0)),""))</x:f>
      </x:c>
      <x:c r="U167" s="1256" t="str">
        <x:f>IF($C167="","",IFERROR(INDEX('23 RCC-004 MASR Registry'!$U$14:$U$163,MATCH($C167,'23 RCC-004 MASR Registry'!$B$14:$B$163,0)),""))</x:f>
      </x:c>
      <x:c r="V167" s="1252" t="str">
        <x:f>IF($C167="","",IFERROR(INDEX('23 RCC-004 MASR Registry'!$V$14:$V$163,MATCH($C167,'23 RCC-004 MASR Registry'!$B$14:$B$163,0)),""))</x:f>
      </x:c>
      <x:c r="W167" s="1242"/>
      <x:c r="X167" s="1256" t="str">
        <x:f>IF($C167="","",COUNTIF('18 RCC-002 Evidence Ledger'!$E$14:$E$213,$C167))</x:f>
      </x:c>
      <x:c r="Y167" s="1242"/>
      <x:c r="Z167" s="1253" t="str">
        <x:f>IF($A167="","",IF(COUNTIF($A$14:$A$213,$A167)&gt;1,"FAIL — DUPLICATE ID",IF(OR($B167="",$C167="",$E167="",$H167="",$Y167="",$AA167="",$AB167=""),"FAIL — INCOMPLETE",IF(AND(OR($Y167="MIAR Review",$Y167="Eligibility Review",$Y167="Candidate Comparison",$Y167="Committee Review",$Y167="Approved for MASR",$Y167="Referred to PEW-004",$Y167="On Watch",$Y167="Rejected",$Y167="Closed",$Y167="Removed"),$K167=""),"FAIL — MASR RECORD REQUIRED",IF(AND(OR($Y167="Eligibility Review",$Y167="Candidate Comparison",$Y167="Committee Review",$Y167="Approved for MASR",$Y167="Referred to PEW-004",$Y167="On Watch"),NOT(OR($M167="ELIGIBLE",$M167="ELIGIBLE WITH EXCEPTION",$M167="CERTIFIED HOLDING"))),"FAIL — ELIGIBILITY",IF(AND(OR($Y167="Candidate Comparison",$Y167="Committee Review",$Y167="Approved for MASR",$Y167="Referred to PEW-004",$Y167="On Watch"),$X167=0),"FAIL — EVIDENCE",IF(AND(OR($Y167="Candidate Comparison",$Y167="Committee Review",$Y167="Approved for MASR",$Y167="Referred to PEW-004",$Y167="On Watch"),OR($O167&lt;&gt;"Active",$P167&lt;&gt;"CURRENT")),"FAIL — MIAR GATE",IF(AND(OR($Y167="Approved for MASR",$Y167="Referred to PEW-004",$Y167="On Watch",$Y167="Rejected",$Y167="Closed",$Y167="Removed"),OR($AD167="",$AD167="Pending")),"FAIL — COMMITTEE DISPOSITION",IF(AND($Y167="Referred to PEW-004",OR($AF167&lt;&gt;"Yes — Refer to PEW-004",$AG167="",$AJ167="")),"FAIL — PEW REFERRAL","PASS — STAGE GATE")))))))))</x:f>
      </x:c>
      <x:c r="AA167" s="1242"/>
      <x:c r="AB167" s="1251"/>
      <x:c r="AC167" s="1257" t="str">
        <x:f>IF($B167="","",IF($AQ167&lt;&gt;"",$AQ167-$B167,TODAY()-$B167))</x:f>
      </x:c>
      <x:c r="AD167" s="1242"/>
      <x:c r="AE167" s="1251"/>
      <x:c r="AF167" s="1242"/>
      <x:c r="AG167" s="1242"/>
      <x:c r="AH167" s="1255" t="str">
        <x:f>IF($AG167="","",IFERROR(INDEX('10 Candidate Comparison'!$T$14:$T$33,MATCH($AG167,'10 Candidate Comparison'!$A$14:$A$33,0)),""))</x:f>
      </x:c>
      <x:c r="AI167" s="1252" t="str">
        <x:f>IF($AG167="","",IFERROR(INDEX('10 Candidate Comparison'!$U$14:$U$33,MATCH($AG167,'10 Candidate Comparison'!$A$14:$A$33,0)),""))</x:f>
      </x:c>
      <x:c r="AJ167" s="1252" t="str">
        <x:f>IF($AG167="","",IFERROR(INDEX('10 Candidate Comparison'!$Y$14:$Y$33,MATCH($AG167,'10 Candidate Comparison'!$A$14:$A$33,0)),""))</x:f>
      </x:c>
      <x:c r="AK167" s="1253" t="str">
        <x:f>IF($A167="","",IF($Z167="FAIL — DUPLICATE ID","DUPLICATE CANDIDATE ID",IF($Z167="FAIL — INCOMPLETE","INCOMPLETE",IF($Z167="FAIL — MASR RECORD REQUIRED","MASR RECORD REQUIRED",IF($Z167="FAIL — ELIGIBILITY","ELIGIBILITY BLOCK",IF($Z167="FAIL — EVIDENCE","EVIDENCE REQUIRED",IF($Z167="FAIL — MIAR GATE","MIAR GATE BLOCK",IF($Z167="FAIL — COMMITTEE DISPOSITION","COMMITTEE DECISION REQUIRED",IF($Z167="FAIL — PEW REFERRAL","PEW REFERRAL INCOMPLETE",IF(AND(OR($Y167="Rejected",$Y167="Closed",$Y167="Removed"),OR($AO167="",$AP167="",$AQ167="")),"CLOSURE REQUIRED",IF(AND($AB167&lt;TODAY(),NOT(OR($Y167="Rejected",$Y167="Closed",$Y167="Removed"))),"OVERDUE",IF(OR($Y167="Rejected",$Y167="Closed",$Y167="Removed"),"CLOSED","OPEN — ON TRACK"))))))))))))</x:f>
      </x:c>
      <x:c r="AL167" s="1253" t="str">
        <x:f>IF($AK167="","",IFERROR(INDEX('97 RCC Lists'!$AM$5:$AM$16,MATCH($AK167,'97 RCC Lists'!$AL$5:$AL$16,0)),"Review candidate exception"))</x:f>
      </x:c>
      <x:c r="AM167" s="1242"/>
      <x:c r="AN167" s="1242"/>
      <x:c r="AO167" s="1242"/>
      <x:c r="AP167" s="1242"/>
      <x:c r="AQ167" s="1251"/>
    </x:row>
    <x:row r="168" ht="32" customHeight="1">
      <x:c r="A168" s="1242"/>
      <x:c r="B168" s="1251"/>
      <x:c r="C168" s="1242"/>
      <x:c r="D168" s="1243" t="str">
        <x:f>IF($C168="","",IFERROR(INDEX('23 RCC-004 MASR Registry'!$C$14:$C$163,MATCH($C168,'23 RCC-004 MASR Registry'!$B$14:$B$163,0)),""))</x:f>
      </x:c>
      <x:c r="E168" s="1242"/>
      <x:c r="F168" s="1242"/>
      <x:c r="G168" s="1242"/>
      <x:c r="H168" s="1242"/>
      <x:c r="I168" s="1243" t="str">
        <x:f>IF($C168="","",IFERROR(INDEX('23 RCC-004 MASR Registry'!$G$14:$G$163,MATCH($C168,'23 RCC-004 MASR Registry'!$B$14:$B$163,0)),""))</x:f>
      </x:c>
      <x:c r="J168" s="1243" t="str">
        <x:f>IF($C168="","",IFERROR(INDEX('23 RCC-004 MASR Registry'!$H$14:$H$163,MATCH($C168,'23 RCC-004 MASR Registry'!$B$14:$B$163,0)),""))</x:f>
      </x:c>
      <x:c r="K168" s="1243" t="str">
        <x:f>IF($C168="","",IFERROR(INDEX('23 RCC-004 MASR Registry'!$D$14:$D$163,MATCH($C168,'23 RCC-004 MASR Registry'!$B$14:$B$163,0)),""))</x:f>
      </x:c>
      <x:c r="L168" s="1243" t="str">
        <x:f>IF($C168="","",IFERROR(INDEX('23 RCC-004 MASR Registry'!$E$14:$E$163,MATCH($C168,'23 RCC-004 MASR Registry'!$B$14:$B$163,0)),""))</x:f>
      </x:c>
      <x:c r="M168" s="1243" t="str">
        <x:f>IF($C168="","",IFERROR(INDEX('23 RCC-004 MASR Registry'!$X$14:$X$163,MATCH($C168,'23 RCC-004 MASR Registry'!$B$14:$B$163,0)),""))</x:f>
      </x:c>
      <x:c r="N168" s="1243" t="str">
        <x:f>IF($C168="","",IFERROR(INDEX('23 RCC-004 MASR Registry'!$Y$14:$Y$163,MATCH($C168,'23 RCC-004 MASR Registry'!$B$14:$B$163,0)),""))</x:f>
      </x:c>
      <x:c r="O168" s="1243" t="str">
        <x:f>IF($C168="","",IFERROR(INDEX('23 RCC-004 MASR Registry'!$L$14:$L$163,MATCH($C168,'23 RCC-004 MASR Registry'!$B$14:$B$163,0)),""))</x:f>
      </x:c>
      <x:c r="P168" s="1243" t="str">
        <x:f>IF($C168="","",IFERROR(INDEX('23 RCC-004 MASR Registry'!$M$14:$M$163,MATCH($C168,'23 RCC-004 MASR Registry'!$B$14:$B$163,0)),""))</x:f>
      </x:c>
      <x:c r="Q168" s="1246" t="str">
        <x:f>IF($C168="","",IFERROR(INDEX('23 RCC-004 MASR Registry'!$N$14:$N$163,MATCH($C168,'23 RCC-004 MASR Registry'!$B$14:$B$163,0)),""))</x:f>
      </x:c>
      <x:c r="R168" s="1246" t="str">
        <x:f>IF($C168="","",IFERROR(INDEX('23 RCC-004 MASR Registry'!$O$14:$O$163,MATCH($C168,'23 RCC-004 MASR Registry'!$B$14:$B$163,0)),""))</x:f>
      </x:c>
      <x:c r="S168" s="1246" t="str">
        <x:f>IF($C168="","",IFERROR(INDEX('23 RCC-004 MASR Registry'!$W$14:$W$163,MATCH($C168,'23 RCC-004 MASR Registry'!$B$14:$B$163,0)),""))</x:f>
      </x:c>
      <x:c r="T168" s="1246" t="str">
        <x:f>IF($C168="","",IFERROR(INDEX('23 RCC-004 MASR Registry'!$T$14:$T$163,MATCH($C168,'23 RCC-004 MASR Registry'!$B$14:$B$163,0)),""))</x:f>
      </x:c>
      <x:c r="U168" s="1247" t="str">
        <x:f>IF($C168="","",IFERROR(INDEX('23 RCC-004 MASR Registry'!$U$14:$U$163,MATCH($C168,'23 RCC-004 MASR Registry'!$B$14:$B$163,0)),""))</x:f>
      </x:c>
      <x:c r="V168" s="1243" t="str">
        <x:f>IF($C168="","",IFERROR(INDEX('23 RCC-004 MASR Registry'!$V$14:$V$163,MATCH($C168,'23 RCC-004 MASR Registry'!$B$14:$B$163,0)),""))</x:f>
      </x:c>
      <x:c r="W168" s="1242"/>
      <x:c r="X168" s="1247" t="str">
        <x:f>IF($C168="","",COUNTIF('18 RCC-002 Evidence Ledger'!$E$14:$E$213,$C168))</x:f>
      </x:c>
      <x:c r="Y168" s="1242"/>
      <x:c r="Z168" s="1244" t="str">
        <x:f>IF($A168="","",IF(COUNTIF($A$14:$A$213,$A168)&gt;1,"FAIL — DUPLICATE ID",IF(OR($B168="",$C168="",$E168="",$H168="",$Y168="",$AA168="",$AB168=""),"FAIL — INCOMPLETE",IF(AND(OR($Y168="MIAR Review",$Y168="Eligibility Review",$Y168="Candidate Comparison",$Y168="Committee Review",$Y168="Approved for MASR",$Y168="Referred to PEW-004",$Y168="On Watch",$Y168="Rejected",$Y168="Closed",$Y168="Removed"),$K168=""),"FAIL — MASR RECORD REQUIRED",IF(AND(OR($Y168="Eligibility Review",$Y168="Candidate Comparison",$Y168="Committee Review",$Y168="Approved for MASR",$Y168="Referred to PEW-004",$Y168="On Watch"),NOT(OR($M168="ELIGIBLE",$M168="ELIGIBLE WITH EXCEPTION",$M168="CERTIFIED HOLDING"))),"FAIL — ELIGIBILITY",IF(AND(OR($Y168="Candidate Comparison",$Y168="Committee Review",$Y168="Approved for MASR",$Y168="Referred to PEW-004",$Y168="On Watch"),$X168=0),"FAIL — EVIDENCE",IF(AND(OR($Y168="Candidate Comparison",$Y168="Committee Review",$Y168="Approved for MASR",$Y168="Referred to PEW-004",$Y168="On Watch"),OR($O168&lt;&gt;"Active",$P168&lt;&gt;"CURRENT")),"FAIL — MIAR GATE",IF(AND(OR($Y168="Approved for MASR",$Y168="Referred to PEW-004",$Y168="On Watch",$Y168="Rejected",$Y168="Closed",$Y168="Removed"),OR($AD168="",$AD168="Pending")),"FAIL — COMMITTEE DISPOSITION",IF(AND($Y168="Referred to PEW-004",OR($AF168&lt;&gt;"Yes — Refer to PEW-004",$AG168="",$AJ168="")),"FAIL — PEW REFERRAL","PASS — STAGE GATE")))))))))</x:f>
      </x:c>
      <x:c r="AA168" s="1242"/>
      <x:c r="AB168" s="1251"/>
      <x:c r="AC168" s="1250" t="str">
        <x:f>IF($B168="","",IF($AQ168&lt;&gt;"",$AQ168-$B168,TODAY()-$B168))</x:f>
      </x:c>
      <x:c r="AD168" s="1242"/>
      <x:c r="AE168" s="1251"/>
      <x:c r="AF168" s="1242"/>
      <x:c r="AG168" s="1242"/>
      <x:c r="AH168" s="1246" t="str">
        <x:f>IF($AG168="","",IFERROR(INDEX('10 Candidate Comparison'!$T$14:$T$33,MATCH($AG168,'10 Candidate Comparison'!$A$14:$A$33,0)),""))</x:f>
      </x:c>
      <x:c r="AI168" s="1243" t="str">
        <x:f>IF($AG168="","",IFERROR(INDEX('10 Candidate Comparison'!$U$14:$U$33,MATCH($AG168,'10 Candidate Comparison'!$A$14:$A$33,0)),""))</x:f>
      </x:c>
      <x:c r="AJ168" s="1243" t="str">
        <x:f>IF($AG168="","",IFERROR(INDEX('10 Candidate Comparison'!$Y$14:$Y$33,MATCH($AG168,'10 Candidate Comparison'!$A$14:$A$33,0)),""))</x:f>
      </x:c>
      <x:c r="AK168" s="1244" t="str">
        <x:f>IF($A168="","",IF($Z168="FAIL — DUPLICATE ID","DUPLICATE CANDIDATE ID",IF($Z168="FAIL — INCOMPLETE","INCOMPLETE",IF($Z168="FAIL — MASR RECORD REQUIRED","MASR RECORD REQUIRED",IF($Z168="FAIL — ELIGIBILITY","ELIGIBILITY BLOCK",IF($Z168="FAIL — EVIDENCE","EVIDENCE REQUIRED",IF($Z168="FAIL — MIAR GATE","MIAR GATE BLOCK",IF($Z168="FAIL — COMMITTEE DISPOSITION","COMMITTEE DECISION REQUIRED",IF($Z168="FAIL — PEW REFERRAL","PEW REFERRAL INCOMPLETE",IF(AND(OR($Y168="Rejected",$Y168="Closed",$Y168="Removed"),OR($AO168="",$AP168="",$AQ168="")),"CLOSURE REQUIRED",IF(AND($AB168&lt;TODAY(),NOT(OR($Y168="Rejected",$Y168="Closed",$Y168="Removed"))),"OVERDUE",IF(OR($Y168="Rejected",$Y168="Closed",$Y168="Removed"),"CLOSED","OPEN — ON TRACK"))))))))))))</x:f>
      </x:c>
      <x:c r="AL168" s="1244" t="str">
        <x:f>IF($AK168="","",IFERROR(INDEX('97 RCC Lists'!$AM$5:$AM$16,MATCH($AK168,'97 RCC Lists'!$AL$5:$AL$16,0)),"Review candidate exception"))</x:f>
      </x:c>
      <x:c r="AM168" s="1242"/>
      <x:c r="AN168" s="1242"/>
      <x:c r="AO168" s="1242"/>
      <x:c r="AP168" s="1242"/>
      <x:c r="AQ168" s="1251"/>
    </x:row>
    <x:row r="169" ht="32" customHeight="1">
      <x:c r="A169" s="1242"/>
      <x:c r="B169" s="1251"/>
      <x:c r="C169" s="1242"/>
      <x:c r="D169" s="1252" t="str">
        <x:f>IF($C169="","",IFERROR(INDEX('23 RCC-004 MASR Registry'!$C$14:$C$163,MATCH($C169,'23 RCC-004 MASR Registry'!$B$14:$B$163,0)),""))</x:f>
      </x:c>
      <x:c r="E169" s="1242"/>
      <x:c r="F169" s="1242"/>
      <x:c r="G169" s="1242"/>
      <x:c r="H169" s="1242"/>
      <x:c r="I169" s="1252" t="str">
        <x:f>IF($C169="","",IFERROR(INDEX('23 RCC-004 MASR Registry'!$G$14:$G$163,MATCH($C169,'23 RCC-004 MASR Registry'!$B$14:$B$163,0)),""))</x:f>
      </x:c>
      <x:c r="J169" s="1252" t="str">
        <x:f>IF($C169="","",IFERROR(INDEX('23 RCC-004 MASR Registry'!$H$14:$H$163,MATCH($C169,'23 RCC-004 MASR Registry'!$B$14:$B$163,0)),""))</x:f>
      </x:c>
      <x:c r="K169" s="1252" t="str">
        <x:f>IF($C169="","",IFERROR(INDEX('23 RCC-004 MASR Registry'!$D$14:$D$163,MATCH($C169,'23 RCC-004 MASR Registry'!$B$14:$B$163,0)),""))</x:f>
      </x:c>
      <x:c r="L169" s="1252" t="str">
        <x:f>IF($C169="","",IFERROR(INDEX('23 RCC-004 MASR Registry'!$E$14:$E$163,MATCH($C169,'23 RCC-004 MASR Registry'!$B$14:$B$163,0)),""))</x:f>
      </x:c>
      <x:c r="M169" s="1252" t="str">
        <x:f>IF($C169="","",IFERROR(INDEX('23 RCC-004 MASR Registry'!$X$14:$X$163,MATCH($C169,'23 RCC-004 MASR Registry'!$B$14:$B$163,0)),""))</x:f>
      </x:c>
      <x:c r="N169" s="1252" t="str">
        <x:f>IF($C169="","",IFERROR(INDEX('23 RCC-004 MASR Registry'!$Y$14:$Y$163,MATCH($C169,'23 RCC-004 MASR Registry'!$B$14:$B$163,0)),""))</x:f>
      </x:c>
      <x:c r="O169" s="1252" t="str">
        <x:f>IF($C169="","",IFERROR(INDEX('23 RCC-004 MASR Registry'!$L$14:$L$163,MATCH($C169,'23 RCC-004 MASR Registry'!$B$14:$B$163,0)),""))</x:f>
      </x:c>
      <x:c r="P169" s="1252" t="str">
        <x:f>IF($C169="","",IFERROR(INDEX('23 RCC-004 MASR Registry'!$M$14:$M$163,MATCH($C169,'23 RCC-004 MASR Registry'!$B$14:$B$163,0)),""))</x:f>
      </x:c>
      <x:c r="Q169" s="1255" t="str">
        <x:f>IF($C169="","",IFERROR(INDEX('23 RCC-004 MASR Registry'!$N$14:$N$163,MATCH($C169,'23 RCC-004 MASR Registry'!$B$14:$B$163,0)),""))</x:f>
      </x:c>
      <x:c r="R169" s="1255" t="str">
        <x:f>IF($C169="","",IFERROR(INDEX('23 RCC-004 MASR Registry'!$O$14:$O$163,MATCH($C169,'23 RCC-004 MASR Registry'!$B$14:$B$163,0)),""))</x:f>
      </x:c>
      <x:c r="S169" s="1255" t="str">
        <x:f>IF($C169="","",IFERROR(INDEX('23 RCC-004 MASR Registry'!$W$14:$W$163,MATCH($C169,'23 RCC-004 MASR Registry'!$B$14:$B$163,0)),""))</x:f>
      </x:c>
      <x:c r="T169" s="1255" t="str">
        <x:f>IF($C169="","",IFERROR(INDEX('23 RCC-004 MASR Registry'!$T$14:$T$163,MATCH($C169,'23 RCC-004 MASR Registry'!$B$14:$B$163,0)),""))</x:f>
      </x:c>
      <x:c r="U169" s="1256" t="str">
        <x:f>IF($C169="","",IFERROR(INDEX('23 RCC-004 MASR Registry'!$U$14:$U$163,MATCH($C169,'23 RCC-004 MASR Registry'!$B$14:$B$163,0)),""))</x:f>
      </x:c>
      <x:c r="V169" s="1252" t="str">
        <x:f>IF($C169="","",IFERROR(INDEX('23 RCC-004 MASR Registry'!$V$14:$V$163,MATCH($C169,'23 RCC-004 MASR Registry'!$B$14:$B$163,0)),""))</x:f>
      </x:c>
      <x:c r="W169" s="1242"/>
      <x:c r="X169" s="1256" t="str">
        <x:f>IF($C169="","",COUNTIF('18 RCC-002 Evidence Ledger'!$E$14:$E$213,$C169))</x:f>
      </x:c>
      <x:c r="Y169" s="1242"/>
      <x:c r="Z169" s="1253" t="str">
        <x:f>IF($A169="","",IF(COUNTIF($A$14:$A$213,$A169)&gt;1,"FAIL — DUPLICATE ID",IF(OR($B169="",$C169="",$E169="",$H169="",$Y169="",$AA169="",$AB169=""),"FAIL — INCOMPLETE",IF(AND(OR($Y169="MIAR Review",$Y169="Eligibility Review",$Y169="Candidate Comparison",$Y169="Committee Review",$Y169="Approved for MASR",$Y169="Referred to PEW-004",$Y169="On Watch",$Y169="Rejected",$Y169="Closed",$Y169="Removed"),$K169=""),"FAIL — MASR RECORD REQUIRED",IF(AND(OR($Y169="Eligibility Review",$Y169="Candidate Comparison",$Y169="Committee Review",$Y169="Approved for MASR",$Y169="Referred to PEW-004",$Y169="On Watch"),NOT(OR($M169="ELIGIBLE",$M169="ELIGIBLE WITH EXCEPTION",$M169="CERTIFIED HOLDING"))),"FAIL — ELIGIBILITY",IF(AND(OR($Y169="Candidate Comparison",$Y169="Committee Review",$Y169="Approved for MASR",$Y169="Referred to PEW-004",$Y169="On Watch"),$X169=0),"FAIL — EVIDENCE",IF(AND(OR($Y169="Candidate Comparison",$Y169="Committee Review",$Y169="Approved for MASR",$Y169="Referred to PEW-004",$Y169="On Watch"),OR($O169&lt;&gt;"Active",$P169&lt;&gt;"CURRENT")),"FAIL — MIAR GATE",IF(AND(OR($Y169="Approved for MASR",$Y169="Referred to PEW-004",$Y169="On Watch",$Y169="Rejected",$Y169="Closed",$Y169="Removed"),OR($AD169="",$AD169="Pending")),"FAIL — COMMITTEE DISPOSITION",IF(AND($Y169="Referred to PEW-004",OR($AF169&lt;&gt;"Yes — Refer to PEW-004",$AG169="",$AJ169="")),"FAIL — PEW REFERRAL","PASS — STAGE GATE")))))))))</x:f>
      </x:c>
      <x:c r="AA169" s="1242"/>
      <x:c r="AB169" s="1251"/>
      <x:c r="AC169" s="1257" t="str">
        <x:f>IF($B169="","",IF($AQ169&lt;&gt;"",$AQ169-$B169,TODAY()-$B169))</x:f>
      </x:c>
      <x:c r="AD169" s="1242"/>
      <x:c r="AE169" s="1251"/>
      <x:c r="AF169" s="1242"/>
      <x:c r="AG169" s="1242"/>
      <x:c r="AH169" s="1255" t="str">
        <x:f>IF($AG169="","",IFERROR(INDEX('10 Candidate Comparison'!$T$14:$T$33,MATCH($AG169,'10 Candidate Comparison'!$A$14:$A$33,0)),""))</x:f>
      </x:c>
      <x:c r="AI169" s="1252" t="str">
        <x:f>IF($AG169="","",IFERROR(INDEX('10 Candidate Comparison'!$U$14:$U$33,MATCH($AG169,'10 Candidate Comparison'!$A$14:$A$33,0)),""))</x:f>
      </x:c>
      <x:c r="AJ169" s="1252" t="str">
        <x:f>IF($AG169="","",IFERROR(INDEX('10 Candidate Comparison'!$Y$14:$Y$33,MATCH($AG169,'10 Candidate Comparison'!$A$14:$A$33,0)),""))</x:f>
      </x:c>
      <x:c r="AK169" s="1253" t="str">
        <x:f>IF($A169="","",IF($Z169="FAIL — DUPLICATE ID","DUPLICATE CANDIDATE ID",IF($Z169="FAIL — INCOMPLETE","INCOMPLETE",IF($Z169="FAIL — MASR RECORD REQUIRED","MASR RECORD REQUIRED",IF($Z169="FAIL — ELIGIBILITY","ELIGIBILITY BLOCK",IF($Z169="FAIL — EVIDENCE","EVIDENCE REQUIRED",IF($Z169="FAIL — MIAR GATE","MIAR GATE BLOCK",IF($Z169="FAIL — COMMITTEE DISPOSITION","COMMITTEE DECISION REQUIRED",IF($Z169="FAIL — PEW REFERRAL","PEW REFERRAL INCOMPLETE",IF(AND(OR($Y169="Rejected",$Y169="Closed",$Y169="Removed"),OR($AO169="",$AP169="",$AQ169="")),"CLOSURE REQUIRED",IF(AND($AB169&lt;TODAY(),NOT(OR($Y169="Rejected",$Y169="Closed",$Y169="Removed"))),"OVERDUE",IF(OR($Y169="Rejected",$Y169="Closed",$Y169="Removed"),"CLOSED","OPEN — ON TRACK"))))))))))))</x:f>
      </x:c>
      <x:c r="AL169" s="1253" t="str">
        <x:f>IF($AK169="","",IFERROR(INDEX('97 RCC Lists'!$AM$5:$AM$16,MATCH($AK169,'97 RCC Lists'!$AL$5:$AL$16,0)),"Review candidate exception"))</x:f>
      </x:c>
      <x:c r="AM169" s="1242"/>
      <x:c r="AN169" s="1242"/>
      <x:c r="AO169" s="1242"/>
      <x:c r="AP169" s="1242"/>
      <x:c r="AQ169" s="1251"/>
    </x:row>
    <x:row r="170" ht="32" customHeight="1">
      <x:c r="A170" s="1242"/>
      <x:c r="B170" s="1251"/>
      <x:c r="C170" s="1242"/>
      <x:c r="D170" s="1243" t="str">
        <x:f>IF($C170="","",IFERROR(INDEX('23 RCC-004 MASR Registry'!$C$14:$C$163,MATCH($C170,'23 RCC-004 MASR Registry'!$B$14:$B$163,0)),""))</x:f>
      </x:c>
      <x:c r="E170" s="1242"/>
      <x:c r="F170" s="1242"/>
      <x:c r="G170" s="1242"/>
      <x:c r="H170" s="1242"/>
      <x:c r="I170" s="1243" t="str">
        <x:f>IF($C170="","",IFERROR(INDEX('23 RCC-004 MASR Registry'!$G$14:$G$163,MATCH($C170,'23 RCC-004 MASR Registry'!$B$14:$B$163,0)),""))</x:f>
      </x:c>
      <x:c r="J170" s="1243" t="str">
        <x:f>IF($C170="","",IFERROR(INDEX('23 RCC-004 MASR Registry'!$H$14:$H$163,MATCH($C170,'23 RCC-004 MASR Registry'!$B$14:$B$163,0)),""))</x:f>
      </x:c>
      <x:c r="K170" s="1243" t="str">
        <x:f>IF($C170="","",IFERROR(INDEX('23 RCC-004 MASR Registry'!$D$14:$D$163,MATCH($C170,'23 RCC-004 MASR Registry'!$B$14:$B$163,0)),""))</x:f>
      </x:c>
      <x:c r="L170" s="1243" t="str">
        <x:f>IF($C170="","",IFERROR(INDEX('23 RCC-004 MASR Registry'!$E$14:$E$163,MATCH($C170,'23 RCC-004 MASR Registry'!$B$14:$B$163,0)),""))</x:f>
      </x:c>
      <x:c r="M170" s="1243" t="str">
        <x:f>IF($C170="","",IFERROR(INDEX('23 RCC-004 MASR Registry'!$X$14:$X$163,MATCH($C170,'23 RCC-004 MASR Registry'!$B$14:$B$163,0)),""))</x:f>
      </x:c>
      <x:c r="N170" s="1243" t="str">
        <x:f>IF($C170="","",IFERROR(INDEX('23 RCC-004 MASR Registry'!$Y$14:$Y$163,MATCH($C170,'23 RCC-004 MASR Registry'!$B$14:$B$163,0)),""))</x:f>
      </x:c>
      <x:c r="O170" s="1243" t="str">
        <x:f>IF($C170="","",IFERROR(INDEX('23 RCC-004 MASR Registry'!$L$14:$L$163,MATCH($C170,'23 RCC-004 MASR Registry'!$B$14:$B$163,0)),""))</x:f>
      </x:c>
      <x:c r="P170" s="1243" t="str">
        <x:f>IF($C170="","",IFERROR(INDEX('23 RCC-004 MASR Registry'!$M$14:$M$163,MATCH($C170,'23 RCC-004 MASR Registry'!$B$14:$B$163,0)),""))</x:f>
      </x:c>
      <x:c r="Q170" s="1246" t="str">
        <x:f>IF($C170="","",IFERROR(INDEX('23 RCC-004 MASR Registry'!$N$14:$N$163,MATCH($C170,'23 RCC-004 MASR Registry'!$B$14:$B$163,0)),""))</x:f>
      </x:c>
      <x:c r="R170" s="1246" t="str">
        <x:f>IF($C170="","",IFERROR(INDEX('23 RCC-004 MASR Registry'!$O$14:$O$163,MATCH($C170,'23 RCC-004 MASR Registry'!$B$14:$B$163,0)),""))</x:f>
      </x:c>
      <x:c r="S170" s="1246" t="str">
        <x:f>IF($C170="","",IFERROR(INDEX('23 RCC-004 MASR Registry'!$W$14:$W$163,MATCH($C170,'23 RCC-004 MASR Registry'!$B$14:$B$163,0)),""))</x:f>
      </x:c>
      <x:c r="T170" s="1246" t="str">
        <x:f>IF($C170="","",IFERROR(INDEX('23 RCC-004 MASR Registry'!$T$14:$T$163,MATCH($C170,'23 RCC-004 MASR Registry'!$B$14:$B$163,0)),""))</x:f>
      </x:c>
      <x:c r="U170" s="1247" t="str">
        <x:f>IF($C170="","",IFERROR(INDEX('23 RCC-004 MASR Registry'!$U$14:$U$163,MATCH($C170,'23 RCC-004 MASR Registry'!$B$14:$B$163,0)),""))</x:f>
      </x:c>
      <x:c r="V170" s="1243" t="str">
        <x:f>IF($C170="","",IFERROR(INDEX('23 RCC-004 MASR Registry'!$V$14:$V$163,MATCH($C170,'23 RCC-004 MASR Registry'!$B$14:$B$163,0)),""))</x:f>
      </x:c>
      <x:c r="W170" s="1242"/>
      <x:c r="X170" s="1247" t="str">
        <x:f>IF($C170="","",COUNTIF('18 RCC-002 Evidence Ledger'!$E$14:$E$213,$C170))</x:f>
      </x:c>
      <x:c r="Y170" s="1242"/>
      <x:c r="Z170" s="1244" t="str">
        <x:f>IF($A170="","",IF(COUNTIF($A$14:$A$213,$A170)&gt;1,"FAIL — DUPLICATE ID",IF(OR($B170="",$C170="",$E170="",$H170="",$Y170="",$AA170="",$AB170=""),"FAIL — INCOMPLETE",IF(AND(OR($Y170="MIAR Review",$Y170="Eligibility Review",$Y170="Candidate Comparison",$Y170="Committee Review",$Y170="Approved for MASR",$Y170="Referred to PEW-004",$Y170="On Watch",$Y170="Rejected",$Y170="Closed",$Y170="Removed"),$K170=""),"FAIL — MASR RECORD REQUIRED",IF(AND(OR($Y170="Eligibility Review",$Y170="Candidate Comparison",$Y170="Committee Review",$Y170="Approved for MASR",$Y170="Referred to PEW-004",$Y170="On Watch"),NOT(OR($M170="ELIGIBLE",$M170="ELIGIBLE WITH EXCEPTION",$M170="CERTIFIED HOLDING"))),"FAIL — ELIGIBILITY",IF(AND(OR($Y170="Candidate Comparison",$Y170="Committee Review",$Y170="Approved for MASR",$Y170="Referred to PEW-004",$Y170="On Watch"),$X170=0),"FAIL — EVIDENCE",IF(AND(OR($Y170="Candidate Comparison",$Y170="Committee Review",$Y170="Approved for MASR",$Y170="Referred to PEW-004",$Y170="On Watch"),OR($O170&lt;&gt;"Active",$P170&lt;&gt;"CURRENT")),"FAIL — MIAR GATE",IF(AND(OR($Y170="Approved for MASR",$Y170="Referred to PEW-004",$Y170="On Watch",$Y170="Rejected",$Y170="Closed",$Y170="Removed"),OR($AD170="",$AD170="Pending")),"FAIL — COMMITTEE DISPOSITION",IF(AND($Y170="Referred to PEW-004",OR($AF170&lt;&gt;"Yes — Refer to PEW-004",$AG170="",$AJ170="")),"FAIL — PEW REFERRAL","PASS — STAGE GATE")))))))))</x:f>
      </x:c>
      <x:c r="AA170" s="1242"/>
      <x:c r="AB170" s="1251"/>
      <x:c r="AC170" s="1250" t="str">
        <x:f>IF($B170="","",IF($AQ170&lt;&gt;"",$AQ170-$B170,TODAY()-$B170))</x:f>
      </x:c>
      <x:c r="AD170" s="1242"/>
      <x:c r="AE170" s="1251"/>
      <x:c r="AF170" s="1242"/>
      <x:c r="AG170" s="1242"/>
      <x:c r="AH170" s="1246" t="str">
        <x:f>IF($AG170="","",IFERROR(INDEX('10 Candidate Comparison'!$T$14:$T$33,MATCH($AG170,'10 Candidate Comparison'!$A$14:$A$33,0)),""))</x:f>
      </x:c>
      <x:c r="AI170" s="1243" t="str">
        <x:f>IF($AG170="","",IFERROR(INDEX('10 Candidate Comparison'!$U$14:$U$33,MATCH($AG170,'10 Candidate Comparison'!$A$14:$A$33,0)),""))</x:f>
      </x:c>
      <x:c r="AJ170" s="1243" t="str">
        <x:f>IF($AG170="","",IFERROR(INDEX('10 Candidate Comparison'!$Y$14:$Y$33,MATCH($AG170,'10 Candidate Comparison'!$A$14:$A$33,0)),""))</x:f>
      </x:c>
      <x:c r="AK170" s="1244" t="str">
        <x:f>IF($A170="","",IF($Z170="FAIL — DUPLICATE ID","DUPLICATE CANDIDATE ID",IF($Z170="FAIL — INCOMPLETE","INCOMPLETE",IF($Z170="FAIL — MASR RECORD REQUIRED","MASR RECORD REQUIRED",IF($Z170="FAIL — ELIGIBILITY","ELIGIBILITY BLOCK",IF($Z170="FAIL — EVIDENCE","EVIDENCE REQUIRED",IF($Z170="FAIL — MIAR GATE","MIAR GATE BLOCK",IF($Z170="FAIL — COMMITTEE DISPOSITION","COMMITTEE DECISION REQUIRED",IF($Z170="FAIL — PEW REFERRAL","PEW REFERRAL INCOMPLETE",IF(AND(OR($Y170="Rejected",$Y170="Closed",$Y170="Removed"),OR($AO170="",$AP170="",$AQ170="")),"CLOSURE REQUIRED",IF(AND($AB170&lt;TODAY(),NOT(OR($Y170="Rejected",$Y170="Closed",$Y170="Removed"))),"OVERDUE",IF(OR($Y170="Rejected",$Y170="Closed",$Y170="Removed"),"CLOSED","OPEN — ON TRACK"))))))))))))</x:f>
      </x:c>
      <x:c r="AL170" s="1244" t="str">
        <x:f>IF($AK170="","",IFERROR(INDEX('97 RCC Lists'!$AM$5:$AM$16,MATCH($AK170,'97 RCC Lists'!$AL$5:$AL$16,0)),"Review candidate exception"))</x:f>
      </x:c>
      <x:c r="AM170" s="1242"/>
      <x:c r="AN170" s="1242"/>
      <x:c r="AO170" s="1242"/>
      <x:c r="AP170" s="1242"/>
      <x:c r="AQ170" s="1251"/>
    </x:row>
    <x:row r="171" ht="32" customHeight="1">
      <x:c r="A171" s="1242"/>
      <x:c r="B171" s="1251"/>
      <x:c r="C171" s="1242"/>
      <x:c r="D171" s="1252" t="str">
        <x:f>IF($C171="","",IFERROR(INDEX('23 RCC-004 MASR Registry'!$C$14:$C$163,MATCH($C171,'23 RCC-004 MASR Registry'!$B$14:$B$163,0)),""))</x:f>
      </x:c>
      <x:c r="E171" s="1242"/>
      <x:c r="F171" s="1242"/>
      <x:c r="G171" s="1242"/>
      <x:c r="H171" s="1242"/>
      <x:c r="I171" s="1252" t="str">
        <x:f>IF($C171="","",IFERROR(INDEX('23 RCC-004 MASR Registry'!$G$14:$G$163,MATCH($C171,'23 RCC-004 MASR Registry'!$B$14:$B$163,0)),""))</x:f>
      </x:c>
      <x:c r="J171" s="1252" t="str">
        <x:f>IF($C171="","",IFERROR(INDEX('23 RCC-004 MASR Registry'!$H$14:$H$163,MATCH($C171,'23 RCC-004 MASR Registry'!$B$14:$B$163,0)),""))</x:f>
      </x:c>
      <x:c r="K171" s="1252" t="str">
        <x:f>IF($C171="","",IFERROR(INDEX('23 RCC-004 MASR Registry'!$D$14:$D$163,MATCH($C171,'23 RCC-004 MASR Registry'!$B$14:$B$163,0)),""))</x:f>
      </x:c>
      <x:c r="L171" s="1252" t="str">
        <x:f>IF($C171="","",IFERROR(INDEX('23 RCC-004 MASR Registry'!$E$14:$E$163,MATCH($C171,'23 RCC-004 MASR Registry'!$B$14:$B$163,0)),""))</x:f>
      </x:c>
      <x:c r="M171" s="1252" t="str">
        <x:f>IF($C171="","",IFERROR(INDEX('23 RCC-004 MASR Registry'!$X$14:$X$163,MATCH($C171,'23 RCC-004 MASR Registry'!$B$14:$B$163,0)),""))</x:f>
      </x:c>
      <x:c r="N171" s="1252" t="str">
        <x:f>IF($C171="","",IFERROR(INDEX('23 RCC-004 MASR Registry'!$Y$14:$Y$163,MATCH($C171,'23 RCC-004 MASR Registry'!$B$14:$B$163,0)),""))</x:f>
      </x:c>
      <x:c r="O171" s="1252" t="str">
        <x:f>IF($C171="","",IFERROR(INDEX('23 RCC-004 MASR Registry'!$L$14:$L$163,MATCH($C171,'23 RCC-004 MASR Registry'!$B$14:$B$163,0)),""))</x:f>
      </x:c>
      <x:c r="P171" s="1252" t="str">
        <x:f>IF($C171="","",IFERROR(INDEX('23 RCC-004 MASR Registry'!$M$14:$M$163,MATCH($C171,'23 RCC-004 MASR Registry'!$B$14:$B$163,0)),""))</x:f>
      </x:c>
      <x:c r="Q171" s="1255" t="str">
        <x:f>IF($C171="","",IFERROR(INDEX('23 RCC-004 MASR Registry'!$N$14:$N$163,MATCH($C171,'23 RCC-004 MASR Registry'!$B$14:$B$163,0)),""))</x:f>
      </x:c>
      <x:c r="R171" s="1255" t="str">
        <x:f>IF($C171="","",IFERROR(INDEX('23 RCC-004 MASR Registry'!$O$14:$O$163,MATCH($C171,'23 RCC-004 MASR Registry'!$B$14:$B$163,0)),""))</x:f>
      </x:c>
      <x:c r="S171" s="1255" t="str">
        <x:f>IF($C171="","",IFERROR(INDEX('23 RCC-004 MASR Registry'!$W$14:$W$163,MATCH($C171,'23 RCC-004 MASR Registry'!$B$14:$B$163,0)),""))</x:f>
      </x:c>
      <x:c r="T171" s="1255" t="str">
        <x:f>IF($C171="","",IFERROR(INDEX('23 RCC-004 MASR Registry'!$T$14:$T$163,MATCH($C171,'23 RCC-004 MASR Registry'!$B$14:$B$163,0)),""))</x:f>
      </x:c>
      <x:c r="U171" s="1256" t="str">
        <x:f>IF($C171="","",IFERROR(INDEX('23 RCC-004 MASR Registry'!$U$14:$U$163,MATCH($C171,'23 RCC-004 MASR Registry'!$B$14:$B$163,0)),""))</x:f>
      </x:c>
      <x:c r="V171" s="1252" t="str">
        <x:f>IF($C171="","",IFERROR(INDEX('23 RCC-004 MASR Registry'!$V$14:$V$163,MATCH($C171,'23 RCC-004 MASR Registry'!$B$14:$B$163,0)),""))</x:f>
      </x:c>
      <x:c r="W171" s="1242"/>
      <x:c r="X171" s="1256" t="str">
        <x:f>IF($C171="","",COUNTIF('18 RCC-002 Evidence Ledger'!$E$14:$E$213,$C171))</x:f>
      </x:c>
      <x:c r="Y171" s="1242"/>
      <x:c r="Z171" s="1253" t="str">
        <x:f>IF($A171="","",IF(COUNTIF($A$14:$A$213,$A171)&gt;1,"FAIL — DUPLICATE ID",IF(OR($B171="",$C171="",$E171="",$H171="",$Y171="",$AA171="",$AB171=""),"FAIL — INCOMPLETE",IF(AND(OR($Y171="MIAR Review",$Y171="Eligibility Review",$Y171="Candidate Comparison",$Y171="Committee Review",$Y171="Approved for MASR",$Y171="Referred to PEW-004",$Y171="On Watch",$Y171="Rejected",$Y171="Closed",$Y171="Removed"),$K171=""),"FAIL — MASR RECORD REQUIRED",IF(AND(OR($Y171="Eligibility Review",$Y171="Candidate Comparison",$Y171="Committee Review",$Y171="Approved for MASR",$Y171="Referred to PEW-004",$Y171="On Watch"),NOT(OR($M171="ELIGIBLE",$M171="ELIGIBLE WITH EXCEPTION",$M171="CERTIFIED HOLDING"))),"FAIL — ELIGIBILITY",IF(AND(OR($Y171="Candidate Comparison",$Y171="Committee Review",$Y171="Approved for MASR",$Y171="Referred to PEW-004",$Y171="On Watch"),$X171=0),"FAIL — EVIDENCE",IF(AND(OR($Y171="Candidate Comparison",$Y171="Committee Review",$Y171="Approved for MASR",$Y171="Referred to PEW-004",$Y171="On Watch"),OR($O171&lt;&gt;"Active",$P171&lt;&gt;"CURRENT")),"FAIL — MIAR GATE",IF(AND(OR($Y171="Approved for MASR",$Y171="Referred to PEW-004",$Y171="On Watch",$Y171="Rejected",$Y171="Closed",$Y171="Removed"),OR($AD171="",$AD171="Pending")),"FAIL — COMMITTEE DISPOSITION",IF(AND($Y171="Referred to PEW-004",OR($AF171&lt;&gt;"Yes — Refer to PEW-004",$AG171="",$AJ171="")),"FAIL — PEW REFERRAL","PASS — STAGE GATE")))))))))</x:f>
      </x:c>
      <x:c r="AA171" s="1242"/>
      <x:c r="AB171" s="1251"/>
      <x:c r="AC171" s="1257" t="str">
        <x:f>IF($B171="","",IF($AQ171&lt;&gt;"",$AQ171-$B171,TODAY()-$B171))</x:f>
      </x:c>
      <x:c r="AD171" s="1242"/>
      <x:c r="AE171" s="1251"/>
      <x:c r="AF171" s="1242"/>
      <x:c r="AG171" s="1242"/>
      <x:c r="AH171" s="1255" t="str">
        <x:f>IF($AG171="","",IFERROR(INDEX('10 Candidate Comparison'!$T$14:$T$33,MATCH($AG171,'10 Candidate Comparison'!$A$14:$A$33,0)),""))</x:f>
      </x:c>
      <x:c r="AI171" s="1252" t="str">
        <x:f>IF($AG171="","",IFERROR(INDEX('10 Candidate Comparison'!$U$14:$U$33,MATCH($AG171,'10 Candidate Comparison'!$A$14:$A$33,0)),""))</x:f>
      </x:c>
      <x:c r="AJ171" s="1252" t="str">
        <x:f>IF($AG171="","",IFERROR(INDEX('10 Candidate Comparison'!$Y$14:$Y$33,MATCH($AG171,'10 Candidate Comparison'!$A$14:$A$33,0)),""))</x:f>
      </x:c>
      <x:c r="AK171" s="1253" t="str">
        <x:f>IF($A171="","",IF($Z171="FAIL — DUPLICATE ID","DUPLICATE CANDIDATE ID",IF($Z171="FAIL — INCOMPLETE","INCOMPLETE",IF($Z171="FAIL — MASR RECORD REQUIRED","MASR RECORD REQUIRED",IF($Z171="FAIL — ELIGIBILITY","ELIGIBILITY BLOCK",IF($Z171="FAIL — EVIDENCE","EVIDENCE REQUIRED",IF($Z171="FAIL — MIAR GATE","MIAR GATE BLOCK",IF($Z171="FAIL — COMMITTEE DISPOSITION","COMMITTEE DECISION REQUIRED",IF($Z171="FAIL — PEW REFERRAL","PEW REFERRAL INCOMPLETE",IF(AND(OR($Y171="Rejected",$Y171="Closed",$Y171="Removed"),OR($AO171="",$AP171="",$AQ171="")),"CLOSURE REQUIRED",IF(AND($AB171&lt;TODAY(),NOT(OR($Y171="Rejected",$Y171="Closed",$Y171="Removed"))),"OVERDUE",IF(OR($Y171="Rejected",$Y171="Closed",$Y171="Removed"),"CLOSED","OPEN — ON TRACK"))))))))))))</x:f>
      </x:c>
      <x:c r="AL171" s="1253" t="str">
        <x:f>IF($AK171="","",IFERROR(INDEX('97 RCC Lists'!$AM$5:$AM$16,MATCH($AK171,'97 RCC Lists'!$AL$5:$AL$16,0)),"Review candidate exception"))</x:f>
      </x:c>
      <x:c r="AM171" s="1242"/>
      <x:c r="AN171" s="1242"/>
      <x:c r="AO171" s="1242"/>
      <x:c r="AP171" s="1242"/>
      <x:c r="AQ171" s="1251"/>
    </x:row>
    <x:row r="172" ht="32" customHeight="1">
      <x:c r="A172" s="1242"/>
      <x:c r="B172" s="1251"/>
      <x:c r="C172" s="1242"/>
      <x:c r="D172" s="1243" t="str">
        <x:f>IF($C172="","",IFERROR(INDEX('23 RCC-004 MASR Registry'!$C$14:$C$163,MATCH($C172,'23 RCC-004 MASR Registry'!$B$14:$B$163,0)),""))</x:f>
      </x:c>
      <x:c r="E172" s="1242"/>
      <x:c r="F172" s="1242"/>
      <x:c r="G172" s="1242"/>
      <x:c r="H172" s="1242"/>
      <x:c r="I172" s="1243" t="str">
        <x:f>IF($C172="","",IFERROR(INDEX('23 RCC-004 MASR Registry'!$G$14:$G$163,MATCH($C172,'23 RCC-004 MASR Registry'!$B$14:$B$163,0)),""))</x:f>
      </x:c>
      <x:c r="J172" s="1243" t="str">
        <x:f>IF($C172="","",IFERROR(INDEX('23 RCC-004 MASR Registry'!$H$14:$H$163,MATCH($C172,'23 RCC-004 MASR Registry'!$B$14:$B$163,0)),""))</x:f>
      </x:c>
      <x:c r="K172" s="1243" t="str">
        <x:f>IF($C172="","",IFERROR(INDEX('23 RCC-004 MASR Registry'!$D$14:$D$163,MATCH($C172,'23 RCC-004 MASR Registry'!$B$14:$B$163,0)),""))</x:f>
      </x:c>
      <x:c r="L172" s="1243" t="str">
        <x:f>IF($C172="","",IFERROR(INDEX('23 RCC-004 MASR Registry'!$E$14:$E$163,MATCH($C172,'23 RCC-004 MASR Registry'!$B$14:$B$163,0)),""))</x:f>
      </x:c>
      <x:c r="M172" s="1243" t="str">
        <x:f>IF($C172="","",IFERROR(INDEX('23 RCC-004 MASR Registry'!$X$14:$X$163,MATCH($C172,'23 RCC-004 MASR Registry'!$B$14:$B$163,0)),""))</x:f>
      </x:c>
      <x:c r="N172" s="1243" t="str">
        <x:f>IF($C172="","",IFERROR(INDEX('23 RCC-004 MASR Registry'!$Y$14:$Y$163,MATCH($C172,'23 RCC-004 MASR Registry'!$B$14:$B$163,0)),""))</x:f>
      </x:c>
      <x:c r="O172" s="1243" t="str">
        <x:f>IF($C172="","",IFERROR(INDEX('23 RCC-004 MASR Registry'!$L$14:$L$163,MATCH($C172,'23 RCC-004 MASR Registry'!$B$14:$B$163,0)),""))</x:f>
      </x:c>
      <x:c r="P172" s="1243" t="str">
        <x:f>IF($C172="","",IFERROR(INDEX('23 RCC-004 MASR Registry'!$M$14:$M$163,MATCH($C172,'23 RCC-004 MASR Registry'!$B$14:$B$163,0)),""))</x:f>
      </x:c>
      <x:c r="Q172" s="1246" t="str">
        <x:f>IF($C172="","",IFERROR(INDEX('23 RCC-004 MASR Registry'!$N$14:$N$163,MATCH($C172,'23 RCC-004 MASR Registry'!$B$14:$B$163,0)),""))</x:f>
      </x:c>
      <x:c r="R172" s="1246" t="str">
        <x:f>IF($C172="","",IFERROR(INDEX('23 RCC-004 MASR Registry'!$O$14:$O$163,MATCH($C172,'23 RCC-004 MASR Registry'!$B$14:$B$163,0)),""))</x:f>
      </x:c>
      <x:c r="S172" s="1246" t="str">
        <x:f>IF($C172="","",IFERROR(INDEX('23 RCC-004 MASR Registry'!$W$14:$W$163,MATCH($C172,'23 RCC-004 MASR Registry'!$B$14:$B$163,0)),""))</x:f>
      </x:c>
      <x:c r="T172" s="1246" t="str">
        <x:f>IF($C172="","",IFERROR(INDEX('23 RCC-004 MASR Registry'!$T$14:$T$163,MATCH($C172,'23 RCC-004 MASR Registry'!$B$14:$B$163,0)),""))</x:f>
      </x:c>
      <x:c r="U172" s="1247" t="str">
        <x:f>IF($C172="","",IFERROR(INDEX('23 RCC-004 MASR Registry'!$U$14:$U$163,MATCH($C172,'23 RCC-004 MASR Registry'!$B$14:$B$163,0)),""))</x:f>
      </x:c>
      <x:c r="V172" s="1243" t="str">
        <x:f>IF($C172="","",IFERROR(INDEX('23 RCC-004 MASR Registry'!$V$14:$V$163,MATCH($C172,'23 RCC-004 MASR Registry'!$B$14:$B$163,0)),""))</x:f>
      </x:c>
      <x:c r="W172" s="1242"/>
      <x:c r="X172" s="1247" t="str">
        <x:f>IF($C172="","",COUNTIF('18 RCC-002 Evidence Ledger'!$E$14:$E$213,$C172))</x:f>
      </x:c>
      <x:c r="Y172" s="1242"/>
      <x:c r="Z172" s="1244" t="str">
        <x:f>IF($A172="","",IF(COUNTIF($A$14:$A$213,$A172)&gt;1,"FAIL — DUPLICATE ID",IF(OR($B172="",$C172="",$E172="",$H172="",$Y172="",$AA172="",$AB172=""),"FAIL — INCOMPLETE",IF(AND(OR($Y172="MIAR Review",$Y172="Eligibility Review",$Y172="Candidate Comparison",$Y172="Committee Review",$Y172="Approved for MASR",$Y172="Referred to PEW-004",$Y172="On Watch",$Y172="Rejected",$Y172="Closed",$Y172="Removed"),$K172=""),"FAIL — MASR RECORD REQUIRED",IF(AND(OR($Y172="Eligibility Review",$Y172="Candidate Comparison",$Y172="Committee Review",$Y172="Approved for MASR",$Y172="Referred to PEW-004",$Y172="On Watch"),NOT(OR($M172="ELIGIBLE",$M172="ELIGIBLE WITH EXCEPTION",$M172="CERTIFIED HOLDING"))),"FAIL — ELIGIBILITY",IF(AND(OR($Y172="Candidate Comparison",$Y172="Committee Review",$Y172="Approved for MASR",$Y172="Referred to PEW-004",$Y172="On Watch"),$X172=0),"FAIL — EVIDENCE",IF(AND(OR($Y172="Candidate Comparison",$Y172="Committee Review",$Y172="Approved for MASR",$Y172="Referred to PEW-004",$Y172="On Watch"),OR($O172&lt;&gt;"Active",$P172&lt;&gt;"CURRENT")),"FAIL — MIAR GATE",IF(AND(OR($Y172="Approved for MASR",$Y172="Referred to PEW-004",$Y172="On Watch",$Y172="Rejected",$Y172="Closed",$Y172="Removed"),OR($AD172="",$AD172="Pending")),"FAIL — COMMITTEE DISPOSITION",IF(AND($Y172="Referred to PEW-004",OR($AF172&lt;&gt;"Yes — Refer to PEW-004",$AG172="",$AJ172="")),"FAIL — PEW REFERRAL","PASS — STAGE GATE")))))))))</x:f>
      </x:c>
      <x:c r="AA172" s="1242"/>
      <x:c r="AB172" s="1251"/>
      <x:c r="AC172" s="1250" t="str">
        <x:f>IF($B172="","",IF($AQ172&lt;&gt;"",$AQ172-$B172,TODAY()-$B172))</x:f>
      </x:c>
      <x:c r="AD172" s="1242"/>
      <x:c r="AE172" s="1251"/>
      <x:c r="AF172" s="1242"/>
      <x:c r="AG172" s="1242"/>
      <x:c r="AH172" s="1246" t="str">
        <x:f>IF($AG172="","",IFERROR(INDEX('10 Candidate Comparison'!$T$14:$T$33,MATCH($AG172,'10 Candidate Comparison'!$A$14:$A$33,0)),""))</x:f>
      </x:c>
      <x:c r="AI172" s="1243" t="str">
        <x:f>IF($AG172="","",IFERROR(INDEX('10 Candidate Comparison'!$U$14:$U$33,MATCH($AG172,'10 Candidate Comparison'!$A$14:$A$33,0)),""))</x:f>
      </x:c>
      <x:c r="AJ172" s="1243" t="str">
        <x:f>IF($AG172="","",IFERROR(INDEX('10 Candidate Comparison'!$Y$14:$Y$33,MATCH($AG172,'10 Candidate Comparison'!$A$14:$A$33,0)),""))</x:f>
      </x:c>
      <x:c r="AK172" s="1244" t="str">
        <x:f>IF($A172="","",IF($Z172="FAIL — DUPLICATE ID","DUPLICATE CANDIDATE ID",IF($Z172="FAIL — INCOMPLETE","INCOMPLETE",IF($Z172="FAIL — MASR RECORD REQUIRED","MASR RECORD REQUIRED",IF($Z172="FAIL — ELIGIBILITY","ELIGIBILITY BLOCK",IF($Z172="FAIL — EVIDENCE","EVIDENCE REQUIRED",IF($Z172="FAIL — MIAR GATE","MIAR GATE BLOCK",IF($Z172="FAIL — COMMITTEE DISPOSITION","COMMITTEE DECISION REQUIRED",IF($Z172="FAIL — PEW REFERRAL","PEW REFERRAL INCOMPLETE",IF(AND(OR($Y172="Rejected",$Y172="Closed",$Y172="Removed"),OR($AO172="",$AP172="",$AQ172="")),"CLOSURE REQUIRED",IF(AND($AB172&lt;TODAY(),NOT(OR($Y172="Rejected",$Y172="Closed",$Y172="Removed"))),"OVERDUE",IF(OR($Y172="Rejected",$Y172="Closed",$Y172="Removed"),"CLOSED","OPEN — ON TRACK"))))))))))))</x:f>
      </x:c>
      <x:c r="AL172" s="1244" t="str">
        <x:f>IF($AK172="","",IFERROR(INDEX('97 RCC Lists'!$AM$5:$AM$16,MATCH($AK172,'97 RCC Lists'!$AL$5:$AL$16,0)),"Review candidate exception"))</x:f>
      </x:c>
      <x:c r="AM172" s="1242"/>
      <x:c r="AN172" s="1242"/>
      <x:c r="AO172" s="1242"/>
      <x:c r="AP172" s="1242"/>
      <x:c r="AQ172" s="1251"/>
    </x:row>
    <x:row r="173" ht="32" customHeight="1">
      <x:c r="A173" s="1242"/>
      <x:c r="B173" s="1251"/>
      <x:c r="C173" s="1242"/>
      <x:c r="D173" s="1252" t="str">
        <x:f>IF($C173="","",IFERROR(INDEX('23 RCC-004 MASR Registry'!$C$14:$C$163,MATCH($C173,'23 RCC-004 MASR Registry'!$B$14:$B$163,0)),""))</x:f>
      </x:c>
      <x:c r="E173" s="1242"/>
      <x:c r="F173" s="1242"/>
      <x:c r="G173" s="1242"/>
      <x:c r="H173" s="1242"/>
      <x:c r="I173" s="1252" t="str">
        <x:f>IF($C173="","",IFERROR(INDEX('23 RCC-004 MASR Registry'!$G$14:$G$163,MATCH($C173,'23 RCC-004 MASR Registry'!$B$14:$B$163,0)),""))</x:f>
      </x:c>
      <x:c r="J173" s="1252" t="str">
        <x:f>IF($C173="","",IFERROR(INDEX('23 RCC-004 MASR Registry'!$H$14:$H$163,MATCH($C173,'23 RCC-004 MASR Registry'!$B$14:$B$163,0)),""))</x:f>
      </x:c>
      <x:c r="K173" s="1252" t="str">
        <x:f>IF($C173="","",IFERROR(INDEX('23 RCC-004 MASR Registry'!$D$14:$D$163,MATCH($C173,'23 RCC-004 MASR Registry'!$B$14:$B$163,0)),""))</x:f>
      </x:c>
      <x:c r="L173" s="1252" t="str">
        <x:f>IF($C173="","",IFERROR(INDEX('23 RCC-004 MASR Registry'!$E$14:$E$163,MATCH($C173,'23 RCC-004 MASR Registry'!$B$14:$B$163,0)),""))</x:f>
      </x:c>
      <x:c r="M173" s="1252" t="str">
        <x:f>IF($C173="","",IFERROR(INDEX('23 RCC-004 MASR Registry'!$X$14:$X$163,MATCH($C173,'23 RCC-004 MASR Registry'!$B$14:$B$163,0)),""))</x:f>
      </x:c>
      <x:c r="N173" s="1252" t="str">
        <x:f>IF($C173="","",IFERROR(INDEX('23 RCC-004 MASR Registry'!$Y$14:$Y$163,MATCH($C173,'23 RCC-004 MASR Registry'!$B$14:$B$163,0)),""))</x:f>
      </x:c>
      <x:c r="O173" s="1252" t="str">
        <x:f>IF($C173="","",IFERROR(INDEX('23 RCC-004 MASR Registry'!$L$14:$L$163,MATCH($C173,'23 RCC-004 MASR Registry'!$B$14:$B$163,0)),""))</x:f>
      </x:c>
      <x:c r="P173" s="1252" t="str">
        <x:f>IF($C173="","",IFERROR(INDEX('23 RCC-004 MASR Registry'!$M$14:$M$163,MATCH($C173,'23 RCC-004 MASR Registry'!$B$14:$B$163,0)),""))</x:f>
      </x:c>
      <x:c r="Q173" s="1255" t="str">
        <x:f>IF($C173="","",IFERROR(INDEX('23 RCC-004 MASR Registry'!$N$14:$N$163,MATCH($C173,'23 RCC-004 MASR Registry'!$B$14:$B$163,0)),""))</x:f>
      </x:c>
      <x:c r="R173" s="1255" t="str">
        <x:f>IF($C173="","",IFERROR(INDEX('23 RCC-004 MASR Registry'!$O$14:$O$163,MATCH($C173,'23 RCC-004 MASR Registry'!$B$14:$B$163,0)),""))</x:f>
      </x:c>
      <x:c r="S173" s="1255" t="str">
        <x:f>IF($C173="","",IFERROR(INDEX('23 RCC-004 MASR Registry'!$W$14:$W$163,MATCH($C173,'23 RCC-004 MASR Registry'!$B$14:$B$163,0)),""))</x:f>
      </x:c>
      <x:c r="T173" s="1255" t="str">
        <x:f>IF($C173="","",IFERROR(INDEX('23 RCC-004 MASR Registry'!$T$14:$T$163,MATCH($C173,'23 RCC-004 MASR Registry'!$B$14:$B$163,0)),""))</x:f>
      </x:c>
      <x:c r="U173" s="1256" t="str">
        <x:f>IF($C173="","",IFERROR(INDEX('23 RCC-004 MASR Registry'!$U$14:$U$163,MATCH($C173,'23 RCC-004 MASR Registry'!$B$14:$B$163,0)),""))</x:f>
      </x:c>
      <x:c r="V173" s="1252" t="str">
        <x:f>IF($C173="","",IFERROR(INDEX('23 RCC-004 MASR Registry'!$V$14:$V$163,MATCH($C173,'23 RCC-004 MASR Registry'!$B$14:$B$163,0)),""))</x:f>
      </x:c>
      <x:c r="W173" s="1242"/>
      <x:c r="X173" s="1256" t="str">
        <x:f>IF($C173="","",COUNTIF('18 RCC-002 Evidence Ledger'!$E$14:$E$213,$C173))</x:f>
      </x:c>
      <x:c r="Y173" s="1242"/>
      <x:c r="Z173" s="1253" t="str">
        <x:f>IF($A173="","",IF(COUNTIF($A$14:$A$213,$A173)&gt;1,"FAIL — DUPLICATE ID",IF(OR($B173="",$C173="",$E173="",$H173="",$Y173="",$AA173="",$AB173=""),"FAIL — INCOMPLETE",IF(AND(OR($Y173="MIAR Review",$Y173="Eligibility Review",$Y173="Candidate Comparison",$Y173="Committee Review",$Y173="Approved for MASR",$Y173="Referred to PEW-004",$Y173="On Watch",$Y173="Rejected",$Y173="Closed",$Y173="Removed"),$K173=""),"FAIL — MASR RECORD REQUIRED",IF(AND(OR($Y173="Eligibility Review",$Y173="Candidate Comparison",$Y173="Committee Review",$Y173="Approved for MASR",$Y173="Referred to PEW-004",$Y173="On Watch"),NOT(OR($M173="ELIGIBLE",$M173="ELIGIBLE WITH EXCEPTION",$M173="CERTIFIED HOLDING"))),"FAIL — ELIGIBILITY",IF(AND(OR($Y173="Candidate Comparison",$Y173="Committee Review",$Y173="Approved for MASR",$Y173="Referred to PEW-004",$Y173="On Watch"),$X173=0),"FAIL — EVIDENCE",IF(AND(OR($Y173="Candidate Comparison",$Y173="Committee Review",$Y173="Approved for MASR",$Y173="Referred to PEW-004",$Y173="On Watch"),OR($O173&lt;&gt;"Active",$P173&lt;&gt;"CURRENT")),"FAIL — MIAR GATE",IF(AND(OR($Y173="Approved for MASR",$Y173="Referred to PEW-004",$Y173="On Watch",$Y173="Rejected",$Y173="Closed",$Y173="Removed"),OR($AD173="",$AD173="Pending")),"FAIL — COMMITTEE DISPOSITION",IF(AND($Y173="Referred to PEW-004",OR($AF173&lt;&gt;"Yes — Refer to PEW-004",$AG173="",$AJ173="")),"FAIL — PEW REFERRAL","PASS — STAGE GATE")))))))))</x:f>
      </x:c>
      <x:c r="AA173" s="1242"/>
      <x:c r="AB173" s="1251"/>
      <x:c r="AC173" s="1257" t="str">
        <x:f>IF($B173="","",IF($AQ173&lt;&gt;"",$AQ173-$B173,TODAY()-$B173))</x:f>
      </x:c>
      <x:c r="AD173" s="1242"/>
      <x:c r="AE173" s="1251"/>
      <x:c r="AF173" s="1242"/>
      <x:c r="AG173" s="1242"/>
      <x:c r="AH173" s="1255" t="str">
        <x:f>IF($AG173="","",IFERROR(INDEX('10 Candidate Comparison'!$T$14:$T$33,MATCH($AG173,'10 Candidate Comparison'!$A$14:$A$33,0)),""))</x:f>
      </x:c>
      <x:c r="AI173" s="1252" t="str">
        <x:f>IF($AG173="","",IFERROR(INDEX('10 Candidate Comparison'!$U$14:$U$33,MATCH($AG173,'10 Candidate Comparison'!$A$14:$A$33,0)),""))</x:f>
      </x:c>
      <x:c r="AJ173" s="1252" t="str">
        <x:f>IF($AG173="","",IFERROR(INDEX('10 Candidate Comparison'!$Y$14:$Y$33,MATCH($AG173,'10 Candidate Comparison'!$A$14:$A$33,0)),""))</x:f>
      </x:c>
      <x:c r="AK173" s="1253" t="str">
        <x:f>IF($A173="","",IF($Z173="FAIL — DUPLICATE ID","DUPLICATE CANDIDATE ID",IF($Z173="FAIL — INCOMPLETE","INCOMPLETE",IF($Z173="FAIL — MASR RECORD REQUIRED","MASR RECORD REQUIRED",IF($Z173="FAIL — ELIGIBILITY","ELIGIBILITY BLOCK",IF($Z173="FAIL — EVIDENCE","EVIDENCE REQUIRED",IF($Z173="FAIL — MIAR GATE","MIAR GATE BLOCK",IF($Z173="FAIL — COMMITTEE DISPOSITION","COMMITTEE DECISION REQUIRED",IF($Z173="FAIL — PEW REFERRAL","PEW REFERRAL INCOMPLETE",IF(AND(OR($Y173="Rejected",$Y173="Closed",$Y173="Removed"),OR($AO173="",$AP173="",$AQ173="")),"CLOSURE REQUIRED",IF(AND($AB173&lt;TODAY(),NOT(OR($Y173="Rejected",$Y173="Closed",$Y173="Removed"))),"OVERDUE",IF(OR($Y173="Rejected",$Y173="Closed",$Y173="Removed"),"CLOSED","OPEN — ON TRACK"))))))))))))</x:f>
      </x:c>
      <x:c r="AL173" s="1253" t="str">
        <x:f>IF($AK173="","",IFERROR(INDEX('97 RCC Lists'!$AM$5:$AM$16,MATCH($AK173,'97 RCC Lists'!$AL$5:$AL$16,0)),"Review candidate exception"))</x:f>
      </x:c>
      <x:c r="AM173" s="1242"/>
      <x:c r="AN173" s="1242"/>
      <x:c r="AO173" s="1242"/>
      <x:c r="AP173" s="1242"/>
      <x:c r="AQ173" s="1251"/>
    </x:row>
    <x:row r="174" ht="32" customHeight="1">
      <x:c r="A174" s="1242"/>
      <x:c r="B174" s="1251"/>
      <x:c r="C174" s="1242"/>
      <x:c r="D174" s="1243" t="str">
        <x:f>IF($C174="","",IFERROR(INDEX('23 RCC-004 MASR Registry'!$C$14:$C$163,MATCH($C174,'23 RCC-004 MASR Registry'!$B$14:$B$163,0)),""))</x:f>
      </x:c>
      <x:c r="E174" s="1242"/>
      <x:c r="F174" s="1242"/>
      <x:c r="G174" s="1242"/>
      <x:c r="H174" s="1242"/>
      <x:c r="I174" s="1243" t="str">
        <x:f>IF($C174="","",IFERROR(INDEX('23 RCC-004 MASR Registry'!$G$14:$G$163,MATCH($C174,'23 RCC-004 MASR Registry'!$B$14:$B$163,0)),""))</x:f>
      </x:c>
      <x:c r="J174" s="1243" t="str">
        <x:f>IF($C174="","",IFERROR(INDEX('23 RCC-004 MASR Registry'!$H$14:$H$163,MATCH($C174,'23 RCC-004 MASR Registry'!$B$14:$B$163,0)),""))</x:f>
      </x:c>
      <x:c r="K174" s="1243" t="str">
        <x:f>IF($C174="","",IFERROR(INDEX('23 RCC-004 MASR Registry'!$D$14:$D$163,MATCH($C174,'23 RCC-004 MASR Registry'!$B$14:$B$163,0)),""))</x:f>
      </x:c>
      <x:c r="L174" s="1243" t="str">
        <x:f>IF($C174="","",IFERROR(INDEX('23 RCC-004 MASR Registry'!$E$14:$E$163,MATCH($C174,'23 RCC-004 MASR Registry'!$B$14:$B$163,0)),""))</x:f>
      </x:c>
      <x:c r="M174" s="1243" t="str">
        <x:f>IF($C174="","",IFERROR(INDEX('23 RCC-004 MASR Registry'!$X$14:$X$163,MATCH($C174,'23 RCC-004 MASR Registry'!$B$14:$B$163,0)),""))</x:f>
      </x:c>
      <x:c r="N174" s="1243" t="str">
        <x:f>IF($C174="","",IFERROR(INDEX('23 RCC-004 MASR Registry'!$Y$14:$Y$163,MATCH($C174,'23 RCC-004 MASR Registry'!$B$14:$B$163,0)),""))</x:f>
      </x:c>
      <x:c r="O174" s="1243" t="str">
        <x:f>IF($C174="","",IFERROR(INDEX('23 RCC-004 MASR Registry'!$L$14:$L$163,MATCH($C174,'23 RCC-004 MASR Registry'!$B$14:$B$163,0)),""))</x:f>
      </x:c>
      <x:c r="P174" s="1243" t="str">
        <x:f>IF($C174="","",IFERROR(INDEX('23 RCC-004 MASR Registry'!$M$14:$M$163,MATCH($C174,'23 RCC-004 MASR Registry'!$B$14:$B$163,0)),""))</x:f>
      </x:c>
      <x:c r="Q174" s="1246" t="str">
        <x:f>IF($C174="","",IFERROR(INDEX('23 RCC-004 MASR Registry'!$N$14:$N$163,MATCH($C174,'23 RCC-004 MASR Registry'!$B$14:$B$163,0)),""))</x:f>
      </x:c>
      <x:c r="R174" s="1246" t="str">
        <x:f>IF($C174="","",IFERROR(INDEX('23 RCC-004 MASR Registry'!$O$14:$O$163,MATCH($C174,'23 RCC-004 MASR Registry'!$B$14:$B$163,0)),""))</x:f>
      </x:c>
      <x:c r="S174" s="1246" t="str">
        <x:f>IF($C174="","",IFERROR(INDEX('23 RCC-004 MASR Registry'!$W$14:$W$163,MATCH($C174,'23 RCC-004 MASR Registry'!$B$14:$B$163,0)),""))</x:f>
      </x:c>
      <x:c r="T174" s="1246" t="str">
        <x:f>IF($C174="","",IFERROR(INDEX('23 RCC-004 MASR Registry'!$T$14:$T$163,MATCH($C174,'23 RCC-004 MASR Registry'!$B$14:$B$163,0)),""))</x:f>
      </x:c>
      <x:c r="U174" s="1247" t="str">
        <x:f>IF($C174="","",IFERROR(INDEX('23 RCC-004 MASR Registry'!$U$14:$U$163,MATCH($C174,'23 RCC-004 MASR Registry'!$B$14:$B$163,0)),""))</x:f>
      </x:c>
      <x:c r="V174" s="1243" t="str">
        <x:f>IF($C174="","",IFERROR(INDEX('23 RCC-004 MASR Registry'!$V$14:$V$163,MATCH($C174,'23 RCC-004 MASR Registry'!$B$14:$B$163,0)),""))</x:f>
      </x:c>
      <x:c r="W174" s="1242"/>
      <x:c r="X174" s="1247" t="str">
        <x:f>IF($C174="","",COUNTIF('18 RCC-002 Evidence Ledger'!$E$14:$E$213,$C174))</x:f>
      </x:c>
      <x:c r="Y174" s="1242"/>
      <x:c r="Z174" s="1244" t="str">
        <x:f>IF($A174="","",IF(COUNTIF($A$14:$A$213,$A174)&gt;1,"FAIL — DUPLICATE ID",IF(OR($B174="",$C174="",$E174="",$H174="",$Y174="",$AA174="",$AB174=""),"FAIL — INCOMPLETE",IF(AND(OR($Y174="MIAR Review",$Y174="Eligibility Review",$Y174="Candidate Comparison",$Y174="Committee Review",$Y174="Approved for MASR",$Y174="Referred to PEW-004",$Y174="On Watch",$Y174="Rejected",$Y174="Closed",$Y174="Removed"),$K174=""),"FAIL — MASR RECORD REQUIRED",IF(AND(OR($Y174="Eligibility Review",$Y174="Candidate Comparison",$Y174="Committee Review",$Y174="Approved for MASR",$Y174="Referred to PEW-004",$Y174="On Watch"),NOT(OR($M174="ELIGIBLE",$M174="ELIGIBLE WITH EXCEPTION",$M174="CERTIFIED HOLDING"))),"FAIL — ELIGIBILITY",IF(AND(OR($Y174="Candidate Comparison",$Y174="Committee Review",$Y174="Approved for MASR",$Y174="Referred to PEW-004",$Y174="On Watch"),$X174=0),"FAIL — EVIDENCE",IF(AND(OR($Y174="Candidate Comparison",$Y174="Committee Review",$Y174="Approved for MASR",$Y174="Referred to PEW-004",$Y174="On Watch"),OR($O174&lt;&gt;"Active",$P174&lt;&gt;"CURRENT")),"FAIL — MIAR GATE",IF(AND(OR($Y174="Approved for MASR",$Y174="Referred to PEW-004",$Y174="On Watch",$Y174="Rejected",$Y174="Closed",$Y174="Removed"),OR($AD174="",$AD174="Pending")),"FAIL — COMMITTEE DISPOSITION",IF(AND($Y174="Referred to PEW-004",OR($AF174&lt;&gt;"Yes — Refer to PEW-004",$AG174="",$AJ174="")),"FAIL — PEW REFERRAL","PASS — STAGE GATE")))))))))</x:f>
      </x:c>
      <x:c r="AA174" s="1242"/>
      <x:c r="AB174" s="1251"/>
      <x:c r="AC174" s="1250" t="str">
        <x:f>IF($B174="","",IF($AQ174&lt;&gt;"",$AQ174-$B174,TODAY()-$B174))</x:f>
      </x:c>
      <x:c r="AD174" s="1242"/>
      <x:c r="AE174" s="1251"/>
      <x:c r="AF174" s="1242"/>
      <x:c r="AG174" s="1242"/>
      <x:c r="AH174" s="1246" t="str">
        <x:f>IF($AG174="","",IFERROR(INDEX('10 Candidate Comparison'!$T$14:$T$33,MATCH($AG174,'10 Candidate Comparison'!$A$14:$A$33,0)),""))</x:f>
      </x:c>
      <x:c r="AI174" s="1243" t="str">
        <x:f>IF($AG174="","",IFERROR(INDEX('10 Candidate Comparison'!$U$14:$U$33,MATCH($AG174,'10 Candidate Comparison'!$A$14:$A$33,0)),""))</x:f>
      </x:c>
      <x:c r="AJ174" s="1243" t="str">
        <x:f>IF($AG174="","",IFERROR(INDEX('10 Candidate Comparison'!$Y$14:$Y$33,MATCH($AG174,'10 Candidate Comparison'!$A$14:$A$33,0)),""))</x:f>
      </x:c>
      <x:c r="AK174" s="1244" t="str">
        <x:f>IF($A174="","",IF($Z174="FAIL — DUPLICATE ID","DUPLICATE CANDIDATE ID",IF($Z174="FAIL — INCOMPLETE","INCOMPLETE",IF($Z174="FAIL — MASR RECORD REQUIRED","MASR RECORD REQUIRED",IF($Z174="FAIL — ELIGIBILITY","ELIGIBILITY BLOCK",IF($Z174="FAIL — EVIDENCE","EVIDENCE REQUIRED",IF($Z174="FAIL — MIAR GATE","MIAR GATE BLOCK",IF($Z174="FAIL — COMMITTEE DISPOSITION","COMMITTEE DECISION REQUIRED",IF($Z174="FAIL — PEW REFERRAL","PEW REFERRAL INCOMPLETE",IF(AND(OR($Y174="Rejected",$Y174="Closed",$Y174="Removed"),OR($AO174="",$AP174="",$AQ174="")),"CLOSURE REQUIRED",IF(AND($AB174&lt;TODAY(),NOT(OR($Y174="Rejected",$Y174="Closed",$Y174="Removed"))),"OVERDUE",IF(OR($Y174="Rejected",$Y174="Closed",$Y174="Removed"),"CLOSED","OPEN — ON TRACK"))))))))))))</x:f>
      </x:c>
      <x:c r="AL174" s="1244" t="str">
        <x:f>IF($AK174="","",IFERROR(INDEX('97 RCC Lists'!$AM$5:$AM$16,MATCH($AK174,'97 RCC Lists'!$AL$5:$AL$16,0)),"Review candidate exception"))</x:f>
      </x:c>
      <x:c r="AM174" s="1242"/>
      <x:c r="AN174" s="1242"/>
      <x:c r="AO174" s="1242"/>
      <x:c r="AP174" s="1242"/>
      <x:c r="AQ174" s="1251"/>
    </x:row>
    <x:row r="175" ht="32" customHeight="1">
      <x:c r="A175" s="1242"/>
      <x:c r="B175" s="1251"/>
      <x:c r="C175" s="1242"/>
      <x:c r="D175" s="1252" t="str">
        <x:f>IF($C175="","",IFERROR(INDEX('23 RCC-004 MASR Registry'!$C$14:$C$163,MATCH($C175,'23 RCC-004 MASR Registry'!$B$14:$B$163,0)),""))</x:f>
      </x:c>
      <x:c r="E175" s="1242"/>
      <x:c r="F175" s="1242"/>
      <x:c r="G175" s="1242"/>
      <x:c r="H175" s="1242"/>
      <x:c r="I175" s="1252" t="str">
        <x:f>IF($C175="","",IFERROR(INDEX('23 RCC-004 MASR Registry'!$G$14:$G$163,MATCH($C175,'23 RCC-004 MASR Registry'!$B$14:$B$163,0)),""))</x:f>
      </x:c>
      <x:c r="J175" s="1252" t="str">
        <x:f>IF($C175="","",IFERROR(INDEX('23 RCC-004 MASR Registry'!$H$14:$H$163,MATCH($C175,'23 RCC-004 MASR Registry'!$B$14:$B$163,0)),""))</x:f>
      </x:c>
      <x:c r="K175" s="1252" t="str">
        <x:f>IF($C175="","",IFERROR(INDEX('23 RCC-004 MASR Registry'!$D$14:$D$163,MATCH($C175,'23 RCC-004 MASR Registry'!$B$14:$B$163,0)),""))</x:f>
      </x:c>
      <x:c r="L175" s="1252" t="str">
        <x:f>IF($C175="","",IFERROR(INDEX('23 RCC-004 MASR Registry'!$E$14:$E$163,MATCH($C175,'23 RCC-004 MASR Registry'!$B$14:$B$163,0)),""))</x:f>
      </x:c>
      <x:c r="M175" s="1252" t="str">
        <x:f>IF($C175="","",IFERROR(INDEX('23 RCC-004 MASR Registry'!$X$14:$X$163,MATCH($C175,'23 RCC-004 MASR Registry'!$B$14:$B$163,0)),""))</x:f>
      </x:c>
      <x:c r="N175" s="1252" t="str">
        <x:f>IF($C175="","",IFERROR(INDEX('23 RCC-004 MASR Registry'!$Y$14:$Y$163,MATCH($C175,'23 RCC-004 MASR Registry'!$B$14:$B$163,0)),""))</x:f>
      </x:c>
      <x:c r="O175" s="1252" t="str">
        <x:f>IF($C175="","",IFERROR(INDEX('23 RCC-004 MASR Registry'!$L$14:$L$163,MATCH($C175,'23 RCC-004 MASR Registry'!$B$14:$B$163,0)),""))</x:f>
      </x:c>
      <x:c r="P175" s="1252" t="str">
        <x:f>IF($C175="","",IFERROR(INDEX('23 RCC-004 MASR Registry'!$M$14:$M$163,MATCH($C175,'23 RCC-004 MASR Registry'!$B$14:$B$163,0)),""))</x:f>
      </x:c>
      <x:c r="Q175" s="1255" t="str">
        <x:f>IF($C175="","",IFERROR(INDEX('23 RCC-004 MASR Registry'!$N$14:$N$163,MATCH($C175,'23 RCC-004 MASR Registry'!$B$14:$B$163,0)),""))</x:f>
      </x:c>
      <x:c r="R175" s="1255" t="str">
        <x:f>IF($C175="","",IFERROR(INDEX('23 RCC-004 MASR Registry'!$O$14:$O$163,MATCH($C175,'23 RCC-004 MASR Registry'!$B$14:$B$163,0)),""))</x:f>
      </x:c>
      <x:c r="S175" s="1255" t="str">
        <x:f>IF($C175="","",IFERROR(INDEX('23 RCC-004 MASR Registry'!$W$14:$W$163,MATCH($C175,'23 RCC-004 MASR Registry'!$B$14:$B$163,0)),""))</x:f>
      </x:c>
      <x:c r="T175" s="1255" t="str">
        <x:f>IF($C175="","",IFERROR(INDEX('23 RCC-004 MASR Registry'!$T$14:$T$163,MATCH($C175,'23 RCC-004 MASR Registry'!$B$14:$B$163,0)),""))</x:f>
      </x:c>
      <x:c r="U175" s="1256" t="str">
        <x:f>IF($C175="","",IFERROR(INDEX('23 RCC-004 MASR Registry'!$U$14:$U$163,MATCH($C175,'23 RCC-004 MASR Registry'!$B$14:$B$163,0)),""))</x:f>
      </x:c>
      <x:c r="V175" s="1252" t="str">
        <x:f>IF($C175="","",IFERROR(INDEX('23 RCC-004 MASR Registry'!$V$14:$V$163,MATCH($C175,'23 RCC-004 MASR Registry'!$B$14:$B$163,0)),""))</x:f>
      </x:c>
      <x:c r="W175" s="1242"/>
      <x:c r="X175" s="1256" t="str">
        <x:f>IF($C175="","",COUNTIF('18 RCC-002 Evidence Ledger'!$E$14:$E$213,$C175))</x:f>
      </x:c>
      <x:c r="Y175" s="1242"/>
      <x:c r="Z175" s="1253" t="str">
        <x:f>IF($A175="","",IF(COUNTIF($A$14:$A$213,$A175)&gt;1,"FAIL — DUPLICATE ID",IF(OR($B175="",$C175="",$E175="",$H175="",$Y175="",$AA175="",$AB175=""),"FAIL — INCOMPLETE",IF(AND(OR($Y175="MIAR Review",$Y175="Eligibility Review",$Y175="Candidate Comparison",$Y175="Committee Review",$Y175="Approved for MASR",$Y175="Referred to PEW-004",$Y175="On Watch",$Y175="Rejected",$Y175="Closed",$Y175="Removed"),$K175=""),"FAIL — MASR RECORD REQUIRED",IF(AND(OR($Y175="Eligibility Review",$Y175="Candidate Comparison",$Y175="Committee Review",$Y175="Approved for MASR",$Y175="Referred to PEW-004",$Y175="On Watch"),NOT(OR($M175="ELIGIBLE",$M175="ELIGIBLE WITH EXCEPTION",$M175="CERTIFIED HOLDING"))),"FAIL — ELIGIBILITY",IF(AND(OR($Y175="Candidate Comparison",$Y175="Committee Review",$Y175="Approved for MASR",$Y175="Referred to PEW-004",$Y175="On Watch"),$X175=0),"FAIL — EVIDENCE",IF(AND(OR($Y175="Candidate Comparison",$Y175="Committee Review",$Y175="Approved for MASR",$Y175="Referred to PEW-004",$Y175="On Watch"),OR($O175&lt;&gt;"Active",$P175&lt;&gt;"CURRENT")),"FAIL — MIAR GATE",IF(AND(OR($Y175="Approved for MASR",$Y175="Referred to PEW-004",$Y175="On Watch",$Y175="Rejected",$Y175="Closed",$Y175="Removed"),OR($AD175="",$AD175="Pending")),"FAIL — COMMITTEE DISPOSITION",IF(AND($Y175="Referred to PEW-004",OR($AF175&lt;&gt;"Yes — Refer to PEW-004",$AG175="",$AJ175="")),"FAIL — PEW REFERRAL","PASS — STAGE GATE")))))))))</x:f>
      </x:c>
      <x:c r="AA175" s="1242"/>
      <x:c r="AB175" s="1251"/>
      <x:c r="AC175" s="1257" t="str">
        <x:f>IF($B175="","",IF($AQ175&lt;&gt;"",$AQ175-$B175,TODAY()-$B175))</x:f>
      </x:c>
      <x:c r="AD175" s="1242"/>
      <x:c r="AE175" s="1251"/>
      <x:c r="AF175" s="1242"/>
      <x:c r="AG175" s="1242"/>
      <x:c r="AH175" s="1255" t="str">
        <x:f>IF($AG175="","",IFERROR(INDEX('10 Candidate Comparison'!$T$14:$T$33,MATCH($AG175,'10 Candidate Comparison'!$A$14:$A$33,0)),""))</x:f>
      </x:c>
      <x:c r="AI175" s="1252" t="str">
        <x:f>IF($AG175="","",IFERROR(INDEX('10 Candidate Comparison'!$U$14:$U$33,MATCH($AG175,'10 Candidate Comparison'!$A$14:$A$33,0)),""))</x:f>
      </x:c>
      <x:c r="AJ175" s="1252" t="str">
        <x:f>IF($AG175="","",IFERROR(INDEX('10 Candidate Comparison'!$Y$14:$Y$33,MATCH($AG175,'10 Candidate Comparison'!$A$14:$A$33,0)),""))</x:f>
      </x:c>
      <x:c r="AK175" s="1253" t="str">
        <x:f>IF($A175="","",IF($Z175="FAIL — DUPLICATE ID","DUPLICATE CANDIDATE ID",IF($Z175="FAIL — INCOMPLETE","INCOMPLETE",IF($Z175="FAIL — MASR RECORD REQUIRED","MASR RECORD REQUIRED",IF($Z175="FAIL — ELIGIBILITY","ELIGIBILITY BLOCK",IF($Z175="FAIL — EVIDENCE","EVIDENCE REQUIRED",IF($Z175="FAIL — MIAR GATE","MIAR GATE BLOCK",IF($Z175="FAIL — COMMITTEE DISPOSITION","COMMITTEE DECISION REQUIRED",IF($Z175="FAIL — PEW REFERRAL","PEW REFERRAL INCOMPLETE",IF(AND(OR($Y175="Rejected",$Y175="Closed",$Y175="Removed"),OR($AO175="",$AP175="",$AQ175="")),"CLOSURE REQUIRED",IF(AND($AB175&lt;TODAY(),NOT(OR($Y175="Rejected",$Y175="Closed",$Y175="Removed"))),"OVERDUE",IF(OR($Y175="Rejected",$Y175="Closed",$Y175="Removed"),"CLOSED","OPEN — ON TRACK"))))))))))))</x:f>
      </x:c>
      <x:c r="AL175" s="1253" t="str">
        <x:f>IF($AK175="","",IFERROR(INDEX('97 RCC Lists'!$AM$5:$AM$16,MATCH($AK175,'97 RCC Lists'!$AL$5:$AL$16,0)),"Review candidate exception"))</x:f>
      </x:c>
      <x:c r="AM175" s="1242"/>
      <x:c r="AN175" s="1242"/>
      <x:c r="AO175" s="1242"/>
      <x:c r="AP175" s="1242"/>
      <x:c r="AQ175" s="1251"/>
    </x:row>
    <x:row r="176" ht="32" customHeight="1">
      <x:c r="A176" s="1242"/>
      <x:c r="B176" s="1251"/>
      <x:c r="C176" s="1242"/>
      <x:c r="D176" s="1243" t="str">
        <x:f>IF($C176="","",IFERROR(INDEX('23 RCC-004 MASR Registry'!$C$14:$C$163,MATCH($C176,'23 RCC-004 MASR Registry'!$B$14:$B$163,0)),""))</x:f>
      </x:c>
      <x:c r="E176" s="1242"/>
      <x:c r="F176" s="1242"/>
      <x:c r="G176" s="1242"/>
      <x:c r="H176" s="1242"/>
      <x:c r="I176" s="1243" t="str">
        <x:f>IF($C176="","",IFERROR(INDEX('23 RCC-004 MASR Registry'!$G$14:$G$163,MATCH($C176,'23 RCC-004 MASR Registry'!$B$14:$B$163,0)),""))</x:f>
      </x:c>
      <x:c r="J176" s="1243" t="str">
        <x:f>IF($C176="","",IFERROR(INDEX('23 RCC-004 MASR Registry'!$H$14:$H$163,MATCH($C176,'23 RCC-004 MASR Registry'!$B$14:$B$163,0)),""))</x:f>
      </x:c>
      <x:c r="K176" s="1243" t="str">
        <x:f>IF($C176="","",IFERROR(INDEX('23 RCC-004 MASR Registry'!$D$14:$D$163,MATCH($C176,'23 RCC-004 MASR Registry'!$B$14:$B$163,0)),""))</x:f>
      </x:c>
      <x:c r="L176" s="1243" t="str">
        <x:f>IF($C176="","",IFERROR(INDEX('23 RCC-004 MASR Registry'!$E$14:$E$163,MATCH($C176,'23 RCC-004 MASR Registry'!$B$14:$B$163,0)),""))</x:f>
      </x:c>
      <x:c r="M176" s="1243" t="str">
        <x:f>IF($C176="","",IFERROR(INDEX('23 RCC-004 MASR Registry'!$X$14:$X$163,MATCH($C176,'23 RCC-004 MASR Registry'!$B$14:$B$163,0)),""))</x:f>
      </x:c>
      <x:c r="N176" s="1243" t="str">
        <x:f>IF($C176="","",IFERROR(INDEX('23 RCC-004 MASR Registry'!$Y$14:$Y$163,MATCH($C176,'23 RCC-004 MASR Registry'!$B$14:$B$163,0)),""))</x:f>
      </x:c>
      <x:c r="O176" s="1243" t="str">
        <x:f>IF($C176="","",IFERROR(INDEX('23 RCC-004 MASR Registry'!$L$14:$L$163,MATCH($C176,'23 RCC-004 MASR Registry'!$B$14:$B$163,0)),""))</x:f>
      </x:c>
      <x:c r="P176" s="1243" t="str">
        <x:f>IF($C176="","",IFERROR(INDEX('23 RCC-004 MASR Registry'!$M$14:$M$163,MATCH($C176,'23 RCC-004 MASR Registry'!$B$14:$B$163,0)),""))</x:f>
      </x:c>
      <x:c r="Q176" s="1246" t="str">
        <x:f>IF($C176="","",IFERROR(INDEX('23 RCC-004 MASR Registry'!$N$14:$N$163,MATCH($C176,'23 RCC-004 MASR Registry'!$B$14:$B$163,0)),""))</x:f>
      </x:c>
      <x:c r="R176" s="1246" t="str">
        <x:f>IF($C176="","",IFERROR(INDEX('23 RCC-004 MASR Registry'!$O$14:$O$163,MATCH($C176,'23 RCC-004 MASR Registry'!$B$14:$B$163,0)),""))</x:f>
      </x:c>
      <x:c r="S176" s="1246" t="str">
        <x:f>IF($C176="","",IFERROR(INDEX('23 RCC-004 MASR Registry'!$W$14:$W$163,MATCH($C176,'23 RCC-004 MASR Registry'!$B$14:$B$163,0)),""))</x:f>
      </x:c>
      <x:c r="T176" s="1246" t="str">
        <x:f>IF($C176="","",IFERROR(INDEX('23 RCC-004 MASR Registry'!$T$14:$T$163,MATCH($C176,'23 RCC-004 MASR Registry'!$B$14:$B$163,0)),""))</x:f>
      </x:c>
      <x:c r="U176" s="1247" t="str">
        <x:f>IF($C176="","",IFERROR(INDEX('23 RCC-004 MASR Registry'!$U$14:$U$163,MATCH($C176,'23 RCC-004 MASR Registry'!$B$14:$B$163,0)),""))</x:f>
      </x:c>
      <x:c r="V176" s="1243" t="str">
        <x:f>IF($C176="","",IFERROR(INDEX('23 RCC-004 MASR Registry'!$V$14:$V$163,MATCH($C176,'23 RCC-004 MASR Registry'!$B$14:$B$163,0)),""))</x:f>
      </x:c>
      <x:c r="W176" s="1242"/>
      <x:c r="X176" s="1247" t="str">
        <x:f>IF($C176="","",COUNTIF('18 RCC-002 Evidence Ledger'!$E$14:$E$213,$C176))</x:f>
      </x:c>
      <x:c r="Y176" s="1242"/>
      <x:c r="Z176" s="1244" t="str">
        <x:f>IF($A176="","",IF(COUNTIF($A$14:$A$213,$A176)&gt;1,"FAIL — DUPLICATE ID",IF(OR($B176="",$C176="",$E176="",$H176="",$Y176="",$AA176="",$AB176=""),"FAIL — INCOMPLETE",IF(AND(OR($Y176="MIAR Review",$Y176="Eligibility Review",$Y176="Candidate Comparison",$Y176="Committee Review",$Y176="Approved for MASR",$Y176="Referred to PEW-004",$Y176="On Watch",$Y176="Rejected",$Y176="Closed",$Y176="Removed"),$K176=""),"FAIL — MASR RECORD REQUIRED",IF(AND(OR($Y176="Eligibility Review",$Y176="Candidate Comparison",$Y176="Committee Review",$Y176="Approved for MASR",$Y176="Referred to PEW-004",$Y176="On Watch"),NOT(OR($M176="ELIGIBLE",$M176="ELIGIBLE WITH EXCEPTION",$M176="CERTIFIED HOLDING"))),"FAIL — ELIGIBILITY",IF(AND(OR($Y176="Candidate Comparison",$Y176="Committee Review",$Y176="Approved for MASR",$Y176="Referred to PEW-004",$Y176="On Watch"),$X176=0),"FAIL — EVIDENCE",IF(AND(OR($Y176="Candidate Comparison",$Y176="Committee Review",$Y176="Approved for MASR",$Y176="Referred to PEW-004",$Y176="On Watch"),OR($O176&lt;&gt;"Active",$P176&lt;&gt;"CURRENT")),"FAIL — MIAR GATE",IF(AND(OR($Y176="Approved for MASR",$Y176="Referred to PEW-004",$Y176="On Watch",$Y176="Rejected",$Y176="Closed",$Y176="Removed"),OR($AD176="",$AD176="Pending")),"FAIL — COMMITTEE DISPOSITION",IF(AND($Y176="Referred to PEW-004",OR($AF176&lt;&gt;"Yes — Refer to PEW-004",$AG176="",$AJ176="")),"FAIL — PEW REFERRAL","PASS — STAGE GATE")))))))))</x:f>
      </x:c>
      <x:c r="AA176" s="1242"/>
      <x:c r="AB176" s="1251"/>
      <x:c r="AC176" s="1250" t="str">
        <x:f>IF($B176="","",IF($AQ176&lt;&gt;"",$AQ176-$B176,TODAY()-$B176))</x:f>
      </x:c>
      <x:c r="AD176" s="1242"/>
      <x:c r="AE176" s="1251"/>
      <x:c r="AF176" s="1242"/>
      <x:c r="AG176" s="1242"/>
      <x:c r="AH176" s="1246" t="str">
        <x:f>IF($AG176="","",IFERROR(INDEX('10 Candidate Comparison'!$T$14:$T$33,MATCH($AG176,'10 Candidate Comparison'!$A$14:$A$33,0)),""))</x:f>
      </x:c>
      <x:c r="AI176" s="1243" t="str">
        <x:f>IF($AG176="","",IFERROR(INDEX('10 Candidate Comparison'!$U$14:$U$33,MATCH($AG176,'10 Candidate Comparison'!$A$14:$A$33,0)),""))</x:f>
      </x:c>
      <x:c r="AJ176" s="1243" t="str">
        <x:f>IF($AG176="","",IFERROR(INDEX('10 Candidate Comparison'!$Y$14:$Y$33,MATCH($AG176,'10 Candidate Comparison'!$A$14:$A$33,0)),""))</x:f>
      </x:c>
      <x:c r="AK176" s="1244" t="str">
        <x:f>IF($A176="","",IF($Z176="FAIL — DUPLICATE ID","DUPLICATE CANDIDATE ID",IF($Z176="FAIL — INCOMPLETE","INCOMPLETE",IF($Z176="FAIL — MASR RECORD REQUIRED","MASR RECORD REQUIRED",IF($Z176="FAIL — ELIGIBILITY","ELIGIBILITY BLOCK",IF($Z176="FAIL — EVIDENCE","EVIDENCE REQUIRED",IF($Z176="FAIL — MIAR GATE","MIAR GATE BLOCK",IF($Z176="FAIL — COMMITTEE DISPOSITION","COMMITTEE DECISION REQUIRED",IF($Z176="FAIL — PEW REFERRAL","PEW REFERRAL INCOMPLETE",IF(AND(OR($Y176="Rejected",$Y176="Closed",$Y176="Removed"),OR($AO176="",$AP176="",$AQ176="")),"CLOSURE REQUIRED",IF(AND($AB176&lt;TODAY(),NOT(OR($Y176="Rejected",$Y176="Closed",$Y176="Removed"))),"OVERDUE",IF(OR($Y176="Rejected",$Y176="Closed",$Y176="Removed"),"CLOSED","OPEN — ON TRACK"))))))))))))</x:f>
      </x:c>
      <x:c r="AL176" s="1244" t="str">
        <x:f>IF($AK176="","",IFERROR(INDEX('97 RCC Lists'!$AM$5:$AM$16,MATCH($AK176,'97 RCC Lists'!$AL$5:$AL$16,0)),"Review candidate exception"))</x:f>
      </x:c>
      <x:c r="AM176" s="1242"/>
      <x:c r="AN176" s="1242"/>
      <x:c r="AO176" s="1242"/>
      <x:c r="AP176" s="1242"/>
      <x:c r="AQ176" s="1251"/>
    </x:row>
    <x:row r="177" ht="32" customHeight="1">
      <x:c r="A177" s="1242"/>
      <x:c r="B177" s="1251"/>
      <x:c r="C177" s="1242"/>
      <x:c r="D177" s="1252" t="str">
        <x:f>IF($C177="","",IFERROR(INDEX('23 RCC-004 MASR Registry'!$C$14:$C$163,MATCH($C177,'23 RCC-004 MASR Registry'!$B$14:$B$163,0)),""))</x:f>
      </x:c>
      <x:c r="E177" s="1242"/>
      <x:c r="F177" s="1242"/>
      <x:c r="G177" s="1242"/>
      <x:c r="H177" s="1242"/>
      <x:c r="I177" s="1252" t="str">
        <x:f>IF($C177="","",IFERROR(INDEX('23 RCC-004 MASR Registry'!$G$14:$G$163,MATCH($C177,'23 RCC-004 MASR Registry'!$B$14:$B$163,0)),""))</x:f>
      </x:c>
      <x:c r="J177" s="1252" t="str">
        <x:f>IF($C177="","",IFERROR(INDEX('23 RCC-004 MASR Registry'!$H$14:$H$163,MATCH($C177,'23 RCC-004 MASR Registry'!$B$14:$B$163,0)),""))</x:f>
      </x:c>
      <x:c r="K177" s="1252" t="str">
        <x:f>IF($C177="","",IFERROR(INDEX('23 RCC-004 MASR Registry'!$D$14:$D$163,MATCH($C177,'23 RCC-004 MASR Registry'!$B$14:$B$163,0)),""))</x:f>
      </x:c>
      <x:c r="L177" s="1252" t="str">
        <x:f>IF($C177="","",IFERROR(INDEX('23 RCC-004 MASR Registry'!$E$14:$E$163,MATCH($C177,'23 RCC-004 MASR Registry'!$B$14:$B$163,0)),""))</x:f>
      </x:c>
      <x:c r="M177" s="1252" t="str">
        <x:f>IF($C177="","",IFERROR(INDEX('23 RCC-004 MASR Registry'!$X$14:$X$163,MATCH($C177,'23 RCC-004 MASR Registry'!$B$14:$B$163,0)),""))</x:f>
      </x:c>
      <x:c r="N177" s="1252" t="str">
        <x:f>IF($C177="","",IFERROR(INDEX('23 RCC-004 MASR Registry'!$Y$14:$Y$163,MATCH($C177,'23 RCC-004 MASR Registry'!$B$14:$B$163,0)),""))</x:f>
      </x:c>
      <x:c r="O177" s="1252" t="str">
        <x:f>IF($C177="","",IFERROR(INDEX('23 RCC-004 MASR Registry'!$L$14:$L$163,MATCH($C177,'23 RCC-004 MASR Registry'!$B$14:$B$163,0)),""))</x:f>
      </x:c>
      <x:c r="P177" s="1252" t="str">
        <x:f>IF($C177="","",IFERROR(INDEX('23 RCC-004 MASR Registry'!$M$14:$M$163,MATCH($C177,'23 RCC-004 MASR Registry'!$B$14:$B$163,0)),""))</x:f>
      </x:c>
      <x:c r="Q177" s="1255" t="str">
        <x:f>IF($C177="","",IFERROR(INDEX('23 RCC-004 MASR Registry'!$N$14:$N$163,MATCH($C177,'23 RCC-004 MASR Registry'!$B$14:$B$163,0)),""))</x:f>
      </x:c>
      <x:c r="R177" s="1255" t="str">
        <x:f>IF($C177="","",IFERROR(INDEX('23 RCC-004 MASR Registry'!$O$14:$O$163,MATCH($C177,'23 RCC-004 MASR Registry'!$B$14:$B$163,0)),""))</x:f>
      </x:c>
      <x:c r="S177" s="1255" t="str">
        <x:f>IF($C177="","",IFERROR(INDEX('23 RCC-004 MASR Registry'!$W$14:$W$163,MATCH($C177,'23 RCC-004 MASR Registry'!$B$14:$B$163,0)),""))</x:f>
      </x:c>
      <x:c r="T177" s="1255" t="str">
        <x:f>IF($C177="","",IFERROR(INDEX('23 RCC-004 MASR Registry'!$T$14:$T$163,MATCH($C177,'23 RCC-004 MASR Registry'!$B$14:$B$163,0)),""))</x:f>
      </x:c>
      <x:c r="U177" s="1256" t="str">
        <x:f>IF($C177="","",IFERROR(INDEX('23 RCC-004 MASR Registry'!$U$14:$U$163,MATCH($C177,'23 RCC-004 MASR Registry'!$B$14:$B$163,0)),""))</x:f>
      </x:c>
      <x:c r="V177" s="1252" t="str">
        <x:f>IF($C177="","",IFERROR(INDEX('23 RCC-004 MASR Registry'!$V$14:$V$163,MATCH($C177,'23 RCC-004 MASR Registry'!$B$14:$B$163,0)),""))</x:f>
      </x:c>
      <x:c r="W177" s="1242"/>
      <x:c r="X177" s="1256" t="str">
        <x:f>IF($C177="","",COUNTIF('18 RCC-002 Evidence Ledger'!$E$14:$E$213,$C177))</x:f>
      </x:c>
      <x:c r="Y177" s="1242"/>
      <x:c r="Z177" s="1253" t="str">
        <x:f>IF($A177="","",IF(COUNTIF($A$14:$A$213,$A177)&gt;1,"FAIL — DUPLICATE ID",IF(OR($B177="",$C177="",$E177="",$H177="",$Y177="",$AA177="",$AB177=""),"FAIL — INCOMPLETE",IF(AND(OR($Y177="MIAR Review",$Y177="Eligibility Review",$Y177="Candidate Comparison",$Y177="Committee Review",$Y177="Approved for MASR",$Y177="Referred to PEW-004",$Y177="On Watch",$Y177="Rejected",$Y177="Closed",$Y177="Removed"),$K177=""),"FAIL — MASR RECORD REQUIRED",IF(AND(OR($Y177="Eligibility Review",$Y177="Candidate Comparison",$Y177="Committee Review",$Y177="Approved for MASR",$Y177="Referred to PEW-004",$Y177="On Watch"),NOT(OR($M177="ELIGIBLE",$M177="ELIGIBLE WITH EXCEPTION",$M177="CERTIFIED HOLDING"))),"FAIL — ELIGIBILITY",IF(AND(OR($Y177="Candidate Comparison",$Y177="Committee Review",$Y177="Approved for MASR",$Y177="Referred to PEW-004",$Y177="On Watch"),$X177=0),"FAIL — EVIDENCE",IF(AND(OR($Y177="Candidate Comparison",$Y177="Committee Review",$Y177="Approved for MASR",$Y177="Referred to PEW-004",$Y177="On Watch"),OR($O177&lt;&gt;"Active",$P177&lt;&gt;"CURRENT")),"FAIL — MIAR GATE",IF(AND(OR($Y177="Approved for MASR",$Y177="Referred to PEW-004",$Y177="On Watch",$Y177="Rejected",$Y177="Closed",$Y177="Removed"),OR($AD177="",$AD177="Pending")),"FAIL — COMMITTEE DISPOSITION",IF(AND($Y177="Referred to PEW-004",OR($AF177&lt;&gt;"Yes — Refer to PEW-004",$AG177="",$AJ177="")),"FAIL — PEW REFERRAL","PASS — STAGE GATE")))))))))</x:f>
      </x:c>
      <x:c r="AA177" s="1242"/>
      <x:c r="AB177" s="1251"/>
      <x:c r="AC177" s="1257" t="str">
        <x:f>IF($B177="","",IF($AQ177&lt;&gt;"",$AQ177-$B177,TODAY()-$B177))</x:f>
      </x:c>
      <x:c r="AD177" s="1242"/>
      <x:c r="AE177" s="1251"/>
      <x:c r="AF177" s="1242"/>
      <x:c r="AG177" s="1242"/>
      <x:c r="AH177" s="1255" t="str">
        <x:f>IF($AG177="","",IFERROR(INDEX('10 Candidate Comparison'!$T$14:$T$33,MATCH($AG177,'10 Candidate Comparison'!$A$14:$A$33,0)),""))</x:f>
      </x:c>
      <x:c r="AI177" s="1252" t="str">
        <x:f>IF($AG177="","",IFERROR(INDEX('10 Candidate Comparison'!$U$14:$U$33,MATCH($AG177,'10 Candidate Comparison'!$A$14:$A$33,0)),""))</x:f>
      </x:c>
      <x:c r="AJ177" s="1252" t="str">
        <x:f>IF($AG177="","",IFERROR(INDEX('10 Candidate Comparison'!$Y$14:$Y$33,MATCH($AG177,'10 Candidate Comparison'!$A$14:$A$33,0)),""))</x:f>
      </x:c>
      <x:c r="AK177" s="1253" t="str">
        <x:f>IF($A177="","",IF($Z177="FAIL — DUPLICATE ID","DUPLICATE CANDIDATE ID",IF($Z177="FAIL — INCOMPLETE","INCOMPLETE",IF($Z177="FAIL — MASR RECORD REQUIRED","MASR RECORD REQUIRED",IF($Z177="FAIL — ELIGIBILITY","ELIGIBILITY BLOCK",IF($Z177="FAIL — EVIDENCE","EVIDENCE REQUIRED",IF($Z177="FAIL — MIAR GATE","MIAR GATE BLOCK",IF($Z177="FAIL — COMMITTEE DISPOSITION","COMMITTEE DECISION REQUIRED",IF($Z177="FAIL — PEW REFERRAL","PEW REFERRAL INCOMPLETE",IF(AND(OR($Y177="Rejected",$Y177="Closed",$Y177="Removed"),OR($AO177="",$AP177="",$AQ177="")),"CLOSURE REQUIRED",IF(AND($AB177&lt;TODAY(),NOT(OR($Y177="Rejected",$Y177="Closed",$Y177="Removed"))),"OVERDUE",IF(OR($Y177="Rejected",$Y177="Closed",$Y177="Removed"),"CLOSED","OPEN — ON TRACK"))))))))))))</x:f>
      </x:c>
      <x:c r="AL177" s="1253" t="str">
        <x:f>IF($AK177="","",IFERROR(INDEX('97 RCC Lists'!$AM$5:$AM$16,MATCH($AK177,'97 RCC Lists'!$AL$5:$AL$16,0)),"Review candidate exception"))</x:f>
      </x:c>
      <x:c r="AM177" s="1242"/>
      <x:c r="AN177" s="1242"/>
      <x:c r="AO177" s="1242"/>
      <x:c r="AP177" s="1242"/>
      <x:c r="AQ177" s="1251"/>
    </x:row>
    <x:row r="178" ht="32" customHeight="1">
      <x:c r="A178" s="1242"/>
      <x:c r="B178" s="1251"/>
      <x:c r="C178" s="1242"/>
      <x:c r="D178" s="1243" t="str">
        <x:f>IF($C178="","",IFERROR(INDEX('23 RCC-004 MASR Registry'!$C$14:$C$163,MATCH($C178,'23 RCC-004 MASR Registry'!$B$14:$B$163,0)),""))</x:f>
      </x:c>
      <x:c r="E178" s="1242"/>
      <x:c r="F178" s="1242"/>
      <x:c r="G178" s="1242"/>
      <x:c r="H178" s="1242"/>
      <x:c r="I178" s="1243" t="str">
        <x:f>IF($C178="","",IFERROR(INDEX('23 RCC-004 MASR Registry'!$G$14:$G$163,MATCH($C178,'23 RCC-004 MASR Registry'!$B$14:$B$163,0)),""))</x:f>
      </x:c>
      <x:c r="J178" s="1243" t="str">
        <x:f>IF($C178="","",IFERROR(INDEX('23 RCC-004 MASR Registry'!$H$14:$H$163,MATCH($C178,'23 RCC-004 MASR Registry'!$B$14:$B$163,0)),""))</x:f>
      </x:c>
      <x:c r="K178" s="1243" t="str">
        <x:f>IF($C178="","",IFERROR(INDEX('23 RCC-004 MASR Registry'!$D$14:$D$163,MATCH($C178,'23 RCC-004 MASR Registry'!$B$14:$B$163,0)),""))</x:f>
      </x:c>
      <x:c r="L178" s="1243" t="str">
        <x:f>IF($C178="","",IFERROR(INDEX('23 RCC-004 MASR Registry'!$E$14:$E$163,MATCH($C178,'23 RCC-004 MASR Registry'!$B$14:$B$163,0)),""))</x:f>
      </x:c>
      <x:c r="M178" s="1243" t="str">
        <x:f>IF($C178="","",IFERROR(INDEX('23 RCC-004 MASR Registry'!$X$14:$X$163,MATCH($C178,'23 RCC-004 MASR Registry'!$B$14:$B$163,0)),""))</x:f>
      </x:c>
      <x:c r="N178" s="1243" t="str">
        <x:f>IF($C178="","",IFERROR(INDEX('23 RCC-004 MASR Registry'!$Y$14:$Y$163,MATCH($C178,'23 RCC-004 MASR Registry'!$B$14:$B$163,0)),""))</x:f>
      </x:c>
      <x:c r="O178" s="1243" t="str">
        <x:f>IF($C178="","",IFERROR(INDEX('23 RCC-004 MASR Registry'!$L$14:$L$163,MATCH($C178,'23 RCC-004 MASR Registry'!$B$14:$B$163,0)),""))</x:f>
      </x:c>
      <x:c r="P178" s="1243" t="str">
        <x:f>IF($C178="","",IFERROR(INDEX('23 RCC-004 MASR Registry'!$M$14:$M$163,MATCH($C178,'23 RCC-004 MASR Registry'!$B$14:$B$163,0)),""))</x:f>
      </x:c>
      <x:c r="Q178" s="1246" t="str">
        <x:f>IF($C178="","",IFERROR(INDEX('23 RCC-004 MASR Registry'!$N$14:$N$163,MATCH($C178,'23 RCC-004 MASR Registry'!$B$14:$B$163,0)),""))</x:f>
      </x:c>
      <x:c r="R178" s="1246" t="str">
        <x:f>IF($C178="","",IFERROR(INDEX('23 RCC-004 MASR Registry'!$O$14:$O$163,MATCH($C178,'23 RCC-004 MASR Registry'!$B$14:$B$163,0)),""))</x:f>
      </x:c>
      <x:c r="S178" s="1246" t="str">
        <x:f>IF($C178="","",IFERROR(INDEX('23 RCC-004 MASR Registry'!$W$14:$W$163,MATCH($C178,'23 RCC-004 MASR Registry'!$B$14:$B$163,0)),""))</x:f>
      </x:c>
      <x:c r="T178" s="1246" t="str">
        <x:f>IF($C178="","",IFERROR(INDEX('23 RCC-004 MASR Registry'!$T$14:$T$163,MATCH($C178,'23 RCC-004 MASR Registry'!$B$14:$B$163,0)),""))</x:f>
      </x:c>
      <x:c r="U178" s="1247" t="str">
        <x:f>IF($C178="","",IFERROR(INDEX('23 RCC-004 MASR Registry'!$U$14:$U$163,MATCH($C178,'23 RCC-004 MASR Registry'!$B$14:$B$163,0)),""))</x:f>
      </x:c>
      <x:c r="V178" s="1243" t="str">
        <x:f>IF($C178="","",IFERROR(INDEX('23 RCC-004 MASR Registry'!$V$14:$V$163,MATCH($C178,'23 RCC-004 MASR Registry'!$B$14:$B$163,0)),""))</x:f>
      </x:c>
      <x:c r="W178" s="1242"/>
      <x:c r="X178" s="1247" t="str">
        <x:f>IF($C178="","",COUNTIF('18 RCC-002 Evidence Ledger'!$E$14:$E$213,$C178))</x:f>
      </x:c>
      <x:c r="Y178" s="1242"/>
      <x:c r="Z178" s="1244" t="str">
        <x:f>IF($A178="","",IF(COUNTIF($A$14:$A$213,$A178)&gt;1,"FAIL — DUPLICATE ID",IF(OR($B178="",$C178="",$E178="",$H178="",$Y178="",$AA178="",$AB178=""),"FAIL — INCOMPLETE",IF(AND(OR($Y178="MIAR Review",$Y178="Eligibility Review",$Y178="Candidate Comparison",$Y178="Committee Review",$Y178="Approved for MASR",$Y178="Referred to PEW-004",$Y178="On Watch",$Y178="Rejected",$Y178="Closed",$Y178="Removed"),$K178=""),"FAIL — MASR RECORD REQUIRED",IF(AND(OR($Y178="Eligibility Review",$Y178="Candidate Comparison",$Y178="Committee Review",$Y178="Approved for MASR",$Y178="Referred to PEW-004",$Y178="On Watch"),NOT(OR($M178="ELIGIBLE",$M178="ELIGIBLE WITH EXCEPTION",$M178="CERTIFIED HOLDING"))),"FAIL — ELIGIBILITY",IF(AND(OR($Y178="Candidate Comparison",$Y178="Committee Review",$Y178="Approved for MASR",$Y178="Referred to PEW-004",$Y178="On Watch"),$X178=0),"FAIL — EVIDENCE",IF(AND(OR($Y178="Candidate Comparison",$Y178="Committee Review",$Y178="Approved for MASR",$Y178="Referred to PEW-004",$Y178="On Watch"),OR($O178&lt;&gt;"Active",$P178&lt;&gt;"CURRENT")),"FAIL — MIAR GATE",IF(AND(OR($Y178="Approved for MASR",$Y178="Referred to PEW-004",$Y178="On Watch",$Y178="Rejected",$Y178="Closed",$Y178="Removed"),OR($AD178="",$AD178="Pending")),"FAIL — COMMITTEE DISPOSITION",IF(AND($Y178="Referred to PEW-004",OR($AF178&lt;&gt;"Yes — Refer to PEW-004",$AG178="",$AJ178="")),"FAIL — PEW REFERRAL","PASS — STAGE GATE")))))))))</x:f>
      </x:c>
      <x:c r="AA178" s="1242"/>
      <x:c r="AB178" s="1251"/>
      <x:c r="AC178" s="1250" t="str">
        <x:f>IF($B178="","",IF($AQ178&lt;&gt;"",$AQ178-$B178,TODAY()-$B178))</x:f>
      </x:c>
      <x:c r="AD178" s="1242"/>
      <x:c r="AE178" s="1251"/>
      <x:c r="AF178" s="1242"/>
      <x:c r="AG178" s="1242"/>
      <x:c r="AH178" s="1246" t="str">
        <x:f>IF($AG178="","",IFERROR(INDEX('10 Candidate Comparison'!$T$14:$T$33,MATCH($AG178,'10 Candidate Comparison'!$A$14:$A$33,0)),""))</x:f>
      </x:c>
      <x:c r="AI178" s="1243" t="str">
        <x:f>IF($AG178="","",IFERROR(INDEX('10 Candidate Comparison'!$U$14:$U$33,MATCH($AG178,'10 Candidate Comparison'!$A$14:$A$33,0)),""))</x:f>
      </x:c>
      <x:c r="AJ178" s="1243" t="str">
        <x:f>IF($AG178="","",IFERROR(INDEX('10 Candidate Comparison'!$Y$14:$Y$33,MATCH($AG178,'10 Candidate Comparison'!$A$14:$A$33,0)),""))</x:f>
      </x:c>
      <x:c r="AK178" s="1244" t="str">
        <x:f>IF($A178="","",IF($Z178="FAIL — DUPLICATE ID","DUPLICATE CANDIDATE ID",IF($Z178="FAIL — INCOMPLETE","INCOMPLETE",IF($Z178="FAIL — MASR RECORD REQUIRED","MASR RECORD REQUIRED",IF($Z178="FAIL — ELIGIBILITY","ELIGIBILITY BLOCK",IF($Z178="FAIL — EVIDENCE","EVIDENCE REQUIRED",IF($Z178="FAIL — MIAR GATE","MIAR GATE BLOCK",IF($Z178="FAIL — COMMITTEE DISPOSITION","COMMITTEE DECISION REQUIRED",IF($Z178="FAIL — PEW REFERRAL","PEW REFERRAL INCOMPLETE",IF(AND(OR($Y178="Rejected",$Y178="Closed",$Y178="Removed"),OR($AO178="",$AP178="",$AQ178="")),"CLOSURE REQUIRED",IF(AND($AB178&lt;TODAY(),NOT(OR($Y178="Rejected",$Y178="Closed",$Y178="Removed"))),"OVERDUE",IF(OR($Y178="Rejected",$Y178="Closed",$Y178="Removed"),"CLOSED","OPEN — ON TRACK"))))))))))))</x:f>
      </x:c>
      <x:c r="AL178" s="1244" t="str">
        <x:f>IF($AK178="","",IFERROR(INDEX('97 RCC Lists'!$AM$5:$AM$16,MATCH($AK178,'97 RCC Lists'!$AL$5:$AL$16,0)),"Review candidate exception"))</x:f>
      </x:c>
      <x:c r="AM178" s="1242"/>
      <x:c r="AN178" s="1242"/>
      <x:c r="AO178" s="1242"/>
      <x:c r="AP178" s="1242"/>
      <x:c r="AQ178" s="1251"/>
    </x:row>
    <x:row r="179" ht="32" customHeight="1">
      <x:c r="A179" s="1242"/>
      <x:c r="B179" s="1251"/>
      <x:c r="C179" s="1242"/>
      <x:c r="D179" s="1252" t="str">
        <x:f>IF($C179="","",IFERROR(INDEX('23 RCC-004 MASR Registry'!$C$14:$C$163,MATCH($C179,'23 RCC-004 MASR Registry'!$B$14:$B$163,0)),""))</x:f>
      </x:c>
      <x:c r="E179" s="1242"/>
      <x:c r="F179" s="1242"/>
      <x:c r="G179" s="1242"/>
      <x:c r="H179" s="1242"/>
      <x:c r="I179" s="1252" t="str">
        <x:f>IF($C179="","",IFERROR(INDEX('23 RCC-004 MASR Registry'!$G$14:$G$163,MATCH($C179,'23 RCC-004 MASR Registry'!$B$14:$B$163,0)),""))</x:f>
      </x:c>
      <x:c r="J179" s="1252" t="str">
        <x:f>IF($C179="","",IFERROR(INDEX('23 RCC-004 MASR Registry'!$H$14:$H$163,MATCH($C179,'23 RCC-004 MASR Registry'!$B$14:$B$163,0)),""))</x:f>
      </x:c>
      <x:c r="K179" s="1252" t="str">
        <x:f>IF($C179="","",IFERROR(INDEX('23 RCC-004 MASR Registry'!$D$14:$D$163,MATCH($C179,'23 RCC-004 MASR Registry'!$B$14:$B$163,0)),""))</x:f>
      </x:c>
      <x:c r="L179" s="1252" t="str">
        <x:f>IF($C179="","",IFERROR(INDEX('23 RCC-004 MASR Registry'!$E$14:$E$163,MATCH($C179,'23 RCC-004 MASR Registry'!$B$14:$B$163,0)),""))</x:f>
      </x:c>
      <x:c r="M179" s="1252" t="str">
        <x:f>IF($C179="","",IFERROR(INDEX('23 RCC-004 MASR Registry'!$X$14:$X$163,MATCH($C179,'23 RCC-004 MASR Registry'!$B$14:$B$163,0)),""))</x:f>
      </x:c>
      <x:c r="N179" s="1252" t="str">
        <x:f>IF($C179="","",IFERROR(INDEX('23 RCC-004 MASR Registry'!$Y$14:$Y$163,MATCH($C179,'23 RCC-004 MASR Registry'!$B$14:$B$163,0)),""))</x:f>
      </x:c>
      <x:c r="O179" s="1252" t="str">
        <x:f>IF($C179="","",IFERROR(INDEX('23 RCC-004 MASR Registry'!$L$14:$L$163,MATCH($C179,'23 RCC-004 MASR Registry'!$B$14:$B$163,0)),""))</x:f>
      </x:c>
      <x:c r="P179" s="1252" t="str">
        <x:f>IF($C179="","",IFERROR(INDEX('23 RCC-004 MASR Registry'!$M$14:$M$163,MATCH($C179,'23 RCC-004 MASR Registry'!$B$14:$B$163,0)),""))</x:f>
      </x:c>
      <x:c r="Q179" s="1255" t="str">
        <x:f>IF($C179="","",IFERROR(INDEX('23 RCC-004 MASR Registry'!$N$14:$N$163,MATCH($C179,'23 RCC-004 MASR Registry'!$B$14:$B$163,0)),""))</x:f>
      </x:c>
      <x:c r="R179" s="1255" t="str">
        <x:f>IF($C179="","",IFERROR(INDEX('23 RCC-004 MASR Registry'!$O$14:$O$163,MATCH($C179,'23 RCC-004 MASR Registry'!$B$14:$B$163,0)),""))</x:f>
      </x:c>
      <x:c r="S179" s="1255" t="str">
        <x:f>IF($C179="","",IFERROR(INDEX('23 RCC-004 MASR Registry'!$W$14:$W$163,MATCH($C179,'23 RCC-004 MASR Registry'!$B$14:$B$163,0)),""))</x:f>
      </x:c>
      <x:c r="T179" s="1255" t="str">
        <x:f>IF($C179="","",IFERROR(INDEX('23 RCC-004 MASR Registry'!$T$14:$T$163,MATCH($C179,'23 RCC-004 MASR Registry'!$B$14:$B$163,0)),""))</x:f>
      </x:c>
      <x:c r="U179" s="1256" t="str">
        <x:f>IF($C179="","",IFERROR(INDEX('23 RCC-004 MASR Registry'!$U$14:$U$163,MATCH($C179,'23 RCC-004 MASR Registry'!$B$14:$B$163,0)),""))</x:f>
      </x:c>
      <x:c r="V179" s="1252" t="str">
        <x:f>IF($C179="","",IFERROR(INDEX('23 RCC-004 MASR Registry'!$V$14:$V$163,MATCH($C179,'23 RCC-004 MASR Registry'!$B$14:$B$163,0)),""))</x:f>
      </x:c>
      <x:c r="W179" s="1242"/>
      <x:c r="X179" s="1256" t="str">
        <x:f>IF($C179="","",COUNTIF('18 RCC-002 Evidence Ledger'!$E$14:$E$213,$C179))</x:f>
      </x:c>
      <x:c r="Y179" s="1242"/>
      <x:c r="Z179" s="1253" t="str">
        <x:f>IF($A179="","",IF(COUNTIF($A$14:$A$213,$A179)&gt;1,"FAIL — DUPLICATE ID",IF(OR($B179="",$C179="",$E179="",$H179="",$Y179="",$AA179="",$AB179=""),"FAIL — INCOMPLETE",IF(AND(OR($Y179="MIAR Review",$Y179="Eligibility Review",$Y179="Candidate Comparison",$Y179="Committee Review",$Y179="Approved for MASR",$Y179="Referred to PEW-004",$Y179="On Watch",$Y179="Rejected",$Y179="Closed",$Y179="Removed"),$K179=""),"FAIL — MASR RECORD REQUIRED",IF(AND(OR($Y179="Eligibility Review",$Y179="Candidate Comparison",$Y179="Committee Review",$Y179="Approved for MASR",$Y179="Referred to PEW-004",$Y179="On Watch"),NOT(OR($M179="ELIGIBLE",$M179="ELIGIBLE WITH EXCEPTION",$M179="CERTIFIED HOLDING"))),"FAIL — ELIGIBILITY",IF(AND(OR($Y179="Candidate Comparison",$Y179="Committee Review",$Y179="Approved for MASR",$Y179="Referred to PEW-004",$Y179="On Watch"),$X179=0),"FAIL — EVIDENCE",IF(AND(OR($Y179="Candidate Comparison",$Y179="Committee Review",$Y179="Approved for MASR",$Y179="Referred to PEW-004",$Y179="On Watch"),OR($O179&lt;&gt;"Active",$P179&lt;&gt;"CURRENT")),"FAIL — MIAR GATE",IF(AND(OR($Y179="Approved for MASR",$Y179="Referred to PEW-004",$Y179="On Watch",$Y179="Rejected",$Y179="Closed",$Y179="Removed"),OR($AD179="",$AD179="Pending")),"FAIL — COMMITTEE DISPOSITION",IF(AND($Y179="Referred to PEW-004",OR($AF179&lt;&gt;"Yes — Refer to PEW-004",$AG179="",$AJ179="")),"FAIL — PEW REFERRAL","PASS — STAGE GATE")))))))))</x:f>
      </x:c>
      <x:c r="AA179" s="1242"/>
      <x:c r="AB179" s="1251"/>
      <x:c r="AC179" s="1257" t="str">
        <x:f>IF($B179="","",IF($AQ179&lt;&gt;"",$AQ179-$B179,TODAY()-$B179))</x:f>
      </x:c>
      <x:c r="AD179" s="1242"/>
      <x:c r="AE179" s="1251"/>
      <x:c r="AF179" s="1242"/>
      <x:c r="AG179" s="1242"/>
      <x:c r="AH179" s="1255" t="str">
        <x:f>IF($AG179="","",IFERROR(INDEX('10 Candidate Comparison'!$T$14:$T$33,MATCH($AG179,'10 Candidate Comparison'!$A$14:$A$33,0)),""))</x:f>
      </x:c>
      <x:c r="AI179" s="1252" t="str">
        <x:f>IF($AG179="","",IFERROR(INDEX('10 Candidate Comparison'!$U$14:$U$33,MATCH($AG179,'10 Candidate Comparison'!$A$14:$A$33,0)),""))</x:f>
      </x:c>
      <x:c r="AJ179" s="1252" t="str">
        <x:f>IF($AG179="","",IFERROR(INDEX('10 Candidate Comparison'!$Y$14:$Y$33,MATCH($AG179,'10 Candidate Comparison'!$A$14:$A$33,0)),""))</x:f>
      </x:c>
      <x:c r="AK179" s="1253" t="str">
        <x:f>IF($A179="","",IF($Z179="FAIL — DUPLICATE ID","DUPLICATE CANDIDATE ID",IF($Z179="FAIL — INCOMPLETE","INCOMPLETE",IF($Z179="FAIL — MASR RECORD REQUIRED","MASR RECORD REQUIRED",IF($Z179="FAIL — ELIGIBILITY","ELIGIBILITY BLOCK",IF($Z179="FAIL — EVIDENCE","EVIDENCE REQUIRED",IF($Z179="FAIL — MIAR GATE","MIAR GATE BLOCK",IF($Z179="FAIL — COMMITTEE DISPOSITION","COMMITTEE DECISION REQUIRED",IF($Z179="FAIL — PEW REFERRAL","PEW REFERRAL INCOMPLETE",IF(AND(OR($Y179="Rejected",$Y179="Closed",$Y179="Removed"),OR($AO179="",$AP179="",$AQ179="")),"CLOSURE REQUIRED",IF(AND($AB179&lt;TODAY(),NOT(OR($Y179="Rejected",$Y179="Closed",$Y179="Removed"))),"OVERDUE",IF(OR($Y179="Rejected",$Y179="Closed",$Y179="Removed"),"CLOSED","OPEN — ON TRACK"))))))))))))</x:f>
      </x:c>
      <x:c r="AL179" s="1253" t="str">
        <x:f>IF($AK179="","",IFERROR(INDEX('97 RCC Lists'!$AM$5:$AM$16,MATCH($AK179,'97 RCC Lists'!$AL$5:$AL$16,0)),"Review candidate exception"))</x:f>
      </x:c>
      <x:c r="AM179" s="1242"/>
      <x:c r="AN179" s="1242"/>
      <x:c r="AO179" s="1242"/>
      <x:c r="AP179" s="1242"/>
      <x:c r="AQ179" s="1251"/>
    </x:row>
    <x:row r="180" ht="32" customHeight="1">
      <x:c r="A180" s="1242"/>
      <x:c r="B180" s="1251"/>
      <x:c r="C180" s="1242"/>
      <x:c r="D180" s="1243" t="str">
        <x:f>IF($C180="","",IFERROR(INDEX('23 RCC-004 MASR Registry'!$C$14:$C$163,MATCH($C180,'23 RCC-004 MASR Registry'!$B$14:$B$163,0)),""))</x:f>
      </x:c>
      <x:c r="E180" s="1242"/>
      <x:c r="F180" s="1242"/>
      <x:c r="G180" s="1242"/>
      <x:c r="H180" s="1242"/>
      <x:c r="I180" s="1243" t="str">
        <x:f>IF($C180="","",IFERROR(INDEX('23 RCC-004 MASR Registry'!$G$14:$G$163,MATCH($C180,'23 RCC-004 MASR Registry'!$B$14:$B$163,0)),""))</x:f>
      </x:c>
      <x:c r="J180" s="1243" t="str">
        <x:f>IF($C180="","",IFERROR(INDEX('23 RCC-004 MASR Registry'!$H$14:$H$163,MATCH($C180,'23 RCC-004 MASR Registry'!$B$14:$B$163,0)),""))</x:f>
      </x:c>
      <x:c r="K180" s="1243" t="str">
        <x:f>IF($C180="","",IFERROR(INDEX('23 RCC-004 MASR Registry'!$D$14:$D$163,MATCH($C180,'23 RCC-004 MASR Registry'!$B$14:$B$163,0)),""))</x:f>
      </x:c>
      <x:c r="L180" s="1243" t="str">
        <x:f>IF($C180="","",IFERROR(INDEX('23 RCC-004 MASR Registry'!$E$14:$E$163,MATCH($C180,'23 RCC-004 MASR Registry'!$B$14:$B$163,0)),""))</x:f>
      </x:c>
      <x:c r="M180" s="1243" t="str">
        <x:f>IF($C180="","",IFERROR(INDEX('23 RCC-004 MASR Registry'!$X$14:$X$163,MATCH($C180,'23 RCC-004 MASR Registry'!$B$14:$B$163,0)),""))</x:f>
      </x:c>
      <x:c r="N180" s="1243" t="str">
        <x:f>IF($C180="","",IFERROR(INDEX('23 RCC-004 MASR Registry'!$Y$14:$Y$163,MATCH($C180,'23 RCC-004 MASR Registry'!$B$14:$B$163,0)),""))</x:f>
      </x:c>
      <x:c r="O180" s="1243" t="str">
        <x:f>IF($C180="","",IFERROR(INDEX('23 RCC-004 MASR Registry'!$L$14:$L$163,MATCH($C180,'23 RCC-004 MASR Registry'!$B$14:$B$163,0)),""))</x:f>
      </x:c>
      <x:c r="P180" s="1243" t="str">
        <x:f>IF($C180="","",IFERROR(INDEX('23 RCC-004 MASR Registry'!$M$14:$M$163,MATCH($C180,'23 RCC-004 MASR Registry'!$B$14:$B$163,0)),""))</x:f>
      </x:c>
      <x:c r="Q180" s="1246" t="str">
        <x:f>IF($C180="","",IFERROR(INDEX('23 RCC-004 MASR Registry'!$N$14:$N$163,MATCH($C180,'23 RCC-004 MASR Registry'!$B$14:$B$163,0)),""))</x:f>
      </x:c>
      <x:c r="R180" s="1246" t="str">
        <x:f>IF($C180="","",IFERROR(INDEX('23 RCC-004 MASR Registry'!$O$14:$O$163,MATCH($C180,'23 RCC-004 MASR Registry'!$B$14:$B$163,0)),""))</x:f>
      </x:c>
      <x:c r="S180" s="1246" t="str">
        <x:f>IF($C180="","",IFERROR(INDEX('23 RCC-004 MASR Registry'!$W$14:$W$163,MATCH($C180,'23 RCC-004 MASR Registry'!$B$14:$B$163,0)),""))</x:f>
      </x:c>
      <x:c r="T180" s="1246" t="str">
        <x:f>IF($C180="","",IFERROR(INDEX('23 RCC-004 MASR Registry'!$T$14:$T$163,MATCH($C180,'23 RCC-004 MASR Registry'!$B$14:$B$163,0)),""))</x:f>
      </x:c>
      <x:c r="U180" s="1247" t="str">
        <x:f>IF($C180="","",IFERROR(INDEX('23 RCC-004 MASR Registry'!$U$14:$U$163,MATCH($C180,'23 RCC-004 MASR Registry'!$B$14:$B$163,0)),""))</x:f>
      </x:c>
      <x:c r="V180" s="1243" t="str">
        <x:f>IF($C180="","",IFERROR(INDEX('23 RCC-004 MASR Registry'!$V$14:$V$163,MATCH($C180,'23 RCC-004 MASR Registry'!$B$14:$B$163,0)),""))</x:f>
      </x:c>
      <x:c r="W180" s="1242"/>
      <x:c r="X180" s="1247" t="str">
        <x:f>IF($C180="","",COUNTIF('18 RCC-002 Evidence Ledger'!$E$14:$E$213,$C180))</x:f>
      </x:c>
      <x:c r="Y180" s="1242"/>
      <x:c r="Z180" s="1244" t="str">
        <x:f>IF($A180="","",IF(COUNTIF($A$14:$A$213,$A180)&gt;1,"FAIL — DUPLICATE ID",IF(OR($B180="",$C180="",$E180="",$H180="",$Y180="",$AA180="",$AB180=""),"FAIL — INCOMPLETE",IF(AND(OR($Y180="MIAR Review",$Y180="Eligibility Review",$Y180="Candidate Comparison",$Y180="Committee Review",$Y180="Approved for MASR",$Y180="Referred to PEW-004",$Y180="On Watch",$Y180="Rejected",$Y180="Closed",$Y180="Removed"),$K180=""),"FAIL — MASR RECORD REQUIRED",IF(AND(OR($Y180="Eligibility Review",$Y180="Candidate Comparison",$Y180="Committee Review",$Y180="Approved for MASR",$Y180="Referred to PEW-004",$Y180="On Watch"),NOT(OR($M180="ELIGIBLE",$M180="ELIGIBLE WITH EXCEPTION",$M180="CERTIFIED HOLDING"))),"FAIL — ELIGIBILITY",IF(AND(OR($Y180="Candidate Comparison",$Y180="Committee Review",$Y180="Approved for MASR",$Y180="Referred to PEW-004",$Y180="On Watch"),$X180=0),"FAIL — EVIDENCE",IF(AND(OR($Y180="Candidate Comparison",$Y180="Committee Review",$Y180="Approved for MASR",$Y180="Referred to PEW-004",$Y180="On Watch"),OR($O180&lt;&gt;"Active",$P180&lt;&gt;"CURRENT")),"FAIL — MIAR GATE",IF(AND(OR($Y180="Approved for MASR",$Y180="Referred to PEW-004",$Y180="On Watch",$Y180="Rejected",$Y180="Closed",$Y180="Removed"),OR($AD180="",$AD180="Pending")),"FAIL — COMMITTEE DISPOSITION",IF(AND($Y180="Referred to PEW-004",OR($AF180&lt;&gt;"Yes — Refer to PEW-004",$AG180="",$AJ180="")),"FAIL — PEW REFERRAL","PASS — STAGE GATE")))))))))</x:f>
      </x:c>
      <x:c r="AA180" s="1242"/>
      <x:c r="AB180" s="1251"/>
      <x:c r="AC180" s="1250" t="str">
        <x:f>IF($B180="","",IF($AQ180&lt;&gt;"",$AQ180-$B180,TODAY()-$B180))</x:f>
      </x:c>
      <x:c r="AD180" s="1242"/>
      <x:c r="AE180" s="1251"/>
      <x:c r="AF180" s="1242"/>
      <x:c r="AG180" s="1242"/>
      <x:c r="AH180" s="1246" t="str">
        <x:f>IF($AG180="","",IFERROR(INDEX('10 Candidate Comparison'!$T$14:$T$33,MATCH($AG180,'10 Candidate Comparison'!$A$14:$A$33,0)),""))</x:f>
      </x:c>
      <x:c r="AI180" s="1243" t="str">
        <x:f>IF($AG180="","",IFERROR(INDEX('10 Candidate Comparison'!$U$14:$U$33,MATCH($AG180,'10 Candidate Comparison'!$A$14:$A$33,0)),""))</x:f>
      </x:c>
      <x:c r="AJ180" s="1243" t="str">
        <x:f>IF($AG180="","",IFERROR(INDEX('10 Candidate Comparison'!$Y$14:$Y$33,MATCH($AG180,'10 Candidate Comparison'!$A$14:$A$33,0)),""))</x:f>
      </x:c>
      <x:c r="AK180" s="1244" t="str">
        <x:f>IF($A180="","",IF($Z180="FAIL — DUPLICATE ID","DUPLICATE CANDIDATE ID",IF($Z180="FAIL — INCOMPLETE","INCOMPLETE",IF($Z180="FAIL — MASR RECORD REQUIRED","MASR RECORD REQUIRED",IF($Z180="FAIL — ELIGIBILITY","ELIGIBILITY BLOCK",IF($Z180="FAIL — EVIDENCE","EVIDENCE REQUIRED",IF($Z180="FAIL — MIAR GATE","MIAR GATE BLOCK",IF($Z180="FAIL — COMMITTEE DISPOSITION","COMMITTEE DECISION REQUIRED",IF($Z180="FAIL — PEW REFERRAL","PEW REFERRAL INCOMPLETE",IF(AND(OR($Y180="Rejected",$Y180="Closed",$Y180="Removed"),OR($AO180="",$AP180="",$AQ180="")),"CLOSURE REQUIRED",IF(AND($AB180&lt;TODAY(),NOT(OR($Y180="Rejected",$Y180="Closed",$Y180="Removed"))),"OVERDUE",IF(OR($Y180="Rejected",$Y180="Closed",$Y180="Removed"),"CLOSED","OPEN — ON TRACK"))))))))))))</x:f>
      </x:c>
      <x:c r="AL180" s="1244" t="str">
        <x:f>IF($AK180="","",IFERROR(INDEX('97 RCC Lists'!$AM$5:$AM$16,MATCH($AK180,'97 RCC Lists'!$AL$5:$AL$16,0)),"Review candidate exception"))</x:f>
      </x:c>
      <x:c r="AM180" s="1242"/>
      <x:c r="AN180" s="1242"/>
      <x:c r="AO180" s="1242"/>
      <x:c r="AP180" s="1242"/>
      <x:c r="AQ180" s="1251"/>
    </x:row>
    <x:row r="181" ht="32" customHeight="1">
      <x:c r="A181" s="1242"/>
      <x:c r="B181" s="1251"/>
      <x:c r="C181" s="1242"/>
      <x:c r="D181" s="1252" t="str">
        <x:f>IF($C181="","",IFERROR(INDEX('23 RCC-004 MASR Registry'!$C$14:$C$163,MATCH($C181,'23 RCC-004 MASR Registry'!$B$14:$B$163,0)),""))</x:f>
      </x:c>
      <x:c r="E181" s="1242"/>
      <x:c r="F181" s="1242"/>
      <x:c r="G181" s="1242"/>
      <x:c r="H181" s="1242"/>
      <x:c r="I181" s="1252" t="str">
        <x:f>IF($C181="","",IFERROR(INDEX('23 RCC-004 MASR Registry'!$G$14:$G$163,MATCH($C181,'23 RCC-004 MASR Registry'!$B$14:$B$163,0)),""))</x:f>
      </x:c>
      <x:c r="J181" s="1252" t="str">
        <x:f>IF($C181="","",IFERROR(INDEX('23 RCC-004 MASR Registry'!$H$14:$H$163,MATCH($C181,'23 RCC-004 MASR Registry'!$B$14:$B$163,0)),""))</x:f>
      </x:c>
      <x:c r="K181" s="1252" t="str">
        <x:f>IF($C181="","",IFERROR(INDEX('23 RCC-004 MASR Registry'!$D$14:$D$163,MATCH($C181,'23 RCC-004 MASR Registry'!$B$14:$B$163,0)),""))</x:f>
      </x:c>
      <x:c r="L181" s="1252" t="str">
        <x:f>IF($C181="","",IFERROR(INDEX('23 RCC-004 MASR Registry'!$E$14:$E$163,MATCH($C181,'23 RCC-004 MASR Registry'!$B$14:$B$163,0)),""))</x:f>
      </x:c>
      <x:c r="M181" s="1252" t="str">
        <x:f>IF($C181="","",IFERROR(INDEX('23 RCC-004 MASR Registry'!$X$14:$X$163,MATCH($C181,'23 RCC-004 MASR Registry'!$B$14:$B$163,0)),""))</x:f>
      </x:c>
      <x:c r="N181" s="1252" t="str">
        <x:f>IF($C181="","",IFERROR(INDEX('23 RCC-004 MASR Registry'!$Y$14:$Y$163,MATCH($C181,'23 RCC-004 MASR Registry'!$B$14:$B$163,0)),""))</x:f>
      </x:c>
      <x:c r="O181" s="1252" t="str">
        <x:f>IF($C181="","",IFERROR(INDEX('23 RCC-004 MASR Registry'!$L$14:$L$163,MATCH($C181,'23 RCC-004 MASR Registry'!$B$14:$B$163,0)),""))</x:f>
      </x:c>
      <x:c r="P181" s="1252" t="str">
        <x:f>IF($C181="","",IFERROR(INDEX('23 RCC-004 MASR Registry'!$M$14:$M$163,MATCH($C181,'23 RCC-004 MASR Registry'!$B$14:$B$163,0)),""))</x:f>
      </x:c>
      <x:c r="Q181" s="1255" t="str">
        <x:f>IF($C181="","",IFERROR(INDEX('23 RCC-004 MASR Registry'!$N$14:$N$163,MATCH($C181,'23 RCC-004 MASR Registry'!$B$14:$B$163,0)),""))</x:f>
      </x:c>
      <x:c r="R181" s="1255" t="str">
        <x:f>IF($C181="","",IFERROR(INDEX('23 RCC-004 MASR Registry'!$O$14:$O$163,MATCH($C181,'23 RCC-004 MASR Registry'!$B$14:$B$163,0)),""))</x:f>
      </x:c>
      <x:c r="S181" s="1255" t="str">
        <x:f>IF($C181="","",IFERROR(INDEX('23 RCC-004 MASR Registry'!$W$14:$W$163,MATCH($C181,'23 RCC-004 MASR Registry'!$B$14:$B$163,0)),""))</x:f>
      </x:c>
      <x:c r="T181" s="1255" t="str">
        <x:f>IF($C181="","",IFERROR(INDEX('23 RCC-004 MASR Registry'!$T$14:$T$163,MATCH($C181,'23 RCC-004 MASR Registry'!$B$14:$B$163,0)),""))</x:f>
      </x:c>
      <x:c r="U181" s="1256" t="str">
        <x:f>IF($C181="","",IFERROR(INDEX('23 RCC-004 MASR Registry'!$U$14:$U$163,MATCH($C181,'23 RCC-004 MASR Registry'!$B$14:$B$163,0)),""))</x:f>
      </x:c>
      <x:c r="V181" s="1252" t="str">
        <x:f>IF($C181="","",IFERROR(INDEX('23 RCC-004 MASR Registry'!$V$14:$V$163,MATCH($C181,'23 RCC-004 MASR Registry'!$B$14:$B$163,0)),""))</x:f>
      </x:c>
      <x:c r="W181" s="1242"/>
      <x:c r="X181" s="1256" t="str">
        <x:f>IF($C181="","",COUNTIF('18 RCC-002 Evidence Ledger'!$E$14:$E$213,$C181))</x:f>
      </x:c>
      <x:c r="Y181" s="1242"/>
      <x:c r="Z181" s="1253" t="str">
        <x:f>IF($A181="","",IF(COUNTIF($A$14:$A$213,$A181)&gt;1,"FAIL — DUPLICATE ID",IF(OR($B181="",$C181="",$E181="",$H181="",$Y181="",$AA181="",$AB181=""),"FAIL — INCOMPLETE",IF(AND(OR($Y181="MIAR Review",$Y181="Eligibility Review",$Y181="Candidate Comparison",$Y181="Committee Review",$Y181="Approved for MASR",$Y181="Referred to PEW-004",$Y181="On Watch",$Y181="Rejected",$Y181="Closed",$Y181="Removed"),$K181=""),"FAIL — MASR RECORD REQUIRED",IF(AND(OR($Y181="Eligibility Review",$Y181="Candidate Comparison",$Y181="Committee Review",$Y181="Approved for MASR",$Y181="Referred to PEW-004",$Y181="On Watch"),NOT(OR($M181="ELIGIBLE",$M181="ELIGIBLE WITH EXCEPTION",$M181="CERTIFIED HOLDING"))),"FAIL — ELIGIBILITY",IF(AND(OR($Y181="Candidate Comparison",$Y181="Committee Review",$Y181="Approved for MASR",$Y181="Referred to PEW-004",$Y181="On Watch"),$X181=0),"FAIL — EVIDENCE",IF(AND(OR($Y181="Candidate Comparison",$Y181="Committee Review",$Y181="Approved for MASR",$Y181="Referred to PEW-004",$Y181="On Watch"),OR($O181&lt;&gt;"Active",$P181&lt;&gt;"CURRENT")),"FAIL — MIAR GATE",IF(AND(OR($Y181="Approved for MASR",$Y181="Referred to PEW-004",$Y181="On Watch",$Y181="Rejected",$Y181="Closed",$Y181="Removed"),OR($AD181="",$AD181="Pending")),"FAIL — COMMITTEE DISPOSITION",IF(AND($Y181="Referred to PEW-004",OR($AF181&lt;&gt;"Yes — Refer to PEW-004",$AG181="",$AJ181="")),"FAIL — PEW REFERRAL","PASS — STAGE GATE")))))))))</x:f>
      </x:c>
      <x:c r="AA181" s="1242"/>
      <x:c r="AB181" s="1251"/>
      <x:c r="AC181" s="1257" t="str">
        <x:f>IF($B181="","",IF($AQ181&lt;&gt;"",$AQ181-$B181,TODAY()-$B181))</x:f>
      </x:c>
      <x:c r="AD181" s="1242"/>
      <x:c r="AE181" s="1251"/>
      <x:c r="AF181" s="1242"/>
      <x:c r="AG181" s="1242"/>
      <x:c r="AH181" s="1255" t="str">
        <x:f>IF($AG181="","",IFERROR(INDEX('10 Candidate Comparison'!$T$14:$T$33,MATCH($AG181,'10 Candidate Comparison'!$A$14:$A$33,0)),""))</x:f>
      </x:c>
      <x:c r="AI181" s="1252" t="str">
        <x:f>IF($AG181="","",IFERROR(INDEX('10 Candidate Comparison'!$U$14:$U$33,MATCH($AG181,'10 Candidate Comparison'!$A$14:$A$33,0)),""))</x:f>
      </x:c>
      <x:c r="AJ181" s="1252" t="str">
        <x:f>IF($AG181="","",IFERROR(INDEX('10 Candidate Comparison'!$Y$14:$Y$33,MATCH($AG181,'10 Candidate Comparison'!$A$14:$A$33,0)),""))</x:f>
      </x:c>
      <x:c r="AK181" s="1253" t="str">
        <x:f>IF($A181="","",IF($Z181="FAIL — DUPLICATE ID","DUPLICATE CANDIDATE ID",IF($Z181="FAIL — INCOMPLETE","INCOMPLETE",IF($Z181="FAIL — MASR RECORD REQUIRED","MASR RECORD REQUIRED",IF($Z181="FAIL — ELIGIBILITY","ELIGIBILITY BLOCK",IF($Z181="FAIL — EVIDENCE","EVIDENCE REQUIRED",IF($Z181="FAIL — MIAR GATE","MIAR GATE BLOCK",IF($Z181="FAIL — COMMITTEE DISPOSITION","COMMITTEE DECISION REQUIRED",IF($Z181="FAIL — PEW REFERRAL","PEW REFERRAL INCOMPLETE",IF(AND(OR($Y181="Rejected",$Y181="Closed",$Y181="Removed"),OR($AO181="",$AP181="",$AQ181="")),"CLOSURE REQUIRED",IF(AND($AB181&lt;TODAY(),NOT(OR($Y181="Rejected",$Y181="Closed",$Y181="Removed"))),"OVERDUE",IF(OR($Y181="Rejected",$Y181="Closed",$Y181="Removed"),"CLOSED","OPEN — ON TRACK"))))))))))))</x:f>
      </x:c>
      <x:c r="AL181" s="1253" t="str">
        <x:f>IF($AK181="","",IFERROR(INDEX('97 RCC Lists'!$AM$5:$AM$16,MATCH($AK181,'97 RCC Lists'!$AL$5:$AL$16,0)),"Review candidate exception"))</x:f>
      </x:c>
      <x:c r="AM181" s="1242"/>
      <x:c r="AN181" s="1242"/>
      <x:c r="AO181" s="1242"/>
      <x:c r="AP181" s="1242"/>
      <x:c r="AQ181" s="1251"/>
    </x:row>
    <x:row r="182" ht="32" customHeight="1">
      <x:c r="A182" s="1242"/>
      <x:c r="B182" s="1251"/>
      <x:c r="C182" s="1242"/>
      <x:c r="D182" s="1243" t="str">
        <x:f>IF($C182="","",IFERROR(INDEX('23 RCC-004 MASR Registry'!$C$14:$C$163,MATCH($C182,'23 RCC-004 MASR Registry'!$B$14:$B$163,0)),""))</x:f>
      </x:c>
      <x:c r="E182" s="1242"/>
      <x:c r="F182" s="1242"/>
      <x:c r="G182" s="1242"/>
      <x:c r="H182" s="1242"/>
      <x:c r="I182" s="1243" t="str">
        <x:f>IF($C182="","",IFERROR(INDEX('23 RCC-004 MASR Registry'!$G$14:$G$163,MATCH($C182,'23 RCC-004 MASR Registry'!$B$14:$B$163,0)),""))</x:f>
      </x:c>
      <x:c r="J182" s="1243" t="str">
        <x:f>IF($C182="","",IFERROR(INDEX('23 RCC-004 MASR Registry'!$H$14:$H$163,MATCH($C182,'23 RCC-004 MASR Registry'!$B$14:$B$163,0)),""))</x:f>
      </x:c>
      <x:c r="K182" s="1243" t="str">
        <x:f>IF($C182="","",IFERROR(INDEX('23 RCC-004 MASR Registry'!$D$14:$D$163,MATCH($C182,'23 RCC-004 MASR Registry'!$B$14:$B$163,0)),""))</x:f>
      </x:c>
      <x:c r="L182" s="1243" t="str">
        <x:f>IF($C182="","",IFERROR(INDEX('23 RCC-004 MASR Registry'!$E$14:$E$163,MATCH($C182,'23 RCC-004 MASR Registry'!$B$14:$B$163,0)),""))</x:f>
      </x:c>
      <x:c r="M182" s="1243" t="str">
        <x:f>IF($C182="","",IFERROR(INDEX('23 RCC-004 MASR Registry'!$X$14:$X$163,MATCH($C182,'23 RCC-004 MASR Registry'!$B$14:$B$163,0)),""))</x:f>
      </x:c>
      <x:c r="N182" s="1243" t="str">
        <x:f>IF($C182="","",IFERROR(INDEX('23 RCC-004 MASR Registry'!$Y$14:$Y$163,MATCH($C182,'23 RCC-004 MASR Registry'!$B$14:$B$163,0)),""))</x:f>
      </x:c>
      <x:c r="O182" s="1243" t="str">
        <x:f>IF($C182="","",IFERROR(INDEX('23 RCC-004 MASR Registry'!$L$14:$L$163,MATCH($C182,'23 RCC-004 MASR Registry'!$B$14:$B$163,0)),""))</x:f>
      </x:c>
      <x:c r="P182" s="1243" t="str">
        <x:f>IF($C182="","",IFERROR(INDEX('23 RCC-004 MASR Registry'!$M$14:$M$163,MATCH($C182,'23 RCC-004 MASR Registry'!$B$14:$B$163,0)),""))</x:f>
      </x:c>
      <x:c r="Q182" s="1246" t="str">
        <x:f>IF($C182="","",IFERROR(INDEX('23 RCC-004 MASR Registry'!$N$14:$N$163,MATCH($C182,'23 RCC-004 MASR Registry'!$B$14:$B$163,0)),""))</x:f>
      </x:c>
      <x:c r="R182" s="1246" t="str">
        <x:f>IF($C182="","",IFERROR(INDEX('23 RCC-004 MASR Registry'!$O$14:$O$163,MATCH($C182,'23 RCC-004 MASR Registry'!$B$14:$B$163,0)),""))</x:f>
      </x:c>
      <x:c r="S182" s="1246" t="str">
        <x:f>IF($C182="","",IFERROR(INDEX('23 RCC-004 MASR Registry'!$W$14:$W$163,MATCH($C182,'23 RCC-004 MASR Registry'!$B$14:$B$163,0)),""))</x:f>
      </x:c>
      <x:c r="T182" s="1246" t="str">
        <x:f>IF($C182="","",IFERROR(INDEX('23 RCC-004 MASR Registry'!$T$14:$T$163,MATCH($C182,'23 RCC-004 MASR Registry'!$B$14:$B$163,0)),""))</x:f>
      </x:c>
      <x:c r="U182" s="1247" t="str">
        <x:f>IF($C182="","",IFERROR(INDEX('23 RCC-004 MASR Registry'!$U$14:$U$163,MATCH($C182,'23 RCC-004 MASR Registry'!$B$14:$B$163,0)),""))</x:f>
      </x:c>
      <x:c r="V182" s="1243" t="str">
        <x:f>IF($C182="","",IFERROR(INDEX('23 RCC-004 MASR Registry'!$V$14:$V$163,MATCH($C182,'23 RCC-004 MASR Registry'!$B$14:$B$163,0)),""))</x:f>
      </x:c>
      <x:c r="W182" s="1242"/>
      <x:c r="X182" s="1247" t="str">
        <x:f>IF($C182="","",COUNTIF('18 RCC-002 Evidence Ledger'!$E$14:$E$213,$C182))</x:f>
      </x:c>
      <x:c r="Y182" s="1242"/>
      <x:c r="Z182" s="1244" t="str">
        <x:f>IF($A182="","",IF(COUNTIF($A$14:$A$213,$A182)&gt;1,"FAIL — DUPLICATE ID",IF(OR($B182="",$C182="",$E182="",$H182="",$Y182="",$AA182="",$AB182=""),"FAIL — INCOMPLETE",IF(AND(OR($Y182="MIAR Review",$Y182="Eligibility Review",$Y182="Candidate Comparison",$Y182="Committee Review",$Y182="Approved for MASR",$Y182="Referred to PEW-004",$Y182="On Watch",$Y182="Rejected",$Y182="Closed",$Y182="Removed"),$K182=""),"FAIL — MASR RECORD REQUIRED",IF(AND(OR($Y182="Eligibility Review",$Y182="Candidate Comparison",$Y182="Committee Review",$Y182="Approved for MASR",$Y182="Referred to PEW-004",$Y182="On Watch"),NOT(OR($M182="ELIGIBLE",$M182="ELIGIBLE WITH EXCEPTION",$M182="CERTIFIED HOLDING"))),"FAIL — ELIGIBILITY",IF(AND(OR($Y182="Candidate Comparison",$Y182="Committee Review",$Y182="Approved for MASR",$Y182="Referred to PEW-004",$Y182="On Watch"),$X182=0),"FAIL — EVIDENCE",IF(AND(OR($Y182="Candidate Comparison",$Y182="Committee Review",$Y182="Approved for MASR",$Y182="Referred to PEW-004",$Y182="On Watch"),OR($O182&lt;&gt;"Active",$P182&lt;&gt;"CURRENT")),"FAIL — MIAR GATE",IF(AND(OR($Y182="Approved for MASR",$Y182="Referred to PEW-004",$Y182="On Watch",$Y182="Rejected",$Y182="Closed",$Y182="Removed"),OR($AD182="",$AD182="Pending")),"FAIL — COMMITTEE DISPOSITION",IF(AND($Y182="Referred to PEW-004",OR($AF182&lt;&gt;"Yes — Refer to PEW-004",$AG182="",$AJ182="")),"FAIL — PEW REFERRAL","PASS — STAGE GATE")))))))))</x:f>
      </x:c>
      <x:c r="AA182" s="1242"/>
      <x:c r="AB182" s="1251"/>
      <x:c r="AC182" s="1250" t="str">
        <x:f>IF($B182="","",IF($AQ182&lt;&gt;"",$AQ182-$B182,TODAY()-$B182))</x:f>
      </x:c>
      <x:c r="AD182" s="1242"/>
      <x:c r="AE182" s="1251"/>
      <x:c r="AF182" s="1242"/>
      <x:c r="AG182" s="1242"/>
      <x:c r="AH182" s="1246" t="str">
        <x:f>IF($AG182="","",IFERROR(INDEX('10 Candidate Comparison'!$T$14:$T$33,MATCH($AG182,'10 Candidate Comparison'!$A$14:$A$33,0)),""))</x:f>
      </x:c>
      <x:c r="AI182" s="1243" t="str">
        <x:f>IF($AG182="","",IFERROR(INDEX('10 Candidate Comparison'!$U$14:$U$33,MATCH($AG182,'10 Candidate Comparison'!$A$14:$A$33,0)),""))</x:f>
      </x:c>
      <x:c r="AJ182" s="1243" t="str">
        <x:f>IF($AG182="","",IFERROR(INDEX('10 Candidate Comparison'!$Y$14:$Y$33,MATCH($AG182,'10 Candidate Comparison'!$A$14:$A$33,0)),""))</x:f>
      </x:c>
      <x:c r="AK182" s="1244" t="str">
        <x:f>IF($A182="","",IF($Z182="FAIL — DUPLICATE ID","DUPLICATE CANDIDATE ID",IF($Z182="FAIL — INCOMPLETE","INCOMPLETE",IF($Z182="FAIL — MASR RECORD REQUIRED","MASR RECORD REQUIRED",IF($Z182="FAIL — ELIGIBILITY","ELIGIBILITY BLOCK",IF($Z182="FAIL — EVIDENCE","EVIDENCE REQUIRED",IF($Z182="FAIL — MIAR GATE","MIAR GATE BLOCK",IF($Z182="FAIL — COMMITTEE DISPOSITION","COMMITTEE DECISION REQUIRED",IF($Z182="FAIL — PEW REFERRAL","PEW REFERRAL INCOMPLETE",IF(AND(OR($Y182="Rejected",$Y182="Closed",$Y182="Removed"),OR($AO182="",$AP182="",$AQ182="")),"CLOSURE REQUIRED",IF(AND($AB182&lt;TODAY(),NOT(OR($Y182="Rejected",$Y182="Closed",$Y182="Removed"))),"OVERDUE",IF(OR($Y182="Rejected",$Y182="Closed",$Y182="Removed"),"CLOSED","OPEN — ON TRACK"))))))))))))</x:f>
      </x:c>
      <x:c r="AL182" s="1244" t="str">
        <x:f>IF($AK182="","",IFERROR(INDEX('97 RCC Lists'!$AM$5:$AM$16,MATCH($AK182,'97 RCC Lists'!$AL$5:$AL$16,0)),"Review candidate exception"))</x:f>
      </x:c>
      <x:c r="AM182" s="1242"/>
      <x:c r="AN182" s="1242"/>
      <x:c r="AO182" s="1242"/>
      <x:c r="AP182" s="1242"/>
      <x:c r="AQ182" s="1251"/>
    </x:row>
    <x:row r="183" ht="32" customHeight="1">
      <x:c r="A183" s="1242"/>
      <x:c r="B183" s="1251"/>
      <x:c r="C183" s="1242"/>
      <x:c r="D183" s="1252" t="str">
        <x:f>IF($C183="","",IFERROR(INDEX('23 RCC-004 MASR Registry'!$C$14:$C$163,MATCH($C183,'23 RCC-004 MASR Registry'!$B$14:$B$163,0)),""))</x:f>
      </x:c>
      <x:c r="E183" s="1242"/>
      <x:c r="F183" s="1242"/>
      <x:c r="G183" s="1242"/>
      <x:c r="H183" s="1242"/>
      <x:c r="I183" s="1252" t="str">
        <x:f>IF($C183="","",IFERROR(INDEX('23 RCC-004 MASR Registry'!$G$14:$G$163,MATCH($C183,'23 RCC-004 MASR Registry'!$B$14:$B$163,0)),""))</x:f>
      </x:c>
      <x:c r="J183" s="1252" t="str">
        <x:f>IF($C183="","",IFERROR(INDEX('23 RCC-004 MASR Registry'!$H$14:$H$163,MATCH($C183,'23 RCC-004 MASR Registry'!$B$14:$B$163,0)),""))</x:f>
      </x:c>
      <x:c r="K183" s="1252" t="str">
        <x:f>IF($C183="","",IFERROR(INDEX('23 RCC-004 MASR Registry'!$D$14:$D$163,MATCH($C183,'23 RCC-004 MASR Registry'!$B$14:$B$163,0)),""))</x:f>
      </x:c>
      <x:c r="L183" s="1252" t="str">
        <x:f>IF($C183="","",IFERROR(INDEX('23 RCC-004 MASR Registry'!$E$14:$E$163,MATCH($C183,'23 RCC-004 MASR Registry'!$B$14:$B$163,0)),""))</x:f>
      </x:c>
      <x:c r="M183" s="1252" t="str">
        <x:f>IF($C183="","",IFERROR(INDEX('23 RCC-004 MASR Registry'!$X$14:$X$163,MATCH($C183,'23 RCC-004 MASR Registry'!$B$14:$B$163,0)),""))</x:f>
      </x:c>
      <x:c r="N183" s="1252" t="str">
        <x:f>IF($C183="","",IFERROR(INDEX('23 RCC-004 MASR Registry'!$Y$14:$Y$163,MATCH($C183,'23 RCC-004 MASR Registry'!$B$14:$B$163,0)),""))</x:f>
      </x:c>
      <x:c r="O183" s="1252" t="str">
        <x:f>IF($C183="","",IFERROR(INDEX('23 RCC-004 MASR Registry'!$L$14:$L$163,MATCH($C183,'23 RCC-004 MASR Registry'!$B$14:$B$163,0)),""))</x:f>
      </x:c>
      <x:c r="P183" s="1252" t="str">
        <x:f>IF($C183="","",IFERROR(INDEX('23 RCC-004 MASR Registry'!$M$14:$M$163,MATCH($C183,'23 RCC-004 MASR Registry'!$B$14:$B$163,0)),""))</x:f>
      </x:c>
      <x:c r="Q183" s="1255" t="str">
        <x:f>IF($C183="","",IFERROR(INDEX('23 RCC-004 MASR Registry'!$N$14:$N$163,MATCH($C183,'23 RCC-004 MASR Registry'!$B$14:$B$163,0)),""))</x:f>
      </x:c>
      <x:c r="R183" s="1255" t="str">
        <x:f>IF($C183="","",IFERROR(INDEX('23 RCC-004 MASR Registry'!$O$14:$O$163,MATCH($C183,'23 RCC-004 MASR Registry'!$B$14:$B$163,0)),""))</x:f>
      </x:c>
      <x:c r="S183" s="1255" t="str">
        <x:f>IF($C183="","",IFERROR(INDEX('23 RCC-004 MASR Registry'!$W$14:$W$163,MATCH($C183,'23 RCC-004 MASR Registry'!$B$14:$B$163,0)),""))</x:f>
      </x:c>
      <x:c r="T183" s="1255" t="str">
        <x:f>IF($C183="","",IFERROR(INDEX('23 RCC-004 MASR Registry'!$T$14:$T$163,MATCH($C183,'23 RCC-004 MASR Registry'!$B$14:$B$163,0)),""))</x:f>
      </x:c>
      <x:c r="U183" s="1256" t="str">
        <x:f>IF($C183="","",IFERROR(INDEX('23 RCC-004 MASR Registry'!$U$14:$U$163,MATCH($C183,'23 RCC-004 MASR Registry'!$B$14:$B$163,0)),""))</x:f>
      </x:c>
      <x:c r="V183" s="1252" t="str">
        <x:f>IF($C183="","",IFERROR(INDEX('23 RCC-004 MASR Registry'!$V$14:$V$163,MATCH($C183,'23 RCC-004 MASR Registry'!$B$14:$B$163,0)),""))</x:f>
      </x:c>
      <x:c r="W183" s="1242"/>
      <x:c r="X183" s="1256" t="str">
        <x:f>IF($C183="","",COUNTIF('18 RCC-002 Evidence Ledger'!$E$14:$E$213,$C183))</x:f>
      </x:c>
      <x:c r="Y183" s="1242"/>
      <x:c r="Z183" s="1253" t="str">
        <x:f>IF($A183="","",IF(COUNTIF($A$14:$A$213,$A183)&gt;1,"FAIL — DUPLICATE ID",IF(OR($B183="",$C183="",$E183="",$H183="",$Y183="",$AA183="",$AB183=""),"FAIL — INCOMPLETE",IF(AND(OR($Y183="MIAR Review",$Y183="Eligibility Review",$Y183="Candidate Comparison",$Y183="Committee Review",$Y183="Approved for MASR",$Y183="Referred to PEW-004",$Y183="On Watch",$Y183="Rejected",$Y183="Closed",$Y183="Removed"),$K183=""),"FAIL — MASR RECORD REQUIRED",IF(AND(OR($Y183="Eligibility Review",$Y183="Candidate Comparison",$Y183="Committee Review",$Y183="Approved for MASR",$Y183="Referred to PEW-004",$Y183="On Watch"),NOT(OR($M183="ELIGIBLE",$M183="ELIGIBLE WITH EXCEPTION",$M183="CERTIFIED HOLDING"))),"FAIL — ELIGIBILITY",IF(AND(OR($Y183="Candidate Comparison",$Y183="Committee Review",$Y183="Approved for MASR",$Y183="Referred to PEW-004",$Y183="On Watch"),$X183=0),"FAIL — EVIDENCE",IF(AND(OR($Y183="Candidate Comparison",$Y183="Committee Review",$Y183="Approved for MASR",$Y183="Referred to PEW-004",$Y183="On Watch"),OR($O183&lt;&gt;"Active",$P183&lt;&gt;"CURRENT")),"FAIL — MIAR GATE",IF(AND(OR($Y183="Approved for MASR",$Y183="Referred to PEW-004",$Y183="On Watch",$Y183="Rejected",$Y183="Closed",$Y183="Removed"),OR($AD183="",$AD183="Pending")),"FAIL — COMMITTEE DISPOSITION",IF(AND($Y183="Referred to PEW-004",OR($AF183&lt;&gt;"Yes — Refer to PEW-004",$AG183="",$AJ183="")),"FAIL — PEW REFERRAL","PASS — STAGE GATE")))))))))</x:f>
      </x:c>
      <x:c r="AA183" s="1242"/>
      <x:c r="AB183" s="1251"/>
      <x:c r="AC183" s="1257" t="str">
        <x:f>IF($B183="","",IF($AQ183&lt;&gt;"",$AQ183-$B183,TODAY()-$B183))</x:f>
      </x:c>
      <x:c r="AD183" s="1242"/>
      <x:c r="AE183" s="1251"/>
      <x:c r="AF183" s="1242"/>
      <x:c r="AG183" s="1242"/>
      <x:c r="AH183" s="1255" t="str">
        <x:f>IF($AG183="","",IFERROR(INDEX('10 Candidate Comparison'!$T$14:$T$33,MATCH($AG183,'10 Candidate Comparison'!$A$14:$A$33,0)),""))</x:f>
      </x:c>
      <x:c r="AI183" s="1252" t="str">
        <x:f>IF($AG183="","",IFERROR(INDEX('10 Candidate Comparison'!$U$14:$U$33,MATCH($AG183,'10 Candidate Comparison'!$A$14:$A$33,0)),""))</x:f>
      </x:c>
      <x:c r="AJ183" s="1252" t="str">
        <x:f>IF($AG183="","",IFERROR(INDEX('10 Candidate Comparison'!$Y$14:$Y$33,MATCH($AG183,'10 Candidate Comparison'!$A$14:$A$33,0)),""))</x:f>
      </x:c>
      <x:c r="AK183" s="1253" t="str">
        <x:f>IF($A183="","",IF($Z183="FAIL — DUPLICATE ID","DUPLICATE CANDIDATE ID",IF($Z183="FAIL — INCOMPLETE","INCOMPLETE",IF($Z183="FAIL — MASR RECORD REQUIRED","MASR RECORD REQUIRED",IF($Z183="FAIL — ELIGIBILITY","ELIGIBILITY BLOCK",IF($Z183="FAIL — EVIDENCE","EVIDENCE REQUIRED",IF($Z183="FAIL — MIAR GATE","MIAR GATE BLOCK",IF($Z183="FAIL — COMMITTEE DISPOSITION","COMMITTEE DECISION REQUIRED",IF($Z183="FAIL — PEW REFERRAL","PEW REFERRAL INCOMPLETE",IF(AND(OR($Y183="Rejected",$Y183="Closed",$Y183="Removed"),OR($AO183="",$AP183="",$AQ183="")),"CLOSURE REQUIRED",IF(AND($AB183&lt;TODAY(),NOT(OR($Y183="Rejected",$Y183="Closed",$Y183="Removed"))),"OVERDUE",IF(OR($Y183="Rejected",$Y183="Closed",$Y183="Removed"),"CLOSED","OPEN — ON TRACK"))))))))))))</x:f>
      </x:c>
      <x:c r="AL183" s="1253" t="str">
        <x:f>IF($AK183="","",IFERROR(INDEX('97 RCC Lists'!$AM$5:$AM$16,MATCH($AK183,'97 RCC Lists'!$AL$5:$AL$16,0)),"Review candidate exception"))</x:f>
      </x:c>
      <x:c r="AM183" s="1242"/>
      <x:c r="AN183" s="1242"/>
      <x:c r="AO183" s="1242"/>
      <x:c r="AP183" s="1242"/>
      <x:c r="AQ183" s="1251"/>
    </x:row>
    <x:row r="184" ht="32" customHeight="1">
      <x:c r="A184" s="1242"/>
      <x:c r="B184" s="1251"/>
      <x:c r="C184" s="1242"/>
      <x:c r="D184" s="1243" t="str">
        <x:f>IF($C184="","",IFERROR(INDEX('23 RCC-004 MASR Registry'!$C$14:$C$163,MATCH($C184,'23 RCC-004 MASR Registry'!$B$14:$B$163,0)),""))</x:f>
      </x:c>
      <x:c r="E184" s="1242"/>
      <x:c r="F184" s="1242"/>
      <x:c r="G184" s="1242"/>
      <x:c r="H184" s="1242"/>
      <x:c r="I184" s="1243" t="str">
        <x:f>IF($C184="","",IFERROR(INDEX('23 RCC-004 MASR Registry'!$G$14:$G$163,MATCH($C184,'23 RCC-004 MASR Registry'!$B$14:$B$163,0)),""))</x:f>
      </x:c>
      <x:c r="J184" s="1243" t="str">
        <x:f>IF($C184="","",IFERROR(INDEX('23 RCC-004 MASR Registry'!$H$14:$H$163,MATCH($C184,'23 RCC-004 MASR Registry'!$B$14:$B$163,0)),""))</x:f>
      </x:c>
      <x:c r="K184" s="1243" t="str">
        <x:f>IF($C184="","",IFERROR(INDEX('23 RCC-004 MASR Registry'!$D$14:$D$163,MATCH($C184,'23 RCC-004 MASR Registry'!$B$14:$B$163,0)),""))</x:f>
      </x:c>
      <x:c r="L184" s="1243" t="str">
        <x:f>IF($C184="","",IFERROR(INDEX('23 RCC-004 MASR Registry'!$E$14:$E$163,MATCH($C184,'23 RCC-004 MASR Registry'!$B$14:$B$163,0)),""))</x:f>
      </x:c>
      <x:c r="M184" s="1243" t="str">
        <x:f>IF($C184="","",IFERROR(INDEX('23 RCC-004 MASR Registry'!$X$14:$X$163,MATCH($C184,'23 RCC-004 MASR Registry'!$B$14:$B$163,0)),""))</x:f>
      </x:c>
      <x:c r="N184" s="1243" t="str">
        <x:f>IF($C184="","",IFERROR(INDEX('23 RCC-004 MASR Registry'!$Y$14:$Y$163,MATCH($C184,'23 RCC-004 MASR Registry'!$B$14:$B$163,0)),""))</x:f>
      </x:c>
      <x:c r="O184" s="1243" t="str">
        <x:f>IF($C184="","",IFERROR(INDEX('23 RCC-004 MASR Registry'!$L$14:$L$163,MATCH($C184,'23 RCC-004 MASR Registry'!$B$14:$B$163,0)),""))</x:f>
      </x:c>
      <x:c r="P184" s="1243" t="str">
        <x:f>IF($C184="","",IFERROR(INDEX('23 RCC-004 MASR Registry'!$M$14:$M$163,MATCH($C184,'23 RCC-004 MASR Registry'!$B$14:$B$163,0)),""))</x:f>
      </x:c>
      <x:c r="Q184" s="1246" t="str">
        <x:f>IF($C184="","",IFERROR(INDEX('23 RCC-004 MASR Registry'!$N$14:$N$163,MATCH($C184,'23 RCC-004 MASR Registry'!$B$14:$B$163,0)),""))</x:f>
      </x:c>
      <x:c r="R184" s="1246" t="str">
        <x:f>IF($C184="","",IFERROR(INDEX('23 RCC-004 MASR Registry'!$O$14:$O$163,MATCH($C184,'23 RCC-004 MASR Registry'!$B$14:$B$163,0)),""))</x:f>
      </x:c>
      <x:c r="S184" s="1246" t="str">
        <x:f>IF($C184="","",IFERROR(INDEX('23 RCC-004 MASR Registry'!$W$14:$W$163,MATCH($C184,'23 RCC-004 MASR Registry'!$B$14:$B$163,0)),""))</x:f>
      </x:c>
      <x:c r="T184" s="1246" t="str">
        <x:f>IF($C184="","",IFERROR(INDEX('23 RCC-004 MASR Registry'!$T$14:$T$163,MATCH($C184,'23 RCC-004 MASR Registry'!$B$14:$B$163,0)),""))</x:f>
      </x:c>
      <x:c r="U184" s="1247" t="str">
        <x:f>IF($C184="","",IFERROR(INDEX('23 RCC-004 MASR Registry'!$U$14:$U$163,MATCH($C184,'23 RCC-004 MASR Registry'!$B$14:$B$163,0)),""))</x:f>
      </x:c>
      <x:c r="V184" s="1243" t="str">
        <x:f>IF($C184="","",IFERROR(INDEX('23 RCC-004 MASR Registry'!$V$14:$V$163,MATCH($C184,'23 RCC-004 MASR Registry'!$B$14:$B$163,0)),""))</x:f>
      </x:c>
      <x:c r="W184" s="1242"/>
      <x:c r="X184" s="1247" t="str">
        <x:f>IF($C184="","",COUNTIF('18 RCC-002 Evidence Ledger'!$E$14:$E$213,$C184))</x:f>
      </x:c>
      <x:c r="Y184" s="1242"/>
      <x:c r="Z184" s="1244" t="str">
        <x:f>IF($A184="","",IF(COUNTIF($A$14:$A$213,$A184)&gt;1,"FAIL — DUPLICATE ID",IF(OR($B184="",$C184="",$E184="",$H184="",$Y184="",$AA184="",$AB184=""),"FAIL — INCOMPLETE",IF(AND(OR($Y184="MIAR Review",$Y184="Eligibility Review",$Y184="Candidate Comparison",$Y184="Committee Review",$Y184="Approved for MASR",$Y184="Referred to PEW-004",$Y184="On Watch",$Y184="Rejected",$Y184="Closed",$Y184="Removed"),$K184=""),"FAIL — MASR RECORD REQUIRED",IF(AND(OR($Y184="Eligibility Review",$Y184="Candidate Comparison",$Y184="Committee Review",$Y184="Approved for MASR",$Y184="Referred to PEW-004",$Y184="On Watch"),NOT(OR($M184="ELIGIBLE",$M184="ELIGIBLE WITH EXCEPTION",$M184="CERTIFIED HOLDING"))),"FAIL — ELIGIBILITY",IF(AND(OR($Y184="Candidate Comparison",$Y184="Committee Review",$Y184="Approved for MASR",$Y184="Referred to PEW-004",$Y184="On Watch"),$X184=0),"FAIL — EVIDENCE",IF(AND(OR($Y184="Candidate Comparison",$Y184="Committee Review",$Y184="Approved for MASR",$Y184="Referred to PEW-004",$Y184="On Watch"),OR($O184&lt;&gt;"Active",$P184&lt;&gt;"CURRENT")),"FAIL — MIAR GATE",IF(AND(OR($Y184="Approved for MASR",$Y184="Referred to PEW-004",$Y184="On Watch",$Y184="Rejected",$Y184="Closed",$Y184="Removed"),OR($AD184="",$AD184="Pending")),"FAIL — COMMITTEE DISPOSITION",IF(AND($Y184="Referred to PEW-004",OR($AF184&lt;&gt;"Yes — Refer to PEW-004",$AG184="",$AJ184="")),"FAIL — PEW REFERRAL","PASS — STAGE GATE")))))))))</x:f>
      </x:c>
      <x:c r="AA184" s="1242"/>
      <x:c r="AB184" s="1251"/>
      <x:c r="AC184" s="1250" t="str">
        <x:f>IF($B184="","",IF($AQ184&lt;&gt;"",$AQ184-$B184,TODAY()-$B184))</x:f>
      </x:c>
      <x:c r="AD184" s="1242"/>
      <x:c r="AE184" s="1251"/>
      <x:c r="AF184" s="1242"/>
      <x:c r="AG184" s="1242"/>
      <x:c r="AH184" s="1246" t="str">
        <x:f>IF($AG184="","",IFERROR(INDEX('10 Candidate Comparison'!$T$14:$T$33,MATCH($AG184,'10 Candidate Comparison'!$A$14:$A$33,0)),""))</x:f>
      </x:c>
      <x:c r="AI184" s="1243" t="str">
        <x:f>IF($AG184="","",IFERROR(INDEX('10 Candidate Comparison'!$U$14:$U$33,MATCH($AG184,'10 Candidate Comparison'!$A$14:$A$33,0)),""))</x:f>
      </x:c>
      <x:c r="AJ184" s="1243" t="str">
        <x:f>IF($AG184="","",IFERROR(INDEX('10 Candidate Comparison'!$Y$14:$Y$33,MATCH($AG184,'10 Candidate Comparison'!$A$14:$A$33,0)),""))</x:f>
      </x:c>
      <x:c r="AK184" s="1244" t="str">
        <x:f>IF($A184="","",IF($Z184="FAIL — DUPLICATE ID","DUPLICATE CANDIDATE ID",IF($Z184="FAIL — INCOMPLETE","INCOMPLETE",IF($Z184="FAIL — MASR RECORD REQUIRED","MASR RECORD REQUIRED",IF($Z184="FAIL — ELIGIBILITY","ELIGIBILITY BLOCK",IF($Z184="FAIL — EVIDENCE","EVIDENCE REQUIRED",IF($Z184="FAIL — MIAR GATE","MIAR GATE BLOCK",IF($Z184="FAIL — COMMITTEE DISPOSITION","COMMITTEE DECISION REQUIRED",IF($Z184="FAIL — PEW REFERRAL","PEW REFERRAL INCOMPLETE",IF(AND(OR($Y184="Rejected",$Y184="Closed",$Y184="Removed"),OR($AO184="",$AP184="",$AQ184="")),"CLOSURE REQUIRED",IF(AND($AB184&lt;TODAY(),NOT(OR($Y184="Rejected",$Y184="Closed",$Y184="Removed"))),"OVERDUE",IF(OR($Y184="Rejected",$Y184="Closed",$Y184="Removed"),"CLOSED","OPEN — ON TRACK"))))))))))))</x:f>
      </x:c>
      <x:c r="AL184" s="1244" t="str">
        <x:f>IF($AK184="","",IFERROR(INDEX('97 RCC Lists'!$AM$5:$AM$16,MATCH($AK184,'97 RCC Lists'!$AL$5:$AL$16,0)),"Review candidate exception"))</x:f>
      </x:c>
      <x:c r="AM184" s="1242"/>
      <x:c r="AN184" s="1242"/>
      <x:c r="AO184" s="1242"/>
      <x:c r="AP184" s="1242"/>
      <x:c r="AQ184" s="1251"/>
    </x:row>
    <x:row r="185" ht="32" customHeight="1">
      <x:c r="A185" s="1242"/>
      <x:c r="B185" s="1251"/>
      <x:c r="C185" s="1242"/>
      <x:c r="D185" s="1252" t="str">
        <x:f>IF($C185="","",IFERROR(INDEX('23 RCC-004 MASR Registry'!$C$14:$C$163,MATCH($C185,'23 RCC-004 MASR Registry'!$B$14:$B$163,0)),""))</x:f>
      </x:c>
      <x:c r="E185" s="1242"/>
      <x:c r="F185" s="1242"/>
      <x:c r="G185" s="1242"/>
      <x:c r="H185" s="1242"/>
      <x:c r="I185" s="1252" t="str">
        <x:f>IF($C185="","",IFERROR(INDEX('23 RCC-004 MASR Registry'!$G$14:$G$163,MATCH($C185,'23 RCC-004 MASR Registry'!$B$14:$B$163,0)),""))</x:f>
      </x:c>
      <x:c r="J185" s="1252" t="str">
        <x:f>IF($C185="","",IFERROR(INDEX('23 RCC-004 MASR Registry'!$H$14:$H$163,MATCH($C185,'23 RCC-004 MASR Registry'!$B$14:$B$163,0)),""))</x:f>
      </x:c>
      <x:c r="K185" s="1252" t="str">
        <x:f>IF($C185="","",IFERROR(INDEX('23 RCC-004 MASR Registry'!$D$14:$D$163,MATCH($C185,'23 RCC-004 MASR Registry'!$B$14:$B$163,0)),""))</x:f>
      </x:c>
      <x:c r="L185" s="1252" t="str">
        <x:f>IF($C185="","",IFERROR(INDEX('23 RCC-004 MASR Registry'!$E$14:$E$163,MATCH($C185,'23 RCC-004 MASR Registry'!$B$14:$B$163,0)),""))</x:f>
      </x:c>
      <x:c r="M185" s="1252" t="str">
        <x:f>IF($C185="","",IFERROR(INDEX('23 RCC-004 MASR Registry'!$X$14:$X$163,MATCH($C185,'23 RCC-004 MASR Registry'!$B$14:$B$163,0)),""))</x:f>
      </x:c>
      <x:c r="N185" s="1252" t="str">
        <x:f>IF($C185="","",IFERROR(INDEX('23 RCC-004 MASR Registry'!$Y$14:$Y$163,MATCH($C185,'23 RCC-004 MASR Registry'!$B$14:$B$163,0)),""))</x:f>
      </x:c>
      <x:c r="O185" s="1252" t="str">
        <x:f>IF($C185="","",IFERROR(INDEX('23 RCC-004 MASR Registry'!$L$14:$L$163,MATCH($C185,'23 RCC-004 MASR Registry'!$B$14:$B$163,0)),""))</x:f>
      </x:c>
      <x:c r="P185" s="1252" t="str">
        <x:f>IF($C185="","",IFERROR(INDEX('23 RCC-004 MASR Registry'!$M$14:$M$163,MATCH($C185,'23 RCC-004 MASR Registry'!$B$14:$B$163,0)),""))</x:f>
      </x:c>
      <x:c r="Q185" s="1255" t="str">
        <x:f>IF($C185="","",IFERROR(INDEX('23 RCC-004 MASR Registry'!$N$14:$N$163,MATCH($C185,'23 RCC-004 MASR Registry'!$B$14:$B$163,0)),""))</x:f>
      </x:c>
      <x:c r="R185" s="1255" t="str">
        <x:f>IF($C185="","",IFERROR(INDEX('23 RCC-004 MASR Registry'!$O$14:$O$163,MATCH($C185,'23 RCC-004 MASR Registry'!$B$14:$B$163,0)),""))</x:f>
      </x:c>
      <x:c r="S185" s="1255" t="str">
        <x:f>IF($C185="","",IFERROR(INDEX('23 RCC-004 MASR Registry'!$W$14:$W$163,MATCH($C185,'23 RCC-004 MASR Registry'!$B$14:$B$163,0)),""))</x:f>
      </x:c>
      <x:c r="T185" s="1255" t="str">
        <x:f>IF($C185="","",IFERROR(INDEX('23 RCC-004 MASR Registry'!$T$14:$T$163,MATCH($C185,'23 RCC-004 MASR Registry'!$B$14:$B$163,0)),""))</x:f>
      </x:c>
      <x:c r="U185" s="1256" t="str">
        <x:f>IF($C185="","",IFERROR(INDEX('23 RCC-004 MASR Registry'!$U$14:$U$163,MATCH($C185,'23 RCC-004 MASR Registry'!$B$14:$B$163,0)),""))</x:f>
      </x:c>
      <x:c r="V185" s="1252" t="str">
        <x:f>IF($C185="","",IFERROR(INDEX('23 RCC-004 MASR Registry'!$V$14:$V$163,MATCH($C185,'23 RCC-004 MASR Registry'!$B$14:$B$163,0)),""))</x:f>
      </x:c>
      <x:c r="W185" s="1242"/>
      <x:c r="X185" s="1256" t="str">
        <x:f>IF($C185="","",COUNTIF('18 RCC-002 Evidence Ledger'!$E$14:$E$213,$C185))</x:f>
      </x:c>
      <x:c r="Y185" s="1242"/>
      <x:c r="Z185" s="1253" t="str">
        <x:f>IF($A185="","",IF(COUNTIF($A$14:$A$213,$A185)&gt;1,"FAIL — DUPLICATE ID",IF(OR($B185="",$C185="",$E185="",$H185="",$Y185="",$AA185="",$AB185=""),"FAIL — INCOMPLETE",IF(AND(OR($Y185="MIAR Review",$Y185="Eligibility Review",$Y185="Candidate Comparison",$Y185="Committee Review",$Y185="Approved for MASR",$Y185="Referred to PEW-004",$Y185="On Watch",$Y185="Rejected",$Y185="Closed",$Y185="Removed"),$K185=""),"FAIL — MASR RECORD REQUIRED",IF(AND(OR($Y185="Eligibility Review",$Y185="Candidate Comparison",$Y185="Committee Review",$Y185="Approved for MASR",$Y185="Referred to PEW-004",$Y185="On Watch"),NOT(OR($M185="ELIGIBLE",$M185="ELIGIBLE WITH EXCEPTION",$M185="CERTIFIED HOLDING"))),"FAIL — ELIGIBILITY",IF(AND(OR($Y185="Candidate Comparison",$Y185="Committee Review",$Y185="Approved for MASR",$Y185="Referred to PEW-004",$Y185="On Watch"),$X185=0),"FAIL — EVIDENCE",IF(AND(OR($Y185="Candidate Comparison",$Y185="Committee Review",$Y185="Approved for MASR",$Y185="Referred to PEW-004",$Y185="On Watch"),OR($O185&lt;&gt;"Active",$P185&lt;&gt;"CURRENT")),"FAIL — MIAR GATE",IF(AND(OR($Y185="Approved for MASR",$Y185="Referred to PEW-004",$Y185="On Watch",$Y185="Rejected",$Y185="Closed",$Y185="Removed"),OR($AD185="",$AD185="Pending")),"FAIL — COMMITTEE DISPOSITION",IF(AND($Y185="Referred to PEW-004",OR($AF185&lt;&gt;"Yes — Refer to PEW-004",$AG185="",$AJ185="")),"FAIL — PEW REFERRAL","PASS — STAGE GATE")))))))))</x:f>
      </x:c>
      <x:c r="AA185" s="1242"/>
      <x:c r="AB185" s="1251"/>
      <x:c r="AC185" s="1257" t="str">
        <x:f>IF($B185="","",IF($AQ185&lt;&gt;"",$AQ185-$B185,TODAY()-$B185))</x:f>
      </x:c>
      <x:c r="AD185" s="1242"/>
      <x:c r="AE185" s="1251"/>
      <x:c r="AF185" s="1242"/>
      <x:c r="AG185" s="1242"/>
      <x:c r="AH185" s="1255" t="str">
        <x:f>IF($AG185="","",IFERROR(INDEX('10 Candidate Comparison'!$T$14:$T$33,MATCH($AG185,'10 Candidate Comparison'!$A$14:$A$33,0)),""))</x:f>
      </x:c>
      <x:c r="AI185" s="1252" t="str">
        <x:f>IF($AG185="","",IFERROR(INDEX('10 Candidate Comparison'!$U$14:$U$33,MATCH($AG185,'10 Candidate Comparison'!$A$14:$A$33,0)),""))</x:f>
      </x:c>
      <x:c r="AJ185" s="1252" t="str">
        <x:f>IF($AG185="","",IFERROR(INDEX('10 Candidate Comparison'!$Y$14:$Y$33,MATCH($AG185,'10 Candidate Comparison'!$A$14:$A$33,0)),""))</x:f>
      </x:c>
      <x:c r="AK185" s="1253" t="str">
        <x:f>IF($A185="","",IF($Z185="FAIL — DUPLICATE ID","DUPLICATE CANDIDATE ID",IF($Z185="FAIL — INCOMPLETE","INCOMPLETE",IF($Z185="FAIL — MASR RECORD REQUIRED","MASR RECORD REQUIRED",IF($Z185="FAIL — ELIGIBILITY","ELIGIBILITY BLOCK",IF($Z185="FAIL — EVIDENCE","EVIDENCE REQUIRED",IF($Z185="FAIL — MIAR GATE","MIAR GATE BLOCK",IF($Z185="FAIL — COMMITTEE DISPOSITION","COMMITTEE DECISION REQUIRED",IF($Z185="FAIL — PEW REFERRAL","PEW REFERRAL INCOMPLETE",IF(AND(OR($Y185="Rejected",$Y185="Closed",$Y185="Removed"),OR($AO185="",$AP185="",$AQ185="")),"CLOSURE REQUIRED",IF(AND($AB185&lt;TODAY(),NOT(OR($Y185="Rejected",$Y185="Closed",$Y185="Removed"))),"OVERDUE",IF(OR($Y185="Rejected",$Y185="Closed",$Y185="Removed"),"CLOSED","OPEN — ON TRACK"))))))))))))</x:f>
      </x:c>
      <x:c r="AL185" s="1253" t="str">
        <x:f>IF($AK185="","",IFERROR(INDEX('97 RCC Lists'!$AM$5:$AM$16,MATCH($AK185,'97 RCC Lists'!$AL$5:$AL$16,0)),"Review candidate exception"))</x:f>
      </x:c>
      <x:c r="AM185" s="1242"/>
      <x:c r="AN185" s="1242"/>
      <x:c r="AO185" s="1242"/>
      <x:c r="AP185" s="1242"/>
      <x:c r="AQ185" s="1251"/>
    </x:row>
    <x:row r="186" ht="32" customHeight="1">
      <x:c r="A186" s="1242"/>
      <x:c r="B186" s="1251"/>
      <x:c r="C186" s="1242"/>
      <x:c r="D186" s="1243" t="str">
        <x:f>IF($C186="","",IFERROR(INDEX('23 RCC-004 MASR Registry'!$C$14:$C$163,MATCH($C186,'23 RCC-004 MASR Registry'!$B$14:$B$163,0)),""))</x:f>
      </x:c>
      <x:c r="E186" s="1242"/>
      <x:c r="F186" s="1242"/>
      <x:c r="G186" s="1242"/>
      <x:c r="H186" s="1242"/>
      <x:c r="I186" s="1243" t="str">
        <x:f>IF($C186="","",IFERROR(INDEX('23 RCC-004 MASR Registry'!$G$14:$G$163,MATCH($C186,'23 RCC-004 MASR Registry'!$B$14:$B$163,0)),""))</x:f>
      </x:c>
      <x:c r="J186" s="1243" t="str">
        <x:f>IF($C186="","",IFERROR(INDEX('23 RCC-004 MASR Registry'!$H$14:$H$163,MATCH($C186,'23 RCC-004 MASR Registry'!$B$14:$B$163,0)),""))</x:f>
      </x:c>
      <x:c r="K186" s="1243" t="str">
        <x:f>IF($C186="","",IFERROR(INDEX('23 RCC-004 MASR Registry'!$D$14:$D$163,MATCH($C186,'23 RCC-004 MASR Registry'!$B$14:$B$163,0)),""))</x:f>
      </x:c>
      <x:c r="L186" s="1243" t="str">
        <x:f>IF($C186="","",IFERROR(INDEX('23 RCC-004 MASR Registry'!$E$14:$E$163,MATCH($C186,'23 RCC-004 MASR Registry'!$B$14:$B$163,0)),""))</x:f>
      </x:c>
      <x:c r="M186" s="1243" t="str">
        <x:f>IF($C186="","",IFERROR(INDEX('23 RCC-004 MASR Registry'!$X$14:$X$163,MATCH($C186,'23 RCC-004 MASR Registry'!$B$14:$B$163,0)),""))</x:f>
      </x:c>
      <x:c r="N186" s="1243" t="str">
        <x:f>IF($C186="","",IFERROR(INDEX('23 RCC-004 MASR Registry'!$Y$14:$Y$163,MATCH($C186,'23 RCC-004 MASR Registry'!$B$14:$B$163,0)),""))</x:f>
      </x:c>
      <x:c r="O186" s="1243" t="str">
        <x:f>IF($C186="","",IFERROR(INDEX('23 RCC-004 MASR Registry'!$L$14:$L$163,MATCH($C186,'23 RCC-004 MASR Registry'!$B$14:$B$163,0)),""))</x:f>
      </x:c>
      <x:c r="P186" s="1243" t="str">
        <x:f>IF($C186="","",IFERROR(INDEX('23 RCC-004 MASR Registry'!$M$14:$M$163,MATCH($C186,'23 RCC-004 MASR Registry'!$B$14:$B$163,0)),""))</x:f>
      </x:c>
      <x:c r="Q186" s="1246" t="str">
        <x:f>IF($C186="","",IFERROR(INDEX('23 RCC-004 MASR Registry'!$N$14:$N$163,MATCH($C186,'23 RCC-004 MASR Registry'!$B$14:$B$163,0)),""))</x:f>
      </x:c>
      <x:c r="R186" s="1246" t="str">
        <x:f>IF($C186="","",IFERROR(INDEX('23 RCC-004 MASR Registry'!$O$14:$O$163,MATCH($C186,'23 RCC-004 MASR Registry'!$B$14:$B$163,0)),""))</x:f>
      </x:c>
      <x:c r="S186" s="1246" t="str">
        <x:f>IF($C186="","",IFERROR(INDEX('23 RCC-004 MASR Registry'!$W$14:$W$163,MATCH($C186,'23 RCC-004 MASR Registry'!$B$14:$B$163,0)),""))</x:f>
      </x:c>
      <x:c r="T186" s="1246" t="str">
        <x:f>IF($C186="","",IFERROR(INDEX('23 RCC-004 MASR Registry'!$T$14:$T$163,MATCH($C186,'23 RCC-004 MASR Registry'!$B$14:$B$163,0)),""))</x:f>
      </x:c>
      <x:c r="U186" s="1247" t="str">
        <x:f>IF($C186="","",IFERROR(INDEX('23 RCC-004 MASR Registry'!$U$14:$U$163,MATCH($C186,'23 RCC-004 MASR Registry'!$B$14:$B$163,0)),""))</x:f>
      </x:c>
      <x:c r="V186" s="1243" t="str">
        <x:f>IF($C186="","",IFERROR(INDEX('23 RCC-004 MASR Registry'!$V$14:$V$163,MATCH($C186,'23 RCC-004 MASR Registry'!$B$14:$B$163,0)),""))</x:f>
      </x:c>
      <x:c r="W186" s="1242"/>
      <x:c r="X186" s="1247" t="str">
        <x:f>IF($C186="","",COUNTIF('18 RCC-002 Evidence Ledger'!$E$14:$E$213,$C186))</x:f>
      </x:c>
      <x:c r="Y186" s="1242"/>
      <x:c r="Z186" s="1244" t="str">
        <x:f>IF($A186="","",IF(COUNTIF($A$14:$A$213,$A186)&gt;1,"FAIL — DUPLICATE ID",IF(OR($B186="",$C186="",$E186="",$H186="",$Y186="",$AA186="",$AB186=""),"FAIL — INCOMPLETE",IF(AND(OR($Y186="MIAR Review",$Y186="Eligibility Review",$Y186="Candidate Comparison",$Y186="Committee Review",$Y186="Approved for MASR",$Y186="Referred to PEW-004",$Y186="On Watch",$Y186="Rejected",$Y186="Closed",$Y186="Removed"),$K186=""),"FAIL — MASR RECORD REQUIRED",IF(AND(OR($Y186="Eligibility Review",$Y186="Candidate Comparison",$Y186="Committee Review",$Y186="Approved for MASR",$Y186="Referred to PEW-004",$Y186="On Watch"),NOT(OR($M186="ELIGIBLE",$M186="ELIGIBLE WITH EXCEPTION",$M186="CERTIFIED HOLDING"))),"FAIL — ELIGIBILITY",IF(AND(OR($Y186="Candidate Comparison",$Y186="Committee Review",$Y186="Approved for MASR",$Y186="Referred to PEW-004",$Y186="On Watch"),$X186=0),"FAIL — EVIDENCE",IF(AND(OR($Y186="Candidate Comparison",$Y186="Committee Review",$Y186="Approved for MASR",$Y186="Referred to PEW-004",$Y186="On Watch"),OR($O186&lt;&gt;"Active",$P186&lt;&gt;"CURRENT")),"FAIL — MIAR GATE",IF(AND(OR($Y186="Approved for MASR",$Y186="Referred to PEW-004",$Y186="On Watch",$Y186="Rejected",$Y186="Closed",$Y186="Removed"),OR($AD186="",$AD186="Pending")),"FAIL — COMMITTEE DISPOSITION",IF(AND($Y186="Referred to PEW-004",OR($AF186&lt;&gt;"Yes — Refer to PEW-004",$AG186="",$AJ186="")),"FAIL — PEW REFERRAL","PASS — STAGE GATE")))))))))</x:f>
      </x:c>
      <x:c r="AA186" s="1242"/>
      <x:c r="AB186" s="1251"/>
      <x:c r="AC186" s="1250" t="str">
        <x:f>IF($B186="","",IF($AQ186&lt;&gt;"",$AQ186-$B186,TODAY()-$B186))</x:f>
      </x:c>
      <x:c r="AD186" s="1242"/>
      <x:c r="AE186" s="1251"/>
      <x:c r="AF186" s="1242"/>
      <x:c r="AG186" s="1242"/>
      <x:c r="AH186" s="1246" t="str">
        <x:f>IF($AG186="","",IFERROR(INDEX('10 Candidate Comparison'!$T$14:$T$33,MATCH($AG186,'10 Candidate Comparison'!$A$14:$A$33,0)),""))</x:f>
      </x:c>
      <x:c r="AI186" s="1243" t="str">
        <x:f>IF($AG186="","",IFERROR(INDEX('10 Candidate Comparison'!$U$14:$U$33,MATCH($AG186,'10 Candidate Comparison'!$A$14:$A$33,0)),""))</x:f>
      </x:c>
      <x:c r="AJ186" s="1243" t="str">
        <x:f>IF($AG186="","",IFERROR(INDEX('10 Candidate Comparison'!$Y$14:$Y$33,MATCH($AG186,'10 Candidate Comparison'!$A$14:$A$33,0)),""))</x:f>
      </x:c>
      <x:c r="AK186" s="1244" t="str">
        <x:f>IF($A186="","",IF($Z186="FAIL — DUPLICATE ID","DUPLICATE CANDIDATE ID",IF($Z186="FAIL — INCOMPLETE","INCOMPLETE",IF($Z186="FAIL — MASR RECORD REQUIRED","MASR RECORD REQUIRED",IF($Z186="FAIL — ELIGIBILITY","ELIGIBILITY BLOCK",IF($Z186="FAIL — EVIDENCE","EVIDENCE REQUIRED",IF($Z186="FAIL — MIAR GATE","MIAR GATE BLOCK",IF($Z186="FAIL — COMMITTEE DISPOSITION","COMMITTEE DECISION REQUIRED",IF($Z186="FAIL — PEW REFERRAL","PEW REFERRAL INCOMPLETE",IF(AND(OR($Y186="Rejected",$Y186="Closed",$Y186="Removed"),OR($AO186="",$AP186="",$AQ186="")),"CLOSURE REQUIRED",IF(AND($AB186&lt;TODAY(),NOT(OR($Y186="Rejected",$Y186="Closed",$Y186="Removed"))),"OVERDUE",IF(OR($Y186="Rejected",$Y186="Closed",$Y186="Removed"),"CLOSED","OPEN — ON TRACK"))))))))))))</x:f>
      </x:c>
      <x:c r="AL186" s="1244" t="str">
        <x:f>IF($AK186="","",IFERROR(INDEX('97 RCC Lists'!$AM$5:$AM$16,MATCH($AK186,'97 RCC Lists'!$AL$5:$AL$16,0)),"Review candidate exception"))</x:f>
      </x:c>
      <x:c r="AM186" s="1242"/>
      <x:c r="AN186" s="1242"/>
      <x:c r="AO186" s="1242"/>
      <x:c r="AP186" s="1242"/>
      <x:c r="AQ186" s="1251"/>
    </x:row>
    <x:row r="187" ht="32" customHeight="1">
      <x:c r="A187" s="1242"/>
      <x:c r="B187" s="1251"/>
      <x:c r="C187" s="1242"/>
      <x:c r="D187" s="1252" t="str">
        <x:f>IF($C187="","",IFERROR(INDEX('23 RCC-004 MASR Registry'!$C$14:$C$163,MATCH($C187,'23 RCC-004 MASR Registry'!$B$14:$B$163,0)),""))</x:f>
      </x:c>
      <x:c r="E187" s="1242"/>
      <x:c r="F187" s="1242"/>
      <x:c r="G187" s="1242"/>
      <x:c r="H187" s="1242"/>
      <x:c r="I187" s="1252" t="str">
        <x:f>IF($C187="","",IFERROR(INDEX('23 RCC-004 MASR Registry'!$G$14:$G$163,MATCH($C187,'23 RCC-004 MASR Registry'!$B$14:$B$163,0)),""))</x:f>
      </x:c>
      <x:c r="J187" s="1252" t="str">
        <x:f>IF($C187="","",IFERROR(INDEX('23 RCC-004 MASR Registry'!$H$14:$H$163,MATCH($C187,'23 RCC-004 MASR Registry'!$B$14:$B$163,0)),""))</x:f>
      </x:c>
      <x:c r="K187" s="1252" t="str">
        <x:f>IF($C187="","",IFERROR(INDEX('23 RCC-004 MASR Registry'!$D$14:$D$163,MATCH($C187,'23 RCC-004 MASR Registry'!$B$14:$B$163,0)),""))</x:f>
      </x:c>
      <x:c r="L187" s="1252" t="str">
        <x:f>IF($C187="","",IFERROR(INDEX('23 RCC-004 MASR Registry'!$E$14:$E$163,MATCH($C187,'23 RCC-004 MASR Registry'!$B$14:$B$163,0)),""))</x:f>
      </x:c>
      <x:c r="M187" s="1252" t="str">
        <x:f>IF($C187="","",IFERROR(INDEX('23 RCC-004 MASR Registry'!$X$14:$X$163,MATCH($C187,'23 RCC-004 MASR Registry'!$B$14:$B$163,0)),""))</x:f>
      </x:c>
      <x:c r="N187" s="1252" t="str">
        <x:f>IF($C187="","",IFERROR(INDEX('23 RCC-004 MASR Registry'!$Y$14:$Y$163,MATCH($C187,'23 RCC-004 MASR Registry'!$B$14:$B$163,0)),""))</x:f>
      </x:c>
      <x:c r="O187" s="1252" t="str">
        <x:f>IF($C187="","",IFERROR(INDEX('23 RCC-004 MASR Registry'!$L$14:$L$163,MATCH($C187,'23 RCC-004 MASR Registry'!$B$14:$B$163,0)),""))</x:f>
      </x:c>
      <x:c r="P187" s="1252" t="str">
        <x:f>IF($C187="","",IFERROR(INDEX('23 RCC-004 MASR Registry'!$M$14:$M$163,MATCH($C187,'23 RCC-004 MASR Registry'!$B$14:$B$163,0)),""))</x:f>
      </x:c>
      <x:c r="Q187" s="1255" t="str">
        <x:f>IF($C187="","",IFERROR(INDEX('23 RCC-004 MASR Registry'!$N$14:$N$163,MATCH($C187,'23 RCC-004 MASR Registry'!$B$14:$B$163,0)),""))</x:f>
      </x:c>
      <x:c r="R187" s="1255" t="str">
        <x:f>IF($C187="","",IFERROR(INDEX('23 RCC-004 MASR Registry'!$O$14:$O$163,MATCH($C187,'23 RCC-004 MASR Registry'!$B$14:$B$163,0)),""))</x:f>
      </x:c>
      <x:c r="S187" s="1255" t="str">
        <x:f>IF($C187="","",IFERROR(INDEX('23 RCC-004 MASR Registry'!$W$14:$W$163,MATCH($C187,'23 RCC-004 MASR Registry'!$B$14:$B$163,0)),""))</x:f>
      </x:c>
      <x:c r="T187" s="1255" t="str">
        <x:f>IF($C187="","",IFERROR(INDEX('23 RCC-004 MASR Registry'!$T$14:$T$163,MATCH($C187,'23 RCC-004 MASR Registry'!$B$14:$B$163,0)),""))</x:f>
      </x:c>
      <x:c r="U187" s="1256" t="str">
        <x:f>IF($C187="","",IFERROR(INDEX('23 RCC-004 MASR Registry'!$U$14:$U$163,MATCH($C187,'23 RCC-004 MASR Registry'!$B$14:$B$163,0)),""))</x:f>
      </x:c>
      <x:c r="V187" s="1252" t="str">
        <x:f>IF($C187="","",IFERROR(INDEX('23 RCC-004 MASR Registry'!$V$14:$V$163,MATCH($C187,'23 RCC-004 MASR Registry'!$B$14:$B$163,0)),""))</x:f>
      </x:c>
      <x:c r="W187" s="1242"/>
      <x:c r="X187" s="1256" t="str">
        <x:f>IF($C187="","",COUNTIF('18 RCC-002 Evidence Ledger'!$E$14:$E$213,$C187))</x:f>
      </x:c>
      <x:c r="Y187" s="1242"/>
      <x:c r="Z187" s="1253" t="str">
        <x:f>IF($A187="","",IF(COUNTIF($A$14:$A$213,$A187)&gt;1,"FAIL — DUPLICATE ID",IF(OR($B187="",$C187="",$E187="",$H187="",$Y187="",$AA187="",$AB187=""),"FAIL — INCOMPLETE",IF(AND(OR($Y187="MIAR Review",$Y187="Eligibility Review",$Y187="Candidate Comparison",$Y187="Committee Review",$Y187="Approved for MASR",$Y187="Referred to PEW-004",$Y187="On Watch",$Y187="Rejected",$Y187="Closed",$Y187="Removed"),$K187=""),"FAIL — MASR RECORD REQUIRED",IF(AND(OR($Y187="Eligibility Review",$Y187="Candidate Comparison",$Y187="Committee Review",$Y187="Approved for MASR",$Y187="Referred to PEW-004",$Y187="On Watch"),NOT(OR($M187="ELIGIBLE",$M187="ELIGIBLE WITH EXCEPTION",$M187="CERTIFIED HOLDING"))),"FAIL — ELIGIBILITY",IF(AND(OR($Y187="Candidate Comparison",$Y187="Committee Review",$Y187="Approved for MASR",$Y187="Referred to PEW-004",$Y187="On Watch"),$X187=0),"FAIL — EVIDENCE",IF(AND(OR($Y187="Candidate Comparison",$Y187="Committee Review",$Y187="Approved for MASR",$Y187="Referred to PEW-004",$Y187="On Watch"),OR($O187&lt;&gt;"Active",$P187&lt;&gt;"CURRENT")),"FAIL — MIAR GATE",IF(AND(OR($Y187="Approved for MASR",$Y187="Referred to PEW-004",$Y187="On Watch",$Y187="Rejected",$Y187="Closed",$Y187="Removed"),OR($AD187="",$AD187="Pending")),"FAIL — COMMITTEE DISPOSITION",IF(AND($Y187="Referred to PEW-004",OR($AF187&lt;&gt;"Yes — Refer to PEW-004",$AG187="",$AJ187="")),"FAIL — PEW REFERRAL","PASS — STAGE GATE")))))))))</x:f>
      </x:c>
      <x:c r="AA187" s="1242"/>
      <x:c r="AB187" s="1251"/>
      <x:c r="AC187" s="1257" t="str">
        <x:f>IF($B187="","",IF($AQ187&lt;&gt;"",$AQ187-$B187,TODAY()-$B187))</x:f>
      </x:c>
      <x:c r="AD187" s="1242"/>
      <x:c r="AE187" s="1251"/>
      <x:c r="AF187" s="1242"/>
      <x:c r="AG187" s="1242"/>
      <x:c r="AH187" s="1255" t="str">
        <x:f>IF($AG187="","",IFERROR(INDEX('10 Candidate Comparison'!$T$14:$T$33,MATCH($AG187,'10 Candidate Comparison'!$A$14:$A$33,0)),""))</x:f>
      </x:c>
      <x:c r="AI187" s="1252" t="str">
        <x:f>IF($AG187="","",IFERROR(INDEX('10 Candidate Comparison'!$U$14:$U$33,MATCH($AG187,'10 Candidate Comparison'!$A$14:$A$33,0)),""))</x:f>
      </x:c>
      <x:c r="AJ187" s="1252" t="str">
        <x:f>IF($AG187="","",IFERROR(INDEX('10 Candidate Comparison'!$Y$14:$Y$33,MATCH($AG187,'10 Candidate Comparison'!$A$14:$A$33,0)),""))</x:f>
      </x:c>
      <x:c r="AK187" s="1253" t="str">
        <x:f>IF($A187="","",IF($Z187="FAIL — DUPLICATE ID","DUPLICATE CANDIDATE ID",IF($Z187="FAIL — INCOMPLETE","INCOMPLETE",IF($Z187="FAIL — MASR RECORD REQUIRED","MASR RECORD REQUIRED",IF($Z187="FAIL — ELIGIBILITY","ELIGIBILITY BLOCK",IF($Z187="FAIL — EVIDENCE","EVIDENCE REQUIRED",IF($Z187="FAIL — MIAR GATE","MIAR GATE BLOCK",IF($Z187="FAIL — COMMITTEE DISPOSITION","COMMITTEE DECISION REQUIRED",IF($Z187="FAIL — PEW REFERRAL","PEW REFERRAL INCOMPLETE",IF(AND(OR($Y187="Rejected",$Y187="Closed",$Y187="Removed"),OR($AO187="",$AP187="",$AQ187="")),"CLOSURE REQUIRED",IF(AND($AB187&lt;TODAY(),NOT(OR($Y187="Rejected",$Y187="Closed",$Y187="Removed"))),"OVERDUE",IF(OR($Y187="Rejected",$Y187="Closed",$Y187="Removed"),"CLOSED","OPEN — ON TRACK"))))))))))))</x:f>
      </x:c>
      <x:c r="AL187" s="1253" t="str">
        <x:f>IF($AK187="","",IFERROR(INDEX('97 RCC Lists'!$AM$5:$AM$16,MATCH($AK187,'97 RCC Lists'!$AL$5:$AL$16,0)),"Review candidate exception"))</x:f>
      </x:c>
      <x:c r="AM187" s="1242"/>
      <x:c r="AN187" s="1242"/>
      <x:c r="AO187" s="1242"/>
      <x:c r="AP187" s="1242"/>
      <x:c r="AQ187" s="1251"/>
    </x:row>
    <x:row r="188" ht="32" customHeight="1">
      <x:c r="A188" s="1242"/>
      <x:c r="B188" s="1251"/>
      <x:c r="C188" s="1242"/>
      <x:c r="D188" s="1243" t="str">
        <x:f>IF($C188="","",IFERROR(INDEX('23 RCC-004 MASR Registry'!$C$14:$C$163,MATCH($C188,'23 RCC-004 MASR Registry'!$B$14:$B$163,0)),""))</x:f>
      </x:c>
      <x:c r="E188" s="1242"/>
      <x:c r="F188" s="1242"/>
      <x:c r="G188" s="1242"/>
      <x:c r="H188" s="1242"/>
      <x:c r="I188" s="1243" t="str">
        <x:f>IF($C188="","",IFERROR(INDEX('23 RCC-004 MASR Registry'!$G$14:$G$163,MATCH($C188,'23 RCC-004 MASR Registry'!$B$14:$B$163,0)),""))</x:f>
      </x:c>
      <x:c r="J188" s="1243" t="str">
        <x:f>IF($C188="","",IFERROR(INDEX('23 RCC-004 MASR Registry'!$H$14:$H$163,MATCH($C188,'23 RCC-004 MASR Registry'!$B$14:$B$163,0)),""))</x:f>
      </x:c>
      <x:c r="K188" s="1243" t="str">
        <x:f>IF($C188="","",IFERROR(INDEX('23 RCC-004 MASR Registry'!$D$14:$D$163,MATCH($C188,'23 RCC-004 MASR Registry'!$B$14:$B$163,0)),""))</x:f>
      </x:c>
      <x:c r="L188" s="1243" t="str">
        <x:f>IF($C188="","",IFERROR(INDEX('23 RCC-004 MASR Registry'!$E$14:$E$163,MATCH($C188,'23 RCC-004 MASR Registry'!$B$14:$B$163,0)),""))</x:f>
      </x:c>
      <x:c r="M188" s="1243" t="str">
        <x:f>IF($C188="","",IFERROR(INDEX('23 RCC-004 MASR Registry'!$X$14:$X$163,MATCH($C188,'23 RCC-004 MASR Registry'!$B$14:$B$163,0)),""))</x:f>
      </x:c>
      <x:c r="N188" s="1243" t="str">
        <x:f>IF($C188="","",IFERROR(INDEX('23 RCC-004 MASR Registry'!$Y$14:$Y$163,MATCH($C188,'23 RCC-004 MASR Registry'!$B$14:$B$163,0)),""))</x:f>
      </x:c>
      <x:c r="O188" s="1243" t="str">
        <x:f>IF($C188="","",IFERROR(INDEX('23 RCC-004 MASR Registry'!$L$14:$L$163,MATCH($C188,'23 RCC-004 MASR Registry'!$B$14:$B$163,0)),""))</x:f>
      </x:c>
      <x:c r="P188" s="1243" t="str">
        <x:f>IF($C188="","",IFERROR(INDEX('23 RCC-004 MASR Registry'!$M$14:$M$163,MATCH($C188,'23 RCC-004 MASR Registry'!$B$14:$B$163,0)),""))</x:f>
      </x:c>
      <x:c r="Q188" s="1246" t="str">
        <x:f>IF($C188="","",IFERROR(INDEX('23 RCC-004 MASR Registry'!$N$14:$N$163,MATCH($C188,'23 RCC-004 MASR Registry'!$B$14:$B$163,0)),""))</x:f>
      </x:c>
      <x:c r="R188" s="1246" t="str">
        <x:f>IF($C188="","",IFERROR(INDEX('23 RCC-004 MASR Registry'!$O$14:$O$163,MATCH($C188,'23 RCC-004 MASR Registry'!$B$14:$B$163,0)),""))</x:f>
      </x:c>
      <x:c r="S188" s="1246" t="str">
        <x:f>IF($C188="","",IFERROR(INDEX('23 RCC-004 MASR Registry'!$W$14:$W$163,MATCH($C188,'23 RCC-004 MASR Registry'!$B$14:$B$163,0)),""))</x:f>
      </x:c>
      <x:c r="T188" s="1246" t="str">
        <x:f>IF($C188="","",IFERROR(INDEX('23 RCC-004 MASR Registry'!$T$14:$T$163,MATCH($C188,'23 RCC-004 MASR Registry'!$B$14:$B$163,0)),""))</x:f>
      </x:c>
      <x:c r="U188" s="1247" t="str">
        <x:f>IF($C188="","",IFERROR(INDEX('23 RCC-004 MASR Registry'!$U$14:$U$163,MATCH($C188,'23 RCC-004 MASR Registry'!$B$14:$B$163,0)),""))</x:f>
      </x:c>
      <x:c r="V188" s="1243" t="str">
        <x:f>IF($C188="","",IFERROR(INDEX('23 RCC-004 MASR Registry'!$V$14:$V$163,MATCH($C188,'23 RCC-004 MASR Registry'!$B$14:$B$163,0)),""))</x:f>
      </x:c>
      <x:c r="W188" s="1242"/>
      <x:c r="X188" s="1247" t="str">
        <x:f>IF($C188="","",COUNTIF('18 RCC-002 Evidence Ledger'!$E$14:$E$213,$C188))</x:f>
      </x:c>
      <x:c r="Y188" s="1242"/>
      <x:c r="Z188" s="1244" t="str">
        <x:f>IF($A188="","",IF(COUNTIF($A$14:$A$213,$A188)&gt;1,"FAIL — DUPLICATE ID",IF(OR($B188="",$C188="",$E188="",$H188="",$Y188="",$AA188="",$AB188=""),"FAIL — INCOMPLETE",IF(AND(OR($Y188="MIAR Review",$Y188="Eligibility Review",$Y188="Candidate Comparison",$Y188="Committee Review",$Y188="Approved for MASR",$Y188="Referred to PEW-004",$Y188="On Watch",$Y188="Rejected",$Y188="Closed",$Y188="Removed"),$K188=""),"FAIL — MASR RECORD REQUIRED",IF(AND(OR($Y188="Eligibility Review",$Y188="Candidate Comparison",$Y188="Committee Review",$Y188="Approved for MASR",$Y188="Referred to PEW-004",$Y188="On Watch"),NOT(OR($M188="ELIGIBLE",$M188="ELIGIBLE WITH EXCEPTION",$M188="CERTIFIED HOLDING"))),"FAIL — ELIGIBILITY",IF(AND(OR($Y188="Candidate Comparison",$Y188="Committee Review",$Y188="Approved for MASR",$Y188="Referred to PEW-004",$Y188="On Watch"),$X188=0),"FAIL — EVIDENCE",IF(AND(OR($Y188="Candidate Comparison",$Y188="Committee Review",$Y188="Approved for MASR",$Y188="Referred to PEW-004",$Y188="On Watch"),OR($O188&lt;&gt;"Active",$P188&lt;&gt;"CURRENT")),"FAIL — MIAR GATE",IF(AND(OR($Y188="Approved for MASR",$Y188="Referred to PEW-004",$Y188="On Watch",$Y188="Rejected",$Y188="Closed",$Y188="Removed"),OR($AD188="",$AD188="Pending")),"FAIL — COMMITTEE DISPOSITION",IF(AND($Y188="Referred to PEW-004",OR($AF188&lt;&gt;"Yes — Refer to PEW-004",$AG188="",$AJ188="")),"FAIL — PEW REFERRAL","PASS — STAGE GATE")))))))))</x:f>
      </x:c>
      <x:c r="AA188" s="1242"/>
      <x:c r="AB188" s="1251"/>
      <x:c r="AC188" s="1250" t="str">
        <x:f>IF($B188="","",IF($AQ188&lt;&gt;"",$AQ188-$B188,TODAY()-$B188))</x:f>
      </x:c>
      <x:c r="AD188" s="1242"/>
      <x:c r="AE188" s="1251"/>
      <x:c r="AF188" s="1242"/>
      <x:c r="AG188" s="1242"/>
      <x:c r="AH188" s="1246" t="str">
        <x:f>IF($AG188="","",IFERROR(INDEX('10 Candidate Comparison'!$T$14:$T$33,MATCH($AG188,'10 Candidate Comparison'!$A$14:$A$33,0)),""))</x:f>
      </x:c>
      <x:c r="AI188" s="1243" t="str">
        <x:f>IF($AG188="","",IFERROR(INDEX('10 Candidate Comparison'!$U$14:$U$33,MATCH($AG188,'10 Candidate Comparison'!$A$14:$A$33,0)),""))</x:f>
      </x:c>
      <x:c r="AJ188" s="1243" t="str">
        <x:f>IF($AG188="","",IFERROR(INDEX('10 Candidate Comparison'!$Y$14:$Y$33,MATCH($AG188,'10 Candidate Comparison'!$A$14:$A$33,0)),""))</x:f>
      </x:c>
      <x:c r="AK188" s="1244" t="str">
        <x:f>IF($A188="","",IF($Z188="FAIL — DUPLICATE ID","DUPLICATE CANDIDATE ID",IF($Z188="FAIL — INCOMPLETE","INCOMPLETE",IF($Z188="FAIL — MASR RECORD REQUIRED","MASR RECORD REQUIRED",IF($Z188="FAIL — ELIGIBILITY","ELIGIBILITY BLOCK",IF($Z188="FAIL — EVIDENCE","EVIDENCE REQUIRED",IF($Z188="FAIL — MIAR GATE","MIAR GATE BLOCK",IF($Z188="FAIL — COMMITTEE DISPOSITION","COMMITTEE DECISION REQUIRED",IF($Z188="FAIL — PEW REFERRAL","PEW REFERRAL INCOMPLETE",IF(AND(OR($Y188="Rejected",$Y188="Closed",$Y188="Removed"),OR($AO188="",$AP188="",$AQ188="")),"CLOSURE REQUIRED",IF(AND($AB188&lt;TODAY(),NOT(OR($Y188="Rejected",$Y188="Closed",$Y188="Removed"))),"OVERDUE",IF(OR($Y188="Rejected",$Y188="Closed",$Y188="Removed"),"CLOSED","OPEN — ON TRACK"))))))))))))</x:f>
      </x:c>
      <x:c r="AL188" s="1244" t="str">
        <x:f>IF($AK188="","",IFERROR(INDEX('97 RCC Lists'!$AM$5:$AM$16,MATCH($AK188,'97 RCC Lists'!$AL$5:$AL$16,0)),"Review candidate exception"))</x:f>
      </x:c>
      <x:c r="AM188" s="1242"/>
      <x:c r="AN188" s="1242"/>
      <x:c r="AO188" s="1242"/>
      <x:c r="AP188" s="1242"/>
      <x:c r="AQ188" s="1251"/>
    </x:row>
    <x:row r="189" ht="32" customHeight="1">
      <x:c r="A189" s="1242"/>
      <x:c r="B189" s="1251"/>
      <x:c r="C189" s="1242"/>
      <x:c r="D189" s="1252" t="str">
        <x:f>IF($C189="","",IFERROR(INDEX('23 RCC-004 MASR Registry'!$C$14:$C$163,MATCH($C189,'23 RCC-004 MASR Registry'!$B$14:$B$163,0)),""))</x:f>
      </x:c>
      <x:c r="E189" s="1242"/>
      <x:c r="F189" s="1242"/>
      <x:c r="G189" s="1242"/>
      <x:c r="H189" s="1242"/>
      <x:c r="I189" s="1252" t="str">
        <x:f>IF($C189="","",IFERROR(INDEX('23 RCC-004 MASR Registry'!$G$14:$G$163,MATCH($C189,'23 RCC-004 MASR Registry'!$B$14:$B$163,0)),""))</x:f>
      </x:c>
      <x:c r="J189" s="1252" t="str">
        <x:f>IF($C189="","",IFERROR(INDEX('23 RCC-004 MASR Registry'!$H$14:$H$163,MATCH($C189,'23 RCC-004 MASR Registry'!$B$14:$B$163,0)),""))</x:f>
      </x:c>
      <x:c r="K189" s="1252" t="str">
        <x:f>IF($C189="","",IFERROR(INDEX('23 RCC-004 MASR Registry'!$D$14:$D$163,MATCH($C189,'23 RCC-004 MASR Registry'!$B$14:$B$163,0)),""))</x:f>
      </x:c>
      <x:c r="L189" s="1252" t="str">
        <x:f>IF($C189="","",IFERROR(INDEX('23 RCC-004 MASR Registry'!$E$14:$E$163,MATCH($C189,'23 RCC-004 MASR Registry'!$B$14:$B$163,0)),""))</x:f>
      </x:c>
      <x:c r="M189" s="1252" t="str">
        <x:f>IF($C189="","",IFERROR(INDEX('23 RCC-004 MASR Registry'!$X$14:$X$163,MATCH($C189,'23 RCC-004 MASR Registry'!$B$14:$B$163,0)),""))</x:f>
      </x:c>
      <x:c r="N189" s="1252" t="str">
        <x:f>IF($C189="","",IFERROR(INDEX('23 RCC-004 MASR Registry'!$Y$14:$Y$163,MATCH($C189,'23 RCC-004 MASR Registry'!$B$14:$B$163,0)),""))</x:f>
      </x:c>
      <x:c r="O189" s="1252" t="str">
        <x:f>IF($C189="","",IFERROR(INDEX('23 RCC-004 MASR Registry'!$L$14:$L$163,MATCH($C189,'23 RCC-004 MASR Registry'!$B$14:$B$163,0)),""))</x:f>
      </x:c>
      <x:c r="P189" s="1252" t="str">
        <x:f>IF($C189="","",IFERROR(INDEX('23 RCC-004 MASR Registry'!$M$14:$M$163,MATCH($C189,'23 RCC-004 MASR Registry'!$B$14:$B$163,0)),""))</x:f>
      </x:c>
      <x:c r="Q189" s="1255" t="str">
        <x:f>IF($C189="","",IFERROR(INDEX('23 RCC-004 MASR Registry'!$N$14:$N$163,MATCH($C189,'23 RCC-004 MASR Registry'!$B$14:$B$163,0)),""))</x:f>
      </x:c>
      <x:c r="R189" s="1255" t="str">
        <x:f>IF($C189="","",IFERROR(INDEX('23 RCC-004 MASR Registry'!$O$14:$O$163,MATCH($C189,'23 RCC-004 MASR Registry'!$B$14:$B$163,0)),""))</x:f>
      </x:c>
      <x:c r="S189" s="1255" t="str">
        <x:f>IF($C189="","",IFERROR(INDEX('23 RCC-004 MASR Registry'!$W$14:$W$163,MATCH($C189,'23 RCC-004 MASR Registry'!$B$14:$B$163,0)),""))</x:f>
      </x:c>
      <x:c r="T189" s="1255" t="str">
        <x:f>IF($C189="","",IFERROR(INDEX('23 RCC-004 MASR Registry'!$T$14:$T$163,MATCH($C189,'23 RCC-004 MASR Registry'!$B$14:$B$163,0)),""))</x:f>
      </x:c>
      <x:c r="U189" s="1256" t="str">
        <x:f>IF($C189="","",IFERROR(INDEX('23 RCC-004 MASR Registry'!$U$14:$U$163,MATCH($C189,'23 RCC-004 MASR Registry'!$B$14:$B$163,0)),""))</x:f>
      </x:c>
      <x:c r="V189" s="1252" t="str">
        <x:f>IF($C189="","",IFERROR(INDEX('23 RCC-004 MASR Registry'!$V$14:$V$163,MATCH($C189,'23 RCC-004 MASR Registry'!$B$14:$B$163,0)),""))</x:f>
      </x:c>
      <x:c r="W189" s="1242"/>
      <x:c r="X189" s="1256" t="str">
        <x:f>IF($C189="","",COUNTIF('18 RCC-002 Evidence Ledger'!$E$14:$E$213,$C189))</x:f>
      </x:c>
      <x:c r="Y189" s="1242"/>
      <x:c r="Z189" s="1253" t="str">
        <x:f>IF($A189="","",IF(COUNTIF($A$14:$A$213,$A189)&gt;1,"FAIL — DUPLICATE ID",IF(OR($B189="",$C189="",$E189="",$H189="",$Y189="",$AA189="",$AB189=""),"FAIL — INCOMPLETE",IF(AND(OR($Y189="MIAR Review",$Y189="Eligibility Review",$Y189="Candidate Comparison",$Y189="Committee Review",$Y189="Approved for MASR",$Y189="Referred to PEW-004",$Y189="On Watch",$Y189="Rejected",$Y189="Closed",$Y189="Removed"),$K189=""),"FAIL — MASR RECORD REQUIRED",IF(AND(OR($Y189="Eligibility Review",$Y189="Candidate Comparison",$Y189="Committee Review",$Y189="Approved for MASR",$Y189="Referred to PEW-004",$Y189="On Watch"),NOT(OR($M189="ELIGIBLE",$M189="ELIGIBLE WITH EXCEPTION",$M189="CERTIFIED HOLDING"))),"FAIL — ELIGIBILITY",IF(AND(OR($Y189="Candidate Comparison",$Y189="Committee Review",$Y189="Approved for MASR",$Y189="Referred to PEW-004",$Y189="On Watch"),$X189=0),"FAIL — EVIDENCE",IF(AND(OR($Y189="Candidate Comparison",$Y189="Committee Review",$Y189="Approved for MASR",$Y189="Referred to PEW-004",$Y189="On Watch"),OR($O189&lt;&gt;"Active",$P189&lt;&gt;"CURRENT")),"FAIL — MIAR GATE",IF(AND(OR($Y189="Approved for MASR",$Y189="Referred to PEW-004",$Y189="On Watch",$Y189="Rejected",$Y189="Closed",$Y189="Removed"),OR($AD189="",$AD189="Pending")),"FAIL — COMMITTEE DISPOSITION",IF(AND($Y189="Referred to PEW-004",OR($AF189&lt;&gt;"Yes — Refer to PEW-004",$AG189="",$AJ189="")),"FAIL — PEW REFERRAL","PASS — STAGE GATE")))))))))</x:f>
      </x:c>
      <x:c r="AA189" s="1242"/>
      <x:c r="AB189" s="1251"/>
      <x:c r="AC189" s="1257" t="str">
        <x:f>IF($B189="","",IF($AQ189&lt;&gt;"",$AQ189-$B189,TODAY()-$B189))</x:f>
      </x:c>
      <x:c r="AD189" s="1242"/>
      <x:c r="AE189" s="1251"/>
      <x:c r="AF189" s="1242"/>
      <x:c r="AG189" s="1242"/>
      <x:c r="AH189" s="1255" t="str">
        <x:f>IF($AG189="","",IFERROR(INDEX('10 Candidate Comparison'!$T$14:$T$33,MATCH($AG189,'10 Candidate Comparison'!$A$14:$A$33,0)),""))</x:f>
      </x:c>
      <x:c r="AI189" s="1252" t="str">
        <x:f>IF($AG189="","",IFERROR(INDEX('10 Candidate Comparison'!$U$14:$U$33,MATCH($AG189,'10 Candidate Comparison'!$A$14:$A$33,0)),""))</x:f>
      </x:c>
      <x:c r="AJ189" s="1252" t="str">
        <x:f>IF($AG189="","",IFERROR(INDEX('10 Candidate Comparison'!$Y$14:$Y$33,MATCH($AG189,'10 Candidate Comparison'!$A$14:$A$33,0)),""))</x:f>
      </x:c>
      <x:c r="AK189" s="1253" t="str">
        <x:f>IF($A189="","",IF($Z189="FAIL — DUPLICATE ID","DUPLICATE CANDIDATE ID",IF($Z189="FAIL — INCOMPLETE","INCOMPLETE",IF($Z189="FAIL — MASR RECORD REQUIRED","MASR RECORD REQUIRED",IF($Z189="FAIL — ELIGIBILITY","ELIGIBILITY BLOCK",IF($Z189="FAIL — EVIDENCE","EVIDENCE REQUIRED",IF($Z189="FAIL — MIAR GATE","MIAR GATE BLOCK",IF($Z189="FAIL — COMMITTEE DISPOSITION","COMMITTEE DECISION REQUIRED",IF($Z189="FAIL — PEW REFERRAL","PEW REFERRAL INCOMPLETE",IF(AND(OR($Y189="Rejected",$Y189="Closed",$Y189="Removed"),OR($AO189="",$AP189="",$AQ189="")),"CLOSURE REQUIRED",IF(AND($AB189&lt;TODAY(),NOT(OR($Y189="Rejected",$Y189="Closed",$Y189="Removed"))),"OVERDUE",IF(OR($Y189="Rejected",$Y189="Closed",$Y189="Removed"),"CLOSED","OPEN — ON TRACK"))))))))))))</x:f>
      </x:c>
      <x:c r="AL189" s="1253" t="str">
        <x:f>IF($AK189="","",IFERROR(INDEX('97 RCC Lists'!$AM$5:$AM$16,MATCH($AK189,'97 RCC Lists'!$AL$5:$AL$16,0)),"Review candidate exception"))</x:f>
      </x:c>
      <x:c r="AM189" s="1242"/>
      <x:c r="AN189" s="1242"/>
      <x:c r="AO189" s="1242"/>
      <x:c r="AP189" s="1242"/>
      <x:c r="AQ189" s="1251"/>
    </x:row>
    <x:row r="190" ht="32" customHeight="1">
      <x:c r="A190" s="1242"/>
      <x:c r="B190" s="1251"/>
      <x:c r="C190" s="1242"/>
      <x:c r="D190" s="1243" t="str">
        <x:f>IF($C190="","",IFERROR(INDEX('23 RCC-004 MASR Registry'!$C$14:$C$163,MATCH($C190,'23 RCC-004 MASR Registry'!$B$14:$B$163,0)),""))</x:f>
      </x:c>
      <x:c r="E190" s="1242"/>
      <x:c r="F190" s="1242"/>
      <x:c r="G190" s="1242"/>
      <x:c r="H190" s="1242"/>
      <x:c r="I190" s="1243" t="str">
        <x:f>IF($C190="","",IFERROR(INDEX('23 RCC-004 MASR Registry'!$G$14:$G$163,MATCH($C190,'23 RCC-004 MASR Registry'!$B$14:$B$163,0)),""))</x:f>
      </x:c>
      <x:c r="J190" s="1243" t="str">
        <x:f>IF($C190="","",IFERROR(INDEX('23 RCC-004 MASR Registry'!$H$14:$H$163,MATCH($C190,'23 RCC-004 MASR Registry'!$B$14:$B$163,0)),""))</x:f>
      </x:c>
      <x:c r="K190" s="1243" t="str">
        <x:f>IF($C190="","",IFERROR(INDEX('23 RCC-004 MASR Registry'!$D$14:$D$163,MATCH($C190,'23 RCC-004 MASR Registry'!$B$14:$B$163,0)),""))</x:f>
      </x:c>
      <x:c r="L190" s="1243" t="str">
        <x:f>IF($C190="","",IFERROR(INDEX('23 RCC-004 MASR Registry'!$E$14:$E$163,MATCH($C190,'23 RCC-004 MASR Registry'!$B$14:$B$163,0)),""))</x:f>
      </x:c>
      <x:c r="M190" s="1243" t="str">
        <x:f>IF($C190="","",IFERROR(INDEX('23 RCC-004 MASR Registry'!$X$14:$X$163,MATCH($C190,'23 RCC-004 MASR Registry'!$B$14:$B$163,0)),""))</x:f>
      </x:c>
      <x:c r="N190" s="1243" t="str">
        <x:f>IF($C190="","",IFERROR(INDEX('23 RCC-004 MASR Registry'!$Y$14:$Y$163,MATCH($C190,'23 RCC-004 MASR Registry'!$B$14:$B$163,0)),""))</x:f>
      </x:c>
      <x:c r="O190" s="1243" t="str">
        <x:f>IF($C190="","",IFERROR(INDEX('23 RCC-004 MASR Registry'!$L$14:$L$163,MATCH($C190,'23 RCC-004 MASR Registry'!$B$14:$B$163,0)),""))</x:f>
      </x:c>
      <x:c r="P190" s="1243" t="str">
        <x:f>IF($C190="","",IFERROR(INDEX('23 RCC-004 MASR Registry'!$M$14:$M$163,MATCH($C190,'23 RCC-004 MASR Registry'!$B$14:$B$163,0)),""))</x:f>
      </x:c>
      <x:c r="Q190" s="1246" t="str">
        <x:f>IF($C190="","",IFERROR(INDEX('23 RCC-004 MASR Registry'!$N$14:$N$163,MATCH($C190,'23 RCC-004 MASR Registry'!$B$14:$B$163,0)),""))</x:f>
      </x:c>
      <x:c r="R190" s="1246" t="str">
        <x:f>IF($C190="","",IFERROR(INDEX('23 RCC-004 MASR Registry'!$O$14:$O$163,MATCH($C190,'23 RCC-004 MASR Registry'!$B$14:$B$163,0)),""))</x:f>
      </x:c>
      <x:c r="S190" s="1246" t="str">
        <x:f>IF($C190="","",IFERROR(INDEX('23 RCC-004 MASR Registry'!$W$14:$W$163,MATCH($C190,'23 RCC-004 MASR Registry'!$B$14:$B$163,0)),""))</x:f>
      </x:c>
      <x:c r="T190" s="1246" t="str">
        <x:f>IF($C190="","",IFERROR(INDEX('23 RCC-004 MASR Registry'!$T$14:$T$163,MATCH($C190,'23 RCC-004 MASR Registry'!$B$14:$B$163,0)),""))</x:f>
      </x:c>
      <x:c r="U190" s="1247" t="str">
        <x:f>IF($C190="","",IFERROR(INDEX('23 RCC-004 MASR Registry'!$U$14:$U$163,MATCH($C190,'23 RCC-004 MASR Registry'!$B$14:$B$163,0)),""))</x:f>
      </x:c>
      <x:c r="V190" s="1243" t="str">
        <x:f>IF($C190="","",IFERROR(INDEX('23 RCC-004 MASR Registry'!$V$14:$V$163,MATCH($C190,'23 RCC-004 MASR Registry'!$B$14:$B$163,0)),""))</x:f>
      </x:c>
      <x:c r="W190" s="1242"/>
      <x:c r="X190" s="1247" t="str">
        <x:f>IF($C190="","",COUNTIF('18 RCC-002 Evidence Ledger'!$E$14:$E$213,$C190))</x:f>
      </x:c>
      <x:c r="Y190" s="1242"/>
      <x:c r="Z190" s="1244" t="str">
        <x:f>IF($A190="","",IF(COUNTIF($A$14:$A$213,$A190)&gt;1,"FAIL — DUPLICATE ID",IF(OR($B190="",$C190="",$E190="",$H190="",$Y190="",$AA190="",$AB190=""),"FAIL — INCOMPLETE",IF(AND(OR($Y190="MIAR Review",$Y190="Eligibility Review",$Y190="Candidate Comparison",$Y190="Committee Review",$Y190="Approved for MASR",$Y190="Referred to PEW-004",$Y190="On Watch",$Y190="Rejected",$Y190="Closed",$Y190="Removed"),$K190=""),"FAIL — MASR RECORD REQUIRED",IF(AND(OR($Y190="Eligibility Review",$Y190="Candidate Comparison",$Y190="Committee Review",$Y190="Approved for MASR",$Y190="Referred to PEW-004",$Y190="On Watch"),NOT(OR($M190="ELIGIBLE",$M190="ELIGIBLE WITH EXCEPTION",$M190="CERTIFIED HOLDING"))),"FAIL — ELIGIBILITY",IF(AND(OR($Y190="Candidate Comparison",$Y190="Committee Review",$Y190="Approved for MASR",$Y190="Referred to PEW-004",$Y190="On Watch"),$X190=0),"FAIL — EVIDENCE",IF(AND(OR($Y190="Candidate Comparison",$Y190="Committee Review",$Y190="Approved for MASR",$Y190="Referred to PEW-004",$Y190="On Watch"),OR($O190&lt;&gt;"Active",$P190&lt;&gt;"CURRENT")),"FAIL — MIAR GATE",IF(AND(OR($Y190="Approved for MASR",$Y190="Referred to PEW-004",$Y190="On Watch",$Y190="Rejected",$Y190="Closed",$Y190="Removed"),OR($AD190="",$AD190="Pending")),"FAIL — COMMITTEE DISPOSITION",IF(AND($Y190="Referred to PEW-004",OR($AF190&lt;&gt;"Yes — Refer to PEW-004",$AG190="",$AJ190="")),"FAIL — PEW REFERRAL","PASS — STAGE GATE")))))))))</x:f>
      </x:c>
      <x:c r="AA190" s="1242"/>
      <x:c r="AB190" s="1251"/>
      <x:c r="AC190" s="1250" t="str">
        <x:f>IF($B190="","",IF($AQ190&lt;&gt;"",$AQ190-$B190,TODAY()-$B190))</x:f>
      </x:c>
      <x:c r="AD190" s="1242"/>
      <x:c r="AE190" s="1251"/>
      <x:c r="AF190" s="1242"/>
      <x:c r="AG190" s="1242"/>
      <x:c r="AH190" s="1246" t="str">
        <x:f>IF($AG190="","",IFERROR(INDEX('10 Candidate Comparison'!$T$14:$T$33,MATCH($AG190,'10 Candidate Comparison'!$A$14:$A$33,0)),""))</x:f>
      </x:c>
      <x:c r="AI190" s="1243" t="str">
        <x:f>IF($AG190="","",IFERROR(INDEX('10 Candidate Comparison'!$U$14:$U$33,MATCH($AG190,'10 Candidate Comparison'!$A$14:$A$33,0)),""))</x:f>
      </x:c>
      <x:c r="AJ190" s="1243" t="str">
        <x:f>IF($AG190="","",IFERROR(INDEX('10 Candidate Comparison'!$Y$14:$Y$33,MATCH($AG190,'10 Candidate Comparison'!$A$14:$A$33,0)),""))</x:f>
      </x:c>
      <x:c r="AK190" s="1244" t="str">
        <x:f>IF($A190="","",IF($Z190="FAIL — DUPLICATE ID","DUPLICATE CANDIDATE ID",IF($Z190="FAIL — INCOMPLETE","INCOMPLETE",IF($Z190="FAIL — MASR RECORD REQUIRED","MASR RECORD REQUIRED",IF($Z190="FAIL — ELIGIBILITY","ELIGIBILITY BLOCK",IF($Z190="FAIL — EVIDENCE","EVIDENCE REQUIRED",IF($Z190="FAIL — MIAR GATE","MIAR GATE BLOCK",IF($Z190="FAIL — COMMITTEE DISPOSITION","COMMITTEE DECISION REQUIRED",IF($Z190="FAIL — PEW REFERRAL","PEW REFERRAL INCOMPLETE",IF(AND(OR($Y190="Rejected",$Y190="Closed",$Y190="Removed"),OR($AO190="",$AP190="",$AQ190="")),"CLOSURE REQUIRED",IF(AND($AB190&lt;TODAY(),NOT(OR($Y190="Rejected",$Y190="Closed",$Y190="Removed"))),"OVERDUE",IF(OR($Y190="Rejected",$Y190="Closed",$Y190="Removed"),"CLOSED","OPEN — ON TRACK"))))))))))))</x:f>
      </x:c>
      <x:c r="AL190" s="1244" t="str">
        <x:f>IF($AK190="","",IFERROR(INDEX('97 RCC Lists'!$AM$5:$AM$16,MATCH($AK190,'97 RCC Lists'!$AL$5:$AL$16,0)),"Review candidate exception"))</x:f>
      </x:c>
      <x:c r="AM190" s="1242"/>
      <x:c r="AN190" s="1242"/>
      <x:c r="AO190" s="1242"/>
      <x:c r="AP190" s="1242"/>
      <x:c r="AQ190" s="1251"/>
    </x:row>
    <x:row r="191" ht="32" customHeight="1">
      <x:c r="A191" s="1242"/>
      <x:c r="B191" s="1251"/>
      <x:c r="C191" s="1242"/>
      <x:c r="D191" s="1252" t="str">
        <x:f>IF($C191="","",IFERROR(INDEX('23 RCC-004 MASR Registry'!$C$14:$C$163,MATCH($C191,'23 RCC-004 MASR Registry'!$B$14:$B$163,0)),""))</x:f>
      </x:c>
      <x:c r="E191" s="1242"/>
      <x:c r="F191" s="1242"/>
      <x:c r="G191" s="1242"/>
      <x:c r="H191" s="1242"/>
      <x:c r="I191" s="1252" t="str">
        <x:f>IF($C191="","",IFERROR(INDEX('23 RCC-004 MASR Registry'!$G$14:$G$163,MATCH($C191,'23 RCC-004 MASR Registry'!$B$14:$B$163,0)),""))</x:f>
      </x:c>
      <x:c r="J191" s="1252" t="str">
        <x:f>IF($C191="","",IFERROR(INDEX('23 RCC-004 MASR Registry'!$H$14:$H$163,MATCH($C191,'23 RCC-004 MASR Registry'!$B$14:$B$163,0)),""))</x:f>
      </x:c>
      <x:c r="K191" s="1252" t="str">
        <x:f>IF($C191="","",IFERROR(INDEX('23 RCC-004 MASR Registry'!$D$14:$D$163,MATCH($C191,'23 RCC-004 MASR Registry'!$B$14:$B$163,0)),""))</x:f>
      </x:c>
      <x:c r="L191" s="1252" t="str">
        <x:f>IF($C191="","",IFERROR(INDEX('23 RCC-004 MASR Registry'!$E$14:$E$163,MATCH($C191,'23 RCC-004 MASR Registry'!$B$14:$B$163,0)),""))</x:f>
      </x:c>
      <x:c r="M191" s="1252" t="str">
        <x:f>IF($C191="","",IFERROR(INDEX('23 RCC-004 MASR Registry'!$X$14:$X$163,MATCH($C191,'23 RCC-004 MASR Registry'!$B$14:$B$163,0)),""))</x:f>
      </x:c>
      <x:c r="N191" s="1252" t="str">
        <x:f>IF($C191="","",IFERROR(INDEX('23 RCC-004 MASR Registry'!$Y$14:$Y$163,MATCH($C191,'23 RCC-004 MASR Registry'!$B$14:$B$163,0)),""))</x:f>
      </x:c>
      <x:c r="O191" s="1252" t="str">
        <x:f>IF($C191="","",IFERROR(INDEX('23 RCC-004 MASR Registry'!$L$14:$L$163,MATCH($C191,'23 RCC-004 MASR Registry'!$B$14:$B$163,0)),""))</x:f>
      </x:c>
      <x:c r="P191" s="1252" t="str">
        <x:f>IF($C191="","",IFERROR(INDEX('23 RCC-004 MASR Registry'!$M$14:$M$163,MATCH($C191,'23 RCC-004 MASR Registry'!$B$14:$B$163,0)),""))</x:f>
      </x:c>
      <x:c r="Q191" s="1255" t="str">
        <x:f>IF($C191="","",IFERROR(INDEX('23 RCC-004 MASR Registry'!$N$14:$N$163,MATCH($C191,'23 RCC-004 MASR Registry'!$B$14:$B$163,0)),""))</x:f>
      </x:c>
      <x:c r="R191" s="1255" t="str">
        <x:f>IF($C191="","",IFERROR(INDEX('23 RCC-004 MASR Registry'!$O$14:$O$163,MATCH($C191,'23 RCC-004 MASR Registry'!$B$14:$B$163,0)),""))</x:f>
      </x:c>
      <x:c r="S191" s="1255" t="str">
        <x:f>IF($C191="","",IFERROR(INDEX('23 RCC-004 MASR Registry'!$W$14:$W$163,MATCH($C191,'23 RCC-004 MASR Registry'!$B$14:$B$163,0)),""))</x:f>
      </x:c>
      <x:c r="T191" s="1255" t="str">
        <x:f>IF($C191="","",IFERROR(INDEX('23 RCC-004 MASR Registry'!$T$14:$T$163,MATCH($C191,'23 RCC-004 MASR Registry'!$B$14:$B$163,0)),""))</x:f>
      </x:c>
      <x:c r="U191" s="1256" t="str">
        <x:f>IF($C191="","",IFERROR(INDEX('23 RCC-004 MASR Registry'!$U$14:$U$163,MATCH($C191,'23 RCC-004 MASR Registry'!$B$14:$B$163,0)),""))</x:f>
      </x:c>
      <x:c r="V191" s="1252" t="str">
        <x:f>IF($C191="","",IFERROR(INDEX('23 RCC-004 MASR Registry'!$V$14:$V$163,MATCH($C191,'23 RCC-004 MASR Registry'!$B$14:$B$163,0)),""))</x:f>
      </x:c>
      <x:c r="W191" s="1242"/>
      <x:c r="X191" s="1256" t="str">
        <x:f>IF($C191="","",COUNTIF('18 RCC-002 Evidence Ledger'!$E$14:$E$213,$C191))</x:f>
      </x:c>
      <x:c r="Y191" s="1242"/>
      <x:c r="Z191" s="1253" t="str">
        <x:f>IF($A191="","",IF(COUNTIF($A$14:$A$213,$A191)&gt;1,"FAIL — DUPLICATE ID",IF(OR($B191="",$C191="",$E191="",$H191="",$Y191="",$AA191="",$AB191=""),"FAIL — INCOMPLETE",IF(AND(OR($Y191="MIAR Review",$Y191="Eligibility Review",$Y191="Candidate Comparison",$Y191="Committee Review",$Y191="Approved for MASR",$Y191="Referred to PEW-004",$Y191="On Watch",$Y191="Rejected",$Y191="Closed",$Y191="Removed"),$K191=""),"FAIL — MASR RECORD REQUIRED",IF(AND(OR($Y191="Eligibility Review",$Y191="Candidate Comparison",$Y191="Committee Review",$Y191="Approved for MASR",$Y191="Referred to PEW-004",$Y191="On Watch"),NOT(OR($M191="ELIGIBLE",$M191="ELIGIBLE WITH EXCEPTION",$M191="CERTIFIED HOLDING"))),"FAIL — ELIGIBILITY",IF(AND(OR($Y191="Candidate Comparison",$Y191="Committee Review",$Y191="Approved for MASR",$Y191="Referred to PEW-004",$Y191="On Watch"),$X191=0),"FAIL — EVIDENCE",IF(AND(OR($Y191="Candidate Comparison",$Y191="Committee Review",$Y191="Approved for MASR",$Y191="Referred to PEW-004",$Y191="On Watch"),OR($O191&lt;&gt;"Active",$P191&lt;&gt;"CURRENT")),"FAIL — MIAR GATE",IF(AND(OR($Y191="Approved for MASR",$Y191="Referred to PEW-004",$Y191="On Watch",$Y191="Rejected",$Y191="Closed",$Y191="Removed"),OR($AD191="",$AD191="Pending")),"FAIL — COMMITTEE DISPOSITION",IF(AND($Y191="Referred to PEW-004",OR($AF191&lt;&gt;"Yes — Refer to PEW-004",$AG191="",$AJ191="")),"FAIL — PEW REFERRAL","PASS — STAGE GATE")))))))))</x:f>
      </x:c>
      <x:c r="AA191" s="1242"/>
      <x:c r="AB191" s="1251"/>
      <x:c r="AC191" s="1257" t="str">
        <x:f>IF($B191="","",IF($AQ191&lt;&gt;"",$AQ191-$B191,TODAY()-$B191))</x:f>
      </x:c>
      <x:c r="AD191" s="1242"/>
      <x:c r="AE191" s="1251"/>
      <x:c r="AF191" s="1242"/>
      <x:c r="AG191" s="1242"/>
      <x:c r="AH191" s="1255" t="str">
        <x:f>IF($AG191="","",IFERROR(INDEX('10 Candidate Comparison'!$T$14:$T$33,MATCH($AG191,'10 Candidate Comparison'!$A$14:$A$33,0)),""))</x:f>
      </x:c>
      <x:c r="AI191" s="1252" t="str">
        <x:f>IF($AG191="","",IFERROR(INDEX('10 Candidate Comparison'!$U$14:$U$33,MATCH($AG191,'10 Candidate Comparison'!$A$14:$A$33,0)),""))</x:f>
      </x:c>
      <x:c r="AJ191" s="1252" t="str">
        <x:f>IF($AG191="","",IFERROR(INDEX('10 Candidate Comparison'!$Y$14:$Y$33,MATCH($AG191,'10 Candidate Comparison'!$A$14:$A$33,0)),""))</x:f>
      </x:c>
      <x:c r="AK191" s="1253" t="str">
        <x:f>IF($A191="","",IF($Z191="FAIL — DUPLICATE ID","DUPLICATE CANDIDATE ID",IF($Z191="FAIL — INCOMPLETE","INCOMPLETE",IF($Z191="FAIL — MASR RECORD REQUIRED","MASR RECORD REQUIRED",IF($Z191="FAIL — ELIGIBILITY","ELIGIBILITY BLOCK",IF($Z191="FAIL — EVIDENCE","EVIDENCE REQUIRED",IF($Z191="FAIL — MIAR GATE","MIAR GATE BLOCK",IF($Z191="FAIL — COMMITTEE DISPOSITION","COMMITTEE DECISION REQUIRED",IF($Z191="FAIL — PEW REFERRAL","PEW REFERRAL INCOMPLETE",IF(AND(OR($Y191="Rejected",$Y191="Closed",$Y191="Removed"),OR($AO191="",$AP191="",$AQ191="")),"CLOSURE REQUIRED",IF(AND($AB191&lt;TODAY(),NOT(OR($Y191="Rejected",$Y191="Closed",$Y191="Removed"))),"OVERDUE",IF(OR($Y191="Rejected",$Y191="Closed",$Y191="Removed"),"CLOSED","OPEN — ON TRACK"))))))))))))</x:f>
      </x:c>
      <x:c r="AL191" s="1253" t="str">
        <x:f>IF($AK191="","",IFERROR(INDEX('97 RCC Lists'!$AM$5:$AM$16,MATCH($AK191,'97 RCC Lists'!$AL$5:$AL$16,0)),"Review candidate exception"))</x:f>
      </x:c>
      <x:c r="AM191" s="1242"/>
      <x:c r="AN191" s="1242"/>
      <x:c r="AO191" s="1242"/>
      <x:c r="AP191" s="1242"/>
      <x:c r="AQ191" s="1251"/>
    </x:row>
    <x:row r="192" ht="32" customHeight="1">
      <x:c r="A192" s="1242"/>
      <x:c r="B192" s="1251"/>
      <x:c r="C192" s="1242"/>
      <x:c r="D192" s="1243" t="str">
        <x:f>IF($C192="","",IFERROR(INDEX('23 RCC-004 MASR Registry'!$C$14:$C$163,MATCH($C192,'23 RCC-004 MASR Registry'!$B$14:$B$163,0)),""))</x:f>
      </x:c>
      <x:c r="E192" s="1242"/>
      <x:c r="F192" s="1242"/>
      <x:c r="G192" s="1242"/>
      <x:c r="H192" s="1242"/>
      <x:c r="I192" s="1243" t="str">
        <x:f>IF($C192="","",IFERROR(INDEX('23 RCC-004 MASR Registry'!$G$14:$G$163,MATCH($C192,'23 RCC-004 MASR Registry'!$B$14:$B$163,0)),""))</x:f>
      </x:c>
      <x:c r="J192" s="1243" t="str">
        <x:f>IF($C192="","",IFERROR(INDEX('23 RCC-004 MASR Registry'!$H$14:$H$163,MATCH($C192,'23 RCC-004 MASR Registry'!$B$14:$B$163,0)),""))</x:f>
      </x:c>
      <x:c r="K192" s="1243" t="str">
        <x:f>IF($C192="","",IFERROR(INDEX('23 RCC-004 MASR Registry'!$D$14:$D$163,MATCH($C192,'23 RCC-004 MASR Registry'!$B$14:$B$163,0)),""))</x:f>
      </x:c>
      <x:c r="L192" s="1243" t="str">
        <x:f>IF($C192="","",IFERROR(INDEX('23 RCC-004 MASR Registry'!$E$14:$E$163,MATCH($C192,'23 RCC-004 MASR Registry'!$B$14:$B$163,0)),""))</x:f>
      </x:c>
      <x:c r="M192" s="1243" t="str">
        <x:f>IF($C192="","",IFERROR(INDEX('23 RCC-004 MASR Registry'!$X$14:$X$163,MATCH($C192,'23 RCC-004 MASR Registry'!$B$14:$B$163,0)),""))</x:f>
      </x:c>
      <x:c r="N192" s="1243" t="str">
        <x:f>IF($C192="","",IFERROR(INDEX('23 RCC-004 MASR Registry'!$Y$14:$Y$163,MATCH($C192,'23 RCC-004 MASR Registry'!$B$14:$B$163,0)),""))</x:f>
      </x:c>
      <x:c r="O192" s="1243" t="str">
        <x:f>IF($C192="","",IFERROR(INDEX('23 RCC-004 MASR Registry'!$L$14:$L$163,MATCH($C192,'23 RCC-004 MASR Registry'!$B$14:$B$163,0)),""))</x:f>
      </x:c>
      <x:c r="P192" s="1243" t="str">
        <x:f>IF($C192="","",IFERROR(INDEX('23 RCC-004 MASR Registry'!$M$14:$M$163,MATCH($C192,'23 RCC-004 MASR Registry'!$B$14:$B$163,0)),""))</x:f>
      </x:c>
      <x:c r="Q192" s="1246" t="str">
        <x:f>IF($C192="","",IFERROR(INDEX('23 RCC-004 MASR Registry'!$N$14:$N$163,MATCH($C192,'23 RCC-004 MASR Registry'!$B$14:$B$163,0)),""))</x:f>
      </x:c>
      <x:c r="R192" s="1246" t="str">
        <x:f>IF($C192="","",IFERROR(INDEX('23 RCC-004 MASR Registry'!$O$14:$O$163,MATCH($C192,'23 RCC-004 MASR Registry'!$B$14:$B$163,0)),""))</x:f>
      </x:c>
      <x:c r="S192" s="1246" t="str">
        <x:f>IF($C192="","",IFERROR(INDEX('23 RCC-004 MASR Registry'!$W$14:$W$163,MATCH($C192,'23 RCC-004 MASR Registry'!$B$14:$B$163,0)),""))</x:f>
      </x:c>
      <x:c r="T192" s="1246" t="str">
        <x:f>IF($C192="","",IFERROR(INDEX('23 RCC-004 MASR Registry'!$T$14:$T$163,MATCH($C192,'23 RCC-004 MASR Registry'!$B$14:$B$163,0)),""))</x:f>
      </x:c>
      <x:c r="U192" s="1247" t="str">
        <x:f>IF($C192="","",IFERROR(INDEX('23 RCC-004 MASR Registry'!$U$14:$U$163,MATCH($C192,'23 RCC-004 MASR Registry'!$B$14:$B$163,0)),""))</x:f>
      </x:c>
      <x:c r="V192" s="1243" t="str">
        <x:f>IF($C192="","",IFERROR(INDEX('23 RCC-004 MASR Registry'!$V$14:$V$163,MATCH($C192,'23 RCC-004 MASR Registry'!$B$14:$B$163,0)),""))</x:f>
      </x:c>
      <x:c r="W192" s="1242"/>
      <x:c r="X192" s="1247" t="str">
        <x:f>IF($C192="","",COUNTIF('18 RCC-002 Evidence Ledger'!$E$14:$E$213,$C192))</x:f>
      </x:c>
      <x:c r="Y192" s="1242"/>
      <x:c r="Z192" s="1244" t="str">
        <x:f>IF($A192="","",IF(COUNTIF($A$14:$A$213,$A192)&gt;1,"FAIL — DUPLICATE ID",IF(OR($B192="",$C192="",$E192="",$H192="",$Y192="",$AA192="",$AB192=""),"FAIL — INCOMPLETE",IF(AND(OR($Y192="MIAR Review",$Y192="Eligibility Review",$Y192="Candidate Comparison",$Y192="Committee Review",$Y192="Approved for MASR",$Y192="Referred to PEW-004",$Y192="On Watch",$Y192="Rejected",$Y192="Closed",$Y192="Removed"),$K192=""),"FAIL — MASR RECORD REQUIRED",IF(AND(OR($Y192="Eligibility Review",$Y192="Candidate Comparison",$Y192="Committee Review",$Y192="Approved for MASR",$Y192="Referred to PEW-004",$Y192="On Watch"),NOT(OR($M192="ELIGIBLE",$M192="ELIGIBLE WITH EXCEPTION",$M192="CERTIFIED HOLDING"))),"FAIL — ELIGIBILITY",IF(AND(OR($Y192="Candidate Comparison",$Y192="Committee Review",$Y192="Approved for MASR",$Y192="Referred to PEW-004",$Y192="On Watch"),$X192=0),"FAIL — EVIDENCE",IF(AND(OR($Y192="Candidate Comparison",$Y192="Committee Review",$Y192="Approved for MASR",$Y192="Referred to PEW-004",$Y192="On Watch"),OR($O192&lt;&gt;"Active",$P192&lt;&gt;"CURRENT")),"FAIL — MIAR GATE",IF(AND(OR($Y192="Approved for MASR",$Y192="Referred to PEW-004",$Y192="On Watch",$Y192="Rejected",$Y192="Closed",$Y192="Removed"),OR($AD192="",$AD192="Pending")),"FAIL — COMMITTEE DISPOSITION",IF(AND($Y192="Referred to PEW-004",OR($AF192&lt;&gt;"Yes — Refer to PEW-004",$AG192="",$AJ192="")),"FAIL — PEW REFERRAL","PASS — STAGE GATE")))))))))</x:f>
      </x:c>
      <x:c r="AA192" s="1242"/>
      <x:c r="AB192" s="1251"/>
      <x:c r="AC192" s="1250" t="str">
        <x:f>IF($B192="","",IF($AQ192&lt;&gt;"",$AQ192-$B192,TODAY()-$B192))</x:f>
      </x:c>
      <x:c r="AD192" s="1242"/>
      <x:c r="AE192" s="1251"/>
      <x:c r="AF192" s="1242"/>
      <x:c r="AG192" s="1242"/>
      <x:c r="AH192" s="1246" t="str">
        <x:f>IF($AG192="","",IFERROR(INDEX('10 Candidate Comparison'!$T$14:$T$33,MATCH($AG192,'10 Candidate Comparison'!$A$14:$A$33,0)),""))</x:f>
      </x:c>
      <x:c r="AI192" s="1243" t="str">
        <x:f>IF($AG192="","",IFERROR(INDEX('10 Candidate Comparison'!$U$14:$U$33,MATCH($AG192,'10 Candidate Comparison'!$A$14:$A$33,0)),""))</x:f>
      </x:c>
      <x:c r="AJ192" s="1243" t="str">
        <x:f>IF($AG192="","",IFERROR(INDEX('10 Candidate Comparison'!$Y$14:$Y$33,MATCH($AG192,'10 Candidate Comparison'!$A$14:$A$33,0)),""))</x:f>
      </x:c>
      <x:c r="AK192" s="1244" t="str">
        <x:f>IF($A192="","",IF($Z192="FAIL — DUPLICATE ID","DUPLICATE CANDIDATE ID",IF($Z192="FAIL — INCOMPLETE","INCOMPLETE",IF($Z192="FAIL — MASR RECORD REQUIRED","MASR RECORD REQUIRED",IF($Z192="FAIL — ELIGIBILITY","ELIGIBILITY BLOCK",IF($Z192="FAIL — EVIDENCE","EVIDENCE REQUIRED",IF($Z192="FAIL — MIAR GATE","MIAR GATE BLOCK",IF($Z192="FAIL — COMMITTEE DISPOSITION","COMMITTEE DECISION REQUIRED",IF($Z192="FAIL — PEW REFERRAL","PEW REFERRAL INCOMPLETE",IF(AND(OR($Y192="Rejected",$Y192="Closed",$Y192="Removed"),OR($AO192="",$AP192="",$AQ192="")),"CLOSURE REQUIRED",IF(AND($AB192&lt;TODAY(),NOT(OR($Y192="Rejected",$Y192="Closed",$Y192="Removed"))),"OVERDUE",IF(OR($Y192="Rejected",$Y192="Closed",$Y192="Removed"),"CLOSED","OPEN — ON TRACK"))))))))))))</x:f>
      </x:c>
      <x:c r="AL192" s="1244" t="str">
        <x:f>IF($AK192="","",IFERROR(INDEX('97 RCC Lists'!$AM$5:$AM$16,MATCH($AK192,'97 RCC Lists'!$AL$5:$AL$16,0)),"Review candidate exception"))</x:f>
      </x:c>
      <x:c r="AM192" s="1242"/>
      <x:c r="AN192" s="1242"/>
      <x:c r="AO192" s="1242"/>
      <x:c r="AP192" s="1242"/>
      <x:c r="AQ192" s="1251"/>
    </x:row>
    <x:row r="193" ht="32" customHeight="1">
      <x:c r="A193" s="1242"/>
      <x:c r="B193" s="1251"/>
      <x:c r="C193" s="1242"/>
      <x:c r="D193" s="1252" t="str">
        <x:f>IF($C193="","",IFERROR(INDEX('23 RCC-004 MASR Registry'!$C$14:$C$163,MATCH($C193,'23 RCC-004 MASR Registry'!$B$14:$B$163,0)),""))</x:f>
      </x:c>
      <x:c r="E193" s="1242"/>
      <x:c r="F193" s="1242"/>
      <x:c r="G193" s="1242"/>
      <x:c r="H193" s="1242"/>
      <x:c r="I193" s="1252" t="str">
        <x:f>IF($C193="","",IFERROR(INDEX('23 RCC-004 MASR Registry'!$G$14:$G$163,MATCH($C193,'23 RCC-004 MASR Registry'!$B$14:$B$163,0)),""))</x:f>
      </x:c>
      <x:c r="J193" s="1252" t="str">
        <x:f>IF($C193="","",IFERROR(INDEX('23 RCC-004 MASR Registry'!$H$14:$H$163,MATCH($C193,'23 RCC-004 MASR Registry'!$B$14:$B$163,0)),""))</x:f>
      </x:c>
      <x:c r="K193" s="1252" t="str">
        <x:f>IF($C193="","",IFERROR(INDEX('23 RCC-004 MASR Registry'!$D$14:$D$163,MATCH($C193,'23 RCC-004 MASR Registry'!$B$14:$B$163,0)),""))</x:f>
      </x:c>
      <x:c r="L193" s="1252" t="str">
        <x:f>IF($C193="","",IFERROR(INDEX('23 RCC-004 MASR Registry'!$E$14:$E$163,MATCH($C193,'23 RCC-004 MASR Registry'!$B$14:$B$163,0)),""))</x:f>
      </x:c>
      <x:c r="M193" s="1252" t="str">
        <x:f>IF($C193="","",IFERROR(INDEX('23 RCC-004 MASR Registry'!$X$14:$X$163,MATCH($C193,'23 RCC-004 MASR Registry'!$B$14:$B$163,0)),""))</x:f>
      </x:c>
      <x:c r="N193" s="1252" t="str">
        <x:f>IF($C193="","",IFERROR(INDEX('23 RCC-004 MASR Registry'!$Y$14:$Y$163,MATCH($C193,'23 RCC-004 MASR Registry'!$B$14:$B$163,0)),""))</x:f>
      </x:c>
      <x:c r="O193" s="1252" t="str">
        <x:f>IF($C193="","",IFERROR(INDEX('23 RCC-004 MASR Registry'!$L$14:$L$163,MATCH($C193,'23 RCC-004 MASR Registry'!$B$14:$B$163,0)),""))</x:f>
      </x:c>
      <x:c r="P193" s="1252" t="str">
        <x:f>IF($C193="","",IFERROR(INDEX('23 RCC-004 MASR Registry'!$M$14:$M$163,MATCH($C193,'23 RCC-004 MASR Registry'!$B$14:$B$163,0)),""))</x:f>
      </x:c>
      <x:c r="Q193" s="1255" t="str">
        <x:f>IF($C193="","",IFERROR(INDEX('23 RCC-004 MASR Registry'!$N$14:$N$163,MATCH($C193,'23 RCC-004 MASR Registry'!$B$14:$B$163,0)),""))</x:f>
      </x:c>
      <x:c r="R193" s="1255" t="str">
        <x:f>IF($C193="","",IFERROR(INDEX('23 RCC-004 MASR Registry'!$O$14:$O$163,MATCH($C193,'23 RCC-004 MASR Registry'!$B$14:$B$163,0)),""))</x:f>
      </x:c>
      <x:c r="S193" s="1255" t="str">
        <x:f>IF($C193="","",IFERROR(INDEX('23 RCC-004 MASR Registry'!$W$14:$W$163,MATCH($C193,'23 RCC-004 MASR Registry'!$B$14:$B$163,0)),""))</x:f>
      </x:c>
      <x:c r="T193" s="1255" t="str">
        <x:f>IF($C193="","",IFERROR(INDEX('23 RCC-004 MASR Registry'!$T$14:$T$163,MATCH($C193,'23 RCC-004 MASR Registry'!$B$14:$B$163,0)),""))</x:f>
      </x:c>
      <x:c r="U193" s="1256" t="str">
        <x:f>IF($C193="","",IFERROR(INDEX('23 RCC-004 MASR Registry'!$U$14:$U$163,MATCH($C193,'23 RCC-004 MASR Registry'!$B$14:$B$163,0)),""))</x:f>
      </x:c>
      <x:c r="V193" s="1252" t="str">
        <x:f>IF($C193="","",IFERROR(INDEX('23 RCC-004 MASR Registry'!$V$14:$V$163,MATCH($C193,'23 RCC-004 MASR Registry'!$B$14:$B$163,0)),""))</x:f>
      </x:c>
      <x:c r="W193" s="1242"/>
      <x:c r="X193" s="1256" t="str">
        <x:f>IF($C193="","",COUNTIF('18 RCC-002 Evidence Ledger'!$E$14:$E$213,$C193))</x:f>
      </x:c>
      <x:c r="Y193" s="1242"/>
      <x:c r="Z193" s="1253" t="str">
        <x:f>IF($A193="","",IF(COUNTIF($A$14:$A$213,$A193)&gt;1,"FAIL — DUPLICATE ID",IF(OR($B193="",$C193="",$E193="",$H193="",$Y193="",$AA193="",$AB193=""),"FAIL — INCOMPLETE",IF(AND(OR($Y193="MIAR Review",$Y193="Eligibility Review",$Y193="Candidate Comparison",$Y193="Committee Review",$Y193="Approved for MASR",$Y193="Referred to PEW-004",$Y193="On Watch",$Y193="Rejected",$Y193="Closed",$Y193="Removed"),$K193=""),"FAIL — MASR RECORD REQUIRED",IF(AND(OR($Y193="Eligibility Review",$Y193="Candidate Comparison",$Y193="Committee Review",$Y193="Approved for MASR",$Y193="Referred to PEW-004",$Y193="On Watch"),NOT(OR($M193="ELIGIBLE",$M193="ELIGIBLE WITH EXCEPTION",$M193="CERTIFIED HOLDING"))),"FAIL — ELIGIBILITY",IF(AND(OR($Y193="Candidate Comparison",$Y193="Committee Review",$Y193="Approved for MASR",$Y193="Referred to PEW-004",$Y193="On Watch"),$X193=0),"FAIL — EVIDENCE",IF(AND(OR($Y193="Candidate Comparison",$Y193="Committee Review",$Y193="Approved for MASR",$Y193="Referred to PEW-004",$Y193="On Watch"),OR($O193&lt;&gt;"Active",$P193&lt;&gt;"CURRENT")),"FAIL — MIAR GATE",IF(AND(OR($Y193="Approved for MASR",$Y193="Referred to PEW-004",$Y193="On Watch",$Y193="Rejected",$Y193="Closed",$Y193="Removed"),OR($AD193="",$AD193="Pending")),"FAIL — COMMITTEE DISPOSITION",IF(AND($Y193="Referred to PEW-004",OR($AF193&lt;&gt;"Yes — Refer to PEW-004",$AG193="",$AJ193="")),"FAIL — PEW REFERRAL","PASS — STAGE GATE")))))))))</x:f>
      </x:c>
      <x:c r="AA193" s="1242"/>
      <x:c r="AB193" s="1251"/>
      <x:c r="AC193" s="1257" t="str">
        <x:f>IF($B193="","",IF($AQ193&lt;&gt;"",$AQ193-$B193,TODAY()-$B193))</x:f>
      </x:c>
      <x:c r="AD193" s="1242"/>
      <x:c r="AE193" s="1251"/>
      <x:c r="AF193" s="1242"/>
      <x:c r="AG193" s="1242"/>
      <x:c r="AH193" s="1255" t="str">
        <x:f>IF($AG193="","",IFERROR(INDEX('10 Candidate Comparison'!$T$14:$T$33,MATCH($AG193,'10 Candidate Comparison'!$A$14:$A$33,0)),""))</x:f>
      </x:c>
      <x:c r="AI193" s="1252" t="str">
        <x:f>IF($AG193="","",IFERROR(INDEX('10 Candidate Comparison'!$U$14:$U$33,MATCH($AG193,'10 Candidate Comparison'!$A$14:$A$33,0)),""))</x:f>
      </x:c>
      <x:c r="AJ193" s="1252" t="str">
        <x:f>IF($AG193="","",IFERROR(INDEX('10 Candidate Comparison'!$Y$14:$Y$33,MATCH($AG193,'10 Candidate Comparison'!$A$14:$A$33,0)),""))</x:f>
      </x:c>
      <x:c r="AK193" s="1253" t="str">
        <x:f>IF($A193="","",IF($Z193="FAIL — DUPLICATE ID","DUPLICATE CANDIDATE ID",IF($Z193="FAIL — INCOMPLETE","INCOMPLETE",IF($Z193="FAIL — MASR RECORD REQUIRED","MASR RECORD REQUIRED",IF($Z193="FAIL — ELIGIBILITY","ELIGIBILITY BLOCK",IF($Z193="FAIL — EVIDENCE","EVIDENCE REQUIRED",IF($Z193="FAIL — MIAR GATE","MIAR GATE BLOCK",IF($Z193="FAIL — COMMITTEE DISPOSITION","COMMITTEE DECISION REQUIRED",IF($Z193="FAIL — PEW REFERRAL","PEW REFERRAL INCOMPLETE",IF(AND(OR($Y193="Rejected",$Y193="Closed",$Y193="Removed"),OR($AO193="",$AP193="",$AQ193="")),"CLOSURE REQUIRED",IF(AND($AB193&lt;TODAY(),NOT(OR($Y193="Rejected",$Y193="Closed",$Y193="Removed"))),"OVERDUE",IF(OR($Y193="Rejected",$Y193="Closed",$Y193="Removed"),"CLOSED","OPEN — ON TRACK"))))))))))))</x:f>
      </x:c>
      <x:c r="AL193" s="1253" t="str">
        <x:f>IF($AK193="","",IFERROR(INDEX('97 RCC Lists'!$AM$5:$AM$16,MATCH($AK193,'97 RCC Lists'!$AL$5:$AL$16,0)),"Review candidate exception"))</x:f>
      </x:c>
      <x:c r="AM193" s="1242"/>
      <x:c r="AN193" s="1242"/>
      <x:c r="AO193" s="1242"/>
      <x:c r="AP193" s="1242"/>
      <x:c r="AQ193" s="1251"/>
    </x:row>
    <x:row r="194" ht="32" customHeight="1">
      <x:c r="A194" s="1242"/>
      <x:c r="B194" s="1251"/>
      <x:c r="C194" s="1242"/>
      <x:c r="D194" s="1243" t="str">
        <x:f>IF($C194="","",IFERROR(INDEX('23 RCC-004 MASR Registry'!$C$14:$C$163,MATCH($C194,'23 RCC-004 MASR Registry'!$B$14:$B$163,0)),""))</x:f>
      </x:c>
      <x:c r="E194" s="1242"/>
      <x:c r="F194" s="1242"/>
      <x:c r="G194" s="1242"/>
      <x:c r="H194" s="1242"/>
      <x:c r="I194" s="1243" t="str">
        <x:f>IF($C194="","",IFERROR(INDEX('23 RCC-004 MASR Registry'!$G$14:$G$163,MATCH($C194,'23 RCC-004 MASR Registry'!$B$14:$B$163,0)),""))</x:f>
      </x:c>
      <x:c r="J194" s="1243" t="str">
        <x:f>IF($C194="","",IFERROR(INDEX('23 RCC-004 MASR Registry'!$H$14:$H$163,MATCH($C194,'23 RCC-004 MASR Registry'!$B$14:$B$163,0)),""))</x:f>
      </x:c>
      <x:c r="K194" s="1243" t="str">
        <x:f>IF($C194="","",IFERROR(INDEX('23 RCC-004 MASR Registry'!$D$14:$D$163,MATCH($C194,'23 RCC-004 MASR Registry'!$B$14:$B$163,0)),""))</x:f>
      </x:c>
      <x:c r="L194" s="1243" t="str">
        <x:f>IF($C194="","",IFERROR(INDEX('23 RCC-004 MASR Registry'!$E$14:$E$163,MATCH($C194,'23 RCC-004 MASR Registry'!$B$14:$B$163,0)),""))</x:f>
      </x:c>
      <x:c r="M194" s="1243" t="str">
        <x:f>IF($C194="","",IFERROR(INDEX('23 RCC-004 MASR Registry'!$X$14:$X$163,MATCH($C194,'23 RCC-004 MASR Registry'!$B$14:$B$163,0)),""))</x:f>
      </x:c>
      <x:c r="N194" s="1243" t="str">
        <x:f>IF($C194="","",IFERROR(INDEX('23 RCC-004 MASR Registry'!$Y$14:$Y$163,MATCH($C194,'23 RCC-004 MASR Registry'!$B$14:$B$163,0)),""))</x:f>
      </x:c>
      <x:c r="O194" s="1243" t="str">
        <x:f>IF($C194="","",IFERROR(INDEX('23 RCC-004 MASR Registry'!$L$14:$L$163,MATCH($C194,'23 RCC-004 MASR Registry'!$B$14:$B$163,0)),""))</x:f>
      </x:c>
      <x:c r="P194" s="1243" t="str">
        <x:f>IF($C194="","",IFERROR(INDEX('23 RCC-004 MASR Registry'!$M$14:$M$163,MATCH($C194,'23 RCC-004 MASR Registry'!$B$14:$B$163,0)),""))</x:f>
      </x:c>
      <x:c r="Q194" s="1246" t="str">
        <x:f>IF($C194="","",IFERROR(INDEX('23 RCC-004 MASR Registry'!$N$14:$N$163,MATCH($C194,'23 RCC-004 MASR Registry'!$B$14:$B$163,0)),""))</x:f>
      </x:c>
      <x:c r="R194" s="1246" t="str">
        <x:f>IF($C194="","",IFERROR(INDEX('23 RCC-004 MASR Registry'!$O$14:$O$163,MATCH($C194,'23 RCC-004 MASR Registry'!$B$14:$B$163,0)),""))</x:f>
      </x:c>
      <x:c r="S194" s="1246" t="str">
        <x:f>IF($C194="","",IFERROR(INDEX('23 RCC-004 MASR Registry'!$W$14:$W$163,MATCH($C194,'23 RCC-004 MASR Registry'!$B$14:$B$163,0)),""))</x:f>
      </x:c>
      <x:c r="T194" s="1246" t="str">
        <x:f>IF($C194="","",IFERROR(INDEX('23 RCC-004 MASR Registry'!$T$14:$T$163,MATCH($C194,'23 RCC-004 MASR Registry'!$B$14:$B$163,0)),""))</x:f>
      </x:c>
      <x:c r="U194" s="1247" t="str">
        <x:f>IF($C194="","",IFERROR(INDEX('23 RCC-004 MASR Registry'!$U$14:$U$163,MATCH($C194,'23 RCC-004 MASR Registry'!$B$14:$B$163,0)),""))</x:f>
      </x:c>
      <x:c r="V194" s="1243" t="str">
        <x:f>IF($C194="","",IFERROR(INDEX('23 RCC-004 MASR Registry'!$V$14:$V$163,MATCH($C194,'23 RCC-004 MASR Registry'!$B$14:$B$163,0)),""))</x:f>
      </x:c>
      <x:c r="W194" s="1242"/>
      <x:c r="X194" s="1247" t="str">
        <x:f>IF($C194="","",COUNTIF('18 RCC-002 Evidence Ledger'!$E$14:$E$213,$C194))</x:f>
      </x:c>
      <x:c r="Y194" s="1242"/>
      <x:c r="Z194" s="1244" t="str">
        <x:f>IF($A194="","",IF(COUNTIF($A$14:$A$213,$A194)&gt;1,"FAIL — DUPLICATE ID",IF(OR($B194="",$C194="",$E194="",$H194="",$Y194="",$AA194="",$AB194=""),"FAIL — INCOMPLETE",IF(AND(OR($Y194="MIAR Review",$Y194="Eligibility Review",$Y194="Candidate Comparison",$Y194="Committee Review",$Y194="Approved for MASR",$Y194="Referred to PEW-004",$Y194="On Watch",$Y194="Rejected",$Y194="Closed",$Y194="Removed"),$K194=""),"FAIL — MASR RECORD REQUIRED",IF(AND(OR($Y194="Eligibility Review",$Y194="Candidate Comparison",$Y194="Committee Review",$Y194="Approved for MASR",$Y194="Referred to PEW-004",$Y194="On Watch"),NOT(OR($M194="ELIGIBLE",$M194="ELIGIBLE WITH EXCEPTION",$M194="CERTIFIED HOLDING"))),"FAIL — ELIGIBILITY",IF(AND(OR($Y194="Candidate Comparison",$Y194="Committee Review",$Y194="Approved for MASR",$Y194="Referred to PEW-004",$Y194="On Watch"),$X194=0),"FAIL — EVIDENCE",IF(AND(OR($Y194="Candidate Comparison",$Y194="Committee Review",$Y194="Approved for MASR",$Y194="Referred to PEW-004",$Y194="On Watch"),OR($O194&lt;&gt;"Active",$P194&lt;&gt;"CURRENT")),"FAIL — MIAR GATE",IF(AND(OR($Y194="Approved for MASR",$Y194="Referred to PEW-004",$Y194="On Watch",$Y194="Rejected",$Y194="Closed",$Y194="Removed"),OR($AD194="",$AD194="Pending")),"FAIL — COMMITTEE DISPOSITION",IF(AND($Y194="Referred to PEW-004",OR($AF194&lt;&gt;"Yes — Refer to PEW-004",$AG194="",$AJ194="")),"FAIL — PEW REFERRAL","PASS — STAGE GATE")))))))))</x:f>
      </x:c>
      <x:c r="AA194" s="1242"/>
      <x:c r="AB194" s="1251"/>
      <x:c r="AC194" s="1250" t="str">
        <x:f>IF($B194="","",IF($AQ194&lt;&gt;"",$AQ194-$B194,TODAY()-$B194))</x:f>
      </x:c>
      <x:c r="AD194" s="1242"/>
      <x:c r="AE194" s="1251"/>
      <x:c r="AF194" s="1242"/>
      <x:c r="AG194" s="1242"/>
      <x:c r="AH194" s="1246" t="str">
        <x:f>IF($AG194="","",IFERROR(INDEX('10 Candidate Comparison'!$T$14:$T$33,MATCH($AG194,'10 Candidate Comparison'!$A$14:$A$33,0)),""))</x:f>
      </x:c>
      <x:c r="AI194" s="1243" t="str">
        <x:f>IF($AG194="","",IFERROR(INDEX('10 Candidate Comparison'!$U$14:$U$33,MATCH($AG194,'10 Candidate Comparison'!$A$14:$A$33,0)),""))</x:f>
      </x:c>
      <x:c r="AJ194" s="1243" t="str">
        <x:f>IF($AG194="","",IFERROR(INDEX('10 Candidate Comparison'!$Y$14:$Y$33,MATCH($AG194,'10 Candidate Comparison'!$A$14:$A$33,0)),""))</x:f>
      </x:c>
      <x:c r="AK194" s="1244" t="str">
        <x:f>IF($A194="","",IF($Z194="FAIL — DUPLICATE ID","DUPLICATE CANDIDATE ID",IF($Z194="FAIL — INCOMPLETE","INCOMPLETE",IF($Z194="FAIL — MASR RECORD REQUIRED","MASR RECORD REQUIRED",IF($Z194="FAIL — ELIGIBILITY","ELIGIBILITY BLOCK",IF($Z194="FAIL — EVIDENCE","EVIDENCE REQUIRED",IF($Z194="FAIL — MIAR GATE","MIAR GATE BLOCK",IF($Z194="FAIL — COMMITTEE DISPOSITION","COMMITTEE DECISION REQUIRED",IF($Z194="FAIL — PEW REFERRAL","PEW REFERRAL INCOMPLETE",IF(AND(OR($Y194="Rejected",$Y194="Closed",$Y194="Removed"),OR($AO194="",$AP194="",$AQ194="")),"CLOSURE REQUIRED",IF(AND($AB194&lt;TODAY(),NOT(OR($Y194="Rejected",$Y194="Closed",$Y194="Removed"))),"OVERDUE",IF(OR($Y194="Rejected",$Y194="Closed",$Y194="Removed"),"CLOSED","OPEN — ON TRACK"))))))))))))</x:f>
      </x:c>
      <x:c r="AL194" s="1244" t="str">
        <x:f>IF($AK194="","",IFERROR(INDEX('97 RCC Lists'!$AM$5:$AM$16,MATCH($AK194,'97 RCC Lists'!$AL$5:$AL$16,0)),"Review candidate exception"))</x:f>
      </x:c>
      <x:c r="AM194" s="1242"/>
      <x:c r="AN194" s="1242"/>
      <x:c r="AO194" s="1242"/>
      <x:c r="AP194" s="1242"/>
      <x:c r="AQ194" s="1251"/>
    </x:row>
    <x:row r="195" ht="32" customHeight="1">
      <x:c r="A195" s="1242"/>
      <x:c r="B195" s="1251"/>
      <x:c r="C195" s="1242"/>
      <x:c r="D195" s="1252" t="str">
        <x:f>IF($C195="","",IFERROR(INDEX('23 RCC-004 MASR Registry'!$C$14:$C$163,MATCH($C195,'23 RCC-004 MASR Registry'!$B$14:$B$163,0)),""))</x:f>
      </x:c>
      <x:c r="E195" s="1242"/>
      <x:c r="F195" s="1242"/>
      <x:c r="G195" s="1242"/>
      <x:c r="H195" s="1242"/>
      <x:c r="I195" s="1252" t="str">
        <x:f>IF($C195="","",IFERROR(INDEX('23 RCC-004 MASR Registry'!$G$14:$G$163,MATCH($C195,'23 RCC-004 MASR Registry'!$B$14:$B$163,0)),""))</x:f>
      </x:c>
      <x:c r="J195" s="1252" t="str">
        <x:f>IF($C195="","",IFERROR(INDEX('23 RCC-004 MASR Registry'!$H$14:$H$163,MATCH($C195,'23 RCC-004 MASR Registry'!$B$14:$B$163,0)),""))</x:f>
      </x:c>
      <x:c r="K195" s="1252" t="str">
        <x:f>IF($C195="","",IFERROR(INDEX('23 RCC-004 MASR Registry'!$D$14:$D$163,MATCH($C195,'23 RCC-004 MASR Registry'!$B$14:$B$163,0)),""))</x:f>
      </x:c>
      <x:c r="L195" s="1252" t="str">
        <x:f>IF($C195="","",IFERROR(INDEX('23 RCC-004 MASR Registry'!$E$14:$E$163,MATCH($C195,'23 RCC-004 MASR Registry'!$B$14:$B$163,0)),""))</x:f>
      </x:c>
      <x:c r="M195" s="1252" t="str">
        <x:f>IF($C195="","",IFERROR(INDEX('23 RCC-004 MASR Registry'!$X$14:$X$163,MATCH($C195,'23 RCC-004 MASR Registry'!$B$14:$B$163,0)),""))</x:f>
      </x:c>
      <x:c r="N195" s="1252" t="str">
        <x:f>IF($C195="","",IFERROR(INDEX('23 RCC-004 MASR Registry'!$Y$14:$Y$163,MATCH($C195,'23 RCC-004 MASR Registry'!$B$14:$B$163,0)),""))</x:f>
      </x:c>
      <x:c r="O195" s="1252" t="str">
        <x:f>IF($C195="","",IFERROR(INDEX('23 RCC-004 MASR Registry'!$L$14:$L$163,MATCH($C195,'23 RCC-004 MASR Registry'!$B$14:$B$163,0)),""))</x:f>
      </x:c>
      <x:c r="P195" s="1252" t="str">
        <x:f>IF($C195="","",IFERROR(INDEX('23 RCC-004 MASR Registry'!$M$14:$M$163,MATCH($C195,'23 RCC-004 MASR Registry'!$B$14:$B$163,0)),""))</x:f>
      </x:c>
      <x:c r="Q195" s="1255" t="str">
        <x:f>IF($C195="","",IFERROR(INDEX('23 RCC-004 MASR Registry'!$N$14:$N$163,MATCH($C195,'23 RCC-004 MASR Registry'!$B$14:$B$163,0)),""))</x:f>
      </x:c>
      <x:c r="R195" s="1255" t="str">
        <x:f>IF($C195="","",IFERROR(INDEX('23 RCC-004 MASR Registry'!$O$14:$O$163,MATCH($C195,'23 RCC-004 MASR Registry'!$B$14:$B$163,0)),""))</x:f>
      </x:c>
      <x:c r="S195" s="1255" t="str">
        <x:f>IF($C195="","",IFERROR(INDEX('23 RCC-004 MASR Registry'!$W$14:$W$163,MATCH($C195,'23 RCC-004 MASR Registry'!$B$14:$B$163,0)),""))</x:f>
      </x:c>
      <x:c r="T195" s="1255" t="str">
        <x:f>IF($C195="","",IFERROR(INDEX('23 RCC-004 MASR Registry'!$T$14:$T$163,MATCH($C195,'23 RCC-004 MASR Registry'!$B$14:$B$163,0)),""))</x:f>
      </x:c>
      <x:c r="U195" s="1256" t="str">
        <x:f>IF($C195="","",IFERROR(INDEX('23 RCC-004 MASR Registry'!$U$14:$U$163,MATCH($C195,'23 RCC-004 MASR Registry'!$B$14:$B$163,0)),""))</x:f>
      </x:c>
      <x:c r="V195" s="1252" t="str">
        <x:f>IF($C195="","",IFERROR(INDEX('23 RCC-004 MASR Registry'!$V$14:$V$163,MATCH($C195,'23 RCC-004 MASR Registry'!$B$14:$B$163,0)),""))</x:f>
      </x:c>
      <x:c r="W195" s="1242"/>
      <x:c r="X195" s="1256" t="str">
        <x:f>IF($C195="","",COUNTIF('18 RCC-002 Evidence Ledger'!$E$14:$E$213,$C195))</x:f>
      </x:c>
      <x:c r="Y195" s="1242"/>
      <x:c r="Z195" s="1253" t="str">
        <x:f>IF($A195="","",IF(COUNTIF($A$14:$A$213,$A195)&gt;1,"FAIL — DUPLICATE ID",IF(OR($B195="",$C195="",$E195="",$H195="",$Y195="",$AA195="",$AB195=""),"FAIL — INCOMPLETE",IF(AND(OR($Y195="MIAR Review",$Y195="Eligibility Review",$Y195="Candidate Comparison",$Y195="Committee Review",$Y195="Approved for MASR",$Y195="Referred to PEW-004",$Y195="On Watch",$Y195="Rejected",$Y195="Closed",$Y195="Removed"),$K195=""),"FAIL — MASR RECORD REQUIRED",IF(AND(OR($Y195="Eligibility Review",$Y195="Candidate Comparison",$Y195="Committee Review",$Y195="Approved for MASR",$Y195="Referred to PEW-004",$Y195="On Watch"),NOT(OR($M195="ELIGIBLE",$M195="ELIGIBLE WITH EXCEPTION",$M195="CERTIFIED HOLDING"))),"FAIL — ELIGIBILITY",IF(AND(OR($Y195="Candidate Comparison",$Y195="Committee Review",$Y195="Approved for MASR",$Y195="Referred to PEW-004",$Y195="On Watch"),$X195=0),"FAIL — EVIDENCE",IF(AND(OR($Y195="Candidate Comparison",$Y195="Committee Review",$Y195="Approved for MASR",$Y195="Referred to PEW-004",$Y195="On Watch"),OR($O195&lt;&gt;"Active",$P195&lt;&gt;"CURRENT")),"FAIL — MIAR GATE",IF(AND(OR($Y195="Approved for MASR",$Y195="Referred to PEW-004",$Y195="On Watch",$Y195="Rejected",$Y195="Closed",$Y195="Removed"),OR($AD195="",$AD195="Pending")),"FAIL — COMMITTEE DISPOSITION",IF(AND($Y195="Referred to PEW-004",OR($AF195&lt;&gt;"Yes — Refer to PEW-004",$AG195="",$AJ195="")),"FAIL — PEW REFERRAL","PASS — STAGE GATE")))))))))</x:f>
      </x:c>
      <x:c r="AA195" s="1242"/>
      <x:c r="AB195" s="1251"/>
      <x:c r="AC195" s="1257" t="str">
        <x:f>IF($B195="","",IF($AQ195&lt;&gt;"",$AQ195-$B195,TODAY()-$B195))</x:f>
      </x:c>
      <x:c r="AD195" s="1242"/>
      <x:c r="AE195" s="1251"/>
      <x:c r="AF195" s="1242"/>
      <x:c r="AG195" s="1242"/>
      <x:c r="AH195" s="1255" t="str">
        <x:f>IF($AG195="","",IFERROR(INDEX('10 Candidate Comparison'!$T$14:$T$33,MATCH($AG195,'10 Candidate Comparison'!$A$14:$A$33,0)),""))</x:f>
      </x:c>
      <x:c r="AI195" s="1252" t="str">
        <x:f>IF($AG195="","",IFERROR(INDEX('10 Candidate Comparison'!$U$14:$U$33,MATCH($AG195,'10 Candidate Comparison'!$A$14:$A$33,0)),""))</x:f>
      </x:c>
      <x:c r="AJ195" s="1252" t="str">
        <x:f>IF($AG195="","",IFERROR(INDEX('10 Candidate Comparison'!$Y$14:$Y$33,MATCH($AG195,'10 Candidate Comparison'!$A$14:$A$33,0)),""))</x:f>
      </x:c>
      <x:c r="AK195" s="1253" t="str">
        <x:f>IF($A195="","",IF($Z195="FAIL — DUPLICATE ID","DUPLICATE CANDIDATE ID",IF($Z195="FAIL — INCOMPLETE","INCOMPLETE",IF($Z195="FAIL — MASR RECORD REQUIRED","MASR RECORD REQUIRED",IF($Z195="FAIL — ELIGIBILITY","ELIGIBILITY BLOCK",IF($Z195="FAIL — EVIDENCE","EVIDENCE REQUIRED",IF($Z195="FAIL — MIAR GATE","MIAR GATE BLOCK",IF($Z195="FAIL — COMMITTEE DISPOSITION","COMMITTEE DECISION REQUIRED",IF($Z195="FAIL — PEW REFERRAL","PEW REFERRAL INCOMPLETE",IF(AND(OR($Y195="Rejected",$Y195="Closed",$Y195="Removed"),OR($AO195="",$AP195="",$AQ195="")),"CLOSURE REQUIRED",IF(AND($AB195&lt;TODAY(),NOT(OR($Y195="Rejected",$Y195="Closed",$Y195="Removed"))),"OVERDUE",IF(OR($Y195="Rejected",$Y195="Closed",$Y195="Removed"),"CLOSED","OPEN — ON TRACK"))))))))))))</x:f>
      </x:c>
      <x:c r="AL195" s="1253" t="str">
        <x:f>IF($AK195="","",IFERROR(INDEX('97 RCC Lists'!$AM$5:$AM$16,MATCH($AK195,'97 RCC Lists'!$AL$5:$AL$16,0)),"Review candidate exception"))</x:f>
      </x:c>
      <x:c r="AM195" s="1242"/>
      <x:c r="AN195" s="1242"/>
      <x:c r="AO195" s="1242"/>
      <x:c r="AP195" s="1242"/>
      <x:c r="AQ195" s="1251"/>
    </x:row>
    <x:row r="196" ht="32" customHeight="1">
      <x:c r="A196" s="1242"/>
      <x:c r="B196" s="1251"/>
      <x:c r="C196" s="1242"/>
      <x:c r="D196" s="1243" t="str">
        <x:f>IF($C196="","",IFERROR(INDEX('23 RCC-004 MASR Registry'!$C$14:$C$163,MATCH($C196,'23 RCC-004 MASR Registry'!$B$14:$B$163,0)),""))</x:f>
      </x:c>
      <x:c r="E196" s="1242"/>
      <x:c r="F196" s="1242"/>
      <x:c r="G196" s="1242"/>
      <x:c r="H196" s="1242"/>
      <x:c r="I196" s="1243" t="str">
        <x:f>IF($C196="","",IFERROR(INDEX('23 RCC-004 MASR Registry'!$G$14:$G$163,MATCH($C196,'23 RCC-004 MASR Registry'!$B$14:$B$163,0)),""))</x:f>
      </x:c>
      <x:c r="J196" s="1243" t="str">
        <x:f>IF($C196="","",IFERROR(INDEX('23 RCC-004 MASR Registry'!$H$14:$H$163,MATCH($C196,'23 RCC-004 MASR Registry'!$B$14:$B$163,0)),""))</x:f>
      </x:c>
      <x:c r="K196" s="1243" t="str">
        <x:f>IF($C196="","",IFERROR(INDEX('23 RCC-004 MASR Registry'!$D$14:$D$163,MATCH($C196,'23 RCC-004 MASR Registry'!$B$14:$B$163,0)),""))</x:f>
      </x:c>
      <x:c r="L196" s="1243" t="str">
        <x:f>IF($C196="","",IFERROR(INDEX('23 RCC-004 MASR Registry'!$E$14:$E$163,MATCH($C196,'23 RCC-004 MASR Registry'!$B$14:$B$163,0)),""))</x:f>
      </x:c>
      <x:c r="M196" s="1243" t="str">
        <x:f>IF($C196="","",IFERROR(INDEX('23 RCC-004 MASR Registry'!$X$14:$X$163,MATCH($C196,'23 RCC-004 MASR Registry'!$B$14:$B$163,0)),""))</x:f>
      </x:c>
      <x:c r="N196" s="1243" t="str">
        <x:f>IF($C196="","",IFERROR(INDEX('23 RCC-004 MASR Registry'!$Y$14:$Y$163,MATCH($C196,'23 RCC-004 MASR Registry'!$B$14:$B$163,0)),""))</x:f>
      </x:c>
      <x:c r="O196" s="1243" t="str">
        <x:f>IF($C196="","",IFERROR(INDEX('23 RCC-004 MASR Registry'!$L$14:$L$163,MATCH($C196,'23 RCC-004 MASR Registry'!$B$14:$B$163,0)),""))</x:f>
      </x:c>
      <x:c r="P196" s="1243" t="str">
        <x:f>IF($C196="","",IFERROR(INDEX('23 RCC-004 MASR Registry'!$M$14:$M$163,MATCH($C196,'23 RCC-004 MASR Registry'!$B$14:$B$163,0)),""))</x:f>
      </x:c>
      <x:c r="Q196" s="1246" t="str">
        <x:f>IF($C196="","",IFERROR(INDEX('23 RCC-004 MASR Registry'!$N$14:$N$163,MATCH($C196,'23 RCC-004 MASR Registry'!$B$14:$B$163,0)),""))</x:f>
      </x:c>
      <x:c r="R196" s="1246" t="str">
        <x:f>IF($C196="","",IFERROR(INDEX('23 RCC-004 MASR Registry'!$O$14:$O$163,MATCH($C196,'23 RCC-004 MASR Registry'!$B$14:$B$163,0)),""))</x:f>
      </x:c>
      <x:c r="S196" s="1246" t="str">
        <x:f>IF($C196="","",IFERROR(INDEX('23 RCC-004 MASR Registry'!$W$14:$W$163,MATCH($C196,'23 RCC-004 MASR Registry'!$B$14:$B$163,0)),""))</x:f>
      </x:c>
      <x:c r="T196" s="1246" t="str">
        <x:f>IF($C196="","",IFERROR(INDEX('23 RCC-004 MASR Registry'!$T$14:$T$163,MATCH($C196,'23 RCC-004 MASR Registry'!$B$14:$B$163,0)),""))</x:f>
      </x:c>
      <x:c r="U196" s="1247" t="str">
        <x:f>IF($C196="","",IFERROR(INDEX('23 RCC-004 MASR Registry'!$U$14:$U$163,MATCH($C196,'23 RCC-004 MASR Registry'!$B$14:$B$163,0)),""))</x:f>
      </x:c>
      <x:c r="V196" s="1243" t="str">
        <x:f>IF($C196="","",IFERROR(INDEX('23 RCC-004 MASR Registry'!$V$14:$V$163,MATCH($C196,'23 RCC-004 MASR Registry'!$B$14:$B$163,0)),""))</x:f>
      </x:c>
      <x:c r="W196" s="1242"/>
      <x:c r="X196" s="1247" t="str">
        <x:f>IF($C196="","",COUNTIF('18 RCC-002 Evidence Ledger'!$E$14:$E$213,$C196))</x:f>
      </x:c>
      <x:c r="Y196" s="1242"/>
      <x:c r="Z196" s="1244" t="str">
        <x:f>IF($A196="","",IF(COUNTIF($A$14:$A$213,$A196)&gt;1,"FAIL — DUPLICATE ID",IF(OR($B196="",$C196="",$E196="",$H196="",$Y196="",$AA196="",$AB196=""),"FAIL — INCOMPLETE",IF(AND(OR($Y196="MIAR Review",$Y196="Eligibility Review",$Y196="Candidate Comparison",$Y196="Committee Review",$Y196="Approved for MASR",$Y196="Referred to PEW-004",$Y196="On Watch",$Y196="Rejected",$Y196="Closed",$Y196="Removed"),$K196=""),"FAIL — MASR RECORD REQUIRED",IF(AND(OR($Y196="Eligibility Review",$Y196="Candidate Comparison",$Y196="Committee Review",$Y196="Approved for MASR",$Y196="Referred to PEW-004",$Y196="On Watch"),NOT(OR($M196="ELIGIBLE",$M196="ELIGIBLE WITH EXCEPTION",$M196="CERTIFIED HOLDING"))),"FAIL — ELIGIBILITY",IF(AND(OR($Y196="Candidate Comparison",$Y196="Committee Review",$Y196="Approved for MASR",$Y196="Referred to PEW-004",$Y196="On Watch"),$X196=0),"FAIL — EVIDENCE",IF(AND(OR($Y196="Candidate Comparison",$Y196="Committee Review",$Y196="Approved for MASR",$Y196="Referred to PEW-004",$Y196="On Watch"),OR($O196&lt;&gt;"Active",$P196&lt;&gt;"CURRENT")),"FAIL — MIAR GATE",IF(AND(OR($Y196="Approved for MASR",$Y196="Referred to PEW-004",$Y196="On Watch",$Y196="Rejected",$Y196="Closed",$Y196="Removed"),OR($AD196="",$AD196="Pending")),"FAIL — COMMITTEE DISPOSITION",IF(AND($Y196="Referred to PEW-004",OR($AF196&lt;&gt;"Yes — Refer to PEW-004",$AG196="",$AJ196="")),"FAIL — PEW REFERRAL","PASS — STAGE GATE")))))))))</x:f>
      </x:c>
      <x:c r="AA196" s="1242"/>
      <x:c r="AB196" s="1251"/>
      <x:c r="AC196" s="1250" t="str">
        <x:f>IF($B196="","",IF($AQ196&lt;&gt;"",$AQ196-$B196,TODAY()-$B196))</x:f>
      </x:c>
      <x:c r="AD196" s="1242"/>
      <x:c r="AE196" s="1251"/>
      <x:c r="AF196" s="1242"/>
      <x:c r="AG196" s="1242"/>
      <x:c r="AH196" s="1246" t="str">
        <x:f>IF($AG196="","",IFERROR(INDEX('10 Candidate Comparison'!$T$14:$T$33,MATCH($AG196,'10 Candidate Comparison'!$A$14:$A$33,0)),""))</x:f>
      </x:c>
      <x:c r="AI196" s="1243" t="str">
        <x:f>IF($AG196="","",IFERROR(INDEX('10 Candidate Comparison'!$U$14:$U$33,MATCH($AG196,'10 Candidate Comparison'!$A$14:$A$33,0)),""))</x:f>
      </x:c>
      <x:c r="AJ196" s="1243" t="str">
        <x:f>IF($AG196="","",IFERROR(INDEX('10 Candidate Comparison'!$Y$14:$Y$33,MATCH($AG196,'10 Candidate Comparison'!$A$14:$A$33,0)),""))</x:f>
      </x:c>
      <x:c r="AK196" s="1244" t="str">
        <x:f>IF($A196="","",IF($Z196="FAIL — DUPLICATE ID","DUPLICATE CANDIDATE ID",IF($Z196="FAIL — INCOMPLETE","INCOMPLETE",IF($Z196="FAIL — MASR RECORD REQUIRED","MASR RECORD REQUIRED",IF($Z196="FAIL — ELIGIBILITY","ELIGIBILITY BLOCK",IF($Z196="FAIL — EVIDENCE","EVIDENCE REQUIRED",IF($Z196="FAIL — MIAR GATE","MIAR GATE BLOCK",IF($Z196="FAIL — COMMITTEE DISPOSITION","COMMITTEE DECISION REQUIRED",IF($Z196="FAIL — PEW REFERRAL","PEW REFERRAL INCOMPLETE",IF(AND(OR($Y196="Rejected",$Y196="Closed",$Y196="Removed"),OR($AO196="",$AP196="",$AQ196="")),"CLOSURE REQUIRED",IF(AND($AB196&lt;TODAY(),NOT(OR($Y196="Rejected",$Y196="Closed",$Y196="Removed"))),"OVERDUE",IF(OR($Y196="Rejected",$Y196="Closed",$Y196="Removed"),"CLOSED","OPEN — ON TRACK"))))))))))))</x:f>
      </x:c>
      <x:c r="AL196" s="1244" t="str">
        <x:f>IF($AK196="","",IFERROR(INDEX('97 RCC Lists'!$AM$5:$AM$16,MATCH($AK196,'97 RCC Lists'!$AL$5:$AL$16,0)),"Review candidate exception"))</x:f>
      </x:c>
      <x:c r="AM196" s="1242"/>
      <x:c r="AN196" s="1242"/>
      <x:c r="AO196" s="1242"/>
      <x:c r="AP196" s="1242"/>
      <x:c r="AQ196" s="1251"/>
    </x:row>
    <x:row r="197" ht="32" customHeight="1">
      <x:c r="A197" s="1242"/>
      <x:c r="B197" s="1251"/>
      <x:c r="C197" s="1242"/>
      <x:c r="D197" s="1252" t="str">
        <x:f>IF($C197="","",IFERROR(INDEX('23 RCC-004 MASR Registry'!$C$14:$C$163,MATCH($C197,'23 RCC-004 MASR Registry'!$B$14:$B$163,0)),""))</x:f>
      </x:c>
      <x:c r="E197" s="1242"/>
      <x:c r="F197" s="1242"/>
      <x:c r="G197" s="1242"/>
      <x:c r="H197" s="1242"/>
      <x:c r="I197" s="1252" t="str">
        <x:f>IF($C197="","",IFERROR(INDEX('23 RCC-004 MASR Registry'!$G$14:$G$163,MATCH($C197,'23 RCC-004 MASR Registry'!$B$14:$B$163,0)),""))</x:f>
      </x:c>
      <x:c r="J197" s="1252" t="str">
        <x:f>IF($C197="","",IFERROR(INDEX('23 RCC-004 MASR Registry'!$H$14:$H$163,MATCH($C197,'23 RCC-004 MASR Registry'!$B$14:$B$163,0)),""))</x:f>
      </x:c>
      <x:c r="K197" s="1252" t="str">
        <x:f>IF($C197="","",IFERROR(INDEX('23 RCC-004 MASR Registry'!$D$14:$D$163,MATCH($C197,'23 RCC-004 MASR Registry'!$B$14:$B$163,0)),""))</x:f>
      </x:c>
      <x:c r="L197" s="1252" t="str">
        <x:f>IF($C197="","",IFERROR(INDEX('23 RCC-004 MASR Registry'!$E$14:$E$163,MATCH($C197,'23 RCC-004 MASR Registry'!$B$14:$B$163,0)),""))</x:f>
      </x:c>
      <x:c r="M197" s="1252" t="str">
        <x:f>IF($C197="","",IFERROR(INDEX('23 RCC-004 MASR Registry'!$X$14:$X$163,MATCH($C197,'23 RCC-004 MASR Registry'!$B$14:$B$163,0)),""))</x:f>
      </x:c>
      <x:c r="N197" s="1252" t="str">
        <x:f>IF($C197="","",IFERROR(INDEX('23 RCC-004 MASR Registry'!$Y$14:$Y$163,MATCH($C197,'23 RCC-004 MASR Registry'!$B$14:$B$163,0)),""))</x:f>
      </x:c>
      <x:c r="O197" s="1252" t="str">
        <x:f>IF($C197="","",IFERROR(INDEX('23 RCC-004 MASR Registry'!$L$14:$L$163,MATCH($C197,'23 RCC-004 MASR Registry'!$B$14:$B$163,0)),""))</x:f>
      </x:c>
      <x:c r="P197" s="1252" t="str">
        <x:f>IF($C197="","",IFERROR(INDEX('23 RCC-004 MASR Registry'!$M$14:$M$163,MATCH($C197,'23 RCC-004 MASR Registry'!$B$14:$B$163,0)),""))</x:f>
      </x:c>
      <x:c r="Q197" s="1255" t="str">
        <x:f>IF($C197="","",IFERROR(INDEX('23 RCC-004 MASR Registry'!$N$14:$N$163,MATCH($C197,'23 RCC-004 MASR Registry'!$B$14:$B$163,0)),""))</x:f>
      </x:c>
      <x:c r="R197" s="1255" t="str">
        <x:f>IF($C197="","",IFERROR(INDEX('23 RCC-004 MASR Registry'!$O$14:$O$163,MATCH($C197,'23 RCC-004 MASR Registry'!$B$14:$B$163,0)),""))</x:f>
      </x:c>
      <x:c r="S197" s="1255" t="str">
        <x:f>IF($C197="","",IFERROR(INDEX('23 RCC-004 MASR Registry'!$W$14:$W$163,MATCH($C197,'23 RCC-004 MASR Registry'!$B$14:$B$163,0)),""))</x:f>
      </x:c>
      <x:c r="T197" s="1255" t="str">
        <x:f>IF($C197="","",IFERROR(INDEX('23 RCC-004 MASR Registry'!$T$14:$T$163,MATCH($C197,'23 RCC-004 MASR Registry'!$B$14:$B$163,0)),""))</x:f>
      </x:c>
      <x:c r="U197" s="1256" t="str">
        <x:f>IF($C197="","",IFERROR(INDEX('23 RCC-004 MASR Registry'!$U$14:$U$163,MATCH($C197,'23 RCC-004 MASR Registry'!$B$14:$B$163,0)),""))</x:f>
      </x:c>
      <x:c r="V197" s="1252" t="str">
        <x:f>IF($C197="","",IFERROR(INDEX('23 RCC-004 MASR Registry'!$V$14:$V$163,MATCH($C197,'23 RCC-004 MASR Registry'!$B$14:$B$163,0)),""))</x:f>
      </x:c>
      <x:c r="W197" s="1242"/>
      <x:c r="X197" s="1256" t="str">
        <x:f>IF($C197="","",COUNTIF('18 RCC-002 Evidence Ledger'!$E$14:$E$213,$C197))</x:f>
      </x:c>
      <x:c r="Y197" s="1242"/>
      <x:c r="Z197" s="1253" t="str">
        <x:f>IF($A197="","",IF(COUNTIF($A$14:$A$213,$A197)&gt;1,"FAIL — DUPLICATE ID",IF(OR($B197="",$C197="",$E197="",$H197="",$Y197="",$AA197="",$AB197=""),"FAIL — INCOMPLETE",IF(AND(OR($Y197="MIAR Review",$Y197="Eligibility Review",$Y197="Candidate Comparison",$Y197="Committee Review",$Y197="Approved for MASR",$Y197="Referred to PEW-004",$Y197="On Watch",$Y197="Rejected",$Y197="Closed",$Y197="Removed"),$K197=""),"FAIL — MASR RECORD REQUIRED",IF(AND(OR($Y197="Eligibility Review",$Y197="Candidate Comparison",$Y197="Committee Review",$Y197="Approved for MASR",$Y197="Referred to PEW-004",$Y197="On Watch"),NOT(OR($M197="ELIGIBLE",$M197="ELIGIBLE WITH EXCEPTION",$M197="CERTIFIED HOLDING"))),"FAIL — ELIGIBILITY",IF(AND(OR($Y197="Candidate Comparison",$Y197="Committee Review",$Y197="Approved for MASR",$Y197="Referred to PEW-004",$Y197="On Watch"),$X197=0),"FAIL — EVIDENCE",IF(AND(OR($Y197="Candidate Comparison",$Y197="Committee Review",$Y197="Approved for MASR",$Y197="Referred to PEW-004",$Y197="On Watch"),OR($O197&lt;&gt;"Active",$P197&lt;&gt;"CURRENT")),"FAIL — MIAR GATE",IF(AND(OR($Y197="Approved for MASR",$Y197="Referred to PEW-004",$Y197="On Watch",$Y197="Rejected",$Y197="Closed",$Y197="Removed"),OR($AD197="",$AD197="Pending")),"FAIL — COMMITTEE DISPOSITION",IF(AND($Y197="Referred to PEW-004",OR($AF197&lt;&gt;"Yes — Refer to PEW-004",$AG197="",$AJ197="")),"FAIL — PEW REFERRAL","PASS — STAGE GATE")))))))))</x:f>
      </x:c>
      <x:c r="AA197" s="1242"/>
      <x:c r="AB197" s="1251"/>
      <x:c r="AC197" s="1257" t="str">
        <x:f>IF($B197="","",IF($AQ197&lt;&gt;"",$AQ197-$B197,TODAY()-$B197))</x:f>
      </x:c>
      <x:c r="AD197" s="1242"/>
      <x:c r="AE197" s="1251"/>
      <x:c r="AF197" s="1242"/>
      <x:c r="AG197" s="1242"/>
      <x:c r="AH197" s="1255" t="str">
        <x:f>IF($AG197="","",IFERROR(INDEX('10 Candidate Comparison'!$T$14:$T$33,MATCH($AG197,'10 Candidate Comparison'!$A$14:$A$33,0)),""))</x:f>
      </x:c>
      <x:c r="AI197" s="1252" t="str">
        <x:f>IF($AG197="","",IFERROR(INDEX('10 Candidate Comparison'!$U$14:$U$33,MATCH($AG197,'10 Candidate Comparison'!$A$14:$A$33,0)),""))</x:f>
      </x:c>
      <x:c r="AJ197" s="1252" t="str">
        <x:f>IF($AG197="","",IFERROR(INDEX('10 Candidate Comparison'!$Y$14:$Y$33,MATCH($AG197,'10 Candidate Comparison'!$A$14:$A$33,0)),""))</x:f>
      </x:c>
      <x:c r="AK197" s="1253" t="str">
        <x:f>IF($A197="","",IF($Z197="FAIL — DUPLICATE ID","DUPLICATE CANDIDATE ID",IF($Z197="FAIL — INCOMPLETE","INCOMPLETE",IF($Z197="FAIL — MASR RECORD REQUIRED","MASR RECORD REQUIRED",IF($Z197="FAIL — ELIGIBILITY","ELIGIBILITY BLOCK",IF($Z197="FAIL — EVIDENCE","EVIDENCE REQUIRED",IF($Z197="FAIL — MIAR GATE","MIAR GATE BLOCK",IF($Z197="FAIL — COMMITTEE DISPOSITION","COMMITTEE DECISION REQUIRED",IF($Z197="FAIL — PEW REFERRAL","PEW REFERRAL INCOMPLETE",IF(AND(OR($Y197="Rejected",$Y197="Closed",$Y197="Removed"),OR($AO197="",$AP197="",$AQ197="")),"CLOSURE REQUIRED",IF(AND($AB197&lt;TODAY(),NOT(OR($Y197="Rejected",$Y197="Closed",$Y197="Removed"))),"OVERDUE",IF(OR($Y197="Rejected",$Y197="Closed",$Y197="Removed"),"CLOSED","OPEN — ON TRACK"))))))))))))</x:f>
      </x:c>
      <x:c r="AL197" s="1253" t="str">
        <x:f>IF($AK197="","",IFERROR(INDEX('97 RCC Lists'!$AM$5:$AM$16,MATCH($AK197,'97 RCC Lists'!$AL$5:$AL$16,0)),"Review candidate exception"))</x:f>
      </x:c>
      <x:c r="AM197" s="1242"/>
      <x:c r="AN197" s="1242"/>
      <x:c r="AO197" s="1242"/>
      <x:c r="AP197" s="1242"/>
      <x:c r="AQ197" s="1251"/>
    </x:row>
    <x:row r="198" ht="32" customHeight="1">
      <x:c r="A198" s="1242"/>
      <x:c r="B198" s="1251"/>
      <x:c r="C198" s="1242"/>
      <x:c r="D198" s="1243" t="str">
        <x:f>IF($C198="","",IFERROR(INDEX('23 RCC-004 MASR Registry'!$C$14:$C$163,MATCH($C198,'23 RCC-004 MASR Registry'!$B$14:$B$163,0)),""))</x:f>
      </x:c>
      <x:c r="E198" s="1242"/>
      <x:c r="F198" s="1242"/>
      <x:c r="G198" s="1242"/>
      <x:c r="H198" s="1242"/>
      <x:c r="I198" s="1243" t="str">
        <x:f>IF($C198="","",IFERROR(INDEX('23 RCC-004 MASR Registry'!$G$14:$G$163,MATCH($C198,'23 RCC-004 MASR Registry'!$B$14:$B$163,0)),""))</x:f>
      </x:c>
      <x:c r="J198" s="1243" t="str">
        <x:f>IF($C198="","",IFERROR(INDEX('23 RCC-004 MASR Registry'!$H$14:$H$163,MATCH($C198,'23 RCC-004 MASR Registry'!$B$14:$B$163,0)),""))</x:f>
      </x:c>
      <x:c r="K198" s="1243" t="str">
        <x:f>IF($C198="","",IFERROR(INDEX('23 RCC-004 MASR Registry'!$D$14:$D$163,MATCH($C198,'23 RCC-004 MASR Registry'!$B$14:$B$163,0)),""))</x:f>
      </x:c>
      <x:c r="L198" s="1243" t="str">
        <x:f>IF($C198="","",IFERROR(INDEX('23 RCC-004 MASR Registry'!$E$14:$E$163,MATCH($C198,'23 RCC-004 MASR Registry'!$B$14:$B$163,0)),""))</x:f>
      </x:c>
      <x:c r="M198" s="1243" t="str">
        <x:f>IF($C198="","",IFERROR(INDEX('23 RCC-004 MASR Registry'!$X$14:$X$163,MATCH($C198,'23 RCC-004 MASR Registry'!$B$14:$B$163,0)),""))</x:f>
      </x:c>
      <x:c r="N198" s="1243" t="str">
        <x:f>IF($C198="","",IFERROR(INDEX('23 RCC-004 MASR Registry'!$Y$14:$Y$163,MATCH($C198,'23 RCC-004 MASR Registry'!$B$14:$B$163,0)),""))</x:f>
      </x:c>
      <x:c r="O198" s="1243" t="str">
        <x:f>IF($C198="","",IFERROR(INDEX('23 RCC-004 MASR Registry'!$L$14:$L$163,MATCH($C198,'23 RCC-004 MASR Registry'!$B$14:$B$163,0)),""))</x:f>
      </x:c>
      <x:c r="P198" s="1243" t="str">
        <x:f>IF($C198="","",IFERROR(INDEX('23 RCC-004 MASR Registry'!$M$14:$M$163,MATCH($C198,'23 RCC-004 MASR Registry'!$B$14:$B$163,0)),""))</x:f>
      </x:c>
      <x:c r="Q198" s="1246" t="str">
        <x:f>IF($C198="","",IFERROR(INDEX('23 RCC-004 MASR Registry'!$N$14:$N$163,MATCH($C198,'23 RCC-004 MASR Registry'!$B$14:$B$163,0)),""))</x:f>
      </x:c>
      <x:c r="R198" s="1246" t="str">
        <x:f>IF($C198="","",IFERROR(INDEX('23 RCC-004 MASR Registry'!$O$14:$O$163,MATCH($C198,'23 RCC-004 MASR Registry'!$B$14:$B$163,0)),""))</x:f>
      </x:c>
      <x:c r="S198" s="1246" t="str">
        <x:f>IF($C198="","",IFERROR(INDEX('23 RCC-004 MASR Registry'!$W$14:$W$163,MATCH($C198,'23 RCC-004 MASR Registry'!$B$14:$B$163,0)),""))</x:f>
      </x:c>
      <x:c r="T198" s="1246" t="str">
        <x:f>IF($C198="","",IFERROR(INDEX('23 RCC-004 MASR Registry'!$T$14:$T$163,MATCH($C198,'23 RCC-004 MASR Registry'!$B$14:$B$163,0)),""))</x:f>
      </x:c>
      <x:c r="U198" s="1247" t="str">
        <x:f>IF($C198="","",IFERROR(INDEX('23 RCC-004 MASR Registry'!$U$14:$U$163,MATCH($C198,'23 RCC-004 MASR Registry'!$B$14:$B$163,0)),""))</x:f>
      </x:c>
      <x:c r="V198" s="1243" t="str">
        <x:f>IF($C198="","",IFERROR(INDEX('23 RCC-004 MASR Registry'!$V$14:$V$163,MATCH($C198,'23 RCC-004 MASR Registry'!$B$14:$B$163,0)),""))</x:f>
      </x:c>
      <x:c r="W198" s="1242"/>
      <x:c r="X198" s="1247" t="str">
        <x:f>IF($C198="","",COUNTIF('18 RCC-002 Evidence Ledger'!$E$14:$E$213,$C198))</x:f>
      </x:c>
      <x:c r="Y198" s="1242"/>
      <x:c r="Z198" s="1244" t="str">
        <x:f>IF($A198="","",IF(COUNTIF($A$14:$A$213,$A198)&gt;1,"FAIL — DUPLICATE ID",IF(OR($B198="",$C198="",$E198="",$H198="",$Y198="",$AA198="",$AB198=""),"FAIL — INCOMPLETE",IF(AND(OR($Y198="MIAR Review",$Y198="Eligibility Review",$Y198="Candidate Comparison",$Y198="Committee Review",$Y198="Approved for MASR",$Y198="Referred to PEW-004",$Y198="On Watch",$Y198="Rejected",$Y198="Closed",$Y198="Removed"),$K198=""),"FAIL — MASR RECORD REQUIRED",IF(AND(OR($Y198="Eligibility Review",$Y198="Candidate Comparison",$Y198="Committee Review",$Y198="Approved for MASR",$Y198="Referred to PEW-004",$Y198="On Watch"),NOT(OR($M198="ELIGIBLE",$M198="ELIGIBLE WITH EXCEPTION",$M198="CERTIFIED HOLDING"))),"FAIL — ELIGIBILITY",IF(AND(OR($Y198="Candidate Comparison",$Y198="Committee Review",$Y198="Approved for MASR",$Y198="Referred to PEW-004",$Y198="On Watch"),$X198=0),"FAIL — EVIDENCE",IF(AND(OR($Y198="Candidate Comparison",$Y198="Committee Review",$Y198="Approved for MASR",$Y198="Referred to PEW-004",$Y198="On Watch"),OR($O198&lt;&gt;"Active",$P198&lt;&gt;"CURRENT")),"FAIL — MIAR GATE",IF(AND(OR($Y198="Approved for MASR",$Y198="Referred to PEW-004",$Y198="On Watch",$Y198="Rejected",$Y198="Closed",$Y198="Removed"),OR($AD198="",$AD198="Pending")),"FAIL — COMMITTEE DISPOSITION",IF(AND($Y198="Referred to PEW-004",OR($AF198&lt;&gt;"Yes — Refer to PEW-004",$AG198="",$AJ198="")),"FAIL — PEW REFERRAL","PASS — STAGE GATE")))))))))</x:f>
      </x:c>
      <x:c r="AA198" s="1242"/>
      <x:c r="AB198" s="1251"/>
      <x:c r="AC198" s="1250" t="str">
        <x:f>IF($B198="","",IF($AQ198&lt;&gt;"",$AQ198-$B198,TODAY()-$B198))</x:f>
      </x:c>
      <x:c r="AD198" s="1242"/>
      <x:c r="AE198" s="1251"/>
      <x:c r="AF198" s="1242"/>
      <x:c r="AG198" s="1242"/>
      <x:c r="AH198" s="1246" t="str">
        <x:f>IF($AG198="","",IFERROR(INDEX('10 Candidate Comparison'!$T$14:$T$33,MATCH($AG198,'10 Candidate Comparison'!$A$14:$A$33,0)),""))</x:f>
      </x:c>
      <x:c r="AI198" s="1243" t="str">
        <x:f>IF($AG198="","",IFERROR(INDEX('10 Candidate Comparison'!$U$14:$U$33,MATCH($AG198,'10 Candidate Comparison'!$A$14:$A$33,0)),""))</x:f>
      </x:c>
      <x:c r="AJ198" s="1243" t="str">
        <x:f>IF($AG198="","",IFERROR(INDEX('10 Candidate Comparison'!$Y$14:$Y$33,MATCH($AG198,'10 Candidate Comparison'!$A$14:$A$33,0)),""))</x:f>
      </x:c>
      <x:c r="AK198" s="1244" t="str">
        <x:f>IF($A198="","",IF($Z198="FAIL — DUPLICATE ID","DUPLICATE CANDIDATE ID",IF($Z198="FAIL — INCOMPLETE","INCOMPLETE",IF($Z198="FAIL — MASR RECORD REQUIRED","MASR RECORD REQUIRED",IF($Z198="FAIL — ELIGIBILITY","ELIGIBILITY BLOCK",IF($Z198="FAIL — EVIDENCE","EVIDENCE REQUIRED",IF($Z198="FAIL — MIAR GATE","MIAR GATE BLOCK",IF($Z198="FAIL — COMMITTEE DISPOSITION","COMMITTEE DECISION REQUIRED",IF($Z198="FAIL — PEW REFERRAL","PEW REFERRAL INCOMPLETE",IF(AND(OR($Y198="Rejected",$Y198="Closed",$Y198="Removed"),OR($AO198="",$AP198="",$AQ198="")),"CLOSURE REQUIRED",IF(AND($AB198&lt;TODAY(),NOT(OR($Y198="Rejected",$Y198="Closed",$Y198="Removed"))),"OVERDUE",IF(OR($Y198="Rejected",$Y198="Closed",$Y198="Removed"),"CLOSED","OPEN — ON TRACK"))))))))))))</x:f>
      </x:c>
      <x:c r="AL198" s="1244" t="str">
        <x:f>IF($AK198="","",IFERROR(INDEX('97 RCC Lists'!$AM$5:$AM$16,MATCH($AK198,'97 RCC Lists'!$AL$5:$AL$16,0)),"Review candidate exception"))</x:f>
      </x:c>
      <x:c r="AM198" s="1242"/>
      <x:c r="AN198" s="1242"/>
      <x:c r="AO198" s="1242"/>
      <x:c r="AP198" s="1242"/>
      <x:c r="AQ198" s="1251"/>
    </x:row>
    <x:row r="199" ht="32" customHeight="1">
      <x:c r="A199" s="1242"/>
      <x:c r="B199" s="1251"/>
      <x:c r="C199" s="1242"/>
      <x:c r="D199" s="1252" t="str">
        <x:f>IF($C199="","",IFERROR(INDEX('23 RCC-004 MASR Registry'!$C$14:$C$163,MATCH($C199,'23 RCC-004 MASR Registry'!$B$14:$B$163,0)),""))</x:f>
      </x:c>
      <x:c r="E199" s="1242"/>
      <x:c r="F199" s="1242"/>
      <x:c r="G199" s="1242"/>
      <x:c r="H199" s="1242"/>
      <x:c r="I199" s="1252" t="str">
        <x:f>IF($C199="","",IFERROR(INDEX('23 RCC-004 MASR Registry'!$G$14:$G$163,MATCH($C199,'23 RCC-004 MASR Registry'!$B$14:$B$163,0)),""))</x:f>
      </x:c>
      <x:c r="J199" s="1252" t="str">
        <x:f>IF($C199="","",IFERROR(INDEX('23 RCC-004 MASR Registry'!$H$14:$H$163,MATCH($C199,'23 RCC-004 MASR Registry'!$B$14:$B$163,0)),""))</x:f>
      </x:c>
      <x:c r="K199" s="1252" t="str">
        <x:f>IF($C199="","",IFERROR(INDEX('23 RCC-004 MASR Registry'!$D$14:$D$163,MATCH($C199,'23 RCC-004 MASR Registry'!$B$14:$B$163,0)),""))</x:f>
      </x:c>
      <x:c r="L199" s="1252" t="str">
        <x:f>IF($C199="","",IFERROR(INDEX('23 RCC-004 MASR Registry'!$E$14:$E$163,MATCH($C199,'23 RCC-004 MASR Registry'!$B$14:$B$163,0)),""))</x:f>
      </x:c>
      <x:c r="M199" s="1252" t="str">
        <x:f>IF($C199="","",IFERROR(INDEX('23 RCC-004 MASR Registry'!$X$14:$X$163,MATCH($C199,'23 RCC-004 MASR Registry'!$B$14:$B$163,0)),""))</x:f>
      </x:c>
      <x:c r="N199" s="1252" t="str">
        <x:f>IF($C199="","",IFERROR(INDEX('23 RCC-004 MASR Registry'!$Y$14:$Y$163,MATCH($C199,'23 RCC-004 MASR Registry'!$B$14:$B$163,0)),""))</x:f>
      </x:c>
      <x:c r="O199" s="1252" t="str">
        <x:f>IF($C199="","",IFERROR(INDEX('23 RCC-004 MASR Registry'!$L$14:$L$163,MATCH($C199,'23 RCC-004 MASR Registry'!$B$14:$B$163,0)),""))</x:f>
      </x:c>
      <x:c r="P199" s="1252" t="str">
        <x:f>IF($C199="","",IFERROR(INDEX('23 RCC-004 MASR Registry'!$M$14:$M$163,MATCH($C199,'23 RCC-004 MASR Registry'!$B$14:$B$163,0)),""))</x:f>
      </x:c>
      <x:c r="Q199" s="1255" t="str">
        <x:f>IF($C199="","",IFERROR(INDEX('23 RCC-004 MASR Registry'!$N$14:$N$163,MATCH($C199,'23 RCC-004 MASR Registry'!$B$14:$B$163,0)),""))</x:f>
      </x:c>
      <x:c r="R199" s="1255" t="str">
        <x:f>IF($C199="","",IFERROR(INDEX('23 RCC-004 MASR Registry'!$O$14:$O$163,MATCH($C199,'23 RCC-004 MASR Registry'!$B$14:$B$163,0)),""))</x:f>
      </x:c>
      <x:c r="S199" s="1255" t="str">
        <x:f>IF($C199="","",IFERROR(INDEX('23 RCC-004 MASR Registry'!$W$14:$W$163,MATCH($C199,'23 RCC-004 MASR Registry'!$B$14:$B$163,0)),""))</x:f>
      </x:c>
      <x:c r="T199" s="1255" t="str">
        <x:f>IF($C199="","",IFERROR(INDEX('23 RCC-004 MASR Registry'!$T$14:$T$163,MATCH($C199,'23 RCC-004 MASR Registry'!$B$14:$B$163,0)),""))</x:f>
      </x:c>
      <x:c r="U199" s="1256" t="str">
        <x:f>IF($C199="","",IFERROR(INDEX('23 RCC-004 MASR Registry'!$U$14:$U$163,MATCH($C199,'23 RCC-004 MASR Registry'!$B$14:$B$163,0)),""))</x:f>
      </x:c>
      <x:c r="V199" s="1252" t="str">
        <x:f>IF($C199="","",IFERROR(INDEX('23 RCC-004 MASR Registry'!$V$14:$V$163,MATCH($C199,'23 RCC-004 MASR Registry'!$B$14:$B$163,0)),""))</x:f>
      </x:c>
      <x:c r="W199" s="1242"/>
      <x:c r="X199" s="1256" t="str">
        <x:f>IF($C199="","",COUNTIF('18 RCC-002 Evidence Ledger'!$E$14:$E$213,$C199))</x:f>
      </x:c>
      <x:c r="Y199" s="1242"/>
      <x:c r="Z199" s="1253" t="str">
        <x:f>IF($A199="","",IF(COUNTIF($A$14:$A$213,$A199)&gt;1,"FAIL — DUPLICATE ID",IF(OR($B199="",$C199="",$E199="",$H199="",$Y199="",$AA199="",$AB199=""),"FAIL — INCOMPLETE",IF(AND(OR($Y199="MIAR Review",$Y199="Eligibility Review",$Y199="Candidate Comparison",$Y199="Committee Review",$Y199="Approved for MASR",$Y199="Referred to PEW-004",$Y199="On Watch",$Y199="Rejected",$Y199="Closed",$Y199="Removed"),$K199=""),"FAIL — MASR RECORD REQUIRED",IF(AND(OR($Y199="Eligibility Review",$Y199="Candidate Comparison",$Y199="Committee Review",$Y199="Approved for MASR",$Y199="Referred to PEW-004",$Y199="On Watch"),NOT(OR($M199="ELIGIBLE",$M199="ELIGIBLE WITH EXCEPTION",$M199="CERTIFIED HOLDING"))),"FAIL — ELIGIBILITY",IF(AND(OR($Y199="Candidate Comparison",$Y199="Committee Review",$Y199="Approved for MASR",$Y199="Referred to PEW-004",$Y199="On Watch"),$X199=0),"FAIL — EVIDENCE",IF(AND(OR($Y199="Candidate Comparison",$Y199="Committee Review",$Y199="Approved for MASR",$Y199="Referred to PEW-004",$Y199="On Watch"),OR($O199&lt;&gt;"Active",$P199&lt;&gt;"CURRENT")),"FAIL — MIAR GATE",IF(AND(OR($Y199="Approved for MASR",$Y199="Referred to PEW-004",$Y199="On Watch",$Y199="Rejected",$Y199="Closed",$Y199="Removed"),OR($AD199="",$AD199="Pending")),"FAIL — COMMITTEE DISPOSITION",IF(AND($Y199="Referred to PEW-004",OR($AF199&lt;&gt;"Yes — Refer to PEW-004",$AG199="",$AJ199="")),"FAIL — PEW REFERRAL","PASS — STAGE GATE")))))))))</x:f>
      </x:c>
      <x:c r="AA199" s="1242"/>
      <x:c r="AB199" s="1251"/>
      <x:c r="AC199" s="1257" t="str">
        <x:f>IF($B199="","",IF($AQ199&lt;&gt;"",$AQ199-$B199,TODAY()-$B199))</x:f>
      </x:c>
      <x:c r="AD199" s="1242"/>
      <x:c r="AE199" s="1251"/>
      <x:c r="AF199" s="1242"/>
      <x:c r="AG199" s="1242"/>
      <x:c r="AH199" s="1255" t="str">
        <x:f>IF($AG199="","",IFERROR(INDEX('10 Candidate Comparison'!$T$14:$T$33,MATCH($AG199,'10 Candidate Comparison'!$A$14:$A$33,0)),""))</x:f>
      </x:c>
      <x:c r="AI199" s="1252" t="str">
        <x:f>IF($AG199="","",IFERROR(INDEX('10 Candidate Comparison'!$U$14:$U$33,MATCH($AG199,'10 Candidate Comparison'!$A$14:$A$33,0)),""))</x:f>
      </x:c>
      <x:c r="AJ199" s="1252" t="str">
        <x:f>IF($AG199="","",IFERROR(INDEX('10 Candidate Comparison'!$Y$14:$Y$33,MATCH($AG199,'10 Candidate Comparison'!$A$14:$A$33,0)),""))</x:f>
      </x:c>
      <x:c r="AK199" s="1253" t="str">
        <x:f>IF($A199="","",IF($Z199="FAIL — DUPLICATE ID","DUPLICATE CANDIDATE ID",IF($Z199="FAIL — INCOMPLETE","INCOMPLETE",IF($Z199="FAIL — MASR RECORD REQUIRED","MASR RECORD REQUIRED",IF($Z199="FAIL — ELIGIBILITY","ELIGIBILITY BLOCK",IF($Z199="FAIL — EVIDENCE","EVIDENCE REQUIRED",IF($Z199="FAIL — MIAR GATE","MIAR GATE BLOCK",IF($Z199="FAIL — COMMITTEE DISPOSITION","COMMITTEE DECISION REQUIRED",IF($Z199="FAIL — PEW REFERRAL","PEW REFERRAL INCOMPLETE",IF(AND(OR($Y199="Rejected",$Y199="Closed",$Y199="Removed"),OR($AO199="",$AP199="",$AQ199="")),"CLOSURE REQUIRED",IF(AND($AB199&lt;TODAY(),NOT(OR($Y199="Rejected",$Y199="Closed",$Y199="Removed"))),"OVERDUE",IF(OR($Y199="Rejected",$Y199="Closed",$Y199="Removed"),"CLOSED","OPEN — ON TRACK"))))))))))))</x:f>
      </x:c>
      <x:c r="AL199" s="1253" t="str">
        <x:f>IF($AK199="","",IFERROR(INDEX('97 RCC Lists'!$AM$5:$AM$16,MATCH($AK199,'97 RCC Lists'!$AL$5:$AL$16,0)),"Review candidate exception"))</x:f>
      </x:c>
      <x:c r="AM199" s="1242"/>
      <x:c r="AN199" s="1242"/>
      <x:c r="AO199" s="1242"/>
      <x:c r="AP199" s="1242"/>
      <x:c r="AQ199" s="1251"/>
    </x:row>
    <x:row r="200" ht="32" customHeight="1">
      <x:c r="A200" s="1242"/>
      <x:c r="B200" s="1251"/>
      <x:c r="C200" s="1242"/>
      <x:c r="D200" s="1243" t="str">
        <x:f>IF($C200="","",IFERROR(INDEX('23 RCC-004 MASR Registry'!$C$14:$C$163,MATCH($C200,'23 RCC-004 MASR Registry'!$B$14:$B$163,0)),""))</x:f>
      </x:c>
      <x:c r="E200" s="1242"/>
      <x:c r="F200" s="1242"/>
      <x:c r="G200" s="1242"/>
      <x:c r="H200" s="1242"/>
      <x:c r="I200" s="1243" t="str">
        <x:f>IF($C200="","",IFERROR(INDEX('23 RCC-004 MASR Registry'!$G$14:$G$163,MATCH($C200,'23 RCC-004 MASR Registry'!$B$14:$B$163,0)),""))</x:f>
      </x:c>
      <x:c r="J200" s="1243" t="str">
        <x:f>IF($C200="","",IFERROR(INDEX('23 RCC-004 MASR Registry'!$H$14:$H$163,MATCH($C200,'23 RCC-004 MASR Registry'!$B$14:$B$163,0)),""))</x:f>
      </x:c>
      <x:c r="K200" s="1243" t="str">
        <x:f>IF($C200="","",IFERROR(INDEX('23 RCC-004 MASR Registry'!$D$14:$D$163,MATCH($C200,'23 RCC-004 MASR Registry'!$B$14:$B$163,0)),""))</x:f>
      </x:c>
      <x:c r="L200" s="1243" t="str">
        <x:f>IF($C200="","",IFERROR(INDEX('23 RCC-004 MASR Registry'!$E$14:$E$163,MATCH($C200,'23 RCC-004 MASR Registry'!$B$14:$B$163,0)),""))</x:f>
      </x:c>
      <x:c r="M200" s="1243" t="str">
        <x:f>IF($C200="","",IFERROR(INDEX('23 RCC-004 MASR Registry'!$X$14:$X$163,MATCH($C200,'23 RCC-004 MASR Registry'!$B$14:$B$163,0)),""))</x:f>
      </x:c>
      <x:c r="N200" s="1243" t="str">
        <x:f>IF($C200="","",IFERROR(INDEX('23 RCC-004 MASR Registry'!$Y$14:$Y$163,MATCH($C200,'23 RCC-004 MASR Registry'!$B$14:$B$163,0)),""))</x:f>
      </x:c>
      <x:c r="O200" s="1243" t="str">
        <x:f>IF($C200="","",IFERROR(INDEX('23 RCC-004 MASR Registry'!$L$14:$L$163,MATCH($C200,'23 RCC-004 MASR Registry'!$B$14:$B$163,0)),""))</x:f>
      </x:c>
      <x:c r="P200" s="1243" t="str">
        <x:f>IF($C200="","",IFERROR(INDEX('23 RCC-004 MASR Registry'!$M$14:$M$163,MATCH($C200,'23 RCC-004 MASR Registry'!$B$14:$B$163,0)),""))</x:f>
      </x:c>
      <x:c r="Q200" s="1246" t="str">
        <x:f>IF($C200="","",IFERROR(INDEX('23 RCC-004 MASR Registry'!$N$14:$N$163,MATCH($C200,'23 RCC-004 MASR Registry'!$B$14:$B$163,0)),""))</x:f>
      </x:c>
      <x:c r="R200" s="1246" t="str">
        <x:f>IF($C200="","",IFERROR(INDEX('23 RCC-004 MASR Registry'!$O$14:$O$163,MATCH($C200,'23 RCC-004 MASR Registry'!$B$14:$B$163,0)),""))</x:f>
      </x:c>
      <x:c r="S200" s="1246" t="str">
        <x:f>IF($C200="","",IFERROR(INDEX('23 RCC-004 MASR Registry'!$W$14:$W$163,MATCH($C200,'23 RCC-004 MASR Registry'!$B$14:$B$163,0)),""))</x:f>
      </x:c>
      <x:c r="T200" s="1246" t="str">
        <x:f>IF($C200="","",IFERROR(INDEX('23 RCC-004 MASR Registry'!$T$14:$T$163,MATCH($C200,'23 RCC-004 MASR Registry'!$B$14:$B$163,0)),""))</x:f>
      </x:c>
      <x:c r="U200" s="1247" t="str">
        <x:f>IF($C200="","",IFERROR(INDEX('23 RCC-004 MASR Registry'!$U$14:$U$163,MATCH($C200,'23 RCC-004 MASR Registry'!$B$14:$B$163,0)),""))</x:f>
      </x:c>
      <x:c r="V200" s="1243" t="str">
        <x:f>IF($C200="","",IFERROR(INDEX('23 RCC-004 MASR Registry'!$V$14:$V$163,MATCH($C200,'23 RCC-004 MASR Registry'!$B$14:$B$163,0)),""))</x:f>
      </x:c>
      <x:c r="W200" s="1242"/>
      <x:c r="X200" s="1247" t="str">
        <x:f>IF($C200="","",COUNTIF('18 RCC-002 Evidence Ledger'!$E$14:$E$213,$C200))</x:f>
      </x:c>
      <x:c r="Y200" s="1242"/>
      <x:c r="Z200" s="1244" t="str">
        <x:f>IF($A200="","",IF(COUNTIF($A$14:$A$213,$A200)&gt;1,"FAIL — DUPLICATE ID",IF(OR($B200="",$C200="",$E200="",$H200="",$Y200="",$AA200="",$AB200=""),"FAIL — INCOMPLETE",IF(AND(OR($Y200="MIAR Review",$Y200="Eligibility Review",$Y200="Candidate Comparison",$Y200="Committee Review",$Y200="Approved for MASR",$Y200="Referred to PEW-004",$Y200="On Watch",$Y200="Rejected",$Y200="Closed",$Y200="Removed"),$K200=""),"FAIL — MASR RECORD REQUIRED",IF(AND(OR($Y200="Eligibility Review",$Y200="Candidate Comparison",$Y200="Committee Review",$Y200="Approved for MASR",$Y200="Referred to PEW-004",$Y200="On Watch"),NOT(OR($M200="ELIGIBLE",$M200="ELIGIBLE WITH EXCEPTION",$M200="CERTIFIED HOLDING"))),"FAIL — ELIGIBILITY",IF(AND(OR($Y200="Candidate Comparison",$Y200="Committee Review",$Y200="Approved for MASR",$Y200="Referred to PEW-004",$Y200="On Watch"),$X200=0),"FAIL — EVIDENCE",IF(AND(OR($Y200="Candidate Comparison",$Y200="Committee Review",$Y200="Approved for MASR",$Y200="Referred to PEW-004",$Y200="On Watch"),OR($O200&lt;&gt;"Active",$P200&lt;&gt;"CURRENT")),"FAIL — MIAR GATE",IF(AND(OR($Y200="Approved for MASR",$Y200="Referred to PEW-004",$Y200="On Watch",$Y200="Rejected",$Y200="Closed",$Y200="Removed"),OR($AD200="",$AD200="Pending")),"FAIL — COMMITTEE DISPOSITION",IF(AND($Y200="Referred to PEW-004",OR($AF200&lt;&gt;"Yes — Refer to PEW-004",$AG200="",$AJ200="")),"FAIL — PEW REFERRAL","PASS — STAGE GATE")))))))))</x:f>
      </x:c>
      <x:c r="AA200" s="1242"/>
      <x:c r="AB200" s="1251"/>
      <x:c r="AC200" s="1250" t="str">
        <x:f>IF($B200="","",IF($AQ200&lt;&gt;"",$AQ200-$B200,TODAY()-$B200))</x:f>
      </x:c>
      <x:c r="AD200" s="1242"/>
      <x:c r="AE200" s="1251"/>
      <x:c r="AF200" s="1242"/>
      <x:c r="AG200" s="1242"/>
      <x:c r="AH200" s="1246" t="str">
        <x:f>IF($AG200="","",IFERROR(INDEX('10 Candidate Comparison'!$T$14:$T$33,MATCH($AG200,'10 Candidate Comparison'!$A$14:$A$33,0)),""))</x:f>
      </x:c>
      <x:c r="AI200" s="1243" t="str">
        <x:f>IF($AG200="","",IFERROR(INDEX('10 Candidate Comparison'!$U$14:$U$33,MATCH($AG200,'10 Candidate Comparison'!$A$14:$A$33,0)),""))</x:f>
      </x:c>
      <x:c r="AJ200" s="1243" t="str">
        <x:f>IF($AG200="","",IFERROR(INDEX('10 Candidate Comparison'!$Y$14:$Y$33,MATCH($AG200,'10 Candidate Comparison'!$A$14:$A$33,0)),""))</x:f>
      </x:c>
      <x:c r="AK200" s="1244" t="str">
        <x:f>IF($A200="","",IF($Z200="FAIL — DUPLICATE ID","DUPLICATE CANDIDATE ID",IF($Z200="FAIL — INCOMPLETE","INCOMPLETE",IF($Z200="FAIL — MASR RECORD REQUIRED","MASR RECORD REQUIRED",IF($Z200="FAIL — ELIGIBILITY","ELIGIBILITY BLOCK",IF($Z200="FAIL — EVIDENCE","EVIDENCE REQUIRED",IF($Z200="FAIL — MIAR GATE","MIAR GATE BLOCK",IF($Z200="FAIL — COMMITTEE DISPOSITION","COMMITTEE DECISION REQUIRED",IF($Z200="FAIL — PEW REFERRAL","PEW REFERRAL INCOMPLETE",IF(AND(OR($Y200="Rejected",$Y200="Closed",$Y200="Removed"),OR($AO200="",$AP200="",$AQ200="")),"CLOSURE REQUIRED",IF(AND($AB200&lt;TODAY(),NOT(OR($Y200="Rejected",$Y200="Closed",$Y200="Removed"))),"OVERDUE",IF(OR($Y200="Rejected",$Y200="Closed",$Y200="Removed"),"CLOSED","OPEN — ON TRACK"))))))))))))</x:f>
      </x:c>
      <x:c r="AL200" s="1244" t="str">
        <x:f>IF($AK200="","",IFERROR(INDEX('97 RCC Lists'!$AM$5:$AM$16,MATCH($AK200,'97 RCC Lists'!$AL$5:$AL$16,0)),"Review candidate exception"))</x:f>
      </x:c>
      <x:c r="AM200" s="1242"/>
      <x:c r="AN200" s="1242"/>
      <x:c r="AO200" s="1242"/>
      <x:c r="AP200" s="1242"/>
      <x:c r="AQ200" s="1251"/>
    </x:row>
    <x:row r="201" ht="32" customHeight="1">
      <x:c r="A201" s="1242"/>
      <x:c r="B201" s="1251"/>
      <x:c r="C201" s="1242"/>
      <x:c r="D201" s="1252" t="str">
        <x:f>IF($C201="","",IFERROR(INDEX('23 RCC-004 MASR Registry'!$C$14:$C$163,MATCH($C201,'23 RCC-004 MASR Registry'!$B$14:$B$163,0)),""))</x:f>
      </x:c>
      <x:c r="E201" s="1242"/>
      <x:c r="F201" s="1242"/>
      <x:c r="G201" s="1242"/>
      <x:c r="H201" s="1242"/>
      <x:c r="I201" s="1252" t="str">
        <x:f>IF($C201="","",IFERROR(INDEX('23 RCC-004 MASR Registry'!$G$14:$G$163,MATCH($C201,'23 RCC-004 MASR Registry'!$B$14:$B$163,0)),""))</x:f>
      </x:c>
      <x:c r="J201" s="1252" t="str">
        <x:f>IF($C201="","",IFERROR(INDEX('23 RCC-004 MASR Registry'!$H$14:$H$163,MATCH($C201,'23 RCC-004 MASR Registry'!$B$14:$B$163,0)),""))</x:f>
      </x:c>
      <x:c r="K201" s="1252" t="str">
        <x:f>IF($C201="","",IFERROR(INDEX('23 RCC-004 MASR Registry'!$D$14:$D$163,MATCH($C201,'23 RCC-004 MASR Registry'!$B$14:$B$163,0)),""))</x:f>
      </x:c>
      <x:c r="L201" s="1252" t="str">
        <x:f>IF($C201="","",IFERROR(INDEX('23 RCC-004 MASR Registry'!$E$14:$E$163,MATCH($C201,'23 RCC-004 MASR Registry'!$B$14:$B$163,0)),""))</x:f>
      </x:c>
      <x:c r="M201" s="1252" t="str">
        <x:f>IF($C201="","",IFERROR(INDEX('23 RCC-004 MASR Registry'!$X$14:$X$163,MATCH($C201,'23 RCC-004 MASR Registry'!$B$14:$B$163,0)),""))</x:f>
      </x:c>
      <x:c r="N201" s="1252" t="str">
        <x:f>IF($C201="","",IFERROR(INDEX('23 RCC-004 MASR Registry'!$Y$14:$Y$163,MATCH($C201,'23 RCC-004 MASR Registry'!$B$14:$B$163,0)),""))</x:f>
      </x:c>
      <x:c r="O201" s="1252" t="str">
        <x:f>IF($C201="","",IFERROR(INDEX('23 RCC-004 MASR Registry'!$L$14:$L$163,MATCH($C201,'23 RCC-004 MASR Registry'!$B$14:$B$163,0)),""))</x:f>
      </x:c>
      <x:c r="P201" s="1252" t="str">
        <x:f>IF($C201="","",IFERROR(INDEX('23 RCC-004 MASR Registry'!$M$14:$M$163,MATCH($C201,'23 RCC-004 MASR Registry'!$B$14:$B$163,0)),""))</x:f>
      </x:c>
      <x:c r="Q201" s="1255" t="str">
        <x:f>IF($C201="","",IFERROR(INDEX('23 RCC-004 MASR Registry'!$N$14:$N$163,MATCH($C201,'23 RCC-004 MASR Registry'!$B$14:$B$163,0)),""))</x:f>
      </x:c>
      <x:c r="R201" s="1255" t="str">
        <x:f>IF($C201="","",IFERROR(INDEX('23 RCC-004 MASR Registry'!$O$14:$O$163,MATCH($C201,'23 RCC-004 MASR Registry'!$B$14:$B$163,0)),""))</x:f>
      </x:c>
      <x:c r="S201" s="1255" t="str">
        <x:f>IF($C201="","",IFERROR(INDEX('23 RCC-004 MASR Registry'!$W$14:$W$163,MATCH($C201,'23 RCC-004 MASR Registry'!$B$14:$B$163,0)),""))</x:f>
      </x:c>
      <x:c r="T201" s="1255" t="str">
        <x:f>IF($C201="","",IFERROR(INDEX('23 RCC-004 MASR Registry'!$T$14:$T$163,MATCH($C201,'23 RCC-004 MASR Registry'!$B$14:$B$163,0)),""))</x:f>
      </x:c>
      <x:c r="U201" s="1256" t="str">
        <x:f>IF($C201="","",IFERROR(INDEX('23 RCC-004 MASR Registry'!$U$14:$U$163,MATCH($C201,'23 RCC-004 MASR Registry'!$B$14:$B$163,0)),""))</x:f>
      </x:c>
      <x:c r="V201" s="1252" t="str">
        <x:f>IF($C201="","",IFERROR(INDEX('23 RCC-004 MASR Registry'!$V$14:$V$163,MATCH($C201,'23 RCC-004 MASR Registry'!$B$14:$B$163,0)),""))</x:f>
      </x:c>
      <x:c r="W201" s="1242"/>
      <x:c r="X201" s="1256" t="str">
        <x:f>IF($C201="","",COUNTIF('18 RCC-002 Evidence Ledger'!$E$14:$E$213,$C201))</x:f>
      </x:c>
      <x:c r="Y201" s="1242"/>
      <x:c r="Z201" s="1253" t="str">
        <x:f>IF($A201="","",IF(COUNTIF($A$14:$A$213,$A201)&gt;1,"FAIL — DUPLICATE ID",IF(OR($B201="",$C201="",$E201="",$H201="",$Y201="",$AA201="",$AB201=""),"FAIL — INCOMPLETE",IF(AND(OR($Y201="MIAR Review",$Y201="Eligibility Review",$Y201="Candidate Comparison",$Y201="Committee Review",$Y201="Approved for MASR",$Y201="Referred to PEW-004",$Y201="On Watch",$Y201="Rejected",$Y201="Closed",$Y201="Removed"),$K201=""),"FAIL — MASR RECORD REQUIRED",IF(AND(OR($Y201="Eligibility Review",$Y201="Candidate Comparison",$Y201="Committee Review",$Y201="Approved for MASR",$Y201="Referred to PEW-004",$Y201="On Watch"),NOT(OR($M201="ELIGIBLE",$M201="ELIGIBLE WITH EXCEPTION",$M201="CERTIFIED HOLDING"))),"FAIL — ELIGIBILITY",IF(AND(OR($Y201="Candidate Comparison",$Y201="Committee Review",$Y201="Approved for MASR",$Y201="Referred to PEW-004",$Y201="On Watch"),$X201=0),"FAIL — EVIDENCE",IF(AND(OR($Y201="Candidate Comparison",$Y201="Committee Review",$Y201="Approved for MASR",$Y201="Referred to PEW-004",$Y201="On Watch"),OR($O201&lt;&gt;"Active",$P201&lt;&gt;"CURRENT")),"FAIL — MIAR GATE",IF(AND(OR($Y201="Approved for MASR",$Y201="Referred to PEW-004",$Y201="On Watch",$Y201="Rejected",$Y201="Closed",$Y201="Removed"),OR($AD201="",$AD201="Pending")),"FAIL — COMMITTEE DISPOSITION",IF(AND($Y201="Referred to PEW-004",OR($AF201&lt;&gt;"Yes — Refer to PEW-004",$AG201="",$AJ201="")),"FAIL — PEW REFERRAL","PASS — STAGE GATE")))))))))</x:f>
      </x:c>
      <x:c r="AA201" s="1242"/>
      <x:c r="AB201" s="1251"/>
      <x:c r="AC201" s="1257" t="str">
        <x:f>IF($B201="","",IF($AQ201&lt;&gt;"",$AQ201-$B201,TODAY()-$B201))</x:f>
      </x:c>
      <x:c r="AD201" s="1242"/>
      <x:c r="AE201" s="1251"/>
      <x:c r="AF201" s="1242"/>
      <x:c r="AG201" s="1242"/>
      <x:c r="AH201" s="1255" t="str">
        <x:f>IF($AG201="","",IFERROR(INDEX('10 Candidate Comparison'!$T$14:$T$33,MATCH($AG201,'10 Candidate Comparison'!$A$14:$A$33,0)),""))</x:f>
      </x:c>
      <x:c r="AI201" s="1252" t="str">
        <x:f>IF($AG201="","",IFERROR(INDEX('10 Candidate Comparison'!$U$14:$U$33,MATCH($AG201,'10 Candidate Comparison'!$A$14:$A$33,0)),""))</x:f>
      </x:c>
      <x:c r="AJ201" s="1252" t="str">
        <x:f>IF($AG201="","",IFERROR(INDEX('10 Candidate Comparison'!$Y$14:$Y$33,MATCH($AG201,'10 Candidate Comparison'!$A$14:$A$33,0)),""))</x:f>
      </x:c>
      <x:c r="AK201" s="1253" t="str">
        <x:f>IF($A201="","",IF($Z201="FAIL — DUPLICATE ID","DUPLICATE CANDIDATE ID",IF($Z201="FAIL — INCOMPLETE","INCOMPLETE",IF($Z201="FAIL — MASR RECORD REQUIRED","MASR RECORD REQUIRED",IF($Z201="FAIL — ELIGIBILITY","ELIGIBILITY BLOCK",IF($Z201="FAIL — EVIDENCE","EVIDENCE REQUIRED",IF($Z201="FAIL — MIAR GATE","MIAR GATE BLOCK",IF($Z201="FAIL — COMMITTEE DISPOSITION","COMMITTEE DECISION REQUIRED",IF($Z201="FAIL — PEW REFERRAL","PEW REFERRAL INCOMPLETE",IF(AND(OR($Y201="Rejected",$Y201="Closed",$Y201="Removed"),OR($AO201="",$AP201="",$AQ201="")),"CLOSURE REQUIRED",IF(AND($AB201&lt;TODAY(),NOT(OR($Y201="Rejected",$Y201="Closed",$Y201="Removed"))),"OVERDUE",IF(OR($Y201="Rejected",$Y201="Closed",$Y201="Removed"),"CLOSED","OPEN — ON TRACK"))))))))))))</x:f>
      </x:c>
      <x:c r="AL201" s="1253" t="str">
        <x:f>IF($AK201="","",IFERROR(INDEX('97 RCC Lists'!$AM$5:$AM$16,MATCH($AK201,'97 RCC Lists'!$AL$5:$AL$16,0)),"Review candidate exception"))</x:f>
      </x:c>
      <x:c r="AM201" s="1242"/>
      <x:c r="AN201" s="1242"/>
      <x:c r="AO201" s="1242"/>
      <x:c r="AP201" s="1242"/>
      <x:c r="AQ201" s="1251"/>
    </x:row>
    <x:row r="202" ht="32" customHeight="1">
      <x:c r="A202" s="1242"/>
      <x:c r="B202" s="1251"/>
      <x:c r="C202" s="1242"/>
      <x:c r="D202" s="1243" t="str">
        <x:f>IF($C202="","",IFERROR(INDEX('23 RCC-004 MASR Registry'!$C$14:$C$163,MATCH($C202,'23 RCC-004 MASR Registry'!$B$14:$B$163,0)),""))</x:f>
      </x:c>
      <x:c r="E202" s="1242"/>
      <x:c r="F202" s="1242"/>
      <x:c r="G202" s="1242"/>
      <x:c r="H202" s="1242"/>
      <x:c r="I202" s="1243" t="str">
        <x:f>IF($C202="","",IFERROR(INDEX('23 RCC-004 MASR Registry'!$G$14:$G$163,MATCH($C202,'23 RCC-004 MASR Registry'!$B$14:$B$163,0)),""))</x:f>
      </x:c>
      <x:c r="J202" s="1243" t="str">
        <x:f>IF($C202="","",IFERROR(INDEX('23 RCC-004 MASR Registry'!$H$14:$H$163,MATCH($C202,'23 RCC-004 MASR Registry'!$B$14:$B$163,0)),""))</x:f>
      </x:c>
      <x:c r="K202" s="1243" t="str">
        <x:f>IF($C202="","",IFERROR(INDEX('23 RCC-004 MASR Registry'!$D$14:$D$163,MATCH($C202,'23 RCC-004 MASR Registry'!$B$14:$B$163,0)),""))</x:f>
      </x:c>
      <x:c r="L202" s="1243" t="str">
        <x:f>IF($C202="","",IFERROR(INDEX('23 RCC-004 MASR Registry'!$E$14:$E$163,MATCH($C202,'23 RCC-004 MASR Registry'!$B$14:$B$163,0)),""))</x:f>
      </x:c>
      <x:c r="M202" s="1243" t="str">
        <x:f>IF($C202="","",IFERROR(INDEX('23 RCC-004 MASR Registry'!$X$14:$X$163,MATCH($C202,'23 RCC-004 MASR Registry'!$B$14:$B$163,0)),""))</x:f>
      </x:c>
      <x:c r="N202" s="1243" t="str">
        <x:f>IF($C202="","",IFERROR(INDEX('23 RCC-004 MASR Registry'!$Y$14:$Y$163,MATCH($C202,'23 RCC-004 MASR Registry'!$B$14:$B$163,0)),""))</x:f>
      </x:c>
      <x:c r="O202" s="1243" t="str">
        <x:f>IF($C202="","",IFERROR(INDEX('23 RCC-004 MASR Registry'!$L$14:$L$163,MATCH($C202,'23 RCC-004 MASR Registry'!$B$14:$B$163,0)),""))</x:f>
      </x:c>
      <x:c r="P202" s="1243" t="str">
        <x:f>IF($C202="","",IFERROR(INDEX('23 RCC-004 MASR Registry'!$M$14:$M$163,MATCH($C202,'23 RCC-004 MASR Registry'!$B$14:$B$163,0)),""))</x:f>
      </x:c>
      <x:c r="Q202" s="1246" t="str">
        <x:f>IF($C202="","",IFERROR(INDEX('23 RCC-004 MASR Registry'!$N$14:$N$163,MATCH($C202,'23 RCC-004 MASR Registry'!$B$14:$B$163,0)),""))</x:f>
      </x:c>
      <x:c r="R202" s="1246" t="str">
        <x:f>IF($C202="","",IFERROR(INDEX('23 RCC-004 MASR Registry'!$O$14:$O$163,MATCH($C202,'23 RCC-004 MASR Registry'!$B$14:$B$163,0)),""))</x:f>
      </x:c>
      <x:c r="S202" s="1246" t="str">
        <x:f>IF($C202="","",IFERROR(INDEX('23 RCC-004 MASR Registry'!$W$14:$W$163,MATCH($C202,'23 RCC-004 MASR Registry'!$B$14:$B$163,0)),""))</x:f>
      </x:c>
      <x:c r="T202" s="1246" t="str">
        <x:f>IF($C202="","",IFERROR(INDEX('23 RCC-004 MASR Registry'!$T$14:$T$163,MATCH($C202,'23 RCC-004 MASR Registry'!$B$14:$B$163,0)),""))</x:f>
      </x:c>
      <x:c r="U202" s="1247" t="str">
        <x:f>IF($C202="","",IFERROR(INDEX('23 RCC-004 MASR Registry'!$U$14:$U$163,MATCH($C202,'23 RCC-004 MASR Registry'!$B$14:$B$163,0)),""))</x:f>
      </x:c>
      <x:c r="V202" s="1243" t="str">
        <x:f>IF($C202="","",IFERROR(INDEX('23 RCC-004 MASR Registry'!$V$14:$V$163,MATCH($C202,'23 RCC-004 MASR Registry'!$B$14:$B$163,0)),""))</x:f>
      </x:c>
      <x:c r="W202" s="1242"/>
      <x:c r="X202" s="1247" t="str">
        <x:f>IF($C202="","",COUNTIF('18 RCC-002 Evidence Ledger'!$E$14:$E$213,$C202))</x:f>
      </x:c>
      <x:c r="Y202" s="1242"/>
      <x:c r="Z202" s="1244" t="str">
        <x:f>IF($A202="","",IF(COUNTIF($A$14:$A$213,$A202)&gt;1,"FAIL — DUPLICATE ID",IF(OR($B202="",$C202="",$E202="",$H202="",$Y202="",$AA202="",$AB202=""),"FAIL — INCOMPLETE",IF(AND(OR($Y202="MIAR Review",$Y202="Eligibility Review",$Y202="Candidate Comparison",$Y202="Committee Review",$Y202="Approved for MASR",$Y202="Referred to PEW-004",$Y202="On Watch",$Y202="Rejected",$Y202="Closed",$Y202="Removed"),$K202=""),"FAIL — MASR RECORD REQUIRED",IF(AND(OR($Y202="Eligibility Review",$Y202="Candidate Comparison",$Y202="Committee Review",$Y202="Approved for MASR",$Y202="Referred to PEW-004",$Y202="On Watch"),NOT(OR($M202="ELIGIBLE",$M202="ELIGIBLE WITH EXCEPTION",$M202="CERTIFIED HOLDING"))),"FAIL — ELIGIBILITY",IF(AND(OR($Y202="Candidate Comparison",$Y202="Committee Review",$Y202="Approved for MASR",$Y202="Referred to PEW-004",$Y202="On Watch"),$X202=0),"FAIL — EVIDENCE",IF(AND(OR($Y202="Candidate Comparison",$Y202="Committee Review",$Y202="Approved for MASR",$Y202="Referred to PEW-004",$Y202="On Watch"),OR($O202&lt;&gt;"Active",$P202&lt;&gt;"CURRENT")),"FAIL — MIAR GATE",IF(AND(OR($Y202="Approved for MASR",$Y202="Referred to PEW-004",$Y202="On Watch",$Y202="Rejected",$Y202="Closed",$Y202="Removed"),OR($AD202="",$AD202="Pending")),"FAIL — COMMITTEE DISPOSITION",IF(AND($Y202="Referred to PEW-004",OR($AF202&lt;&gt;"Yes — Refer to PEW-004",$AG202="",$AJ202="")),"FAIL — PEW REFERRAL","PASS — STAGE GATE")))))))))</x:f>
      </x:c>
      <x:c r="AA202" s="1242"/>
      <x:c r="AB202" s="1251"/>
      <x:c r="AC202" s="1250" t="str">
        <x:f>IF($B202="","",IF($AQ202&lt;&gt;"",$AQ202-$B202,TODAY()-$B202))</x:f>
      </x:c>
      <x:c r="AD202" s="1242"/>
      <x:c r="AE202" s="1251"/>
      <x:c r="AF202" s="1242"/>
      <x:c r="AG202" s="1242"/>
      <x:c r="AH202" s="1246" t="str">
        <x:f>IF($AG202="","",IFERROR(INDEX('10 Candidate Comparison'!$T$14:$T$33,MATCH($AG202,'10 Candidate Comparison'!$A$14:$A$33,0)),""))</x:f>
      </x:c>
      <x:c r="AI202" s="1243" t="str">
        <x:f>IF($AG202="","",IFERROR(INDEX('10 Candidate Comparison'!$U$14:$U$33,MATCH($AG202,'10 Candidate Comparison'!$A$14:$A$33,0)),""))</x:f>
      </x:c>
      <x:c r="AJ202" s="1243" t="str">
        <x:f>IF($AG202="","",IFERROR(INDEX('10 Candidate Comparison'!$Y$14:$Y$33,MATCH($AG202,'10 Candidate Comparison'!$A$14:$A$33,0)),""))</x:f>
      </x:c>
      <x:c r="AK202" s="1244" t="str">
        <x:f>IF($A202="","",IF($Z202="FAIL — DUPLICATE ID","DUPLICATE CANDIDATE ID",IF($Z202="FAIL — INCOMPLETE","INCOMPLETE",IF($Z202="FAIL — MASR RECORD REQUIRED","MASR RECORD REQUIRED",IF($Z202="FAIL — ELIGIBILITY","ELIGIBILITY BLOCK",IF($Z202="FAIL — EVIDENCE","EVIDENCE REQUIRED",IF($Z202="FAIL — MIAR GATE","MIAR GATE BLOCK",IF($Z202="FAIL — COMMITTEE DISPOSITION","COMMITTEE DECISION REQUIRED",IF($Z202="FAIL — PEW REFERRAL","PEW REFERRAL INCOMPLETE",IF(AND(OR($Y202="Rejected",$Y202="Closed",$Y202="Removed"),OR($AO202="",$AP202="",$AQ202="")),"CLOSURE REQUIRED",IF(AND($AB202&lt;TODAY(),NOT(OR($Y202="Rejected",$Y202="Closed",$Y202="Removed"))),"OVERDUE",IF(OR($Y202="Rejected",$Y202="Closed",$Y202="Removed"),"CLOSED","OPEN — ON TRACK"))))))))))))</x:f>
      </x:c>
      <x:c r="AL202" s="1244" t="str">
        <x:f>IF($AK202="","",IFERROR(INDEX('97 RCC Lists'!$AM$5:$AM$16,MATCH($AK202,'97 RCC Lists'!$AL$5:$AL$16,0)),"Review candidate exception"))</x:f>
      </x:c>
      <x:c r="AM202" s="1242"/>
      <x:c r="AN202" s="1242"/>
      <x:c r="AO202" s="1242"/>
      <x:c r="AP202" s="1242"/>
      <x:c r="AQ202" s="1251"/>
    </x:row>
    <x:row r="203" ht="32" customHeight="1">
      <x:c r="A203" s="1242"/>
      <x:c r="B203" s="1251"/>
      <x:c r="C203" s="1242"/>
      <x:c r="D203" s="1252" t="str">
        <x:f>IF($C203="","",IFERROR(INDEX('23 RCC-004 MASR Registry'!$C$14:$C$163,MATCH($C203,'23 RCC-004 MASR Registry'!$B$14:$B$163,0)),""))</x:f>
      </x:c>
      <x:c r="E203" s="1242"/>
      <x:c r="F203" s="1242"/>
      <x:c r="G203" s="1242"/>
      <x:c r="H203" s="1242"/>
      <x:c r="I203" s="1252" t="str">
        <x:f>IF($C203="","",IFERROR(INDEX('23 RCC-004 MASR Registry'!$G$14:$G$163,MATCH($C203,'23 RCC-004 MASR Registry'!$B$14:$B$163,0)),""))</x:f>
      </x:c>
      <x:c r="J203" s="1252" t="str">
        <x:f>IF($C203="","",IFERROR(INDEX('23 RCC-004 MASR Registry'!$H$14:$H$163,MATCH($C203,'23 RCC-004 MASR Registry'!$B$14:$B$163,0)),""))</x:f>
      </x:c>
      <x:c r="K203" s="1252" t="str">
        <x:f>IF($C203="","",IFERROR(INDEX('23 RCC-004 MASR Registry'!$D$14:$D$163,MATCH($C203,'23 RCC-004 MASR Registry'!$B$14:$B$163,0)),""))</x:f>
      </x:c>
      <x:c r="L203" s="1252" t="str">
        <x:f>IF($C203="","",IFERROR(INDEX('23 RCC-004 MASR Registry'!$E$14:$E$163,MATCH($C203,'23 RCC-004 MASR Registry'!$B$14:$B$163,0)),""))</x:f>
      </x:c>
      <x:c r="M203" s="1252" t="str">
        <x:f>IF($C203="","",IFERROR(INDEX('23 RCC-004 MASR Registry'!$X$14:$X$163,MATCH($C203,'23 RCC-004 MASR Registry'!$B$14:$B$163,0)),""))</x:f>
      </x:c>
      <x:c r="N203" s="1252" t="str">
        <x:f>IF($C203="","",IFERROR(INDEX('23 RCC-004 MASR Registry'!$Y$14:$Y$163,MATCH($C203,'23 RCC-004 MASR Registry'!$B$14:$B$163,0)),""))</x:f>
      </x:c>
      <x:c r="O203" s="1252" t="str">
        <x:f>IF($C203="","",IFERROR(INDEX('23 RCC-004 MASR Registry'!$L$14:$L$163,MATCH($C203,'23 RCC-004 MASR Registry'!$B$14:$B$163,0)),""))</x:f>
      </x:c>
      <x:c r="P203" s="1252" t="str">
        <x:f>IF($C203="","",IFERROR(INDEX('23 RCC-004 MASR Registry'!$M$14:$M$163,MATCH($C203,'23 RCC-004 MASR Registry'!$B$14:$B$163,0)),""))</x:f>
      </x:c>
      <x:c r="Q203" s="1255" t="str">
        <x:f>IF($C203="","",IFERROR(INDEX('23 RCC-004 MASR Registry'!$N$14:$N$163,MATCH($C203,'23 RCC-004 MASR Registry'!$B$14:$B$163,0)),""))</x:f>
      </x:c>
      <x:c r="R203" s="1255" t="str">
        <x:f>IF($C203="","",IFERROR(INDEX('23 RCC-004 MASR Registry'!$O$14:$O$163,MATCH($C203,'23 RCC-004 MASR Registry'!$B$14:$B$163,0)),""))</x:f>
      </x:c>
      <x:c r="S203" s="1255" t="str">
        <x:f>IF($C203="","",IFERROR(INDEX('23 RCC-004 MASR Registry'!$W$14:$W$163,MATCH($C203,'23 RCC-004 MASR Registry'!$B$14:$B$163,0)),""))</x:f>
      </x:c>
      <x:c r="T203" s="1255" t="str">
        <x:f>IF($C203="","",IFERROR(INDEX('23 RCC-004 MASR Registry'!$T$14:$T$163,MATCH($C203,'23 RCC-004 MASR Registry'!$B$14:$B$163,0)),""))</x:f>
      </x:c>
      <x:c r="U203" s="1256" t="str">
        <x:f>IF($C203="","",IFERROR(INDEX('23 RCC-004 MASR Registry'!$U$14:$U$163,MATCH($C203,'23 RCC-004 MASR Registry'!$B$14:$B$163,0)),""))</x:f>
      </x:c>
      <x:c r="V203" s="1252" t="str">
        <x:f>IF($C203="","",IFERROR(INDEX('23 RCC-004 MASR Registry'!$V$14:$V$163,MATCH($C203,'23 RCC-004 MASR Registry'!$B$14:$B$163,0)),""))</x:f>
      </x:c>
      <x:c r="W203" s="1242"/>
      <x:c r="X203" s="1256" t="str">
        <x:f>IF($C203="","",COUNTIF('18 RCC-002 Evidence Ledger'!$E$14:$E$213,$C203))</x:f>
      </x:c>
      <x:c r="Y203" s="1242"/>
      <x:c r="Z203" s="1253" t="str">
        <x:f>IF($A203="","",IF(COUNTIF($A$14:$A$213,$A203)&gt;1,"FAIL — DUPLICATE ID",IF(OR($B203="",$C203="",$E203="",$H203="",$Y203="",$AA203="",$AB203=""),"FAIL — INCOMPLETE",IF(AND(OR($Y203="MIAR Review",$Y203="Eligibility Review",$Y203="Candidate Comparison",$Y203="Committee Review",$Y203="Approved for MASR",$Y203="Referred to PEW-004",$Y203="On Watch",$Y203="Rejected",$Y203="Closed",$Y203="Removed"),$K203=""),"FAIL — MASR RECORD REQUIRED",IF(AND(OR($Y203="Eligibility Review",$Y203="Candidate Comparison",$Y203="Committee Review",$Y203="Approved for MASR",$Y203="Referred to PEW-004",$Y203="On Watch"),NOT(OR($M203="ELIGIBLE",$M203="ELIGIBLE WITH EXCEPTION",$M203="CERTIFIED HOLDING"))),"FAIL — ELIGIBILITY",IF(AND(OR($Y203="Candidate Comparison",$Y203="Committee Review",$Y203="Approved for MASR",$Y203="Referred to PEW-004",$Y203="On Watch"),$X203=0),"FAIL — EVIDENCE",IF(AND(OR($Y203="Candidate Comparison",$Y203="Committee Review",$Y203="Approved for MASR",$Y203="Referred to PEW-004",$Y203="On Watch"),OR($O203&lt;&gt;"Active",$P203&lt;&gt;"CURRENT")),"FAIL — MIAR GATE",IF(AND(OR($Y203="Approved for MASR",$Y203="Referred to PEW-004",$Y203="On Watch",$Y203="Rejected",$Y203="Closed",$Y203="Removed"),OR($AD203="",$AD203="Pending")),"FAIL — COMMITTEE DISPOSITION",IF(AND($Y203="Referred to PEW-004",OR($AF203&lt;&gt;"Yes — Refer to PEW-004",$AG203="",$AJ203="")),"FAIL — PEW REFERRAL","PASS — STAGE GATE")))))))))</x:f>
      </x:c>
      <x:c r="AA203" s="1242"/>
      <x:c r="AB203" s="1251"/>
      <x:c r="AC203" s="1257" t="str">
        <x:f>IF($B203="","",IF($AQ203&lt;&gt;"",$AQ203-$B203,TODAY()-$B203))</x:f>
      </x:c>
      <x:c r="AD203" s="1242"/>
      <x:c r="AE203" s="1251"/>
      <x:c r="AF203" s="1242"/>
      <x:c r="AG203" s="1242"/>
      <x:c r="AH203" s="1255" t="str">
        <x:f>IF($AG203="","",IFERROR(INDEX('10 Candidate Comparison'!$T$14:$T$33,MATCH($AG203,'10 Candidate Comparison'!$A$14:$A$33,0)),""))</x:f>
      </x:c>
      <x:c r="AI203" s="1252" t="str">
        <x:f>IF($AG203="","",IFERROR(INDEX('10 Candidate Comparison'!$U$14:$U$33,MATCH($AG203,'10 Candidate Comparison'!$A$14:$A$33,0)),""))</x:f>
      </x:c>
      <x:c r="AJ203" s="1252" t="str">
        <x:f>IF($AG203="","",IFERROR(INDEX('10 Candidate Comparison'!$Y$14:$Y$33,MATCH($AG203,'10 Candidate Comparison'!$A$14:$A$33,0)),""))</x:f>
      </x:c>
      <x:c r="AK203" s="1253" t="str">
        <x:f>IF($A203="","",IF($Z203="FAIL — DUPLICATE ID","DUPLICATE CANDIDATE ID",IF($Z203="FAIL — INCOMPLETE","INCOMPLETE",IF($Z203="FAIL — MASR RECORD REQUIRED","MASR RECORD REQUIRED",IF($Z203="FAIL — ELIGIBILITY","ELIGIBILITY BLOCK",IF($Z203="FAIL — EVIDENCE","EVIDENCE REQUIRED",IF($Z203="FAIL — MIAR GATE","MIAR GATE BLOCK",IF($Z203="FAIL — COMMITTEE DISPOSITION","COMMITTEE DECISION REQUIRED",IF($Z203="FAIL — PEW REFERRAL","PEW REFERRAL INCOMPLETE",IF(AND(OR($Y203="Rejected",$Y203="Closed",$Y203="Removed"),OR($AO203="",$AP203="",$AQ203="")),"CLOSURE REQUIRED",IF(AND($AB203&lt;TODAY(),NOT(OR($Y203="Rejected",$Y203="Closed",$Y203="Removed"))),"OVERDUE",IF(OR($Y203="Rejected",$Y203="Closed",$Y203="Removed"),"CLOSED","OPEN — ON TRACK"))))))))))))</x:f>
      </x:c>
      <x:c r="AL203" s="1253" t="str">
        <x:f>IF($AK203="","",IFERROR(INDEX('97 RCC Lists'!$AM$5:$AM$16,MATCH($AK203,'97 RCC Lists'!$AL$5:$AL$16,0)),"Review candidate exception"))</x:f>
      </x:c>
      <x:c r="AM203" s="1242"/>
      <x:c r="AN203" s="1242"/>
      <x:c r="AO203" s="1242"/>
      <x:c r="AP203" s="1242"/>
      <x:c r="AQ203" s="1251"/>
    </x:row>
    <x:row r="204" ht="32" customHeight="1">
      <x:c r="A204" s="1242"/>
      <x:c r="B204" s="1251"/>
      <x:c r="C204" s="1242"/>
      <x:c r="D204" s="1243" t="str">
        <x:f>IF($C204="","",IFERROR(INDEX('23 RCC-004 MASR Registry'!$C$14:$C$163,MATCH($C204,'23 RCC-004 MASR Registry'!$B$14:$B$163,0)),""))</x:f>
      </x:c>
      <x:c r="E204" s="1242"/>
      <x:c r="F204" s="1242"/>
      <x:c r="G204" s="1242"/>
      <x:c r="H204" s="1242"/>
      <x:c r="I204" s="1243" t="str">
        <x:f>IF($C204="","",IFERROR(INDEX('23 RCC-004 MASR Registry'!$G$14:$G$163,MATCH($C204,'23 RCC-004 MASR Registry'!$B$14:$B$163,0)),""))</x:f>
      </x:c>
      <x:c r="J204" s="1243" t="str">
        <x:f>IF($C204="","",IFERROR(INDEX('23 RCC-004 MASR Registry'!$H$14:$H$163,MATCH($C204,'23 RCC-004 MASR Registry'!$B$14:$B$163,0)),""))</x:f>
      </x:c>
      <x:c r="K204" s="1243" t="str">
        <x:f>IF($C204="","",IFERROR(INDEX('23 RCC-004 MASR Registry'!$D$14:$D$163,MATCH($C204,'23 RCC-004 MASR Registry'!$B$14:$B$163,0)),""))</x:f>
      </x:c>
      <x:c r="L204" s="1243" t="str">
        <x:f>IF($C204="","",IFERROR(INDEX('23 RCC-004 MASR Registry'!$E$14:$E$163,MATCH($C204,'23 RCC-004 MASR Registry'!$B$14:$B$163,0)),""))</x:f>
      </x:c>
      <x:c r="M204" s="1243" t="str">
        <x:f>IF($C204="","",IFERROR(INDEX('23 RCC-004 MASR Registry'!$X$14:$X$163,MATCH($C204,'23 RCC-004 MASR Registry'!$B$14:$B$163,0)),""))</x:f>
      </x:c>
      <x:c r="N204" s="1243" t="str">
        <x:f>IF($C204="","",IFERROR(INDEX('23 RCC-004 MASR Registry'!$Y$14:$Y$163,MATCH($C204,'23 RCC-004 MASR Registry'!$B$14:$B$163,0)),""))</x:f>
      </x:c>
      <x:c r="O204" s="1243" t="str">
        <x:f>IF($C204="","",IFERROR(INDEX('23 RCC-004 MASR Registry'!$L$14:$L$163,MATCH($C204,'23 RCC-004 MASR Registry'!$B$14:$B$163,0)),""))</x:f>
      </x:c>
      <x:c r="P204" s="1243" t="str">
        <x:f>IF($C204="","",IFERROR(INDEX('23 RCC-004 MASR Registry'!$M$14:$M$163,MATCH($C204,'23 RCC-004 MASR Registry'!$B$14:$B$163,0)),""))</x:f>
      </x:c>
      <x:c r="Q204" s="1246" t="str">
        <x:f>IF($C204="","",IFERROR(INDEX('23 RCC-004 MASR Registry'!$N$14:$N$163,MATCH($C204,'23 RCC-004 MASR Registry'!$B$14:$B$163,0)),""))</x:f>
      </x:c>
      <x:c r="R204" s="1246" t="str">
        <x:f>IF($C204="","",IFERROR(INDEX('23 RCC-004 MASR Registry'!$O$14:$O$163,MATCH($C204,'23 RCC-004 MASR Registry'!$B$14:$B$163,0)),""))</x:f>
      </x:c>
      <x:c r="S204" s="1246" t="str">
        <x:f>IF($C204="","",IFERROR(INDEX('23 RCC-004 MASR Registry'!$W$14:$W$163,MATCH($C204,'23 RCC-004 MASR Registry'!$B$14:$B$163,0)),""))</x:f>
      </x:c>
      <x:c r="T204" s="1246" t="str">
        <x:f>IF($C204="","",IFERROR(INDEX('23 RCC-004 MASR Registry'!$T$14:$T$163,MATCH($C204,'23 RCC-004 MASR Registry'!$B$14:$B$163,0)),""))</x:f>
      </x:c>
      <x:c r="U204" s="1247" t="str">
        <x:f>IF($C204="","",IFERROR(INDEX('23 RCC-004 MASR Registry'!$U$14:$U$163,MATCH($C204,'23 RCC-004 MASR Registry'!$B$14:$B$163,0)),""))</x:f>
      </x:c>
      <x:c r="V204" s="1243" t="str">
        <x:f>IF($C204="","",IFERROR(INDEX('23 RCC-004 MASR Registry'!$V$14:$V$163,MATCH($C204,'23 RCC-004 MASR Registry'!$B$14:$B$163,0)),""))</x:f>
      </x:c>
      <x:c r="W204" s="1242"/>
      <x:c r="X204" s="1247" t="str">
        <x:f>IF($C204="","",COUNTIF('18 RCC-002 Evidence Ledger'!$E$14:$E$213,$C204))</x:f>
      </x:c>
      <x:c r="Y204" s="1242"/>
      <x:c r="Z204" s="1244" t="str">
        <x:f>IF($A204="","",IF(COUNTIF($A$14:$A$213,$A204)&gt;1,"FAIL — DUPLICATE ID",IF(OR($B204="",$C204="",$E204="",$H204="",$Y204="",$AA204="",$AB204=""),"FAIL — INCOMPLETE",IF(AND(OR($Y204="MIAR Review",$Y204="Eligibility Review",$Y204="Candidate Comparison",$Y204="Committee Review",$Y204="Approved for MASR",$Y204="Referred to PEW-004",$Y204="On Watch",$Y204="Rejected",$Y204="Closed",$Y204="Removed"),$K204=""),"FAIL — MASR RECORD REQUIRED",IF(AND(OR($Y204="Eligibility Review",$Y204="Candidate Comparison",$Y204="Committee Review",$Y204="Approved for MASR",$Y204="Referred to PEW-004",$Y204="On Watch"),NOT(OR($M204="ELIGIBLE",$M204="ELIGIBLE WITH EXCEPTION",$M204="CERTIFIED HOLDING"))),"FAIL — ELIGIBILITY",IF(AND(OR($Y204="Candidate Comparison",$Y204="Committee Review",$Y204="Approved for MASR",$Y204="Referred to PEW-004",$Y204="On Watch"),$X204=0),"FAIL — EVIDENCE",IF(AND(OR($Y204="Candidate Comparison",$Y204="Committee Review",$Y204="Approved for MASR",$Y204="Referred to PEW-004",$Y204="On Watch"),OR($O204&lt;&gt;"Active",$P204&lt;&gt;"CURRENT")),"FAIL — MIAR GATE",IF(AND(OR($Y204="Approved for MASR",$Y204="Referred to PEW-004",$Y204="On Watch",$Y204="Rejected",$Y204="Closed",$Y204="Removed"),OR($AD204="",$AD204="Pending")),"FAIL — COMMITTEE DISPOSITION",IF(AND($Y204="Referred to PEW-004",OR($AF204&lt;&gt;"Yes — Refer to PEW-004",$AG204="",$AJ204="")),"FAIL — PEW REFERRAL","PASS — STAGE GATE")))))))))</x:f>
      </x:c>
      <x:c r="AA204" s="1242"/>
      <x:c r="AB204" s="1251"/>
      <x:c r="AC204" s="1250" t="str">
        <x:f>IF($B204="","",IF($AQ204&lt;&gt;"",$AQ204-$B204,TODAY()-$B204))</x:f>
      </x:c>
      <x:c r="AD204" s="1242"/>
      <x:c r="AE204" s="1251"/>
      <x:c r="AF204" s="1242"/>
      <x:c r="AG204" s="1242"/>
      <x:c r="AH204" s="1246" t="str">
        <x:f>IF($AG204="","",IFERROR(INDEX('10 Candidate Comparison'!$T$14:$T$33,MATCH($AG204,'10 Candidate Comparison'!$A$14:$A$33,0)),""))</x:f>
      </x:c>
      <x:c r="AI204" s="1243" t="str">
        <x:f>IF($AG204="","",IFERROR(INDEX('10 Candidate Comparison'!$U$14:$U$33,MATCH($AG204,'10 Candidate Comparison'!$A$14:$A$33,0)),""))</x:f>
      </x:c>
      <x:c r="AJ204" s="1243" t="str">
        <x:f>IF($AG204="","",IFERROR(INDEX('10 Candidate Comparison'!$Y$14:$Y$33,MATCH($AG204,'10 Candidate Comparison'!$A$14:$A$33,0)),""))</x:f>
      </x:c>
      <x:c r="AK204" s="1244" t="str">
        <x:f>IF($A204="","",IF($Z204="FAIL — DUPLICATE ID","DUPLICATE CANDIDATE ID",IF($Z204="FAIL — INCOMPLETE","INCOMPLETE",IF($Z204="FAIL — MASR RECORD REQUIRED","MASR RECORD REQUIRED",IF($Z204="FAIL — ELIGIBILITY","ELIGIBILITY BLOCK",IF($Z204="FAIL — EVIDENCE","EVIDENCE REQUIRED",IF($Z204="FAIL — MIAR GATE","MIAR GATE BLOCK",IF($Z204="FAIL — COMMITTEE DISPOSITION","COMMITTEE DECISION REQUIRED",IF($Z204="FAIL — PEW REFERRAL","PEW REFERRAL INCOMPLETE",IF(AND(OR($Y204="Rejected",$Y204="Closed",$Y204="Removed"),OR($AO204="",$AP204="",$AQ204="")),"CLOSURE REQUIRED",IF(AND($AB204&lt;TODAY(),NOT(OR($Y204="Rejected",$Y204="Closed",$Y204="Removed"))),"OVERDUE",IF(OR($Y204="Rejected",$Y204="Closed",$Y204="Removed"),"CLOSED","OPEN — ON TRACK"))))))))))))</x:f>
      </x:c>
      <x:c r="AL204" s="1244" t="str">
        <x:f>IF($AK204="","",IFERROR(INDEX('97 RCC Lists'!$AM$5:$AM$16,MATCH($AK204,'97 RCC Lists'!$AL$5:$AL$16,0)),"Review candidate exception"))</x:f>
      </x:c>
      <x:c r="AM204" s="1242"/>
      <x:c r="AN204" s="1242"/>
      <x:c r="AO204" s="1242"/>
      <x:c r="AP204" s="1242"/>
      <x:c r="AQ204" s="1251"/>
    </x:row>
    <x:row r="205" ht="32" customHeight="1">
      <x:c r="A205" s="1242"/>
      <x:c r="B205" s="1251"/>
      <x:c r="C205" s="1242"/>
      <x:c r="D205" s="1252" t="str">
        <x:f>IF($C205="","",IFERROR(INDEX('23 RCC-004 MASR Registry'!$C$14:$C$163,MATCH($C205,'23 RCC-004 MASR Registry'!$B$14:$B$163,0)),""))</x:f>
      </x:c>
      <x:c r="E205" s="1242"/>
      <x:c r="F205" s="1242"/>
      <x:c r="G205" s="1242"/>
      <x:c r="H205" s="1242"/>
      <x:c r="I205" s="1252" t="str">
        <x:f>IF($C205="","",IFERROR(INDEX('23 RCC-004 MASR Registry'!$G$14:$G$163,MATCH($C205,'23 RCC-004 MASR Registry'!$B$14:$B$163,0)),""))</x:f>
      </x:c>
      <x:c r="J205" s="1252" t="str">
        <x:f>IF($C205="","",IFERROR(INDEX('23 RCC-004 MASR Registry'!$H$14:$H$163,MATCH($C205,'23 RCC-004 MASR Registry'!$B$14:$B$163,0)),""))</x:f>
      </x:c>
      <x:c r="K205" s="1252" t="str">
        <x:f>IF($C205="","",IFERROR(INDEX('23 RCC-004 MASR Registry'!$D$14:$D$163,MATCH($C205,'23 RCC-004 MASR Registry'!$B$14:$B$163,0)),""))</x:f>
      </x:c>
      <x:c r="L205" s="1252" t="str">
        <x:f>IF($C205="","",IFERROR(INDEX('23 RCC-004 MASR Registry'!$E$14:$E$163,MATCH($C205,'23 RCC-004 MASR Registry'!$B$14:$B$163,0)),""))</x:f>
      </x:c>
      <x:c r="M205" s="1252" t="str">
        <x:f>IF($C205="","",IFERROR(INDEX('23 RCC-004 MASR Registry'!$X$14:$X$163,MATCH($C205,'23 RCC-004 MASR Registry'!$B$14:$B$163,0)),""))</x:f>
      </x:c>
      <x:c r="N205" s="1252" t="str">
        <x:f>IF($C205="","",IFERROR(INDEX('23 RCC-004 MASR Registry'!$Y$14:$Y$163,MATCH($C205,'23 RCC-004 MASR Registry'!$B$14:$B$163,0)),""))</x:f>
      </x:c>
      <x:c r="O205" s="1252" t="str">
        <x:f>IF($C205="","",IFERROR(INDEX('23 RCC-004 MASR Registry'!$L$14:$L$163,MATCH($C205,'23 RCC-004 MASR Registry'!$B$14:$B$163,0)),""))</x:f>
      </x:c>
      <x:c r="P205" s="1252" t="str">
        <x:f>IF($C205="","",IFERROR(INDEX('23 RCC-004 MASR Registry'!$M$14:$M$163,MATCH($C205,'23 RCC-004 MASR Registry'!$B$14:$B$163,0)),""))</x:f>
      </x:c>
      <x:c r="Q205" s="1255" t="str">
        <x:f>IF($C205="","",IFERROR(INDEX('23 RCC-004 MASR Registry'!$N$14:$N$163,MATCH($C205,'23 RCC-004 MASR Registry'!$B$14:$B$163,0)),""))</x:f>
      </x:c>
      <x:c r="R205" s="1255" t="str">
        <x:f>IF($C205="","",IFERROR(INDEX('23 RCC-004 MASR Registry'!$O$14:$O$163,MATCH($C205,'23 RCC-004 MASR Registry'!$B$14:$B$163,0)),""))</x:f>
      </x:c>
      <x:c r="S205" s="1255" t="str">
        <x:f>IF($C205="","",IFERROR(INDEX('23 RCC-004 MASR Registry'!$W$14:$W$163,MATCH($C205,'23 RCC-004 MASR Registry'!$B$14:$B$163,0)),""))</x:f>
      </x:c>
      <x:c r="T205" s="1255" t="str">
        <x:f>IF($C205="","",IFERROR(INDEX('23 RCC-004 MASR Registry'!$T$14:$T$163,MATCH($C205,'23 RCC-004 MASR Registry'!$B$14:$B$163,0)),""))</x:f>
      </x:c>
      <x:c r="U205" s="1256" t="str">
        <x:f>IF($C205="","",IFERROR(INDEX('23 RCC-004 MASR Registry'!$U$14:$U$163,MATCH($C205,'23 RCC-004 MASR Registry'!$B$14:$B$163,0)),""))</x:f>
      </x:c>
      <x:c r="V205" s="1252" t="str">
        <x:f>IF($C205="","",IFERROR(INDEX('23 RCC-004 MASR Registry'!$V$14:$V$163,MATCH($C205,'23 RCC-004 MASR Registry'!$B$14:$B$163,0)),""))</x:f>
      </x:c>
      <x:c r="W205" s="1242"/>
      <x:c r="X205" s="1256" t="str">
        <x:f>IF($C205="","",COUNTIF('18 RCC-002 Evidence Ledger'!$E$14:$E$213,$C205))</x:f>
      </x:c>
      <x:c r="Y205" s="1242"/>
      <x:c r="Z205" s="1253" t="str">
        <x:f>IF($A205="","",IF(COUNTIF($A$14:$A$213,$A205)&gt;1,"FAIL — DUPLICATE ID",IF(OR($B205="",$C205="",$E205="",$H205="",$Y205="",$AA205="",$AB205=""),"FAIL — INCOMPLETE",IF(AND(OR($Y205="MIAR Review",$Y205="Eligibility Review",$Y205="Candidate Comparison",$Y205="Committee Review",$Y205="Approved for MASR",$Y205="Referred to PEW-004",$Y205="On Watch",$Y205="Rejected",$Y205="Closed",$Y205="Removed"),$K205=""),"FAIL — MASR RECORD REQUIRED",IF(AND(OR($Y205="Eligibility Review",$Y205="Candidate Comparison",$Y205="Committee Review",$Y205="Approved for MASR",$Y205="Referred to PEW-004",$Y205="On Watch"),NOT(OR($M205="ELIGIBLE",$M205="ELIGIBLE WITH EXCEPTION",$M205="CERTIFIED HOLDING"))),"FAIL — ELIGIBILITY",IF(AND(OR($Y205="Candidate Comparison",$Y205="Committee Review",$Y205="Approved for MASR",$Y205="Referred to PEW-004",$Y205="On Watch"),$X205=0),"FAIL — EVIDENCE",IF(AND(OR($Y205="Candidate Comparison",$Y205="Committee Review",$Y205="Approved for MASR",$Y205="Referred to PEW-004",$Y205="On Watch"),OR($O205&lt;&gt;"Active",$P205&lt;&gt;"CURRENT")),"FAIL — MIAR GATE",IF(AND(OR($Y205="Approved for MASR",$Y205="Referred to PEW-004",$Y205="On Watch",$Y205="Rejected",$Y205="Closed",$Y205="Removed"),OR($AD205="",$AD205="Pending")),"FAIL — COMMITTEE DISPOSITION",IF(AND($Y205="Referred to PEW-004",OR($AF205&lt;&gt;"Yes — Refer to PEW-004",$AG205="",$AJ205="")),"FAIL — PEW REFERRAL","PASS — STAGE GATE")))))))))</x:f>
      </x:c>
      <x:c r="AA205" s="1242"/>
      <x:c r="AB205" s="1251"/>
      <x:c r="AC205" s="1257" t="str">
        <x:f>IF($B205="","",IF($AQ205&lt;&gt;"",$AQ205-$B205,TODAY()-$B205))</x:f>
      </x:c>
      <x:c r="AD205" s="1242"/>
      <x:c r="AE205" s="1251"/>
      <x:c r="AF205" s="1242"/>
      <x:c r="AG205" s="1242"/>
      <x:c r="AH205" s="1255" t="str">
        <x:f>IF($AG205="","",IFERROR(INDEX('10 Candidate Comparison'!$T$14:$T$33,MATCH($AG205,'10 Candidate Comparison'!$A$14:$A$33,0)),""))</x:f>
      </x:c>
      <x:c r="AI205" s="1252" t="str">
        <x:f>IF($AG205="","",IFERROR(INDEX('10 Candidate Comparison'!$U$14:$U$33,MATCH($AG205,'10 Candidate Comparison'!$A$14:$A$33,0)),""))</x:f>
      </x:c>
      <x:c r="AJ205" s="1252" t="str">
        <x:f>IF($AG205="","",IFERROR(INDEX('10 Candidate Comparison'!$Y$14:$Y$33,MATCH($AG205,'10 Candidate Comparison'!$A$14:$A$33,0)),""))</x:f>
      </x:c>
      <x:c r="AK205" s="1253" t="str">
        <x:f>IF($A205="","",IF($Z205="FAIL — DUPLICATE ID","DUPLICATE CANDIDATE ID",IF($Z205="FAIL — INCOMPLETE","INCOMPLETE",IF($Z205="FAIL — MASR RECORD REQUIRED","MASR RECORD REQUIRED",IF($Z205="FAIL — ELIGIBILITY","ELIGIBILITY BLOCK",IF($Z205="FAIL — EVIDENCE","EVIDENCE REQUIRED",IF($Z205="FAIL — MIAR GATE","MIAR GATE BLOCK",IF($Z205="FAIL — COMMITTEE DISPOSITION","COMMITTEE DECISION REQUIRED",IF($Z205="FAIL — PEW REFERRAL","PEW REFERRAL INCOMPLETE",IF(AND(OR($Y205="Rejected",$Y205="Closed",$Y205="Removed"),OR($AO205="",$AP205="",$AQ205="")),"CLOSURE REQUIRED",IF(AND($AB205&lt;TODAY(),NOT(OR($Y205="Rejected",$Y205="Closed",$Y205="Removed"))),"OVERDUE",IF(OR($Y205="Rejected",$Y205="Closed",$Y205="Removed"),"CLOSED","OPEN — ON TRACK"))))))))))))</x:f>
      </x:c>
      <x:c r="AL205" s="1253" t="str">
        <x:f>IF($AK205="","",IFERROR(INDEX('97 RCC Lists'!$AM$5:$AM$16,MATCH($AK205,'97 RCC Lists'!$AL$5:$AL$16,0)),"Review candidate exception"))</x:f>
      </x:c>
      <x:c r="AM205" s="1242"/>
      <x:c r="AN205" s="1242"/>
      <x:c r="AO205" s="1242"/>
      <x:c r="AP205" s="1242"/>
      <x:c r="AQ205" s="1251"/>
    </x:row>
    <x:row r="206" ht="32" customHeight="1">
      <x:c r="A206" s="1242"/>
      <x:c r="B206" s="1251"/>
      <x:c r="C206" s="1242"/>
      <x:c r="D206" s="1243" t="str">
        <x:f>IF($C206="","",IFERROR(INDEX('23 RCC-004 MASR Registry'!$C$14:$C$163,MATCH($C206,'23 RCC-004 MASR Registry'!$B$14:$B$163,0)),""))</x:f>
      </x:c>
      <x:c r="E206" s="1242"/>
      <x:c r="F206" s="1242"/>
      <x:c r="G206" s="1242"/>
      <x:c r="H206" s="1242"/>
      <x:c r="I206" s="1243" t="str">
        <x:f>IF($C206="","",IFERROR(INDEX('23 RCC-004 MASR Registry'!$G$14:$G$163,MATCH($C206,'23 RCC-004 MASR Registry'!$B$14:$B$163,0)),""))</x:f>
      </x:c>
      <x:c r="J206" s="1243" t="str">
        <x:f>IF($C206="","",IFERROR(INDEX('23 RCC-004 MASR Registry'!$H$14:$H$163,MATCH($C206,'23 RCC-004 MASR Registry'!$B$14:$B$163,0)),""))</x:f>
      </x:c>
      <x:c r="K206" s="1243" t="str">
        <x:f>IF($C206="","",IFERROR(INDEX('23 RCC-004 MASR Registry'!$D$14:$D$163,MATCH($C206,'23 RCC-004 MASR Registry'!$B$14:$B$163,0)),""))</x:f>
      </x:c>
      <x:c r="L206" s="1243" t="str">
        <x:f>IF($C206="","",IFERROR(INDEX('23 RCC-004 MASR Registry'!$E$14:$E$163,MATCH($C206,'23 RCC-004 MASR Registry'!$B$14:$B$163,0)),""))</x:f>
      </x:c>
      <x:c r="M206" s="1243" t="str">
        <x:f>IF($C206="","",IFERROR(INDEX('23 RCC-004 MASR Registry'!$X$14:$X$163,MATCH($C206,'23 RCC-004 MASR Registry'!$B$14:$B$163,0)),""))</x:f>
      </x:c>
      <x:c r="N206" s="1243" t="str">
        <x:f>IF($C206="","",IFERROR(INDEX('23 RCC-004 MASR Registry'!$Y$14:$Y$163,MATCH($C206,'23 RCC-004 MASR Registry'!$B$14:$B$163,0)),""))</x:f>
      </x:c>
      <x:c r="O206" s="1243" t="str">
        <x:f>IF($C206="","",IFERROR(INDEX('23 RCC-004 MASR Registry'!$L$14:$L$163,MATCH($C206,'23 RCC-004 MASR Registry'!$B$14:$B$163,0)),""))</x:f>
      </x:c>
      <x:c r="P206" s="1243" t="str">
        <x:f>IF($C206="","",IFERROR(INDEX('23 RCC-004 MASR Registry'!$M$14:$M$163,MATCH($C206,'23 RCC-004 MASR Registry'!$B$14:$B$163,0)),""))</x:f>
      </x:c>
      <x:c r="Q206" s="1246" t="str">
        <x:f>IF($C206="","",IFERROR(INDEX('23 RCC-004 MASR Registry'!$N$14:$N$163,MATCH($C206,'23 RCC-004 MASR Registry'!$B$14:$B$163,0)),""))</x:f>
      </x:c>
      <x:c r="R206" s="1246" t="str">
        <x:f>IF($C206="","",IFERROR(INDEX('23 RCC-004 MASR Registry'!$O$14:$O$163,MATCH($C206,'23 RCC-004 MASR Registry'!$B$14:$B$163,0)),""))</x:f>
      </x:c>
      <x:c r="S206" s="1246" t="str">
        <x:f>IF($C206="","",IFERROR(INDEX('23 RCC-004 MASR Registry'!$W$14:$W$163,MATCH($C206,'23 RCC-004 MASR Registry'!$B$14:$B$163,0)),""))</x:f>
      </x:c>
      <x:c r="T206" s="1246" t="str">
        <x:f>IF($C206="","",IFERROR(INDEX('23 RCC-004 MASR Registry'!$T$14:$T$163,MATCH($C206,'23 RCC-004 MASR Registry'!$B$14:$B$163,0)),""))</x:f>
      </x:c>
      <x:c r="U206" s="1247" t="str">
        <x:f>IF($C206="","",IFERROR(INDEX('23 RCC-004 MASR Registry'!$U$14:$U$163,MATCH($C206,'23 RCC-004 MASR Registry'!$B$14:$B$163,0)),""))</x:f>
      </x:c>
      <x:c r="V206" s="1243" t="str">
        <x:f>IF($C206="","",IFERROR(INDEX('23 RCC-004 MASR Registry'!$V$14:$V$163,MATCH($C206,'23 RCC-004 MASR Registry'!$B$14:$B$163,0)),""))</x:f>
      </x:c>
      <x:c r="W206" s="1242"/>
      <x:c r="X206" s="1247" t="str">
        <x:f>IF($C206="","",COUNTIF('18 RCC-002 Evidence Ledger'!$E$14:$E$213,$C206))</x:f>
      </x:c>
      <x:c r="Y206" s="1242"/>
      <x:c r="Z206" s="1244" t="str">
        <x:f>IF($A206="","",IF(COUNTIF($A$14:$A$213,$A206)&gt;1,"FAIL — DUPLICATE ID",IF(OR($B206="",$C206="",$E206="",$H206="",$Y206="",$AA206="",$AB206=""),"FAIL — INCOMPLETE",IF(AND(OR($Y206="MIAR Review",$Y206="Eligibility Review",$Y206="Candidate Comparison",$Y206="Committee Review",$Y206="Approved for MASR",$Y206="Referred to PEW-004",$Y206="On Watch",$Y206="Rejected",$Y206="Closed",$Y206="Removed"),$K206=""),"FAIL — MASR RECORD REQUIRED",IF(AND(OR($Y206="Eligibility Review",$Y206="Candidate Comparison",$Y206="Committee Review",$Y206="Approved for MASR",$Y206="Referred to PEW-004",$Y206="On Watch"),NOT(OR($M206="ELIGIBLE",$M206="ELIGIBLE WITH EXCEPTION",$M206="CERTIFIED HOLDING"))),"FAIL — ELIGIBILITY",IF(AND(OR($Y206="Candidate Comparison",$Y206="Committee Review",$Y206="Approved for MASR",$Y206="Referred to PEW-004",$Y206="On Watch"),$X206=0),"FAIL — EVIDENCE",IF(AND(OR($Y206="Candidate Comparison",$Y206="Committee Review",$Y206="Approved for MASR",$Y206="Referred to PEW-004",$Y206="On Watch"),OR($O206&lt;&gt;"Active",$P206&lt;&gt;"CURRENT")),"FAIL — MIAR GATE",IF(AND(OR($Y206="Approved for MASR",$Y206="Referred to PEW-004",$Y206="On Watch",$Y206="Rejected",$Y206="Closed",$Y206="Removed"),OR($AD206="",$AD206="Pending")),"FAIL — COMMITTEE DISPOSITION",IF(AND($Y206="Referred to PEW-004",OR($AF206&lt;&gt;"Yes — Refer to PEW-004",$AG206="",$AJ206="")),"FAIL — PEW REFERRAL","PASS — STAGE GATE")))))))))</x:f>
      </x:c>
      <x:c r="AA206" s="1242"/>
      <x:c r="AB206" s="1251"/>
      <x:c r="AC206" s="1250" t="str">
        <x:f>IF($B206="","",IF($AQ206&lt;&gt;"",$AQ206-$B206,TODAY()-$B206))</x:f>
      </x:c>
      <x:c r="AD206" s="1242"/>
      <x:c r="AE206" s="1251"/>
      <x:c r="AF206" s="1242"/>
      <x:c r="AG206" s="1242"/>
      <x:c r="AH206" s="1246" t="str">
        <x:f>IF($AG206="","",IFERROR(INDEX('10 Candidate Comparison'!$T$14:$T$33,MATCH($AG206,'10 Candidate Comparison'!$A$14:$A$33,0)),""))</x:f>
      </x:c>
      <x:c r="AI206" s="1243" t="str">
        <x:f>IF($AG206="","",IFERROR(INDEX('10 Candidate Comparison'!$U$14:$U$33,MATCH($AG206,'10 Candidate Comparison'!$A$14:$A$33,0)),""))</x:f>
      </x:c>
      <x:c r="AJ206" s="1243" t="str">
        <x:f>IF($AG206="","",IFERROR(INDEX('10 Candidate Comparison'!$Y$14:$Y$33,MATCH($AG206,'10 Candidate Comparison'!$A$14:$A$33,0)),""))</x:f>
      </x:c>
      <x:c r="AK206" s="1244" t="str">
        <x:f>IF($A206="","",IF($Z206="FAIL — DUPLICATE ID","DUPLICATE CANDIDATE ID",IF($Z206="FAIL — INCOMPLETE","INCOMPLETE",IF($Z206="FAIL — MASR RECORD REQUIRED","MASR RECORD REQUIRED",IF($Z206="FAIL — ELIGIBILITY","ELIGIBILITY BLOCK",IF($Z206="FAIL — EVIDENCE","EVIDENCE REQUIRED",IF($Z206="FAIL — MIAR GATE","MIAR GATE BLOCK",IF($Z206="FAIL — COMMITTEE DISPOSITION","COMMITTEE DECISION REQUIRED",IF($Z206="FAIL — PEW REFERRAL","PEW REFERRAL INCOMPLETE",IF(AND(OR($Y206="Rejected",$Y206="Closed",$Y206="Removed"),OR($AO206="",$AP206="",$AQ206="")),"CLOSURE REQUIRED",IF(AND($AB206&lt;TODAY(),NOT(OR($Y206="Rejected",$Y206="Closed",$Y206="Removed"))),"OVERDUE",IF(OR($Y206="Rejected",$Y206="Closed",$Y206="Removed"),"CLOSED","OPEN — ON TRACK"))))))))))))</x:f>
      </x:c>
      <x:c r="AL206" s="1244" t="str">
        <x:f>IF($AK206="","",IFERROR(INDEX('97 RCC Lists'!$AM$5:$AM$16,MATCH($AK206,'97 RCC Lists'!$AL$5:$AL$16,0)),"Review candidate exception"))</x:f>
      </x:c>
      <x:c r="AM206" s="1242"/>
      <x:c r="AN206" s="1242"/>
      <x:c r="AO206" s="1242"/>
      <x:c r="AP206" s="1242"/>
      <x:c r="AQ206" s="1251"/>
    </x:row>
    <x:row r="207" ht="32" customHeight="1">
      <x:c r="A207" s="1242"/>
      <x:c r="B207" s="1251"/>
      <x:c r="C207" s="1242"/>
      <x:c r="D207" s="1252" t="str">
        <x:f>IF($C207="","",IFERROR(INDEX('23 RCC-004 MASR Registry'!$C$14:$C$163,MATCH($C207,'23 RCC-004 MASR Registry'!$B$14:$B$163,0)),""))</x:f>
      </x:c>
      <x:c r="E207" s="1242"/>
      <x:c r="F207" s="1242"/>
      <x:c r="G207" s="1242"/>
      <x:c r="H207" s="1242"/>
      <x:c r="I207" s="1252" t="str">
        <x:f>IF($C207="","",IFERROR(INDEX('23 RCC-004 MASR Registry'!$G$14:$G$163,MATCH($C207,'23 RCC-004 MASR Registry'!$B$14:$B$163,0)),""))</x:f>
      </x:c>
      <x:c r="J207" s="1252" t="str">
        <x:f>IF($C207="","",IFERROR(INDEX('23 RCC-004 MASR Registry'!$H$14:$H$163,MATCH($C207,'23 RCC-004 MASR Registry'!$B$14:$B$163,0)),""))</x:f>
      </x:c>
      <x:c r="K207" s="1252" t="str">
        <x:f>IF($C207="","",IFERROR(INDEX('23 RCC-004 MASR Registry'!$D$14:$D$163,MATCH($C207,'23 RCC-004 MASR Registry'!$B$14:$B$163,0)),""))</x:f>
      </x:c>
      <x:c r="L207" s="1252" t="str">
        <x:f>IF($C207="","",IFERROR(INDEX('23 RCC-004 MASR Registry'!$E$14:$E$163,MATCH($C207,'23 RCC-004 MASR Registry'!$B$14:$B$163,0)),""))</x:f>
      </x:c>
      <x:c r="M207" s="1252" t="str">
        <x:f>IF($C207="","",IFERROR(INDEX('23 RCC-004 MASR Registry'!$X$14:$X$163,MATCH($C207,'23 RCC-004 MASR Registry'!$B$14:$B$163,0)),""))</x:f>
      </x:c>
      <x:c r="N207" s="1252" t="str">
        <x:f>IF($C207="","",IFERROR(INDEX('23 RCC-004 MASR Registry'!$Y$14:$Y$163,MATCH($C207,'23 RCC-004 MASR Registry'!$B$14:$B$163,0)),""))</x:f>
      </x:c>
      <x:c r="O207" s="1252" t="str">
        <x:f>IF($C207="","",IFERROR(INDEX('23 RCC-004 MASR Registry'!$L$14:$L$163,MATCH($C207,'23 RCC-004 MASR Registry'!$B$14:$B$163,0)),""))</x:f>
      </x:c>
      <x:c r="P207" s="1252" t="str">
        <x:f>IF($C207="","",IFERROR(INDEX('23 RCC-004 MASR Registry'!$M$14:$M$163,MATCH($C207,'23 RCC-004 MASR Registry'!$B$14:$B$163,0)),""))</x:f>
      </x:c>
      <x:c r="Q207" s="1255" t="str">
        <x:f>IF($C207="","",IFERROR(INDEX('23 RCC-004 MASR Registry'!$N$14:$N$163,MATCH($C207,'23 RCC-004 MASR Registry'!$B$14:$B$163,0)),""))</x:f>
      </x:c>
      <x:c r="R207" s="1255" t="str">
        <x:f>IF($C207="","",IFERROR(INDEX('23 RCC-004 MASR Registry'!$O$14:$O$163,MATCH($C207,'23 RCC-004 MASR Registry'!$B$14:$B$163,0)),""))</x:f>
      </x:c>
      <x:c r="S207" s="1255" t="str">
        <x:f>IF($C207="","",IFERROR(INDEX('23 RCC-004 MASR Registry'!$W$14:$W$163,MATCH($C207,'23 RCC-004 MASR Registry'!$B$14:$B$163,0)),""))</x:f>
      </x:c>
      <x:c r="T207" s="1255" t="str">
        <x:f>IF($C207="","",IFERROR(INDEX('23 RCC-004 MASR Registry'!$T$14:$T$163,MATCH($C207,'23 RCC-004 MASR Registry'!$B$14:$B$163,0)),""))</x:f>
      </x:c>
      <x:c r="U207" s="1256" t="str">
        <x:f>IF($C207="","",IFERROR(INDEX('23 RCC-004 MASR Registry'!$U$14:$U$163,MATCH($C207,'23 RCC-004 MASR Registry'!$B$14:$B$163,0)),""))</x:f>
      </x:c>
      <x:c r="V207" s="1252" t="str">
        <x:f>IF($C207="","",IFERROR(INDEX('23 RCC-004 MASR Registry'!$V$14:$V$163,MATCH($C207,'23 RCC-004 MASR Registry'!$B$14:$B$163,0)),""))</x:f>
      </x:c>
      <x:c r="W207" s="1242"/>
      <x:c r="X207" s="1256" t="str">
        <x:f>IF($C207="","",COUNTIF('18 RCC-002 Evidence Ledger'!$E$14:$E$213,$C207))</x:f>
      </x:c>
      <x:c r="Y207" s="1242"/>
      <x:c r="Z207" s="1253" t="str">
        <x:f>IF($A207="","",IF(COUNTIF($A$14:$A$213,$A207)&gt;1,"FAIL — DUPLICATE ID",IF(OR($B207="",$C207="",$E207="",$H207="",$Y207="",$AA207="",$AB207=""),"FAIL — INCOMPLETE",IF(AND(OR($Y207="MIAR Review",$Y207="Eligibility Review",$Y207="Candidate Comparison",$Y207="Committee Review",$Y207="Approved for MASR",$Y207="Referred to PEW-004",$Y207="On Watch",$Y207="Rejected",$Y207="Closed",$Y207="Removed"),$K207=""),"FAIL — MASR RECORD REQUIRED",IF(AND(OR($Y207="Eligibility Review",$Y207="Candidate Comparison",$Y207="Committee Review",$Y207="Approved for MASR",$Y207="Referred to PEW-004",$Y207="On Watch"),NOT(OR($M207="ELIGIBLE",$M207="ELIGIBLE WITH EXCEPTION",$M207="CERTIFIED HOLDING"))),"FAIL — ELIGIBILITY",IF(AND(OR($Y207="Candidate Comparison",$Y207="Committee Review",$Y207="Approved for MASR",$Y207="Referred to PEW-004",$Y207="On Watch"),$X207=0),"FAIL — EVIDENCE",IF(AND(OR($Y207="Candidate Comparison",$Y207="Committee Review",$Y207="Approved for MASR",$Y207="Referred to PEW-004",$Y207="On Watch"),OR($O207&lt;&gt;"Active",$P207&lt;&gt;"CURRENT")),"FAIL — MIAR GATE",IF(AND(OR($Y207="Approved for MASR",$Y207="Referred to PEW-004",$Y207="On Watch",$Y207="Rejected",$Y207="Closed",$Y207="Removed"),OR($AD207="",$AD207="Pending")),"FAIL — COMMITTEE DISPOSITION",IF(AND($Y207="Referred to PEW-004",OR($AF207&lt;&gt;"Yes — Refer to PEW-004",$AG207="",$AJ207="")),"FAIL — PEW REFERRAL","PASS — STAGE GATE")))))))))</x:f>
      </x:c>
      <x:c r="AA207" s="1242"/>
      <x:c r="AB207" s="1251"/>
      <x:c r="AC207" s="1257" t="str">
        <x:f>IF($B207="","",IF($AQ207&lt;&gt;"",$AQ207-$B207,TODAY()-$B207))</x:f>
      </x:c>
      <x:c r="AD207" s="1242"/>
      <x:c r="AE207" s="1251"/>
      <x:c r="AF207" s="1242"/>
      <x:c r="AG207" s="1242"/>
      <x:c r="AH207" s="1255" t="str">
        <x:f>IF($AG207="","",IFERROR(INDEX('10 Candidate Comparison'!$T$14:$T$33,MATCH($AG207,'10 Candidate Comparison'!$A$14:$A$33,0)),""))</x:f>
      </x:c>
      <x:c r="AI207" s="1252" t="str">
        <x:f>IF($AG207="","",IFERROR(INDEX('10 Candidate Comparison'!$U$14:$U$33,MATCH($AG207,'10 Candidate Comparison'!$A$14:$A$33,0)),""))</x:f>
      </x:c>
      <x:c r="AJ207" s="1252" t="str">
        <x:f>IF($AG207="","",IFERROR(INDEX('10 Candidate Comparison'!$Y$14:$Y$33,MATCH($AG207,'10 Candidate Comparison'!$A$14:$A$33,0)),""))</x:f>
      </x:c>
      <x:c r="AK207" s="1253" t="str">
        <x:f>IF($A207="","",IF($Z207="FAIL — DUPLICATE ID","DUPLICATE CANDIDATE ID",IF($Z207="FAIL — INCOMPLETE","INCOMPLETE",IF($Z207="FAIL — MASR RECORD REQUIRED","MASR RECORD REQUIRED",IF($Z207="FAIL — ELIGIBILITY","ELIGIBILITY BLOCK",IF($Z207="FAIL — EVIDENCE","EVIDENCE REQUIRED",IF($Z207="FAIL — MIAR GATE","MIAR GATE BLOCK",IF($Z207="FAIL — COMMITTEE DISPOSITION","COMMITTEE DECISION REQUIRED",IF($Z207="FAIL — PEW REFERRAL","PEW REFERRAL INCOMPLETE",IF(AND(OR($Y207="Rejected",$Y207="Closed",$Y207="Removed"),OR($AO207="",$AP207="",$AQ207="")),"CLOSURE REQUIRED",IF(AND($AB207&lt;TODAY(),NOT(OR($Y207="Rejected",$Y207="Closed",$Y207="Removed"))),"OVERDUE",IF(OR($Y207="Rejected",$Y207="Closed",$Y207="Removed"),"CLOSED","OPEN — ON TRACK"))))))))))))</x:f>
      </x:c>
      <x:c r="AL207" s="1253" t="str">
        <x:f>IF($AK207="","",IFERROR(INDEX('97 RCC Lists'!$AM$5:$AM$16,MATCH($AK207,'97 RCC Lists'!$AL$5:$AL$16,0)),"Review candidate exception"))</x:f>
      </x:c>
      <x:c r="AM207" s="1242"/>
      <x:c r="AN207" s="1242"/>
      <x:c r="AO207" s="1242"/>
      <x:c r="AP207" s="1242"/>
      <x:c r="AQ207" s="1251"/>
    </x:row>
    <x:row r="208" ht="32" customHeight="1">
      <x:c r="A208" s="1242"/>
      <x:c r="B208" s="1251"/>
      <x:c r="C208" s="1242"/>
      <x:c r="D208" s="1243" t="str">
        <x:f>IF($C208="","",IFERROR(INDEX('23 RCC-004 MASR Registry'!$C$14:$C$163,MATCH($C208,'23 RCC-004 MASR Registry'!$B$14:$B$163,0)),""))</x:f>
      </x:c>
      <x:c r="E208" s="1242"/>
      <x:c r="F208" s="1242"/>
      <x:c r="G208" s="1242"/>
      <x:c r="H208" s="1242"/>
      <x:c r="I208" s="1243" t="str">
        <x:f>IF($C208="","",IFERROR(INDEX('23 RCC-004 MASR Registry'!$G$14:$G$163,MATCH($C208,'23 RCC-004 MASR Registry'!$B$14:$B$163,0)),""))</x:f>
      </x:c>
      <x:c r="J208" s="1243" t="str">
        <x:f>IF($C208="","",IFERROR(INDEX('23 RCC-004 MASR Registry'!$H$14:$H$163,MATCH($C208,'23 RCC-004 MASR Registry'!$B$14:$B$163,0)),""))</x:f>
      </x:c>
      <x:c r="K208" s="1243" t="str">
        <x:f>IF($C208="","",IFERROR(INDEX('23 RCC-004 MASR Registry'!$D$14:$D$163,MATCH($C208,'23 RCC-004 MASR Registry'!$B$14:$B$163,0)),""))</x:f>
      </x:c>
      <x:c r="L208" s="1243" t="str">
        <x:f>IF($C208="","",IFERROR(INDEX('23 RCC-004 MASR Registry'!$E$14:$E$163,MATCH($C208,'23 RCC-004 MASR Registry'!$B$14:$B$163,0)),""))</x:f>
      </x:c>
      <x:c r="M208" s="1243" t="str">
        <x:f>IF($C208="","",IFERROR(INDEX('23 RCC-004 MASR Registry'!$X$14:$X$163,MATCH($C208,'23 RCC-004 MASR Registry'!$B$14:$B$163,0)),""))</x:f>
      </x:c>
      <x:c r="N208" s="1243" t="str">
        <x:f>IF($C208="","",IFERROR(INDEX('23 RCC-004 MASR Registry'!$Y$14:$Y$163,MATCH($C208,'23 RCC-004 MASR Registry'!$B$14:$B$163,0)),""))</x:f>
      </x:c>
      <x:c r="O208" s="1243" t="str">
        <x:f>IF($C208="","",IFERROR(INDEX('23 RCC-004 MASR Registry'!$L$14:$L$163,MATCH($C208,'23 RCC-004 MASR Registry'!$B$14:$B$163,0)),""))</x:f>
      </x:c>
      <x:c r="P208" s="1243" t="str">
        <x:f>IF($C208="","",IFERROR(INDEX('23 RCC-004 MASR Registry'!$M$14:$M$163,MATCH($C208,'23 RCC-004 MASR Registry'!$B$14:$B$163,0)),""))</x:f>
      </x:c>
      <x:c r="Q208" s="1246" t="str">
        <x:f>IF($C208="","",IFERROR(INDEX('23 RCC-004 MASR Registry'!$N$14:$N$163,MATCH($C208,'23 RCC-004 MASR Registry'!$B$14:$B$163,0)),""))</x:f>
      </x:c>
      <x:c r="R208" s="1246" t="str">
        <x:f>IF($C208="","",IFERROR(INDEX('23 RCC-004 MASR Registry'!$O$14:$O$163,MATCH($C208,'23 RCC-004 MASR Registry'!$B$14:$B$163,0)),""))</x:f>
      </x:c>
      <x:c r="S208" s="1246" t="str">
        <x:f>IF($C208="","",IFERROR(INDEX('23 RCC-004 MASR Registry'!$W$14:$W$163,MATCH($C208,'23 RCC-004 MASR Registry'!$B$14:$B$163,0)),""))</x:f>
      </x:c>
      <x:c r="T208" s="1246" t="str">
        <x:f>IF($C208="","",IFERROR(INDEX('23 RCC-004 MASR Registry'!$T$14:$T$163,MATCH($C208,'23 RCC-004 MASR Registry'!$B$14:$B$163,0)),""))</x:f>
      </x:c>
      <x:c r="U208" s="1247" t="str">
        <x:f>IF($C208="","",IFERROR(INDEX('23 RCC-004 MASR Registry'!$U$14:$U$163,MATCH($C208,'23 RCC-004 MASR Registry'!$B$14:$B$163,0)),""))</x:f>
      </x:c>
      <x:c r="V208" s="1243" t="str">
        <x:f>IF($C208="","",IFERROR(INDEX('23 RCC-004 MASR Registry'!$V$14:$V$163,MATCH($C208,'23 RCC-004 MASR Registry'!$B$14:$B$163,0)),""))</x:f>
      </x:c>
      <x:c r="W208" s="1242"/>
      <x:c r="X208" s="1247" t="str">
        <x:f>IF($C208="","",COUNTIF('18 RCC-002 Evidence Ledger'!$E$14:$E$213,$C208))</x:f>
      </x:c>
      <x:c r="Y208" s="1242"/>
      <x:c r="Z208" s="1244" t="str">
        <x:f>IF($A208="","",IF(COUNTIF($A$14:$A$213,$A208)&gt;1,"FAIL — DUPLICATE ID",IF(OR($B208="",$C208="",$E208="",$H208="",$Y208="",$AA208="",$AB208=""),"FAIL — INCOMPLETE",IF(AND(OR($Y208="MIAR Review",$Y208="Eligibility Review",$Y208="Candidate Comparison",$Y208="Committee Review",$Y208="Approved for MASR",$Y208="Referred to PEW-004",$Y208="On Watch",$Y208="Rejected",$Y208="Closed",$Y208="Removed"),$K208=""),"FAIL — MASR RECORD REQUIRED",IF(AND(OR($Y208="Eligibility Review",$Y208="Candidate Comparison",$Y208="Committee Review",$Y208="Approved for MASR",$Y208="Referred to PEW-004",$Y208="On Watch"),NOT(OR($M208="ELIGIBLE",$M208="ELIGIBLE WITH EXCEPTION",$M208="CERTIFIED HOLDING"))),"FAIL — ELIGIBILITY",IF(AND(OR($Y208="Candidate Comparison",$Y208="Committee Review",$Y208="Approved for MASR",$Y208="Referred to PEW-004",$Y208="On Watch"),$X208=0),"FAIL — EVIDENCE",IF(AND(OR($Y208="Candidate Comparison",$Y208="Committee Review",$Y208="Approved for MASR",$Y208="Referred to PEW-004",$Y208="On Watch"),OR($O208&lt;&gt;"Active",$P208&lt;&gt;"CURRENT")),"FAIL — MIAR GATE",IF(AND(OR($Y208="Approved for MASR",$Y208="Referred to PEW-004",$Y208="On Watch",$Y208="Rejected",$Y208="Closed",$Y208="Removed"),OR($AD208="",$AD208="Pending")),"FAIL — COMMITTEE DISPOSITION",IF(AND($Y208="Referred to PEW-004",OR($AF208&lt;&gt;"Yes — Refer to PEW-004",$AG208="",$AJ208="")),"FAIL — PEW REFERRAL","PASS — STAGE GATE")))))))))</x:f>
      </x:c>
      <x:c r="AA208" s="1242"/>
      <x:c r="AB208" s="1251"/>
      <x:c r="AC208" s="1250" t="str">
        <x:f>IF($B208="","",IF($AQ208&lt;&gt;"",$AQ208-$B208,TODAY()-$B208))</x:f>
      </x:c>
      <x:c r="AD208" s="1242"/>
      <x:c r="AE208" s="1251"/>
      <x:c r="AF208" s="1242"/>
      <x:c r="AG208" s="1242"/>
      <x:c r="AH208" s="1246" t="str">
        <x:f>IF($AG208="","",IFERROR(INDEX('10 Candidate Comparison'!$T$14:$T$33,MATCH($AG208,'10 Candidate Comparison'!$A$14:$A$33,0)),""))</x:f>
      </x:c>
      <x:c r="AI208" s="1243" t="str">
        <x:f>IF($AG208="","",IFERROR(INDEX('10 Candidate Comparison'!$U$14:$U$33,MATCH($AG208,'10 Candidate Comparison'!$A$14:$A$33,0)),""))</x:f>
      </x:c>
      <x:c r="AJ208" s="1243" t="str">
        <x:f>IF($AG208="","",IFERROR(INDEX('10 Candidate Comparison'!$Y$14:$Y$33,MATCH($AG208,'10 Candidate Comparison'!$A$14:$A$33,0)),""))</x:f>
      </x:c>
      <x:c r="AK208" s="1244" t="str">
        <x:f>IF($A208="","",IF($Z208="FAIL — DUPLICATE ID","DUPLICATE CANDIDATE ID",IF($Z208="FAIL — INCOMPLETE","INCOMPLETE",IF($Z208="FAIL — MASR RECORD REQUIRED","MASR RECORD REQUIRED",IF($Z208="FAIL — ELIGIBILITY","ELIGIBILITY BLOCK",IF($Z208="FAIL — EVIDENCE","EVIDENCE REQUIRED",IF($Z208="FAIL — MIAR GATE","MIAR GATE BLOCK",IF($Z208="FAIL — COMMITTEE DISPOSITION","COMMITTEE DECISION REQUIRED",IF($Z208="FAIL — PEW REFERRAL","PEW REFERRAL INCOMPLETE",IF(AND(OR($Y208="Rejected",$Y208="Closed",$Y208="Removed"),OR($AO208="",$AP208="",$AQ208="")),"CLOSURE REQUIRED",IF(AND($AB208&lt;TODAY(),NOT(OR($Y208="Rejected",$Y208="Closed",$Y208="Removed"))),"OVERDUE",IF(OR($Y208="Rejected",$Y208="Closed",$Y208="Removed"),"CLOSED","OPEN — ON TRACK"))))))))))))</x:f>
      </x:c>
      <x:c r="AL208" s="1244" t="str">
        <x:f>IF($AK208="","",IFERROR(INDEX('97 RCC Lists'!$AM$5:$AM$16,MATCH($AK208,'97 RCC Lists'!$AL$5:$AL$16,0)),"Review candidate exception"))</x:f>
      </x:c>
      <x:c r="AM208" s="1242"/>
      <x:c r="AN208" s="1242"/>
      <x:c r="AO208" s="1242"/>
      <x:c r="AP208" s="1242"/>
      <x:c r="AQ208" s="1251"/>
    </x:row>
    <x:row r="209" ht="32" customHeight="1">
      <x:c r="A209" s="1242"/>
      <x:c r="B209" s="1251"/>
      <x:c r="C209" s="1242"/>
      <x:c r="D209" s="1252" t="str">
        <x:f>IF($C209="","",IFERROR(INDEX('23 RCC-004 MASR Registry'!$C$14:$C$163,MATCH($C209,'23 RCC-004 MASR Registry'!$B$14:$B$163,0)),""))</x:f>
      </x:c>
      <x:c r="E209" s="1242"/>
      <x:c r="F209" s="1242"/>
      <x:c r="G209" s="1242"/>
      <x:c r="H209" s="1242"/>
      <x:c r="I209" s="1252" t="str">
        <x:f>IF($C209="","",IFERROR(INDEX('23 RCC-004 MASR Registry'!$G$14:$G$163,MATCH($C209,'23 RCC-004 MASR Registry'!$B$14:$B$163,0)),""))</x:f>
      </x:c>
      <x:c r="J209" s="1252" t="str">
        <x:f>IF($C209="","",IFERROR(INDEX('23 RCC-004 MASR Registry'!$H$14:$H$163,MATCH($C209,'23 RCC-004 MASR Registry'!$B$14:$B$163,0)),""))</x:f>
      </x:c>
      <x:c r="K209" s="1252" t="str">
        <x:f>IF($C209="","",IFERROR(INDEX('23 RCC-004 MASR Registry'!$D$14:$D$163,MATCH($C209,'23 RCC-004 MASR Registry'!$B$14:$B$163,0)),""))</x:f>
      </x:c>
      <x:c r="L209" s="1252" t="str">
        <x:f>IF($C209="","",IFERROR(INDEX('23 RCC-004 MASR Registry'!$E$14:$E$163,MATCH($C209,'23 RCC-004 MASR Registry'!$B$14:$B$163,0)),""))</x:f>
      </x:c>
      <x:c r="M209" s="1252" t="str">
        <x:f>IF($C209="","",IFERROR(INDEX('23 RCC-004 MASR Registry'!$X$14:$X$163,MATCH($C209,'23 RCC-004 MASR Registry'!$B$14:$B$163,0)),""))</x:f>
      </x:c>
      <x:c r="N209" s="1252" t="str">
        <x:f>IF($C209="","",IFERROR(INDEX('23 RCC-004 MASR Registry'!$Y$14:$Y$163,MATCH($C209,'23 RCC-004 MASR Registry'!$B$14:$B$163,0)),""))</x:f>
      </x:c>
      <x:c r="O209" s="1252" t="str">
        <x:f>IF($C209="","",IFERROR(INDEX('23 RCC-004 MASR Registry'!$L$14:$L$163,MATCH($C209,'23 RCC-004 MASR Registry'!$B$14:$B$163,0)),""))</x:f>
      </x:c>
      <x:c r="P209" s="1252" t="str">
        <x:f>IF($C209="","",IFERROR(INDEX('23 RCC-004 MASR Registry'!$M$14:$M$163,MATCH($C209,'23 RCC-004 MASR Registry'!$B$14:$B$163,0)),""))</x:f>
      </x:c>
      <x:c r="Q209" s="1255" t="str">
        <x:f>IF($C209="","",IFERROR(INDEX('23 RCC-004 MASR Registry'!$N$14:$N$163,MATCH($C209,'23 RCC-004 MASR Registry'!$B$14:$B$163,0)),""))</x:f>
      </x:c>
      <x:c r="R209" s="1255" t="str">
        <x:f>IF($C209="","",IFERROR(INDEX('23 RCC-004 MASR Registry'!$O$14:$O$163,MATCH($C209,'23 RCC-004 MASR Registry'!$B$14:$B$163,0)),""))</x:f>
      </x:c>
      <x:c r="S209" s="1255" t="str">
        <x:f>IF($C209="","",IFERROR(INDEX('23 RCC-004 MASR Registry'!$W$14:$W$163,MATCH($C209,'23 RCC-004 MASR Registry'!$B$14:$B$163,0)),""))</x:f>
      </x:c>
      <x:c r="T209" s="1255" t="str">
        <x:f>IF($C209="","",IFERROR(INDEX('23 RCC-004 MASR Registry'!$T$14:$T$163,MATCH($C209,'23 RCC-004 MASR Registry'!$B$14:$B$163,0)),""))</x:f>
      </x:c>
      <x:c r="U209" s="1256" t="str">
        <x:f>IF($C209="","",IFERROR(INDEX('23 RCC-004 MASR Registry'!$U$14:$U$163,MATCH($C209,'23 RCC-004 MASR Registry'!$B$14:$B$163,0)),""))</x:f>
      </x:c>
      <x:c r="V209" s="1252" t="str">
        <x:f>IF($C209="","",IFERROR(INDEX('23 RCC-004 MASR Registry'!$V$14:$V$163,MATCH($C209,'23 RCC-004 MASR Registry'!$B$14:$B$163,0)),""))</x:f>
      </x:c>
      <x:c r="W209" s="1242"/>
      <x:c r="X209" s="1256" t="str">
        <x:f>IF($C209="","",COUNTIF('18 RCC-002 Evidence Ledger'!$E$14:$E$213,$C209))</x:f>
      </x:c>
      <x:c r="Y209" s="1242"/>
      <x:c r="Z209" s="1253" t="str">
        <x:f>IF($A209="","",IF(COUNTIF($A$14:$A$213,$A209)&gt;1,"FAIL — DUPLICATE ID",IF(OR($B209="",$C209="",$E209="",$H209="",$Y209="",$AA209="",$AB209=""),"FAIL — INCOMPLETE",IF(AND(OR($Y209="MIAR Review",$Y209="Eligibility Review",$Y209="Candidate Comparison",$Y209="Committee Review",$Y209="Approved for MASR",$Y209="Referred to PEW-004",$Y209="On Watch",$Y209="Rejected",$Y209="Closed",$Y209="Removed"),$K209=""),"FAIL — MASR RECORD REQUIRED",IF(AND(OR($Y209="Eligibility Review",$Y209="Candidate Comparison",$Y209="Committee Review",$Y209="Approved for MASR",$Y209="Referred to PEW-004",$Y209="On Watch"),NOT(OR($M209="ELIGIBLE",$M209="ELIGIBLE WITH EXCEPTION",$M209="CERTIFIED HOLDING"))),"FAIL — ELIGIBILITY",IF(AND(OR($Y209="Candidate Comparison",$Y209="Committee Review",$Y209="Approved for MASR",$Y209="Referred to PEW-004",$Y209="On Watch"),$X209=0),"FAIL — EVIDENCE",IF(AND(OR($Y209="Candidate Comparison",$Y209="Committee Review",$Y209="Approved for MASR",$Y209="Referred to PEW-004",$Y209="On Watch"),OR($O209&lt;&gt;"Active",$P209&lt;&gt;"CURRENT")),"FAIL — MIAR GATE",IF(AND(OR($Y209="Approved for MASR",$Y209="Referred to PEW-004",$Y209="On Watch",$Y209="Rejected",$Y209="Closed",$Y209="Removed"),OR($AD209="",$AD209="Pending")),"FAIL — COMMITTEE DISPOSITION",IF(AND($Y209="Referred to PEW-004",OR($AF209&lt;&gt;"Yes — Refer to PEW-004",$AG209="",$AJ209="")),"FAIL — PEW REFERRAL","PASS — STAGE GATE")))))))))</x:f>
      </x:c>
      <x:c r="AA209" s="1242"/>
      <x:c r="AB209" s="1251"/>
      <x:c r="AC209" s="1257" t="str">
        <x:f>IF($B209="","",IF($AQ209&lt;&gt;"",$AQ209-$B209,TODAY()-$B209))</x:f>
      </x:c>
      <x:c r="AD209" s="1242"/>
      <x:c r="AE209" s="1251"/>
      <x:c r="AF209" s="1242"/>
      <x:c r="AG209" s="1242"/>
      <x:c r="AH209" s="1255" t="str">
        <x:f>IF($AG209="","",IFERROR(INDEX('10 Candidate Comparison'!$T$14:$T$33,MATCH($AG209,'10 Candidate Comparison'!$A$14:$A$33,0)),""))</x:f>
      </x:c>
      <x:c r="AI209" s="1252" t="str">
        <x:f>IF($AG209="","",IFERROR(INDEX('10 Candidate Comparison'!$U$14:$U$33,MATCH($AG209,'10 Candidate Comparison'!$A$14:$A$33,0)),""))</x:f>
      </x:c>
      <x:c r="AJ209" s="1252" t="str">
        <x:f>IF($AG209="","",IFERROR(INDEX('10 Candidate Comparison'!$Y$14:$Y$33,MATCH($AG209,'10 Candidate Comparison'!$A$14:$A$33,0)),""))</x:f>
      </x:c>
      <x:c r="AK209" s="1253" t="str">
        <x:f>IF($A209="","",IF($Z209="FAIL — DUPLICATE ID","DUPLICATE CANDIDATE ID",IF($Z209="FAIL — INCOMPLETE","INCOMPLETE",IF($Z209="FAIL — MASR RECORD REQUIRED","MASR RECORD REQUIRED",IF($Z209="FAIL — ELIGIBILITY","ELIGIBILITY BLOCK",IF($Z209="FAIL — EVIDENCE","EVIDENCE REQUIRED",IF($Z209="FAIL — MIAR GATE","MIAR GATE BLOCK",IF($Z209="FAIL — COMMITTEE DISPOSITION","COMMITTEE DECISION REQUIRED",IF($Z209="FAIL — PEW REFERRAL","PEW REFERRAL INCOMPLETE",IF(AND(OR($Y209="Rejected",$Y209="Closed",$Y209="Removed"),OR($AO209="",$AP209="",$AQ209="")),"CLOSURE REQUIRED",IF(AND($AB209&lt;TODAY(),NOT(OR($Y209="Rejected",$Y209="Closed",$Y209="Removed"))),"OVERDUE",IF(OR($Y209="Rejected",$Y209="Closed",$Y209="Removed"),"CLOSED","OPEN — ON TRACK"))))))))))))</x:f>
      </x:c>
      <x:c r="AL209" s="1253" t="str">
        <x:f>IF($AK209="","",IFERROR(INDEX('97 RCC Lists'!$AM$5:$AM$16,MATCH($AK209,'97 RCC Lists'!$AL$5:$AL$16,0)),"Review candidate exception"))</x:f>
      </x:c>
      <x:c r="AM209" s="1242"/>
      <x:c r="AN209" s="1242"/>
      <x:c r="AO209" s="1242"/>
      <x:c r="AP209" s="1242"/>
      <x:c r="AQ209" s="1251"/>
    </x:row>
    <x:row r="210" ht="32" customHeight="1">
      <x:c r="A210" s="1242"/>
      <x:c r="B210" s="1251"/>
      <x:c r="C210" s="1242"/>
      <x:c r="D210" s="1243" t="str">
        <x:f>IF($C210="","",IFERROR(INDEX('23 RCC-004 MASR Registry'!$C$14:$C$163,MATCH($C210,'23 RCC-004 MASR Registry'!$B$14:$B$163,0)),""))</x:f>
      </x:c>
      <x:c r="E210" s="1242"/>
      <x:c r="F210" s="1242"/>
      <x:c r="G210" s="1242"/>
      <x:c r="H210" s="1242"/>
      <x:c r="I210" s="1243" t="str">
        <x:f>IF($C210="","",IFERROR(INDEX('23 RCC-004 MASR Registry'!$G$14:$G$163,MATCH($C210,'23 RCC-004 MASR Registry'!$B$14:$B$163,0)),""))</x:f>
      </x:c>
      <x:c r="J210" s="1243" t="str">
        <x:f>IF($C210="","",IFERROR(INDEX('23 RCC-004 MASR Registry'!$H$14:$H$163,MATCH($C210,'23 RCC-004 MASR Registry'!$B$14:$B$163,0)),""))</x:f>
      </x:c>
      <x:c r="K210" s="1243" t="str">
        <x:f>IF($C210="","",IFERROR(INDEX('23 RCC-004 MASR Registry'!$D$14:$D$163,MATCH($C210,'23 RCC-004 MASR Registry'!$B$14:$B$163,0)),""))</x:f>
      </x:c>
      <x:c r="L210" s="1243" t="str">
        <x:f>IF($C210="","",IFERROR(INDEX('23 RCC-004 MASR Registry'!$E$14:$E$163,MATCH($C210,'23 RCC-004 MASR Registry'!$B$14:$B$163,0)),""))</x:f>
      </x:c>
      <x:c r="M210" s="1243" t="str">
        <x:f>IF($C210="","",IFERROR(INDEX('23 RCC-004 MASR Registry'!$X$14:$X$163,MATCH($C210,'23 RCC-004 MASR Registry'!$B$14:$B$163,0)),""))</x:f>
      </x:c>
      <x:c r="N210" s="1243" t="str">
        <x:f>IF($C210="","",IFERROR(INDEX('23 RCC-004 MASR Registry'!$Y$14:$Y$163,MATCH($C210,'23 RCC-004 MASR Registry'!$B$14:$B$163,0)),""))</x:f>
      </x:c>
      <x:c r="O210" s="1243" t="str">
        <x:f>IF($C210="","",IFERROR(INDEX('23 RCC-004 MASR Registry'!$L$14:$L$163,MATCH($C210,'23 RCC-004 MASR Registry'!$B$14:$B$163,0)),""))</x:f>
      </x:c>
      <x:c r="P210" s="1243" t="str">
        <x:f>IF($C210="","",IFERROR(INDEX('23 RCC-004 MASR Registry'!$M$14:$M$163,MATCH($C210,'23 RCC-004 MASR Registry'!$B$14:$B$163,0)),""))</x:f>
      </x:c>
      <x:c r="Q210" s="1246" t="str">
        <x:f>IF($C210="","",IFERROR(INDEX('23 RCC-004 MASR Registry'!$N$14:$N$163,MATCH($C210,'23 RCC-004 MASR Registry'!$B$14:$B$163,0)),""))</x:f>
      </x:c>
      <x:c r="R210" s="1246" t="str">
        <x:f>IF($C210="","",IFERROR(INDEX('23 RCC-004 MASR Registry'!$O$14:$O$163,MATCH($C210,'23 RCC-004 MASR Registry'!$B$14:$B$163,0)),""))</x:f>
      </x:c>
      <x:c r="S210" s="1246" t="str">
        <x:f>IF($C210="","",IFERROR(INDEX('23 RCC-004 MASR Registry'!$W$14:$W$163,MATCH($C210,'23 RCC-004 MASR Registry'!$B$14:$B$163,0)),""))</x:f>
      </x:c>
      <x:c r="T210" s="1246" t="str">
        <x:f>IF($C210="","",IFERROR(INDEX('23 RCC-004 MASR Registry'!$T$14:$T$163,MATCH($C210,'23 RCC-004 MASR Registry'!$B$14:$B$163,0)),""))</x:f>
      </x:c>
      <x:c r="U210" s="1247" t="str">
        <x:f>IF($C210="","",IFERROR(INDEX('23 RCC-004 MASR Registry'!$U$14:$U$163,MATCH($C210,'23 RCC-004 MASR Registry'!$B$14:$B$163,0)),""))</x:f>
      </x:c>
      <x:c r="V210" s="1243" t="str">
        <x:f>IF($C210="","",IFERROR(INDEX('23 RCC-004 MASR Registry'!$V$14:$V$163,MATCH($C210,'23 RCC-004 MASR Registry'!$B$14:$B$163,0)),""))</x:f>
      </x:c>
      <x:c r="W210" s="1242"/>
      <x:c r="X210" s="1247" t="str">
        <x:f>IF($C210="","",COUNTIF('18 RCC-002 Evidence Ledger'!$E$14:$E$213,$C210))</x:f>
      </x:c>
      <x:c r="Y210" s="1242"/>
      <x:c r="Z210" s="1244" t="str">
        <x:f>IF($A210="","",IF(COUNTIF($A$14:$A$213,$A210)&gt;1,"FAIL — DUPLICATE ID",IF(OR($B210="",$C210="",$E210="",$H210="",$Y210="",$AA210="",$AB210=""),"FAIL — INCOMPLETE",IF(AND(OR($Y210="MIAR Review",$Y210="Eligibility Review",$Y210="Candidate Comparison",$Y210="Committee Review",$Y210="Approved for MASR",$Y210="Referred to PEW-004",$Y210="On Watch",$Y210="Rejected",$Y210="Closed",$Y210="Removed"),$K210=""),"FAIL — MASR RECORD REQUIRED",IF(AND(OR($Y210="Eligibility Review",$Y210="Candidate Comparison",$Y210="Committee Review",$Y210="Approved for MASR",$Y210="Referred to PEW-004",$Y210="On Watch"),NOT(OR($M210="ELIGIBLE",$M210="ELIGIBLE WITH EXCEPTION",$M210="CERTIFIED HOLDING"))),"FAIL — ELIGIBILITY",IF(AND(OR($Y210="Candidate Comparison",$Y210="Committee Review",$Y210="Approved for MASR",$Y210="Referred to PEW-004",$Y210="On Watch"),$X210=0),"FAIL — EVIDENCE",IF(AND(OR($Y210="Candidate Comparison",$Y210="Committee Review",$Y210="Approved for MASR",$Y210="Referred to PEW-004",$Y210="On Watch"),OR($O210&lt;&gt;"Active",$P210&lt;&gt;"CURRENT")),"FAIL — MIAR GATE",IF(AND(OR($Y210="Approved for MASR",$Y210="Referred to PEW-004",$Y210="On Watch",$Y210="Rejected",$Y210="Closed",$Y210="Removed"),OR($AD210="",$AD210="Pending")),"FAIL — COMMITTEE DISPOSITION",IF(AND($Y210="Referred to PEW-004",OR($AF210&lt;&gt;"Yes — Refer to PEW-004",$AG210="",$AJ210="")),"FAIL — PEW REFERRAL","PASS — STAGE GATE")))))))))</x:f>
      </x:c>
      <x:c r="AA210" s="1242"/>
      <x:c r="AB210" s="1251"/>
      <x:c r="AC210" s="1250" t="str">
        <x:f>IF($B210="","",IF($AQ210&lt;&gt;"",$AQ210-$B210,TODAY()-$B210))</x:f>
      </x:c>
      <x:c r="AD210" s="1242"/>
      <x:c r="AE210" s="1251"/>
      <x:c r="AF210" s="1242"/>
      <x:c r="AG210" s="1242"/>
      <x:c r="AH210" s="1246" t="str">
        <x:f>IF($AG210="","",IFERROR(INDEX('10 Candidate Comparison'!$T$14:$T$33,MATCH($AG210,'10 Candidate Comparison'!$A$14:$A$33,0)),""))</x:f>
      </x:c>
      <x:c r="AI210" s="1243" t="str">
        <x:f>IF($AG210="","",IFERROR(INDEX('10 Candidate Comparison'!$U$14:$U$33,MATCH($AG210,'10 Candidate Comparison'!$A$14:$A$33,0)),""))</x:f>
      </x:c>
      <x:c r="AJ210" s="1243" t="str">
        <x:f>IF($AG210="","",IFERROR(INDEX('10 Candidate Comparison'!$Y$14:$Y$33,MATCH($AG210,'10 Candidate Comparison'!$A$14:$A$33,0)),""))</x:f>
      </x:c>
      <x:c r="AK210" s="1244" t="str">
        <x:f>IF($A210="","",IF($Z210="FAIL — DUPLICATE ID","DUPLICATE CANDIDATE ID",IF($Z210="FAIL — INCOMPLETE","INCOMPLETE",IF($Z210="FAIL — MASR RECORD REQUIRED","MASR RECORD REQUIRED",IF($Z210="FAIL — ELIGIBILITY","ELIGIBILITY BLOCK",IF($Z210="FAIL — EVIDENCE","EVIDENCE REQUIRED",IF($Z210="FAIL — MIAR GATE","MIAR GATE BLOCK",IF($Z210="FAIL — COMMITTEE DISPOSITION","COMMITTEE DECISION REQUIRED",IF($Z210="FAIL — PEW REFERRAL","PEW REFERRAL INCOMPLETE",IF(AND(OR($Y210="Rejected",$Y210="Closed",$Y210="Removed"),OR($AO210="",$AP210="",$AQ210="")),"CLOSURE REQUIRED",IF(AND($AB210&lt;TODAY(),NOT(OR($Y210="Rejected",$Y210="Closed",$Y210="Removed"))),"OVERDUE",IF(OR($Y210="Rejected",$Y210="Closed",$Y210="Removed"),"CLOSED","OPEN — ON TRACK"))))))))))))</x:f>
      </x:c>
      <x:c r="AL210" s="1244" t="str">
        <x:f>IF($AK210="","",IFERROR(INDEX('97 RCC Lists'!$AM$5:$AM$16,MATCH($AK210,'97 RCC Lists'!$AL$5:$AL$16,0)),"Review candidate exception"))</x:f>
      </x:c>
      <x:c r="AM210" s="1242"/>
      <x:c r="AN210" s="1242"/>
      <x:c r="AO210" s="1242"/>
      <x:c r="AP210" s="1242"/>
      <x:c r="AQ210" s="1251"/>
    </x:row>
    <x:row r="211" ht="32" customHeight="1">
      <x:c r="A211" s="1242"/>
      <x:c r="B211" s="1251"/>
      <x:c r="C211" s="1242"/>
      <x:c r="D211" s="1252" t="str">
        <x:f>IF($C211="","",IFERROR(INDEX('23 RCC-004 MASR Registry'!$C$14:$C$163,MATCH($C211,'23 RCC-004 MASR Registry'!$B$14:$B$163,0)),""))</x:f>
      </x:c>
      <x:c r="E211" s="1242"/>
      <x:c r="F211" s="1242"/>
      <x:c r="G211" s="1242"/>
      <x:c r="H211" s="1242"/>
      <x:c r="I211" s="1252" t="str">
        <x:f>IF($C211="","",IFERROR(INDEX('23 RCC-004 MASR Registry'!$G$14:$G$163,MATCH($C211,'23 RCC-004 MASR Registry'!$B$14:$B$163,0)),""))</x:f>
      </x:c>
      <x:c r="J211" s="1252" t="str">
        <x:f>IF($C211="","",IFERROR(INDEX('23 RCC-004 MASR Registry'!$H$14:$H$163,MATCH($C211,'23 RCC-004 MASR Registry'!$B$14:$B$163,0)),""))</x:f>
      </x:c>
      <x:c r="K211" s="1252" t="str">
        <x:f>IF($C211="","",IFERROR(INDEX('23 RCC-004 MASR Registry'!$D$14:$D$163,MATCH($C211,'23 RCC-004 MASR Registry'!$B$14:$B$163,0)),""))</x:f>
      </x:c>
      <x:c r="L211" s="1252" t="str">
        <x:f>IF($C211="","",IFERROR(INDEX('23 RCC-004 MASR Registry'!$E$14:$E$163,MATCH($C211,'23 RCC-004 MASR Registry'!$B$14:$B$163,0)),""))</x:f>
      </x:c>
      <x:c r="M211" s="1252" t="str">
        <x:f>IF($C211="","",IFERROR(INDEX('23 RCC-004 MASR Registry'!$X$14:$X$163,MATCH($C211,'23 RCC-004 MASR Registry'!$B$14:$B$163,0)),""))</x:f>
      </x:c>
      <x:c r="N211" s="1252" t="str">
        <x:f>IF($C211="","",IFERROR(INDEX('23 RCC-004 MASR Registry'!$Y$14:$Y$163,MATCH($C211,'23 RCC-004 MASR Registry'!$B$14:$B$163,0)),""))</x:f>
      </x:c>
      <x:c r="O211" s="1252" t="str">
        <x:f>IF($C211="","",IFERROR(INDEX('23 RCC-004 MASR Registry'!$L$14:$L$163,MATCH($C211,'23 RCC-004 MASR Registry'!$B$14:$B$163,0)),""))</x:f>
      </x:c>
      <x:c r="P211" s="1252" t="str">
        <x:f>IF($C211="","",IFERROR(INDEX('23 RCC-004 MASR Registry'!$M$14:$M$163,MATCH($C211,'23 RCC-004 MASR Registry'!$B$14:$B$163,0)),""))</x:f>
      </x:c>
      <x:c r="Q211" s="1255" t="str">
        <x:f>IF($C211="","",IFERROR(INDEX('23 RCC-004 MASR Registry'!$N$14:$N$163,MATCH($C211,'23 RCC-004 MASR Registry'!$B$14:$B$163,0)),""))</x:f>
      </x:c>
      <x:c r="R211" s="1255" t="str">
        <x:f>IF($C211="","",IFERROR(INDEX('23 RCC-004 MASR Registry'!$O$14:$O$163,MATCH($C211,'23 RCC-004 MASR Registry'!$B$14:$B$163,0)),""))</x:f>
      </x:c>
      <x:c r="S211" s="1255" t="str">
        <x:f>IF($C211="","",IFERROR(INDEX('23 RCC-004 MASR Registry'!$W$14:$W$163,MATCH($C211,'23 RCC-004 MASR Registry'!$B$14:$B$163,0)),""))</x:f>
      </x:c>
      <x:c r="T211" s="1255" t="str">
        <x:f>IF($C211="","",IFERROR(INDEX('23 RCC-004 MASR Registry'!$T$14:$T$163,MATCH($C211,'23 RCC-004 MASR Registry'!$B$14:$B$163,0)),""))</x:f>
      </x:c>
      <x:c r="U211" s="1256" t="str">
        <x:f>IF($C211="","",IFERROR(INDEX('23 RCC-004 MASR Registry'!$U$14:$U$163,MATCH($C211,'23 RCC-004 MASR Registry'!$B$14:$B$163,0)),""))</x:f>
      </x:c>
      <x:c r="V211" s="1252" t="str">
        <x:f>IF($C211="","",IFERROR(INDEX('23 RCC-004 MASR Registry'!$V$14:$V$163,MATCH($C211,'23 RCC-004 MASR Registry'!$B$14:$B$163,0)),""))</x:f>
      </x:c>
      <x:c r="W211" s="1242"/>
      <x:c r="X211" s="1256" t="str">
        <x:f>IF($C211="","",COUNTIF('18 RCC-002 Evidence Ledger'!$E$14:$E$213,$C211))</x:f>
      </x:c>
      <x:c r="Y211" s="1242"/>
      <x:c r="Z211" s="1253" t="str">
        <x:f>IF($A211="","",IF(COUNTIF($A$14:$A$213,$A211)&gt;1,"FAIL — DUPLICATE ID",IF(OR($B211="",$C211="",$E211="",$H211="",$Y211="",$AA211="",$AB211=""),"FAIL — INCOMPLETE",IF(AND(OR($Y211="MIAR Review",$Y211="Eligibility Review",$Y211="Candidate Comparison",$Y211="Committee Review",$Y211="Approved for MASR",$Y211="Referred to PEW-004",$Y211="On Watch",$Y211="Rejected",$Y211="Closed",$Y211="Removed"),$K211=""),"FAIL — MASR RECORD REQUIRED",IF(AND(OR($Y211="Eligibility Review",$Y211="Candidate Comparison",$Y211="Committee Review",$Y211="Approved for MASR",$Y211="Referred to PEW-004",$Y211="On Watch"),NOT(OR($M211="ELIGIBLE",$M211="ELIGIBLE WITH EXCEPTION",$M211="CERTIFIED HOLDING"))),"FAIL — ELIGIBILITY",IF(AND(OR($Y211="Candidate Comparison",$Y211="Committee Review",$Y211="Approved for MASR",$Y211="Referred to PEW-004",$Y211="On Watch"),$X211=0),"FAIL — EVIDENCE",IF(AND(OR($Y211="Candidate Comparison",$Y211="Committee Review",$Y211="Approved for MASR",$Y211="Referred to PEW-004",$Y211="On Watch"),OR($O211&lt;&gt;"Active",$P211&lt;&gt;"CURRENT")),"FAIL — MIAR GATE",IF(AND(OR($Y211="Approved for MASR",$Y211="Referred to PEW-004",$Y211="On Watch",$Y211="Rejected",$Y211="Closed",$Y211="Removed"),OR($AD211="",$AD211="Pending")),"FAIL — COMMITTEE DISPOSITION",IF(AND($Y211="Referred to PEW-004",OR($AF211&lt;&gt;"Yes — Refer to PEW-004",$AG211="",$AJ211="")),"FAIL — PEW REFERRAL","PASS — STAGE GATE")))))))))</x:f>
      </x:c>
      <x:c r="AA211" s="1242"/>
      <x:c r="AB211" s="1251"/>
      <x:c r="AC211" s="1257" t="str">
        <x:f>IF($B211="","",IF($AQ211&lt;&gt;"",$AQ211-$B211,TODAY()-$B211))</x:f>
      </x:c>
      <x:c r="AD211" s="1242"/>
      <x:c r="AE211" s="1251"/>
      <x:c r="AF211" s="1242"/>
      <x:c r="AG211" s="1242"/>
      <x:c r="AH211" s="1255" t="str">
        <x:f>IF($AG211="","",IFERROR(INDEX('10 Candidate Comparison'!$T$14:$T$33,MATCH($AG211,'10 Candidate Comparison'!$A$14:$A$33,0)),""))</x:f>
      </x:c>
      <x:c r="AI211" s="1252" t="str">
        <x:f>IF($AG211="","",IFERROR(INDEX('10 Candidate Comparison'!$U$14:$U$33,MATCH($AG211,'10 Candidate Comparison'!$A$14:$A$33,0)),""))</x:f>
      </x:c>
      <x:c r="AJ211" s="1252" t="str">
        <x:f>IF($AG211="","",IFERROR(INDEX('10 Candidate Comparison'!$Y$14:$Y$33,MATCH($AG211,'10 Candidate Comparison'!$A$14:$A$33,0)),""))</x:f>
      </x:c>
      <x:c r="AK211" s="1253" t="str">
        <x:f>IF($A211="","",IF($Z211="FAIL — DUPLICATE ID","DUPLICATE CANDIDATE ID",IF($Z211="FAIL — INCOMPLETE","INCOMPLETE",IF($Z211="FAIL — MASR RECORD REQUIRED","MASR RECORD REQUIRED",IF($Z211="FAIL — ELIGIBILITY","ELIGIBILITY BLOCK",IF($Z211="FAIL — EVIDENCE","EVIDENCE REQUIRED",IF($Z211="FAIL — MIAR GATE","MIAR GATE BLOCK",IF($Z211="FAIL — COMMITTEE DISPOSITION","COMMITTEE DECISION REQUIRED",IF($Z211="FAIL — PEW REFERRAL","PEW REFERRAL INCOMPLETE",IF(AND(OR($Y211="Rejected",$Y211="Closed",$Y211="Removed"),OR($AO211="",$AP211="",$AQ211="")),"CLOSURE REQUIRED",IF(AND($AB211&lt;TODAY(),NOT(OR($Y211="Rejected",$Y211="Closed",$Y211="Removed"))),"OVERDUE",IF(OR($Y211="Rejected",$Y211="Closed",$Y211="Removed"),"CLOSED","OPEN — ON TRACK"))))))))))))</x:f>
      </x:c>
      <x:c r="AL211" s="1253" t="str">
        <x:f>IF($AK211="","",IFERROR(INDEX('97 RCC Lists'!$AM$5:$AM$16,MATCH($AK211,'97 RCC Lists'!$AL$5:$AL$16,0)),"Review candidate exception"))</x:f>
      </x:c>
      <x:c r="AM211" s="1242"/>
      <x:c r="AN211" s="1242"/>
      <x:c r="AO211" s="1242"/>
      <x:c r="AP211" s="1242"/>
      <x:c r="AQ211" s="1251"/>
    </x:row>
    <x:row r="212" ht="32" customHeight="1">
      <x:c r="A212" s="1242"/>
      <x:c r="B212" s="1251"/>
      <x:c r="C212" s="1242"/>
      <x:c r="D212" s="1243" t="str">
        <x:f>IF($C212="","",IFERROR(INDEX('23 RCC-004 MASR Registry'!$C$14:$C$163,MATCH($C212,'23 RCC-004 MASR Registry'!$B$14:$B$163,0)),""))</x:f>
      </x:c>
      <x:c r="E212" s="1242"/>
      <x:c r="F212" s="1242"/>
      <x:c r="G212" s="1242"/>
      <x:c r="H212" s="1242"/>
      <x:c r="I212" s="1243" t="str">
        <x:f>IF($C212="","",IFERROR(INDEX('23 RCC-004 MASR Registry'!$G$14:$G$163,MATCH($C212,'23 RCC-004 MASR Registry'!$B$14:$B$163,0)),""))</x:f>
      </x:c>
      <x:c r="J212" s="1243" t="str">
        <x:f>IF($C212="","",IFERROR(INDEX('23 RCC-004 MASR Registry'!$H$14:$H$163,MATCH($C212,'23 RCC-004 MASR Registry'!$B$14:$B$163,0)),""))</x:f>
      </x:c>
      <x:c r="K212" s="1243" t="str">
        <x:f>IF($C212="","",IFERROR(INDEX('23 RCC-004 MASR Registry'!$D$14:$D$163,MATCH($C212,'23 RCC-004 MASR Registry'!$B$14:$B$163,0)),""))</x:f>
      </x:c>
      <x:c r="L212" s="1243" t="str">
        <x:f>IF($C212="","",IFERROR(INDEX('23 RCC-004 MASR Registry'!$E$14:$E$163,MATCH($C212,'23 RCC-004 MASR Registry'!$B$14:$B$163,0)),""))</x:f>
      </x:c>
      <x:c r="M212" s="1243" t="str">
        <x:f>IF($C212="","",IFERROR(INDEX('23 RCC-004 MASR Registry'!$X$14:$X$163,MATCH($C212,'23 RCC-004 MASR Registry'!$B$14:$B$163,0)),""))</x:f>
      </x:c>
      <x:c r="N212" s="1243" t="str">
        <x:f>IF($C212="","",IFERROR(INDEX('23 RCC-004 MASR Registry'!$Y$14:$Y$163,MATCH($C212,'23 RCC-004 MASR Registry'!$B$14:$B$163,0)),""))</x:f>
      </x:c>
      <x:c r="O212" s="1243" t="str">
        <x:f>IF($C212="","",IFERROR(INDEX('23 RCC-004 MASR Registry'!$L$14:$L$163,MATCH($C212,'23 RCC-004 MASR Registry'!$B$14:$B$163,0)),""))</x:f>
      </x:c>
      <x:c r="P212" s="1243" t="str">
        <x:f>IF($C212="","",IFERROR(INDEX('23 RCC-004 MASR Registry'!$M$14:$M$163,MATCH($C212,'23 RCC-004 MASR Registry'!$B$14:$B$163,0)),""))</x:f>
      </x:c>
      <x:c r="Q212" s="1246" t="str">
        <x:f>IF($C212="","",IFERROR(INDEX('23 RCC-004 MASR Registry'!$N$14:$N$163,MATCH($C212,'23 RCC-004 MASR Registry'!$B$14:$B$163,0)),""))</x:f>
      </x:c>
      <x:c r="R212" s="1246" t="str">
        <x:f>IF($C212="","",IFERROR(INDEX('23 RCC-004 MASR Registry'!$O$14:$O$163,MATCH($C212,'23 RCC-004 MASR Registry'!$B$14:$B$163,0)),""))</x:f>
      </x:c>
      <x:c r="S212" s="1246" t="str">
        <x:f>IF($C212="","",IFERROR(INDEX('23 RCC-004 MASR Registry'!$W$14:$W$163,MATCH($C212,'23 RCC-004 MASR Registry'!$B$14:$B$163,0)),""))</x:f>
      </x:c>
      <x:c r="T212" s="1246" t="str">
        <x:f>IF($C212="","",IFERROR(INDEX('23 RCC-004 MASR Registry'!$T$14:$T$163,MATCH($C212,'23 RCC-004 MASR Registry'!$B$14:$B$163,0)),""))</x:f>
      </x:c>
      <x:c r="U212" s="1247" t="str">
        <x:f>IF($C212="","",IFERROR(INDEX('23 RCC-004 MASR Registry'!$U$14:$U$163,MATCH($C212,'23 RCC-004 MASR Registry'!$B$14:$B$163,0)),""))</x:f>
      </x:c>
      <x:c r="V212" s="1243" t="str">
        <x:f>IF($C212="","",IFERROR(INDEX('23 RCC-004 MASR Registry'!$V$14:$V$163,MATCH($C212,'23 RCC-004 MASR Registry'!$B$14:$B$163,0)),""))</x:f>
      </x:c>
      <x:c r="W212" s="1242"/>
      <x:c r="X212" s="1247" t="str">
        <x:f>IF($C212="","",COUNTIF('18 RCC-002 Evidence Ledger'!$E$14:$E$213,$C212))</x:f>
      </x:c>
      <x:c r="Y212" s="1242"/>
      <x:c r="Z212" s="1244" t="str">
        <x:f>IF($A212="","",IF(COUNTIF($A$14:$A$213,$A212)&gt;1,"FAIL — DUPLICATE ID",IF(OR($B212="",$C212="",$E212="",$H212="",$Y212="",$AA212="",$AB212=""),"FAIL — INCOMPLETE",IF(AND(OR($Y212="MIAR Review",$Y212="Eligibility Review",$Y212="Candidate Comparison",$Y212="Committee Review",$Y212="Approved for MASR",$Y212="Referred to PEW-004",$Y212="On Watch",$Y212="Rejected",$Y212="Closed",$Y212="Removed"),$K212=""),"FAIL — MASR RECORD REQUIRED",IF(AND(OR($Y212="Eligibility Review",$Y212="Candidate Comparison",$Y212="Committee Review",$Y212="Approved for MASR",$Y212="Referred to PEW-004",$Y212="On Watch"),NOT(OR($M212="ELIGIBLE",$M212="ELIGIBLE WITH EXCEPTION",$M212="CERTIFIED HOLDING"))),"FAIL — ELIGIBILITY",IF(AND(OR($Y212="Candidate Comparison",$Y212="Committee Review",$Y212="Approved for MASR",$Y212="Referred to PEW-004",$Y212="On Watch"),$X212=0),"FAIL — EVIDENCE",IF(AND(OR($Y212="Candidate Comparison",$Y212="Committee Review",$Y212="Approved for MASR",$Y212="Referred to PEW-004",$Y212="On Watch"),OR($O212&lt;&gt;"Active",$P212&lt;&gt;"CURRENT")),"FAIL — MIAR GATE",IF(AND(OR($Y212="Approved for MASR",$Y212="Referred to PEW-004",$Y212="On Watch",$Y212="Rejected",$Y212="Closed",$Y212="Removed"),OR($AD212="",$AD212="Pending")),"FAIL — COMMITTEE DISPOSITION",IF(AND($Y212="Referred to PEW-004",OR($AF212&lt;&gt;"Yes — Refer to PEW-004",$AG212="",$AJ212="")),"FAIL — PEW REFERRAL","PASS — STAGE GATE")))))))))</x:f>
      </x:c>
      <x:c r="AA212" s="1242"/>
      <x:c r="AB212" s="1251"/>
      <x:c r="AC212" s="1250" t="str">
        <x:f>IF($B212="","",IF($AQ212&lt;&gt;"",$AQ212-$B212,TODAY()-$B212))</x:f>
      </x:c>
      <x:c r="AD212" s="1242"/>
      <x:c r="AE212" s="1251"/>
      <x:c r="AF212" s="1242"/>
      <x:c r="AG212" s="1242"/>
      <x:c r="AH212" s="1246" t="str">
        <x:f>IF($AG212="","",IFERROR(INDEX('10 Candidate Comparison'!$T$14:$T$33,MATCH($AG212,'10 Candidate Comparison'!$A$14:$A$33,0)),""))</x:f>
      </x:c>
      <x:c r="AI212" s="1243" t="str">
        <x:f>IF($AG212="","",IFERROR(INDEX('10 Candidate Comparison'!$U$14:$U$33,MATCH($AG212,'10 Candidate Comparison'!$A$14:$A$33,0)),""))</x:f>
      </x:c>
      <x:c r="AJ212" s="1243" t="str">
        <x:f>IF($AG212="","",IFERROR(INDEX('10 Candidate Comparison'!$Y$14:$Y$33,MATCH($AG212,'10 Candidate Comparison'!$A$14:$A$33,0)),""))</x:f>
      </x:c>
      <x:c r="AK212" s="1244" t="str">
        <x:f>IF($A212="","",IF($Z212="FAIL — DUPLICATE ID","DUPLICATE CANDIDATE ID",IF($Z212="FAIL — INCOMPLETE","INCOMPLETE",IF($Z212="FAIL — MASR RECORD REQUIRED","MASR RECORD REQUIRED",IF($Z212="FAIL — ELIGIBILITY","ELIGIBILITY BLOCK",IF($Z212="FAIL — EVIDENCE","EVIDENCE REQUIRED",IF($Z212="FAIL — MIAR GATE","MIAR GATE BLOCK",IF($Z212="FAIL — COMMITTEE DISPOSITION","COMMITTEE DECISION REQUIRED",IF($Z212="FAIL — PEW REFERRAL","PEW REFERRAL INCOMPLETE",IF(AND(OR($Y212="Rejected",$Y212="Closed",$Y212="Removed"),OR($AO212="",$AP212="",$AQ212="")),"CLOSURE REQUIRED",IF(AND($AB212&lt;TODAY(),NOT(OR($Y212="Rejected",$Y212="Closed",$Y212="Removed"))),"OVERDUE",IF(OR($Y212="Rejected",$Y212="Closed",$Y212="Removed"),"CLOSED","OPEN — ON TRACK"))))))))))))</x:f>
      </x:c>
      <x:c r="AL212" s="1244" t="str">
        <x:f>IF($AK212="","",IFERROR(INDEX('97 RCC Lists'!$AM$5:$AM$16,MATCH($AK212,'97 RCC Lists'!$AL$5:$AL$16,0)),"Review candidate exception"))</x:f>
      </x:c>
      <x:c r="AM212" s="1242"/>
      <x:c r="AN212" s="1242"/>
      <x:c r="AO212" s="1242"/>
      <x:c r="AP212" s="1242"/>
      <x:c r="AQ212" s="1251"/>
    </x:row>
    <x:row r="213" ht="32" customHeight="1">
      <x:c r="A213" s="1242"/>
      <x:c r="B213" s="1251"/>
      <x:c r="C213" s="1242"/>
      <x:c r="D213" s="1252" t="str">
        <x:f>IF($C213="","",IFERROR(INDEX('23 RCC-004 MASR Registry'!$C$14:$C$163,MATCH($C213,'23 RCC-004 MASR Registry'!$B$14:$B$163,0)),""))</x:f>
      </x:c>
      <x:c r="E213" s="1242"/>
      <x:c r="F213" s="1242"/>
      <x:c r="G213" s="1242"/>
      <x:c r="H213" s="1242"/>
      <x:c r="I213" s="1252" t="str">
        <x:f>IF($C213="","",IFERROR(INDEX('23 RCC-004 MASR Registry'!$G$14:$G$163,MATCH($C213,'23 RCC-004 MASR Registry'!$B$14:$B$163,0)),""))</x:f>
      </x:c>
      <x:c r="J213" s="1252" t="str">
        <x:f>IF($C213="","",IFERROR(INDEX('23 RCC-004 MASR Registry'!$H$14:$H$163,MATCH($C213,'23 RCC-004 MASR Registry'!$B$14:$B$163,0)),""))</x:f>
      </x:c>
      <x:c r="K213" s="1252" t="str">
        <x:f>IF($C213="","",IFERROR(INDEX('23 RCC-004 MASR Registry'!$D$14:$D$163,MATCH($C213,'23 RCC-004 MASR Registry'!$B$14:$B$163,0)),""))</x:f>
      </x:c>
      <x:c r="L213" s="1252" t="str">
        <x:f>IF($C213="","",IFERROR(INDEX('23 RCC-004 MASR Registry'!$E$14:$E$163,MATCH($C213,'23 RCC-004 MASR Registry'!$B$14:$B$163,0)),""))</x:f>
      </x:c>
      <x:c r="M213" s="1252" t="str">
        <x:f>IF($C213="","",IFERROR(INDEX('23 RCC-004 MASR Registry'!$X$14:$X$163,MATCH($C213,'23 RCC-004 MASR Registry'!$B$14:$B$163,0)),""))</x:f>
      </x:c>
      <x:c r="N213" s="1252" t="str">
        <x:f>IF($C213="","",IFERROR(INDEX('23 RCC-004 MASR Registry'!$Y$14:$Y$163,MATCH($C213,'23 RCC-004 MASR Registry'!$B$14:$B$163,0)),""))</x:f>
      </x:c>
      <x:c r="O213" s="1252" t="str">
        <x:f>IF($C213="","",IFERROR(INDEX('23 RCC-004 MASR Registry'!$L$14:$L$163,MATCH($C213,'23 RCC-004 MASR Registry'!$B$14:$B$163,0)),""))</x:f>
      </x:c>
      <x:c r="P213" s="1252" t="str">
        <x:f>IF($C213="","",IFERROR(INDEX('23 RCC-004 MASR Registry'!$M$14:$M$163,MATCH($C213,'23 RCC-004 MASR Registry'!$B$14:$B$163,0)),""))</x:f>
      </x:c>
      <x:c r="Q213" s="1255" t="str">
        <x:f>IF($C213="","",IFERROR(INDEX('23 RCC-004 MASR Registry'!$N$14:$N$163,MATCH($C213,'23 RCC-004 MASR Registry'!$B$14:$B$163,0)),""))</x:f>
      </x:c>
      <x:c r="R213" s="1255" t="str">
        <x:f>IF($C213="","",IFERROR(INDEX('23 RCC-004 MASR Registry'!$O$14:$O$163,MATCH($C213,'23 RCC-004 MASR Registry'!$B$14:$B$163,0)),""))</x:f>
      </x:c>
      <x:c r="S213" s="1255" t="str">
        <x:f>IF($C213="","",IFERROR(INDEX('23 RCC-004 MASR Registry'!$W$14:$W$163,MATCH($C213,'23 RCC-004 MASR Registry'!$B$14:$B$163,0)),""))</x:f>
      </x:c>
      <x:c r="T213" s="1255" t="str">
        <x:f>IF($C213="","",IFERROR(INDEX('23 RCC-004 MASR Registry'!$T$14:$T$163,MATCH($C213,'23 RCC-004 MASR Registry'!$B$14:$B$163,0)),""))</x:f>
      </x:c>
      <x:c r="U213" s="1256" t="str">
        <x:f>IF($C213="","",IFERROR(INDEX('23 RCC-004 MASR Registry'!$U$14:$U$163,MATCH($C213,'23 RCC-004 MASR Registry'!$B$14:$B$163,0)),""))</x:f>
      </x:c>
      <x:c r="V213" s="1252" t="str">
        <x:f>IF($C213="","",IFERROR(INDEX('23 RCC-004 MASR Registry'!$V$14:$V$163,MATCH($C213,'23 RCC-004 MASR Registry'!$B$14:$B$163,0)),""))</x:f>
      </x:c>
      <x:c r="W213" s="1242"/>
      <x:c r="X213" s="1256" t="str">
        <x:f>IF($C213="","",COUNTIF('18 RCC-002 Evidence Ledger'!$E$14:$E$213,$C213))</x:f>
      </x:c>
      <x:c r="Y213" s="1242"/>
      <x:c r="Z213" s="1253" t="str">
        <x:f>IF($A213="","",IF(COUNTIF($A$14:$A$213,$A213)&gt;1,"FAIL — DUPLICATE ID",IF(OR($B213="",$C213="",$E213="",$H213="",$Y213="",$AA213="",$AB213=""),"FAIL — INCOMPLETE",IF(AND(OR($Y213="MIAR Review",$Y213="Eligibility Review",$Y213="Candidate Comparison",$Y213="Committee Review",$Y213="Approved for MASR",$Y213="Referred to PEW-004",$Y213="On Watch",$Y213="Rejected",$Y213="Closed",$Y213="Removed"),$K213=""),"FAIL — MASR RECORD REQUIRED",IF(AND(OR($Y213="Eligibility Review",$Y213="Candidate Comparison",$Y213="Committee Review",$Y213="Approved for MASR",$Y213="Referred to PEW-004",$Y213="On Watch"),NOT(OR($M213="ELIGIBLE",$M213="ELIGIBLE WITH EXCEPTION",$M213="CERTIFIED HOLDING"))),"FAIL — ELIGIBILITY",IF(AND(OR($Y213="Candidate Comparison",$Y213="Committee Review",$Y213="Approved for MASR",$Y213="Referred to PEW-004",$Y213="On Watch"),$X213=0),"FAIL — EVIDENCE",IF(AND(OR($Y213="Candidate Comparison",$Y213="Committee Review",$Y213="Approved for MASR",$Y213="Referred to PEW-004",$Y213="On Watch"),OR($O213&lt;&gt;"Active",$P213&lt;&gt;"CURRENT")),"FAIL — MIAR GATE",IF(AND(OR($Y213="Approved for MASR",$Y213="Referred to PEW-004",$Y213="On Watch",$Y213="Rejected",$Y213="Closed",$Y213="Removed"),OR($AD213="",$AD213="Pending")),"FAIL — COMMITTEE DISPOSITION",IF(AND($Y213="Referred to PEW-004",OR($AF213&lt;&gt;"Yes — Refer to PEW-004",$AG213="",$AJ213="")),"FAIL — PEW REFERRAL","PASS — STAGE GATE")))))))))</x:f>
      </x:c>
      <x:c r="AA213" s="1242"/>
      <x:c r="AB213" s="1251"/>
      <x:c r="AC213" s="1257" t="str">
        <x:f>IF($B213="","",IF($AQ213&lt;&gt;"",$AQ213-$B213,TODAY()-$B213))</x:f>
      </x:c>
      <x:c r="AD213" s="1242"/>
      <x:c r="AE213" s="1251"/>
      <x:c r="AF213" s="1242"/>
      <x:c r="AG213" s="1242"/>
      <x:c r="AH213" s="1255" t="str">
        <x:f>IF($AG213="","",IFERROR(INDEX('10 Candidate Comparison'!$T$14:$T$33,MATCH($AG213,'10 Candidate Comparison'!$A$14:$A$33,0)),""))</x:f>
      </x:c>
      <x:c r="AI213" s="1252" t="str">
        <x:f>IF($AG213="","",IFERROR(INDEX('10 Candidate Comparison'!$U$14:$U$33,MATCH($AG213,'10 Candidate Comparison'!$A$14:$A$33,0)),""))</x:f>
      </x:c>
      <x:c r="AJ213" s="1252" t="str">
        <x:f>IF($AG213="","",IFERROR(INDEX('10 Candidate Comparison'!$Y$14:$Y$33,MATCH($AG213,'10 Candidate Comparison'!$A$14:$A$33,0)),""))</x:f>
      </x:c>
      <x:c r="AK213" s="1253" t="str">
        <x:f>IF($A213="","",IF($Z213="FAIL — DUPLICATE ID","DUPLICATE CANDIDATE ID",IF($Z213="FAIL — INCOMPLETE","INCOMPLETE",IF($Z213="FAIL — MASR RECORD REQUIRED","MASR RECORD REQUIRED",IF($Z213="FAIL — ELIGIBILITY","ELIGIBILITY BLOCK",IF($Z213="FAIL — EVIDENCE","EVIDENCE REQUIRED",IF($Z213="FAIL — MIAR GATE","MIAR GATE BLOCK",IF($Z213="FAIL — COMMITTEE DISPOSITION","COMMITTEE DECISION REQUIRED",IF($Z213="FAIL — PEW REFERRAL","PEW REFERRAL INCOMPLETE",IF(AND(OR($Y213="Rejected",$Y213="Closed",$Y213="Removed"),OR($AO213="",$AP213="",$AQ213="")),"CLOSURE REQUIRED",IF(AND($AB213&lt;TODAY(),NOT(OR($Y213="Rejected",$Y213="Closed",$Y213="Removed"))),"OVERDUE",IF(OR($Y213="Rejected",$Y213="Closed",$Y213="Removed"),"CLOSED","OPEN — ON TRACK"))))))))))))</x:f>
      </x:c>
      <x:c r="AL213" s="1253" t="str">
        <x:f>IF($AK213="","",IFERROR(INDEX('97 RCC Lists'!$AM$5:$AM$16,MATCH($AK213,'97 RCC Lists'!$AL$5:$AL$16,0)),"Review candidate exception"))</x:f>
      </x:c>
      <x:c r="AM213" s="1242"/>
      <x:c r="AN213" s="1242"/>
      <x:c r="AO213" s="1242"/>
      <x:c r="AP213" s="1242"/>
      <x:c r="AQ213" s="1251"/>
    </x:row>
  </x:sheetData>
  <x:mergeCells>
    <x:mergeCell ref="A1:AQ1"/>
    <x:mergeCell ref="A2:AQ2"/>
    <x:mergeCell ref="A3:AQ3"/>
    <x:mergeCell ref="A5:H5"/>
    <x:mergeCell ref="I5:V5"/>
    <x:mergeCell ref="W5:AQ5"/>
    <x:mergeCell ref="A6:H10"/>
    <x:mergeCell ref="I6:V10"/>
    <x:mergeCell ref="W6:AL6"/>
    <x:mergeCell ref="AM6:AQ6"/>
    <x:mergeCell ref="W7:AL7"/>
    <x:mergeCell ref="AM7:AQ7"/>
    <x:mergeCell ref="W8:AL8"/>
    <x:mergeCell ref="AM8:AQ8"/>
    <x:mergeCell ref="W9:AL9"/>
    <x:mergeCell ref="AM9:AQ9"/>
    <x:mergeCell ref="W10:AL10"/>
    <x:mergeCell ref="AM10:AQ10"/>
    <x:mergeCell ref="A12:AQ12"/>
  </x:mergeCells>
  <x:conditionalFormatting sqref="Z14:Z213">
    <x:cfRule type="expression" dxfId="148" priority="1">
      <x:formula>LEFT(Z14,4)="PASS"</x:formula>
    </x:cfRule>
    <x:cfRule type="expression" dxfId="149" priority="2">
      <x:formula>LEFT(Z14,4)="FAIL"</x:formula>
    </x:cfRule>
  </x:conditionalFormatting>
  <x:conditionalFormatting sqref="AK14:AK213">
    <x:cfRule type="expression" dxfId="150" priority="3">
      <x:formula>AK14="OPEN — ON TRACK"</x:formula>
    </x:cfRule>
    <x:cfRule type="expression" dxfId="151" priority="4">
      <x:formula>AK14="CLOSED"</x:formula>
    </x:cfRule>
    <x:cfRule type="expression" dxfId="152" priority="5">
      <x:formula>AK14="OVERDUE"</x:formula>
    </x:cfRule>
    <x:cfRule type="expression" dxfId="153" priority="6">
      <x:formula>AK14="DUPLICATE CANDIDATE ID"</x:formula>
    </x:cfRule>
    <x:cfRule type="expression" dxfId="154" priority="7">
      <x:formula>AK14="ELIGIBILITY BLOCK"</x:formula>
    </x:cfRule>
    <x:cfRule type="expression" dxfId="155" priority="8">
      <x:formula>AK14="INCOMPLETE"</x:formula>
    </x:cfRule>
    <x:cfRule type="expression" dxfId="156" priority="9">
      <x:formula>AK14="MASR RECORD REQUIRED"</x:formula>
    </x:cfRule>
    <x:cfRule type="expression" dxfId="157" priority="10">
      <x:formula>AK14="EVIDENCE REQUIRED"</x:formula>
    </x:cfRule>
    <x:cfRule type="expression" dxfId="158" priority="11">
      <x:formula>AK14="MIAR GATE BLOCK"</x:formula>
    </x:cfRule>
    <x:cfRule type="expression" dxfId="159" priority="12">
      <x:formula>AK14="COMMITTEE DECISION REQUIRED"</x:formula>
    </x:cfRule>
    <x:cfRule type="expression" dxfId="160" priority="13">
      <x:formula>AK14="PEW REFERRAL INCOMPLETE"</x:formula>
    </x:cfRule>
    <x:cfRule type="expression" dxfId="161" priority="14">
      <x:formula>AK14="CLOSURE REQUIRED"</x:formula>
    </x:cfRule>
  </x:conditionalFormatting>
  <x:conditionalFormatting sqref="AB14:AB213">
    <x:cfRule type="expression" dxfId="162" priority="15">
      <x:formula>AND($A14&lt;&gt;"",$AB14&lt;TODAY(),$AK14&lt;&gt;"CLOSED")</x:formula>
    </x:cfRule>
  </x:conditionalFormatting>
  <x:conditionalFormatting sqref="AD14:AD213">
    <x:cfRule type="expression" dxfId="163" priority="16">
      <x:formula>OR(AD14="Approve MASR Admission",AD14="Approve Conditional Admission",AD14="Advance to PEW-004",AD14="Exception Approved")</x:formula>
    </x:cfRule>
    <x:cfRule type="expression" dxfId="164" priority="17">
      <x:formula>OR(AD14="Reject Candidate",AD14="Remove from MASR")</x:formula>
    </x:cfRule>
    <x:cfRule type="expression" dxfId="165" priority="18">
      <x:formula>OR(AD14="Pending",AD14="Defer",AD14="Retain on Watch")</x:formula>
    </x:cfRule>
  </x:conditionalFormatting>
  <x:dataValidations count="6">
    <x:dataValidation type="list" sqref="E14:E213">
      <x:formula1>'97 RCC Lists'!$AC$5:$AC$12</x:formula1>
    </x:dataValidation>
    <x:dataValidation type="list" sqref="H14:H213">
      <x:formula1>'97 RCC Lists'!$AG$5:$AG$14</x:formula1>
    </x:dataValidation>
    <x:dataValidation type="list" sqref="Y14:Y213">
      <x:formula1>'97 RCC Lists'!$AD$5:$AD$16</x:formula1>
    </x:dataValidation>
    <x:dataValidation type="list" sqref="AD14:AD213">
      <x:formula1>'97 RCC Lists'!$AH$5:$AH$15</x:formula1>
    </x:dataValidation>
    <x:dataValidation type="list" sqref="AF14:AF213">
      <x:formula1>'97 RCC Lists'!$AI$5:$AI$8</x:formula1>
    </x:dataValidation>
    <x:dataValidation type="list" sqref="AO14:AO213">
      <x:formula1>'97 RCC Lists'!$AN$5:$AN$13</x:formula1>
    </x:dataValidation>
  </x:dataValidations>
  <x:pageMargins left="0.7" right="0.7" top="0.75" bottom="0.75" header="0.3" footer="0.3"/>
</x:worksheet>
</file>

<file path=xl/worksheets/sheet134.xml><?xml version="1.0" encoding="utf-8"?>
<x:worksheet xmlns:x="http://schemas.openxmlformats.org/spreadsheetml/2006/main">
  <x:cols>
    <x:col min="1" max="1" width="22" customWidth="1"/>
    <x:col min="2" max="2" width="18" customWidth="1"/>
    <x:col min="3" max="3" width="26" customWidth="1"/>
    <x:col min="4" max="4" width="30" customWidth="1"/>
    <x:col min="5" max="5" width="10" customWidth="1"/>
    <x:col min="6" max="6" width="30" customWidth="1"/>
    <x:col min="7" max="7" width="40" customWidth="1"/>
    <x:col min="8" max="8" width="40" customWidth="1"/>
    <x:col min="9" max="9" width="22" customWidth="1"/>
    <x:col min="10" max="10" width="50" customWidth="1"/>
  </x:cols>
  <x:sheetData>
    <x:row r="1">
      <x:c r="A1" t="inlineStr">
        <x:is>
          <x:t>Timestamp (UTC)</x:t>
        </x:is>
      </x:c>
      <x:c r="B1" t="inlineStr">
        <x:is>
          <x:t>User</x:t>
        </x:is>
      </x:c>
      <x:c r="C1" t="inlineStr">
        <x:is>
          <x:t>Action</x:t>
        </x:is>
      </x:c>
      <x:c r="D1" t="inlineStr">
        <x:is>
          <x:t>Sheet</x:t>
        </x:is>
      </x:c>
      <x:c r="E1" t="inlineStr">
        <x:is>
          <x:t>Cell</x:t>
        </x:is>
      </x:c>
      <x:c r="F1" t="inlineStr">
        <x:is>
          <x:t>Field</x:t>
        </x:is>
      </x:c>
      <x:c r="G1" t="inlineStr">
        <x:is>
          <x:t>Previous Value</x:t>
        </x:is>
      </x:c>
      <x:c r="H1" t="inlineStr">
        <x:is>
          <x:t>New Value</x:t>
        </x:is>
      </x:c>
      <x:c r="I1" t="inlineStr">
        <x:is>
          <x:t>Record</x:t>
        </x:is>
      </x:c>
      <x:c r="J1" t="inlineStr">
        <x:is>
          <x:t>Note</x:t>
        </x:is>
      </x:c>
    </x:row>
  </x:sheetData>
</x:worksheet>
</file>